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98d885e6ef49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ef510c2745d64bec"/>
    <x:sheet xmlns:r="http://schemas.openxmlformats.org/officeDocument/2006/relationships" name="Quy tắc DEMO" sheetId="2" r:id="R208ea5e1df684b51"/>
    <x:sheet xmlns:r="http://schemas.openxmlformats.org/officeDocument/2006/relationships" name="Sản phẩm" sheetId="3" r:id="Raaf5c390359e4a5c"/>
    <x:sheet xmlns:r="http://schemas.openxmlformats.org/officeDocument/2006/relationships" name="Đối tác" sheetId="4" r:id="Rb63eace2577e4e01"/>
    <x:sheet xmlns:r="http://schemas.openxmlformats.org/officeDocument/2006/relationships" name="Kho &amp; vị trí" sheetId="5" r:id="Rf9385e9e6e544625"/>
    <x:sheet xmlns:r="http://schemas.openxmlformats.org/officeDocument/2006/relationships" name="Tồn đầu" sheetId="6" r:id="R5c6053e054bc4e5d"/>
    <x:sheet xmlns:r="http://schemas.openxmlformats.org/officeDocument/2006/relationships" name="Bảng giá" sheetId="7" r:id="R6fe4e7c39ac34fa2"/>
    <x:sheet xmlns:r="http://schemas.openxmlformats.org/officeDocument/2006/relationships" name="Công nợ mẫu" sheetId="8" r:id="R173ca801791e439e"/>
    <x:sheet xmlns:r="http://schemas.openxmlformats.org/officeDocument/2006/relationships" name="Người dùng &amp; quyền" sheetId="9" r:id="R3fdcf1dc6449487b"/>
    <x:sheet xmlns:r="http://schemas.openxmlformats.org/officeDocument/2006/relationships" name="Yêu cầu phòng ban" sheetId="10" r:id="Reaceaef8262d41c0"/>
    <x:sheet xmlns:r="http://schemas.openxmlformats.org/officeDocument/2006/relationships" name="Hướng dẫn" sheetId="11" r:id="R5e538df2581345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####"/>
    <x:numFmt numFmtId="202" formatCode="yyyy-mm-dd"/>
    <x:numFmt numFmtId="203" formatCode="0.0"/>
  </x:numFmts>
  <x:fonts count="12">
    <x:font>
      <x:sz val="11"/>
      <x:name val="Carlito"/>
    </x:font>
    <x:font>
      <x:b/>
      <x:sz val="15"/>
      <x:color rgb="FF123247"/>
      <x:name val="Arial"/>
    </x:font>
    <x:font>
      <x:i/>
      <x:sz val="10"/>
      <x:color rgb="FF667A87"/>
      <x:name val="Arial"/>
    </x:font>
    <x:font>
      <x:b/>
      <x:sz val="10"/>
      <x:color rgb="FF173247"/>
      <x:name val="Arial"/>
    </x:font>
    <x:font>
      <x:sz val="10"/>
      <x:color rgb="FF173247"/>
      <x:name val="Arial"/>
    </x:font>
    <x:font>
      <x:i/>
      <x:sz val="10"/>
      <x:color rgb="FF173247"/>
      <x:name val="Arial"/>
    </x:font>
    <x:font>
      <x:b/>
      <x:sz val="10"/>
      <x:color rgb="FFFFFFFF"/>
      <x:name val="Arial"/>
    </x:font>
    <x:font>
      <x:b/>
      <x:sz val="10"/>
      <x:color rgb="FF667A87"/>
      <x:name val="Arial"/>
    </x:font>
    <x:font>
      <x:b/>
      <x:sz val="16"/>
      <x:color rgb="FF123247"/>
      <x:name val="Arial"/>
    </x:font>
    <x:font>
      <x:b/>
      <x:sz val="10"/>
      <x:color rgb="FFF36C32"/>
      <x:name val="Arial"/>
    </x:font>
    <x:font>
      <x:b/>
      <x:sz val="10"/>
      <x:color rgb="FF123247"/>
      <x:name val="Arial"/>
    </x:font>
    <x:font>
      <x:b/>
      <x:sz val="10"/>
      <x:color rgb="FFB63D32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123247"/>
      </x:patternFill>
    </x:fill>
    <x:fill>
      <x:patternFill patternType="solid">
        <x:fgColor rgb="FFFFF2CC"/>
      </x:patternFill>
    </x:fill>
    <x:fill>
      <x:patternFill patternType="solid">
        <x:fgColor rgb="FFE9F1F5"/>
      </x:patternFill>
    </x:fill>
    <x:fill>
      <x:patternFill patternType="solid">
        <x:fgColor rgb="FFF6F2E9"/>
      </x:patternFill>
    </x:fill>
    <x:fill>
      <x:patternFill patternType="solid">
        <x:fgColor rgb="FFFBE9E7"/>
      </x:patternFill>
    </x:fill>
  </x:fills>
  <x:borders count="9">
    <x:border>
      <x:left/>
      <x:right/>
      <x:top/>
      <x:bottom/>
      <x:diagonal/>
    </x:border>
    <x:border>
      <x:left/>
      <x:right/>
      <x:top/>
      <x:bottom style="thin">
        <x:color rgb="FFF36C32"/>
      </x:bottom>
      <x:diagonal/>
    </x:border>
    <x:border>
      <x:left/>
      <x:right style="thin">
        <x:color rgb="FFFFFFFF"/>
      </x:right>
      <x:top/>
      <x:bottom style="medium">
        <x:color rgb="FFF36C32"/>
      </x:bottom>
      <x:diagonal/>
    </x:border>
    <x:border>
      <x:left style="thin">
        <x:color rgb="FFFFFFFF"/>
      </x:left>
      <x:right style="thin">
        <x:color rgb="FFFFFFFF"/>
      </x:right>
      <x:top/>
      <x:bottom style="medium">
        <x:color rgb="FFF36C32"/>
      </x:bottom>
      <x:diagonal/>
    </x:border>
    <x:border>
      <x:left style="thin">
        <x:color rgb="FFFFFFFF"/>
      </x:left>
      <x:right/>
      <x:top/>
      <x:bottom style="medium">
        <x:color rgb="FFF36C32"/>
      </x:bottom>
      <x:diagonal/>
    </x:border>
    <x:border>
      <x:left/>
      <x:right/>
      <x:top/>
      <x:bottom style="thin">
        <x:color rgb="FFD7D2C8"/>
      </x:bottom>
      <x:diagonal/>
    </x:border>
    <x:border>
      <x:left/>
      <x:right/>
      <x:top style="thin">
        <x:color rgb="FFD7D2C8"/>
      </x:top>
      <x:bottom style="thin">
        <x:color rgb="FFD7D2C8"/>
      </x:bottom>
      <x:diagonal/>
    </x:border>
    <x:border>
      <x:left/>
      <x:right/>
      <x:top style="thin">
        <x:color rgb="FFD7D2C8"/>
      </x:top>
      <x:bottom/>
      <x:diagonal/>
    </x:border>
    <x:border>
      <x:left/>
      <x:right/>
      <x:top/>
      <x:bottom style="medium">
        <x:color rgb="FFF36C32"/>
      </x:bottom>
      <x:diagonal/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1" xfId="0" applyNumberFormat="1" applyFont="1" applyFill="1" applyBorder="1"/>
    <x:xf numFmtId="0" fontId="4" fillId="0" borderId="1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6" fillId="2" borderId="4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6" fillId="2" borderId="4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horizontal="center" vertical="center" wrapText="1"/>
    </x:xf>
    <x:xf numFmtId="0" fontId="6" fillId="2" borderId="3" xfId="0" applyNumberFormat="1" applyFont="1" applyFill="1" applyBorder="1" applyAlignment="1">
      <x:alignment horizontal="center" vertical="center" wrapText="1"/>
    </x:xf>
    <x:xf numFmtId="0" fontId="6" fillId="2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4" fillId="3" borderId="6" xfId="0" applyNumberFormat="1" applyFont="1" applyFill="1" applyBorder="1" applyAlignment="1">
      <x:alignment vertical="center"/>
    </x:xf>
    <x:xf numFmtId="0" fontId="4" fillId="3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200" fontId="4" fillId="3" borderId="5" xfId="0" applyNumberFormat="1" applyFont="1" applyFill="1" applyBorder="1" applyAlignment="1">
      <x:alignment vertical="center"/>
    </x:xf>
    <x:xf numFmtId="200" fontId="4" fillId="3" borderId="6" xfId="0" applyNumberFormat="1" applyFont="1" applyFill="1" applyBorder="1" applyAlignment="1">
      <x:alignment vertical="center"/>
    </x:xf>
    <x:xf numFmtId="200" fontId="4" fillId="3" borderId="7" xfId="0" applyNumberFormat="1" applyFont="1" applyFill="1" applyBorder="1" applyAlignment="1">
      <x:alignment vertical="center"/>
    </x:xf>
    <x:xf numFmtId="201" fontId="4" fillId="3" borderId="5" xfId="0" applyNumberFormat="1" applyFont="1" applyFill="1" applyBorder="1" applyAlignment="1">
      <x:alignment vertical="center"/>
    </x:xf>
    <x:xf numFmtId="201" fontId="4" fillId="3" borderId="6" xfId="0" applyNumberFormat="1" applyFont="1" applyFill="1" applyBorder="1" applyAlignment="1">
      <x:alignment vertical="center"/>
    </x:xf>
    <x:xf numFmtId="201" fontId="4" fillId="3" borderId="7" xfId="0" applyNumberFormat="1" applyFont="1" applyFill="1" applyBorder="1" applyAlignment="1">
      <x:alignment vertical="center"/>
    </x:xf>
    <x:xf numFmtId="200" fontId="4" fillId="0" borderId="5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0" fontId="4" fillId="0" borderId="7" xfId="0" applyNumberFormat="1" applyFont="1" applyFill="1" applyBorder="1" applyAlignment="1">
      <x:alignment vertical="center"/>
    </x:xf>
    <x:xf numFmtId="202" fontId="4" fillId="3" borderId="5" xfId="0" applyNumberFormat="1" applyFont="1" applyFill="1" applyBorder="1" applyAlignment="1">
      <x:alignment vertical="center"/>
    </x:xf>
    <x:xf numFmtId="202" fontId="4" fillId="3" borderId="6" xfId="0" applyNumberFormat="1" applyFont="1" applyFill="1" applyBorder="1" applyAlignment="1">
      <x:alignment vertical="center"/>
    </x:xf>
    <x:xf numFmtId="202" fontId="4" fillId="3" borderId="7" xfId="0" applyNumberFormat="1" applyFont="1" applyFill="1" applyBorder="1" applyAlignment="1">
      <x:alignment vertical="center"/>
    </x:xf>
    <x:xf numFmtId="203" fontId="4" fillId="3" borderId="5" xfId="0" applyNumberFormat="1" applyFont="1" applyFill="1" applyBorder="1" applyAlignment="1">
      <x:alignment vertical="center"/>
    </x:xf>
    <x:xf numFmtId="203" fontId="4" fillId="3" borderId="6" xfId="0" applyNumberFormat="1" applyFont="1" applyFill="1" applyBorder="1" applyAlignment="1">
      <x:alignment vertical="center"/>
    </x:xf>
    <x:xf numFmtId="203" fontId="4" fillId="3" borderId="7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2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5" borderId="0" xfId="0" applyNumberFormat="1" applyFont="1" applyFill="1" applyBorder="1"/>
    <x:xf numFmtId="200" fontId="0" fillId="5" borderId="0" xfId="0" applyNumberFormat="1" applyFont="1" applyFill="1" applyBorder="1"/>
    <x:xf numFmtId="0" fontId="7" fillId="4" borderId="0" xfId="0" applyNumberFormat="1" applyFont="1" applyFill="1" applyBorder="1"/>
    <x:xf numFmtId="0" fontId="7" fillId="5" borderId="0" xfId="0" applyNumberFormat="1" applyFont="1" applyFill="1" applyBorder="1"/>
    <x:xf numFmtId="0" fontId="8" fillId="4" borderId="0" xfId="0" applyNumberFormat="1" applyFont="1" applyFill="1" applyBorder="1"/>
    <x:xf numFmtId="0" fontId="8" fillId="5" borderId="0" xfId="0" applyNumberFormat="1" applyFont="1" applyFill="1" applyBorder="1"/>
    <x:xf numFmtId="200" fontId="8" fillId="5" borderId="0" xfId="0" applyNumberFormat="1" applyFont="1" applyFill="1" applyBorder="1"/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8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9" fillId="0" borderId="5" xfId="0" applyNumberFormat="1" applyFont="1" applyFill="1" applyBorder="1"/>
    <x:xf numFmtId="0" fontId="9" fillId="0" borderId="6" xfId="0" applyNumberFormat="1" applyFont="1" applyFill="1" applyBorder="1"/>
    <x:xf numFmtId="0" fontId="9" fillId="0" borderId="7" xfId="0" applyNumberFormat="1" applyFont="1" applyFill="1" applyBorder="1"/>
    <x:xf numFmtId="0" fontId="10" fillId="0" borderId="5" xfId="0" applyNumberFormat="1" applyFont="1" applyFill="1" applyBorder="1"/>
    <x:xf numFmtId="0" fontId="10" fillId="0" borderId="6" xfId="0" applyNumberFormat="1" applyFont="1" applyFill="1" applyBorder="1"/>
    <x:xf numFmtId="0" fontId="10" fillId="0" borderId="7" xfId="0" applyNumberFormat="1" applyFont="1" applyFill="1" applyBorder="1"/>
    <x:xf numFmtId="0" fontId="0" fillId="6" borderId="0" xfId="0" applyNumberFormat="1" applyFont="1" applyFill="1" applyBorder="1"/>
    <x:xf numFmtId="0" fontId="11" fillId="6" borderId="0" xfId="0" applyNumberFormat="1" applyFont="1" applyFill="1" applyBorder="1"/>
    <x:xf numFmtId="0" fontId="3" fillId="4" borderId="0" xfId="0" applyNumberFormat="1" applyFont="1" applyFill="1" applyBorder="1"/>
    <x:xf numFmtId="0" fontId="3" fillId="5" borderId="0" xfId="0" applyNumberFormat="1" applyFont="1" applyFill="1" applyBorder="1"/>
    <x:xf numFmtId="0" fontId="4" fillId="4" borderId="0" xfId="0" applyNumberFormat="1" applyFont="1" applyFill="1" applyBorder="1"/>
    <x:xf numFmtId="0" fontId="4" fillId="5" borderId="0" xfId="0" applyNumberFormat="1" applyFont="1" applyFill="1" applyBorder="1"/>
    <x:xf numFmtId="200" fontId="3" fillId="5" borderId="0" xfId="0" applyNumberFormat="1" applyFont="1" applyFill="1" applyBorder="1"/>
    <x:xf numFmtId="0" fontId="3" fillId="2" borderId="8" xfId="0" applyNumberFormat="1" applyFont="1" applyFill="1" applyBorder="1"/>
    <x:xf numFmtId="0" fontId="3" fillId="0" borderId="5" xfId="0" applyNumberFormat="1" applyFont="1" applyFill="1" applyBorder="1"/>
    <x:xf numFmtId="0" fontId="4" fillId="0" borderId="5" xfId="0" applyNumberFormat="1" applyFont="1" applyFill="1" applyBorder="1"/>
    <x:xf numFmtId="0" fontId="3" fillId="0" borderId="6" xfId="0" applyNumberFormat="1" applyFont="1" applyFill="1" applyBorder="1"/>
    <x:xf numFmtId="0" fontId="4" fillId="0" borderId="6" xfId="0" applyNumberFormat="1" applyFont="1" applyFill="1" applyBorder="1"/>
    <x:xf numFmtId="0" fontId="3" fillId="0" borderId="7" xfId="0" applyNumberFormat="1" applyFont="1" applyFill="1" applyBorder="1"/>
    <x:xf numFmtId="0" fontId="4" fillId="0" borderId="7" xfId="0" applyNumberFormat="1" applyFont="1" applyFill="1" applyBorder="1"/>
    <x:xf numFmtId="0" fontId="3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B63D32"/>
      </x:font>
      <x:fill>
        <x:patternFill patternType="solid">
          <x:bgColor rgb="FFFBE9E7"/>
        </x:patternFill>
      </x:fill>
    </x:dxf>
    <x:dxf>
      <x:font>
        <x:b/>
        <x:color rgb="FFB63D32"/>
      </x:font>
      <x:fill>
        <x:patternFill patternType="solid">
          <x:bgColor rgb="FFFBE9E7"/>
        </x:patternFill>
      </x:fill>
    </x:dxf>
    <x:dxf>
      <x:font>
        <x:b/>
        <x:color rgb="FF1B7F5C"/>
      </x:font>
      <x:fill>
        <x:patternFill patternType="solid">
          <x:bgColor rgb="FFE7F3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1aed7ec74147ae" /><Relationship Type="http://schemas.openxmlformats.org/officeDocument/2006/relationships/theme" Target="/xl/theme/theme1.xml" Id="Rad35a5b357db4391" /><Relationship Type="http://schemas.openxmlformats.org/officeDocument/2006/relationships/sharedStrings" Target="/xl/sharedStrings.xml" Id="R8b445afc53474e00" /><Relationship Type="http://schemas.openxmlformats.org/officeDocument/2006/relationships/worksheet" Target="/xl/worksheets/sheet1.xml" Id="Ref510c2745d64bec" /><Relationship Type="http://schemas.openxmlformats.org/officeDocument/2006/relationships/worksheet" Target="/xl/worksheets/sheet2.xml" Id="R208ea5e1df684b51" /><Relationship Type="http://schemas.openxmlformats.org/officeDocument/2006/relationships/worksheet" Target="/xl/worksheets/sheet3.xml" Id="Raaf5c390359e4a5c" /><Relationship Type="http://schemas.openxmlformats.org/officeDocument/2006/relationships/worksheet" Target="/xl/worksheets/sheet4.xml" Id="Rb63eace2577e4e01" /><Relationship Type="http://schemas.openxmlformats.org/officeDocument/2006/relationships/worksheet" Target="/xl/worksheets/sheet5.xml" Id="Rf9385e9e6e544625" /><Relationship Type="http://schemas.openxmlformats.org/officeDocument/2006/relationships/worksheet" Target="/xl/worksheets/sheet6.xml" Id="R5c6053e054bc4e5d" /><Relationship Type="http://schemas.openxmlformats.org/officeDocument/2006/relationships/worksheet" Target="/xl/worksheets/sheet7.xml" Id="R6fe4e7c39ac34fa2" /><Relationship Type="http://schemas.openxmlformats.org/officeDocument/2006/relationships/worksheet" Target="/xl/worksheets/sheet8.xml" Id="R173ca801791e439e" /><Relationship Type="http://schemas.openxmlformats.org/officeDocument/2006/relationships/worksheet" Target="/xl/worksheets/sheet9.xml" Id="R3fdcf1dc6449487b" /><Relationship Type="http://schemas.openxmlformats.org/officeDocument/2006/relationships/worksheet" Target="/xl/worksheets/sheet10.xml" Id="Reaceaef8262d41c0" /><Relationship Type="http://schemas.openxmlformats.org/officeDocument/2006/relationships/worksheet" Target="/xl/worksheets/sheet11.xml" Id="R5e538df2581345c2" /></Relationships>
</file>

<file path=xl/tables/table1.xml><?xml version="1.0" encoding="utf-8"?>
<x:table xmlns:x="http://schemas.openxmlformats.org/spreadsheetml/2006/main" id="1" name="DemoRules" displayName="DemoRules" ref="A4:F24" headerRowCount="1" totalsRowCount="0" totalsRowShown="0">
  <x:autoFilter ref="A4:F24"/>
  <x:tableColumns count="6">
    <x:tableColumn id="1" name="Mã quy tắc"/>
    <x:tableColumn id="2" name="Phân hệ"/>
    <x:tableColumn id="3" name="Quy tắc"/>
    <x:tableColumn id="4" name="Giá trị demo"/>
    <x:tableColumn id="5" name="Chủ xác nhận"/>
    <x:tableColumn id="6" name="Trạng thái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ProductsInput" displayName="ProductsInput" ref="A4:K12" headerRowCount="1" totalsRowCount="0" totalsRowShown="0">
  <x:autoFilter ref="A4:K12"/>
  <x:tableColumns count="11">
    <x:tableColumn id="1" name="SKU"/>
    <x:tableColumn id="2" name="Tên sản phẩm"/>
    <x:tableColumn id="3" name="Nhóm"/>
    <x:tableColumn id="4" name="ĐVT cơ sở"/>
    <x:tableColumn id="5" name="ĐVT quy đổi"/>
    <x:tableColumn id="6" name="Hệ số"/>
    <x:tableColumn id="7" name="Barcode"/>
    <x:tableColumn id="8" name="Giá niêm yết"/>
    <x:tableColumn id="9" name="Tồn tối thiểu"/>
    <x:tableColumn id="10" name="Trạng thái"/>
    <x:tableColumn id="11" name="Nguồn"/>
  </x:tableColumns>
  <x:tableStyleInfo name="TableStyleMedium2" showFirstColumn="0" showLastColumn="0" showRowStripes="0" showColumnStripes="0"/>
</x:table>
</file>

<file path=xl/tables/table3.xml><?xml version="1.0" encoding="utf-8"?>
<x:table xmlns:x="http://schemas.openxmlformats.org/spreadsheetml/2006/main" id="3" name="PartnersInput" displayName="PartnersInput" ref="A4:K11" headerRowCount="1" totalsRowCount="0" totalsRowShown="0">
  <x:autoFilter ref="A4:K11"/>
  <x:tableColumns count="11">
    <x:tableColumn id="1" name="Mã đối tác"/>
    <x:tableColumn id="2" name="Tên đối tác"/>
    <x:tableColumn id="3" name="Loại"/>
    <x:tableColumn id="4" name="Hạng khách"/>
    <x:tableColumn id="5" name="Mã số thuế"/>
    <x:tableColumn id="6" name="Hạn mức"/>
    <x:tableColumn id="7" name="Ngày nợ"/>
    <x:tableColumn id="8" name="Điện thoại"/>
    <x:tableColumn id="9" name="Email"/>
    <x:tableColumn id="10" name="Trạng thái"/>
    <x:tableColumn id="11" name="Nguồn"/>
  </x:tableColumns>
  <x:tableStyleInfo name="TableStyleMedium2" showFirstColumn="0" showLastColumn="0" showRowStripes="0" showColumnStripes="0"/>
</x:table>
</file>

<file path=xl/tables/table4.xml><?xml version="1.0" encoding="utf-8"?>
<x:table xmlns:x="http://schemas.openxmlformats.org/spreadsheetml/2006/main" id="4" name="WarehouseLocations" displayName="WarehouseLocations" ref="A4:I12" headerRowCount="1" totalsRowCount="0" totalsRowShown="0">
  <x:autoFilter ref="A4:I12"/>
  <x:tableColumns count="9">
    <x:tableColumn id="1" name="Loại bản ghi"/>
    <x:tableColumn id="2" name="Mã kho"/>
    <x:tableColumn id="3" name="Tên kho"/>
    <x:tableColumn id="4" name="Mã vị trí"/>
    <x:tableColumn id="5" name="Tên vị trí"/>
    <x:tableColumn id="6" name="Địa chỉ"/>
    <x:tableColumn id="7" name="Trạng thái"/>
    <x:tableColumn id="8" name="Người phụ trách"/>
    <x:tableColumn id="9" name="Nguồn"/>
  </x:tableColumns>
  <x:tableStyleInfo name="TableStyleMedium2" showFirstColumn="0" showLastColumn="0" showRowStripes="0" showColumnStripes="0"/>
</x:table>
</file>

<file path=xl/tables/table5.xml><?xml version="1.0" encoding="utf-8"?>
<x:table xmlns:x="http://schemas.openxmlformats.org/spreadsheetml/2006/main" id="5" name="OpeningInventory" displayName="OpeningInventory" ref="A4:K16" headerRowCount="1" totalsRowCount="0" totalsRowShown="0">
  <x:autoFilter ref="A4:K16"/>
  <x:tableColumns count="11">
    <x:tableColumn id="1" name="Mã kho"/>
    <x:tableColumn id="2" name="Mã vị trí"/>
    <x:tableColumn id="3" name="SKU"/>
    <x:tableColumn id="4" name="Tên hàng"/>
    <x:tableColumn id="5" name="Số lượng"/>
    <x:tableColumn id="6" name="ĐVT"/>
    <x:tableColumn id="7" name="Đơn giá demo"/>
    <x:tableColumn id="8" name="Định mức"/>
    <x:tableColumn id="9" name="Tình trạng"/>
    <x:tableColumn id="10" name="Giá trị demo"/>
    <x:tableColumn id="11" name="Nguồn"/>
  </x:tableColumns>
  <x:tableStyleInfo name="TableStyleMedium2" showFirstColumn="0" showLastColumn="0" showRowStripes="0" showColumnStripes="0"/>
</x:table>
</file>

<file path=xl/tables/table6.xml><?xml version="1.0" encoding="utf-8"?>
<x:table xmlns:x="http://schemas.openxmlformats.org/spreadsheetml/2006/main" id="6" name="PriceBookInput" displayName="PriceBookInput" ref="A4:K12" headerRowCount="1" totalsRowCount="0" totalsRowShown="0">
  <x:autoFilter ref="A4:K12"/>
  <x:tableColumns count="11">
    <x:tableColumn id="1" name="Mã bảng giá"/>
    <x:tableColumn id="2" name="Phiên bản"/>
    <x:tableColumn id="3" name="Từ ngày"/>
    <x:tableColumn id="4" name="Đến ngày"/>
    <x:tableColumn id="5" name="Hạng khách"/>
    <x:tableColumn id="6" name="SKU"/>
    <x:tableColumn id="7" name="Tên hàng"/>
    <x:tableColumn id="8" name="Đơn giá cơ sở"/>
    <x:tableColumn id="9" name="VAT (%)"/>
    <x:tableColumn id="10" name="Trạng thái"/>
    <x:tableColumn id="11" name="Nguồn"/>
  </x:tableColumns>
  <x:tableStyleInfo name="TableStyleMedium2" showFirstColumn="0" showLastColumn="0" showRowStripes="0" showColumnStripes="0"/>
</x:table>
</file>

<file path=xl/tables/table7.xml><?xml version="1.0" encoding="utf-8"?>
<x:table xmlns:x="http://schemas.openxmlformats.org/spreadsheetml/2006/main" id="7" name="ReceivablesInput" displayName="ReceivablesInput" ref="A4:K8" headerRowCount="1" totalsRowCount="0" totalsRowShown="0">
  <x:autoFilter ref="A4:K8"/>
  <x:tableColumns count="11">
    <x:tableColumn id="1" name="Chứng từ"/>
    <x:tableColumn id="2" name="Mã khách"/>
    <x:tableColumn id="3" name="Tên khách"/>
    <x:tableColumn id="4" name="Ngày chứng từ"/>
    <x:tableColumn id="5" name="Phải thu"/>
    <x:tableColumn id="6" name="Đã thu"/>
    <x:tableColumn id="7" name="Còn lại"/>
    <x:tableColumn id="8" name="Hạn thanh toán"/>
    <x:tableColumn id="9" name="Quá hạn (ngày)"/>
    <x:tableColumn id="10" name="Nhóm tuổi nợ"/>
    <x:tableColumn id="11" name="Nguồn"/>
  </x:tableColumns>
  <x:tableStyleInfo name="TableStyleMedium2" showFirstColumn="0" showLastColumn="0" showRowStripes="0" showColumnStripes="0"/>
</x:table>
</file>

<file path=xl/tables/table8.xml><?xml version="1.0" encoding="utf-8"?>
<x:table xmlns:x="http://schemas.openxmlformats.org/spreadsheetml/2006/main" id="8" name="RoleMatrix" displayName="RoleMatrix" ref="A4:G15" headerRowCount="1" totalsRowCount="0" totalsRowShown="0">
  <x:autoFilter ref="A4:G15"/>
  <x:tableColumns count="7">
    <x:tableColumn id="1" name="Vai trò hệ thống"/>
    <x:tableColumn id="2" name="Phòng ban"/>
    <x:tableColumn id="3" name="Phạm vi"/>
    <x:tableColumn id="4" name="Quyền chính"/>
    <x:tableColumn id="5" name="MFA"/>
    <x:tableColumn id="6" name="Người dùng/chức danh"/>
    <x:tableColumn id="7" name="Trạng thái"/>
  </x:tableColumns>
  <x:tableStyleInfo name="TableStyleMedium2" showFirstColumn="0" showLastColumn="0" showRowStripes="0" showColumnStripes="0"/>
</x:table>
</file>

<file path=xl/tables/table9.xml><?xml version="1.0" encoding="utf-8"?>
<x:table xmlns:x="http://schemas.openxmlformats.org/spreadsheetml/2006/main" id="9" name="DepartmentRequests" displayName="DepartmentRequests" ref="A4:H14" headerRowCount="1" totalsRowCount="0" totalsRowShown="0">
  <x:autoFilter ref="A4:H14"/>
  <x:tableColumns count="8">
    <x:tableColumn id="1" name="Phòng ban"/>
    <x:tableColumn id="2" name="Dữ liệu/quy tắc"/>
    <x:tableColumn id="3" name="Người lập"/>
    <x:tableColumn id="4" name="Người duyệt"/>
    <x:tableColumn id="5" name="Ngày chốt"/>
    <x:tableColumn id="6" name="Tổng kiểm soát bắt buộc"/>
    <x:tableColumn id="7" name="Trạng thái"/>
    <x:tableColumn id="8" name="Ghi chú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2301ff81f7437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60d890e27d4b5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a762332a90344e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9aa1daefb90414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557ab1b8754437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dd89253a9754d6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d10b4890b64ba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f6e0e82db94b5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e323f153ce64753" /></Relationships>
</file>

<file path=xl/worksheets/sheet1.xml><?xml version="1.0" encoding="utf-8"?>
<x:worksheet xmlns:x="http://schemas.openxmlformats.org/spreadsheetml/2006/main">
  <x:sheetPr>
    <x:tabColor rgb="FF123247"/>
  </x:sheetPr>
  <x:sheetViews>
    <x:sheetView showGridLines="0" workbookViewId="0"/>
  </x:sheetViews>
  <x:sheetFormatPr defaultRowHeight="15"/>
  <x:cols>
    <x:col min="1" max="1" width="16" hidden="0" customWidth="1"/>
    <x:col min="2" max="2" width="22" hidden="0" customWidth="1"/>
    <x:col min="3" max="3" width="16" hidden="0" customWidth="1"/>
    <x:col min="4" max="4" width="22" hidden="0" customWidth="1"/>
    <x:col min="5" max="5" width="16" hidden="0" customWidth="1"/>
    <x:col min="6" max="6" width="22" hidden="0" customWidth="1"/>
    <x:col min="7" max="7" width="3" hidden="0" customWidth="1"/>
    <x:col min="8" max="8" width="3" hidden="0" customWidth="1"/>
  </x:cols>
  <x:sheetData>
    <x:row r="2">
      <x:c r="A2" s="1" t="str">
        <x:v>Gói dữ liệu và quy tắc DEMO INOXPRAN</x:v>
      </x:c>
      <x:c r="B2" s="1"/>
      <x:c r="C2" s="1"/>
      <x:c r="D2" s="1"/>
      <x:c r="E2" s="1"/>
      <x:c r="F2" s="1"/>
      <x:c r="G2" s="1"/>
      <x:c r="H2" s="1"/>
    </x:row>
    <x:row r="3">
      <x:c r="A3" s="3" t="str">
        <x:v>Bản trình diễn ngày 01/10/2026. Không dùng cho vận hành, báo cáo thuế hoặc hạch toán.</x:v>
      </x:c>
      <x:c r="B3" s="3"/>
      <x:c r="C3" s="3"/>
      <x:c r="D3" s="3"/>
      <x:c r="E3" s="3"/>
      <x:c r="F3" s="3"/>
      <x:c r="G3" s="3"/>
      <x:c r="H3" s="3"/>
    </x:row>
    <x:row r="4">
      <x:c r="A4" s="5" t="str">
        <x:v>Ngày demo</x:v>
      </x:c>
      <x:c r="B4" s="49" t="d">
        <x:v>2026-10-01T00:00:00.000Z</x:v>
      </x:c>
      <x:c r="C4" s="6"/>
      <x:c r="D4" s="6"/>
      <x:c r="E4" s="6"/>
      <x:c r="F4" s="6"/>
      <x:c r="G4" s="6"/>
      <x:c r="H4" s="6"/>
    </x:row>
    <x:row r="5">
      <x:c r="A5" s="6"/>
      <x:c r="B5" s="6"/>
      <x:c r="C5" s="6"/>
      <x:c r="D5" s="6"/>
      <x:c r="E5" s="6"/>
      <x:c r="F5" s="6"/>
      <x:c r="G5" s="6"/>
      <x:c r="H5" s="6"/>
    </x:row>
    <x:row r="6">
      <x:c r="A6" s="72" t="str">
        <x:v>SKU mẫu</x:v>
      </x:c>
      <x:c r="B6" s="72"/>
      <x:c r="C6" s="73" t="str">
        <x:v>Đối tác mẫu</x:v>
      </x:c>
      <x:c r="D6" s="73"/>
      <x:c r="E6" s="72" t="str">
        <x:v>Kho demo</x:v>
      </x:c>
      <x:c r="F6" s="72"/>
      <x:c r="G6" s="6"/>
      <x:c r="H6" s="6"/>
    </x:row>
    <x:row r="7">
      <x:c r="A7" s="74"/>
      <x:c r="B7" s="72" t="n">
        <x:f>COUNTA('Sản phẩm'!$A$5:$A$100)</x:f>
        <x:v>8</x:v>
      </x:c>
      <x:c r="C7" s="75"/>
      <x:c r="D7" s="73" t="n">
        <x:f>COUNTA('Đối tác'!$A$5:$A$100)</x:f>
        <x:v>7</x:v>
      </x:c>
      <x:c r="E7" s="74"/>
      <x:c r="F7" s="72" t="n">
        <x:f>COUNTIFS('Kho &amp; vị trí'!$A$5:$A$100,"KHO")</x:f>
        <x:v>2</x:v>
      </x:c>
      <x:c r="G7" s="6"/>
      <x:c r="H7" s="6"/>
    </x:row>
    <x:row r="8">
      <x:c r="A8" s="74"/>
      <x:c r="B8" s="74"/>
      <x:c r="C8" s="75"/>
      <x:c r="D8" s="75"/>
      <x:c r="E8" s="74"/>
      <x:c r="F8" s="74"/>
      <x:c r="G8" s="6"/>
      <x:c r="H8" s="6"/>
    </x:row>
    <x:row r="9">
      <x:c r="A9" s="6"/>
      <x:c r="B9" s="6"/>
      <x:c r="C9" s="6"/>
      <x:c r="D9" s="6"/>
      <x:c r="E9" s="6"/>
      <x:c r="F9" s="6"/>
      <x:c r="G9" s="6"/>
      <x:c r="H9" s="6"/>
    </x:row>
    <x:row r="10">
      <x:c r="A10" s="73" t="str">
        <x:v>Giá trị tồn demo</x:v>
      </x:c>
      <x:c r="B10" s="73"/>
      <x:c r="C10" s="72" t="str">
        <x:v>Dòng dưới định mức</x:v>
      </x:c>
      <x:c r="D10" s="72"/>
      <x:c r="E10" s="73" t="str">
        <x:v>Quy tắc đã có</x:v>
      </x:c>
      <x:c r="F10" s="73"/>
      <x:c r="G10" s="6"/>
      <x:c r="H10" s="6"/>
    </x:row>
    <x:row r="11">
      <x:c r="A11" s="75"/>
      <x:c r="B11" s="76" t="n">
        <x:f>SUM('Tồn đầu'!$J$5:$J$100)</x:f>
        <x:v>1154916000</x:v>
      </x:c>
      <x:c r="C11" s="74"/>
      <x:c r="D11" s="72" t="n">
        <x:f>COUNTIFS('Tồn đầu'!$I$5:$I$100,"CẦN NHẬP")</x:f>
        <x:v>1</x:v>
      </x:c>
      <x:c r="E11" s="75"/>
      <x:c r="F11" s="73" t="n">
        <x:f>COUNTIFS('Quy tắc DEMO'!$F$5:$F$50,"ĐÃ CÓ")</x:f>
        <x:v>16</x:v>
      </x:c>
      <x:c r="G11" s="6"/>
      <x:c r="H11" s="6"/>
    </x:row>
    <x:row r="12">
      <x:c r="A12" s="75"/>
      <x:c r="B12" s="75"/>
      <x:c r="C12" s="74"/>
      <x:c r="D12" s="74"/>
      <x:c r="E12" s="75"/>
      <x:c r="F12" s="75"/>
      <x:c r="G12" s="6"/>
      <x:c r="H12" s="6"/>
    </x:row>
    <x:row r="13">
      <x:c r="A13" s="6"/>
      <x:c r="B13" s="6"/>
      <x:c r="C13" s="6"/>
      <x:c r="D13" s="6"/>
      <x:c r="E13" s="6"/>
      <x:c r="F13" s="6"/>
      <x:c r="G13" s="6"/>
      <x:c r="H13" s="6"/>
    </x:row>
    <x:row r="14">
      <x:c r="A14" s="60" t="str">
        <x:v>Kịch bản trình diễn</x:v>
      </x:c>
      <x:c r="B14" s="60" t="str"/>
      <x:c r="C14" s="60" t="str"/>
      <x:c r="D14" s="60" t="str"/>
      <x:c r="E14" s="60" t="str"/>
      <x:c r="F14" s="60" t="str"/>
      <x:c r="G14" s="6"/>
      <x:c r="H14" s="6"/>
    </x:row>
    <x:row r="15">
      <x:c r="A15" s="78" t="str">
        <x:v>1</x:v>
      </x:c>
      <x:c r="B15" s="78" t="str">
        <x:v>Dashboard</x:v>
      </x:c>
      <x:c r="C15" s="79" t="str">
        <x:v>Xem tồn, cảnh báo và công nợ.</x:v>
      </x:c>
      <x:c r="D15" s="6"/>
      <x:c r="E15" s="6"/>
      <x:c r="F15" s="6"/>
      <x:c r="G15" s="6"/>
      <x:c r="H15" s="6"/>
    </x:row>
    <x:row r="16">
      <x:c r="A16" s="80" t="str">
        <x:v>2</x:v>
      </x:c>
      <x:c r="B16" s="80" t="str">
        <x:v>Bán hàng</x:v>
      </x:c>
      <x:c r="C16" s="81" t="str">
        <x:v>Tạo đơn thường để tự giữ hàng.</x:v>
      </x:c>
      <x:c r="D16" s="6"/>
      <x:c r="E16" s="6"/>
      <x:c r="F16" s="6"/>
      <x:c r="G16" s="6"/>
      <x:c r="H16" s="6"/>
    </x:row>
    <x:row r="17">
      <x:c r="A17" s="80" t="str">
        <x:v>3</x:v>
      </x:c>
      <x:c r="B17" s="80" t="str">
        <x:v>Phê duyệt</x:v>
      </x:c>
      <x:c r="C17" s="81" t="str">
        <x:v>Tạo đơn trên 100 triệu để phát sinh thông báo.</x:v>
      </x:c>
      <x:c r="D17" s="6"/>
      <x:c r="E17" s="6"/>
      <x:c r="F17" s="6"/>
      <x:c r="G17" s="6"/>
      <x:c r="H17" s="6"/>
    </x:row>
    <x:row r="18">
      <x:c r="A18" s="80" t="str">
        <x:v>4</x:v>
      </x:c>
      <x:c r="B18" s="80" t="str">
        <x:v>Xuất và công nợ</x:v>
      </x:c>
      <x:c r="C18" s="81" t="str">
        <x:v>Xuất đơn đã duyệt rồi ghi nhận thu một phần.</x:v>
      </x:c>
      <x:c r="D18" s="6"/>
      <x:c r="E18" s="6"/>
      <x:c r="F18" s="6"/>
      <x:c r="G18" s="6"/>
      <x:c r="H18" s="6"/>
    </x:row>
    <x:row r="19">
      <x:c r="A19" s="80" t="str">
        <x:v>5</x:v>
      </x:c>
      <x:c r="B19" s="80" t="str">
        <x:v>Mua hàng</x:v>
      </x:c>
      <x:c r="C19" s="81" t="str">
        <x:v>Tạo đơn mua trên 50 triệu và nhận hàng một phần.</x:v>
      </x:c>
      <x:c r="D19" s="6"/>
      <x:c r="E19" s="6"/>
      <x:c r="F19" s="6"/>
      <x:c r="G19" s="6"/>
      <x:c r="H19" s="6"/>
    </x:row>
    <x:row r="20">
      <x:c r="A20" s="82" t="str">
        <x:v>6</x:v>
      </x:c>
      <x:c r="B20" s="82" t="str">
        <x:v>Chuyển kho</x:v>
      </x:c>
      <x:c r="C20" s="83" t="str">
        <x:v>Chuyển hàng KHO-HCM → KHO-PHU và đối chiếu hai vế.</x:v>
      </x:c>
      <x:c r="D20" s="6"/>
      <x:c r="E20" s="6"/>
      <x:c r="F20" s="6"/>
      <x:c r="G20" s="6"/>
      <x:c r="H20" s="6"/>
    </x:row>
    <x:row r="21">
      <x:c r="A21" s="6"/>
      <x:c r="B21" s="6"/>
      <x:c r="C21" s="6"/>
      <x:c r="D21" s="6"/>
      <x:c r="E21" s="6"/>
      <x:c r="F21" s="6"/>
      <x:c r="G21" s="6"/>
      <x:c r="H21" s="6"/>
    </x:row>
    <x:row r="22">
      <x:c r="A22" s="71" t="str">
        <x:v>Lưu ý</x:v>
      </x:c>
      <x:c r="B22" s="85"/>
      <x:c r="C22" s="85"/>
      <x:c r="D22" s="85"/>
      <x:c r="E22" s="85"/>
      <x:c r="F22" s="85"/>
      <x:c r="G22" s="6"/>
      <x:c r="H22" s="6"/>
    </x:row>
    <x:row r="23">
      <x:c r="A23" s="71" t="str">
        <x:v>Mọi giá trị có nhãn DEMO phải được thay bằng dữ liệu đã đối soát và ký duyệt trước pilot.</x:v>
      </x:c>
      <x:c r="B23" s="85"/>
      <x:c r="C23" s="85"/>
      <x:c r="D23" s="85"/>
      <x:c r="E23" s="85"/>
      <x:c r="F23" s="85"/>
      <x:c r="G23" s="6"/>
      <x:c r="H23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F36C32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6" hidden="0" customWidth="1"/>
    <x:col min="3" max="3" width="55" hidden="0" customWidth="1"/>
    <x:col min="4" max="4" width="28" hidden="0" customWidth="1"/>
    <x:col min="5" max="5" width="28" hidden="0" customWidth="1"/>
    <x:col min="6" max="6" width="18" hidden="0" customWidth="1"/>
  </x:cols>
  <x:sheetData>
    <x:row r="2">
      <x:c r="A2" s="13" t="str">
        <x:v>Quy tắc nghiệp vụ DEMO</x:v>
      </x:c>
      <x:c r="B2" s="13"/>
      <x:c r="C2" s="13"/>
      <x:c r="D2" s="13"/>
      <x:c r="E2" s="13"/>
      <x:c r="F2" s="13"/>
    </x:row>
    <x:row r="3">
      <x:c r="A3" s="14" t="str">
        <x:v>Giá trị giả định để trình diễn; cột màu vàng phải được chủ nghiệp vụ xác nhận.</x:v>
      </x:c>
      <x:c r="B3" s="14"/>
      <x:c r="C3" s="14"/>
      <x:c r="D3" s="14"/>
      <x:c r="E3" s="14"/>
      <x:c r="F3" s="14"/>
    </x:row>
    <x:row r="4" ht="32" customHeight="1">
      <x:c r="A4" s="23" t="str">
        <x:v>Mã quy tắc</x:v>
      </x:c>
      <x:c r="B4" s="24" t="str">
        <x:v>Phân hệ</x:v>
      </x:c>
      <x:c r="C4" s="24" t="str">
        <x:v>Quy tắc</x:v>
      </x:c>
      <x:c r="D4" s="24" t="str">
        <x:v>Giá trị demo</x:v>
      </x:c>
      <x:c r="E4" s="24" t="str">
        <x:v>Chủ xác nhận</x:v>
      </x:c>
      <x:c r="F4" s="25" t="str">
        <x:v>Trạng thái</x:v>
      </x:c>
    </x:row>
    <x:row r="5" ht="23" customHeight="1">
      <x:c r="A5" s="26" t="str">
        <x:v>DEMO-PRI-01</x:v>
      </x:c>
      <x:c r="B5" s="26" t="str">
        <x:v>Giá bán</x:v>
      </x:c>
      <x:c r="C5" s="26" t="str">
        <x:v>Giá niêm yết chưa gồm VAT</x:v>
      </x:c>
      <x:c r="D5" s="29" t="str">
        <x:v>VAT 10%</x:v>
      </x:c>
      <x:c r="E5" s="29" t="str">
        <x:v>Kế toán</x:v>
      </x:c>
      <x:c r="F5" s="29" t="str">
        <x:v>ĐÃ CÓ</x:v>
      </x:c>
    </x:row>
    <x:row r="6" ht="23" customHeight="1">
      <x:c r="A6" s="27" t="str">
        <x:v>DEMO-PRI-02</x:v>
      </x:c>
      <x:c r="B6" s="27" t="str">
        <x:v>Giá bán</x:v>
      </x:c>
      <x:c r="C6" s="27" t="str">
        <x:v>Chiết khấu theo hạng khách TIER 1 / TIER 2 / bán lẻ</x:v>
      </x:c>
      <x:c r="D6" s="30" t="str">
        <x:v>8% / 5% / 0%</x:v>
      </x:c>
      <x:c r="E6" s="30" t="str">
        <x:v>Kinh doanh</x:v>
      </x:c>
      <x:c r="F6" s="30" t="str">
        <x:v>ĐÃ CÓ</x:v>
      </x:c>
    </x:row>
    <x:row r="7" ht="23" customHeight="1">
      <x:c r="A7" s="27" t="str">
        <x:v>DEMO-PRI-03</x:v>
      </x:c>
      <x:c r="B7" s="27" t="str">
        <x:v>Giá bán</x:v>
      </x:c>
      <x:c r="C7" s="27" t="str">
        <x:v>Chiết khấu số lượng theo đơn vị cơ sở</x:v>
      </x:c>
      <x:c r="D7" s="30" t="str">
        <x:v>Từ 100: +2%; từ 300: +4%</x:v>
      </x:c>
      <x:c r="E7" s="30" t="str">
        <x:v>Kinh doanh</x:v>
      </x:c>
      <x:c r="F7" s="30" t="str">
        <x:v>ĐÃ CÓ</x:v>
      </x:c>
    </x:row>
    <x:row r="8" ht="23" customHeight="1">
      <x:c r="A8" s="27" t="str">
        <x:v>DEMO-PRI-04</x:v>
      </x:c>
      <x:c r="B8" s="27" t="str">
        <x:v>Giá bán</x:v>
      </x:c>
      <x:c r="C8" s="27" t="str">
        <x:v>Trần tổng chiết khấu</x:v>
      </x:c>
      <x:c r="D8" s="30" t="str">
        <x:v>18%</x:v>
      </x:c>
      <x:c r="E8" s="30" t="str">
        <x:v>Giám đốc</x:v>
      </x:c>
      <x:c r="F8" s="30" t="str">
        <x:v>ĐÃ CÓ</x:v>
      </x:c>
    </x:row>
    <x:row r="9" ht="23" customHeight="1">
      <x:c r="A9" s="27" t="str">
        <x:v>DEMO-APR-01</x:v>
      </x:c>
      <x:c r="B9" s="27" t="str">
        <x:v>Bán hàng</x:v>
      </x:c>
      <x:c r="C9" s="27" t="str">
        <x:v>Đơn bán từ ngưỡng phải duyệt</x:v>
      </x:c>
      <x:c r="D9" s="30" t="n">
        <x:v>100000000</x:v>
      </x:c>
      <x:c r="E9" s="30" t="str">
        <x:v>Giám đốc / Kinh doanh</x:v>
      </x:c>
      <x:c r="F9" s="30" t="str">
        <x:v>ĐÃ CÓ</x:v>
      </x:c>
    </x:row>
    <x:row r="10" ht="23" customHeight="1">
      <x:c r="A10" s="27" t="str">
        <x:v>DEMO-APR-02</x:v>
      </x:c>
      <x:c r="B10" s="27" t="str">
        <x:v>Bán hàng</x:v>
      </x:c>
      <x:c r="C10" s="27" t="str">
        <x:v>Chiết khấu lớn hơn ngưỡng phải duyệt</x:v>
      </x:c>
      <x:c r="D10" s="30" t="str">
        <x:v>15%</x:v>
      </x:c>
      <x:c r="E10" s="30" t="str">
        <x:v>Giám đốc / Kinh doanh</x:v>
      </x:c>
      <x:c r="F10" s="30" t="str">
        <x:v>ĐÃ CÓ</x:v>
      </x:c>
    </x:row>
    <x:row r="11" ht="23" customHeight="1">
      <x:c r="A11" s="27" t="str">
        <x:v>DEMO-APR-03</x:v>
      </x:c>
      <x:c r="B11" s="27" t="str">
        <x:v>Bán hàng</x:v>
      </x:c>
      <x:c r="C11" s="27" t="str">
        <x:v>Dư nợ và đơn mới vượt hạn mức phải duyệt</x:v>
      </x:c>
      <x:c r="D11" s="30" t="str">
        <x:v>Theo từng khách hàng</x:v>
      </x:c>
      <x:c r="E11" s="30" t="str">
        <x:v>Kế toán / Kinh doanh</x:v>
      </x:c>
      <x:c r="F11" s="30" t="str">
        <x:v>ĐÃ CÓ</x:v>
      </x:c>
    </x:row>
    <x:row r="12" ht="23" customHeight="1">
      <x:c r="A12" s="27" t="str">
        <x:v>DEMO-APR-04</x:v>
      </x:c>
      <x:c r="B12" s="27" t="str">
        <x:v>Mua hàng</x:v>
      </x:c>
      <x:c r="C12" s="27" t="str">
        <x:v>Đơn mua từ ngưỡng phải duyệt</x:v>
      </x:c>
      <x:c r="D12" s="30" t="n">
        <x:v>50000000</x:v>
      </x:c>
      <x:c r="E12" s="30" t="str">
        <x:v>Giám đốc / Kế toán</x:v>
      </x:c>
      <x:c r="F12" s="30" t="str">
        <x:v>ĐÃ CÓ</x:v>
      </x:c>
    </x:row>
    <x:row r="13" ht="23" customHeight="1">
      <x:c r="A13" s="27" t="str">
        <x:v>DEMO-INV-01</x:v>
      </x:c>
      <x:c r="B13" s="27" t="str">
        <x:v>Kho</x:v>
      </x:c>
      <x:c r="C13" s="27" t="str">
        <x:v>Không cho ghi nhận vượt tồn khả dụng</x:v>
      </x:c>
      <x:c r="D13" s="30" t="str">
        <x:v>Khóa cứng</x:v>
      </x:c>
      <x:c r="E13" s="30" t="str">
        <x:v>Kho</x:v>
      </x:c>
      <x:c r="F13" s="30" t="str">
        <x:v>ĐÃ CÓ</x:v>
      </x:c>
    </x:row>
    <x:row r="14" ht="23" customHeight="1">
      <x:c r="A14" s="27" t="str">
        <x:v>DEMO-INV-02</x:v>
      </x:c>
      <x:c r="B14" s="27" t="str">
        <x:v>Kho</x:v>
      </x:c>
      <x:c r="C14" s="27" t="str">
        <x:v>Đơn thường giữ hàng khi gửi; đơn ngoại lệ giữ sau duyệt</x:v>
      </x:c>
      <x:c r="D14" s="30" t="str">
        <x:v>Tự động</x:v>
      </x:c>
      <x:c r="E14" s="30" t="str">
        <x:v>Kho / Kinh doanh</x:v>
      </x:c>
      <x:c r="F14" s="30" t="str">
        <x:v>ĐÃ CÓ</x:v>
      </x:c>
    </x:row>
    <x:row r="15" ht="23" customHeight="1">
      <x:c r="A15" s="27" t="str">
        <x:v>DEMO-INV-03</x:v>
      </x:c>
      <x:c r="B15" s="27" t="str">
        <x:v>Kho</x:v>
      </x:c>
      <x:c r="C15" s="27" t="str">
        <x:v>Hai vế chuyển kho cùng thành công hoặc cùng rollback</x:v>
      </x:c>
      <x:c r="D15" s="30" t="str">
        <x:v>Transaction nguyên tử</x:v>
      </x:c>
      <x:c r="E15" s="30" t="str">
        <x:v>Kho</x:v>
      </x:c>
      <x:c r="F15" s="30" t="str">
        <x:v>ĐÃ CÓ</x:v>
      </x:c>
    </x:row>
    <x:row r="16" ht="23" customHeight="1">
      <x:c r="A16" s="27" t="str">
        <x:v>DEMO-INV-04</x:v>
      </x:c>
      <x:c r="B16" s="27" t="str">
        <x:v>Kho</x:v>
      </x:c>
      <x:c r="C16" s="27" t="str">
        <x:v>Cảnh báo khi tồn khả dụng nhỏ hơn hoặc bằng định mức</x:v>
      </x:c>
      <x:c r="D16" s="30" t="str">
        <x:v>Theo SKU</x:v>
      </x:c>
      <x:c r="E16" s="30" t="str">
        <x:v>Kho / Mua hàng</x:v>
      </x:c>
      <x:c r="F16" s="30" t="str">
        <x:v>ĐÃ CÓ</x:v>
      </x:c>
    </x:row>
    <x:row r="17" ht="23" customHeight="1">
      <x:c r="A17" s="27" t="str">
        <x:v>DEMO-PUR-01</x:v>
      </x:c>
      <x:c r="B17" s="27" t="str">
        <x:v>Mua hàng</x:v>
      </x:c>
      <x:c r="C17" s="27" t="str">
        <x:v>Nhận hàng nhiều lần nhưng không vượt phần còn lại</x:v>
      </x:c>
      <x:c r="D17" s="30" t="str">
        <x:v>Cho phép</x:v>
      </x:c>
      <x:c r="E17" s="30" t="str">
        <x:v>Kho / Mua hàng</x:v>
      </x:c>
      <x:c r="F17" s="30" t="str">
        <x:v>ĐÃ CÓ</x:v>
      </x:c>
    </x:row>
    <x:row r="18" ht="23" customHeight="1">
      <x:c r="A18" s="27" t="str">
        <x:v>DEMO-AR-01</x:v>
      </x:c>
      <x:c r="B18" s="27" t="str">
        <x:v>Công nợ</x:v>
      </x:c>
      <x:c r="C18" s="27" t="str">
        <x:v>Ngày đến hạn theo số ngày nợ của khách</x:v>
      </x:c>
      <x:c r="D18" s="30" t="str">
        <x:v>0 / 21 / 30 ngày</x:v>
      </x:c>
      <x:c r="E18" s="30" t="str">
        <x:v>Kế toán</x:v>
      </x:c>
      <x:c r="F18" s="30" t="str">
        <x:v>ĐÃ CÓ</x:v>
      </x:c>
    </x:row>
    <x:row r="19" ht="23" customHeight="1">
      <x:c r="A19" s="27" t="str">
        <x:v>DEMO-AR-02</x:v>
      </x:c>
      <x:c r="B19" s="27" t="str">
        <x:v>Thu tiền</x:v>
      </x:c>
      <x:c r="C19" s="27" t="str">
        <x:v>Tổng phân bổ bằng số tiền thu và không vượt dư nợ</x:v>
      </x:c>
      <x:c r="D19" s="30" t="str">
        <x:v>Khóa cứng</x:v>
      </x:c>
      <x:c r="E19" s="30" t="str">
        <x:v>Kế toán</x:v>
      </x:c>
      <x:c r="F19" s="30" t="str">
        <x:v>ĐÃ CÓ</x:v>
      </x:c>
    </x:row>
    <x:row r="20" ht="23" customHeight="1">
      <x:c r="A20" s="27" t="str">
        <x:v>DEMO-AR-03</x:v>
      </x:c>
      <x:c r="B20" s="27" t="str">
        <x:v>Thu tiền</x:v>
      </x:c>
      <x:c r="C20" s="27" t="str">
        <x:v>Kế toán chọn chứng từ phân bổ</x:v>
      </x:c>
      <x:c r="D20" s="30" t="str">
        <x:v>Thủ công</x:v>
      </x:c>
      <x:c r="E20" s="30" t="str">
        <x:v>Kế toán</x:v>
      </x:c>
      <x:c r="F20" s="30" t="str">
        <x:v>ĐÃ CÓ</x:v>
      </x:c>
    </x:row>
    <x:row r="21" ht="23" customHeight="1">
      <x:c r="A21" s="27" t="str">
        <x:v>NEXT-SAL-01</x:v>
      </x:c>
      <x:c r="B21" s="27" t="str">
        <x:v>Bán hàng</x:v>
      </x:c>
      <x:c r="C21" s="27" t="str">
        <x:v>Giao hàng một phần và hủy phần còn lại</x:v>
      </x:c>
      <x:c r="D21" s="30" t="str">
        <x:v>Chưa chốt</x:v>
      </x:c>
      <x:c r="E21" s="30" t="str">
        <x:v>Kho / Kinh doanh</x:v>
      </x:c>
      <x:c r="F21" s="30" t="str">
        <x:v>CHỜ CHỐT</x:v>
      </x:c>
    </x:row>
    <x:row r="22" ht="23" customHeight="1">
      <x:c r="A22" s="27" t="str">
        <x:v>NEXT-RET-01</x:v>
      </x:c>
      <x:c r="B22" s="27" t="str">
        <x:v>Trả hàng</x:v>
      </x:c>
      <x:c r="C22" s="27" t="str">
        <x:v>Trả khách hàng và trả nhà cung cấp</x:v>
      </x:c>
      <x:c r="D22" s="30" t="str">
        <x:v>Chưa chốt</x:v>
      </x:c>
      <x:c r="E22" s="30" t="str">
        <x:v>Kho / Kế toán</x:v>
      </x:c>
      <x:c r="F22" s="30" t="str">
        <x:v>CHƯA XÂY</x:v>
      </x:c>
    </x:row>
    <x:row r="23" ht="23" customHeight="1">
      <x:c r="A23" s="27" t="str">
        <x:v>NEXT-STK-01</x:v>
      </x:c>
      <x:c r="B23" s="27" t="str">
        <x:v>Kiểm kê</x:v>
      </x:c>
      <x:c r="C23" s="27" t="str">
        <x:v>Khóa kho hoặc SKU và duyệt chênh lệch</x:v>
      </x:c>
      <x:c r="D23" s="30" t="str">
        <x:v>Chưa chốt</x:v>
      </x:c>
      <x:c r="E23" s="30" t="str">
        <x:v>Kho / Giám đốc</x:v>
      </x:c>
      <x:c r="F23" s="30" t="str">
        <x:v>CHƯA XÂY</x:v>
      </x:c>
    </x:row>
    <x:row r="24" ht="23" customHeight="1">
      <x:c r="A24" s="28" t="str">
        <x:v>NEXT-INT-01</x:v>
      </x:c>
      <x:c r="B24" s="28" t="str">
        <x:v>Tích hợp</x:v>
      </x:c>
      <x:c r="C24" s="28" t="str">
        <x:v>Đồng bộ MISA và hóa đơn điện tử</x:v>
      </x:c>
      <x:c r="D24" s="31" t="str">
        <x:v>Chờ sandbox</x:v>
      </x:c>
      <x:c r="E24" s="31" t="str">
        <x:v>Kế toán / IT</x:v>
      </x:c>
      <x:c r="F24" s="31" t="str">
        <x:v>CHƯA XÂY</x:v>
      </x:c>
    </x:row>
    <x:row r="25">
      <x:c r="D25" s="32"/>
      <x:c r="E25" s="32"/>
      <x:c r="F25" s="32"/>
    </x:row>
    <x:row r="26">
      <x:c r="D26" s="32"/>
      <x:c r="E26" s="32"/>
      <x:c r="F26" s="32"/>
    </x:row>
    <x:row r="27">
      <x:c r="D27" s="32"/>
      <x:c r="E27" s="32"/>
      <x:c r="F27" s="32"/>
    </x:row>
    <x:row r="28">
      <x:c r="D28" s="32"/>
      <x:c r="E28" s="32"/>
      <x:c r="F28" s="32"/>
    </x:row>
    <x:row r="29">
      <x:c r="D29" s="32"/>
      <x:c r="E29" s="32"/>
      <x:c r="F29" s="32"/>
    </x:row>
    <x:row r="30">
      <x:c r="D30" s="32"/>
      <x:c r="E30" s="32"/>
      <x:c r="F30" s="32"/>
    </x:row>
    <x:row r="31">
      <x:c r="D31" s="32"/>
      <x:c r="E31" s="32"/>
      <x:c r="F31" s="32"/>
    </x:row>
    <x:row r="32">
      <x:c r="D32" s="32"/>
      <x:c r="E32" s="32"/>
      <x:c r="F32" s="32"/>
    </x:row>
    <x:row r="33">
      <x:c r="D33" s="32"/>
      <x:c r="E33" s="32"/>
      <x:c r="F33" s="32"/>
    </x:row>
    <x:row r="34">
      <x:c r="D34" s="32"/>
      <x:c r="E34" s="32"/>
      <x:c r="F34" s="32"/>
    </x:row>
    <x:row r="35">
      <x:c r="D35" s="32"/>
      <x:c r="E35" s="32"/>
      <x:c r="F35" s="32"/>
    </x:row>
    <x:row r="36">
      <x:c r="D36" s="32"/>
      <x:c r="E36" s="32"/>
      <x:c r="F36" s="32"/>
    </x:row>
    <x:row r="37">
      <x:c r="D37" s="32"/>
      <x:c r="E37" s="32"/>
      <x:c r="F37" s="32"/>
    </x:row>
    <x:row r="38">
      <x:c r="D38" s="32"/>
      <x:c r="E38" s="32"/>
      <x:c r="F38" s="32"/>
    </x:row>
    <x:row r="39">
      <x:c r="D39" s="32"/>
      <x:c r="E39" s="32"/>
      <x:c r="F39" s="32"/>
    </x:row>
    <x:row r="40">
      <x:c r="D40" s="32"/>
      <x:c r="E40" s="32"/>
      <x:c r="F40" s="32"/>
    </x:row>
    <x:row r="41">
      <x:c r="D41" s="32"/>
      <x:c r="E41" s="32"/>
      <x:c r="F41" s="32"/>
    </x:row>
    <x:row r="42">
      <x:c r="D42" s="32"/>
      <x:c r="E42" s="32"/>
      <x:c r="F42" s="32"/>
    </x:row>
    <x:row r="43">
      <x:c r="D43" s="32"/>
      <x:c r="E43" s="32"/>
      <x:c r="F43" s="32"/>
    </x:row>
    <x:row r="44">
      <x:c r="D44" s="32"/>
      <x:c r="E44" s="32"/>
      <x:c r="F44" s="32"/>
    </x:row>
    <x:row r="45">
      <x:c r="D45" s="32"/>
      <x:c r="E45" s="32"/>
      <x:c r="F45" s="32"/>
    </x:row>
    <x:row r="46">
      <x:c r="D46" s="32"/>
      <x:c r="E46" s="32"/>
      <x:c r="F46" s="32"/>
    </x:row>
    <x:row r="47">
      <x:c r="D47" s="32"/>
      <x:c r="E47" s="32"/>
      <x:c r="F47" s="32"/>
    </x:row>
    <x:row r="48">
      <x:c r="D48" s="32"/>
      <x:c r="E48" s="32"/>
      <x:c r="F48" s="32"/>
    </x:row>
    <x:row r="49">
      <x:c r="D49" s="32"/>
      <x:c r="E49" s="32"/>
      <x:c r="F49" s="32"/>
    </x:row>
    <x:row r="50">
      <x:c r="D50" s="32"/>
      <x:c r="E50" s="32"/>
      <x:c r="F50" s="32"/>
    </x:row>
    <x:row r="51">
      <x:c r="D51" s="32"/>
      <x:c r="E51" s="32"/>
      <x:c r="F51" s="32"/>
    </x:row>
    <x:row r="52">
      <x:c r="D52" s="32"/>
      <x:c r="E52" s="32"/>
      <x:c r="F52" s="32"/>
    </x:row>
    <x:row r="53">
      <x:c r="D53" s="32"/>
      <x:c r="E53" s="32"/>
      <x:c r="F53" s="32"/>
    </x:row>
    <x:row r="54">
      <x:c r="D54" s="32"/>
      <x:c r="E54" s="32"/>
      <x:c r="F54" s="32"/>
    </x:row>
    <x:row r="55">
      <x:c r="D55" s="32"/>
      <x:c r="E55" s="32"/>
      <x:c r="F55" s="32"/>
    </x:row>
    <x:row r="56">
      <x:c r="D56" s="32"/>
      <x:c r="E56" s="32"/>
      <x:c r="F56" s="32"/>
    </x:row>
    <x:row r="57">
      <x:c r="D57" s="32"/>
      <x:c r="E57" s="32"/>
      <x:c r="F57" s="32"/>
    </x:row>
    <x:row r="58">
      <x:c r="D58" s="32"/>
      <x:c r="E58" s="32"/>
      <x:c r="F58" s="32"/>
    </x:row>
    <x:row r="59">
      <x:c r="D59" s="32"/>
      <x:c r="E59" s="32"/>
      <x:c r="F59" s="32"/>
    </x:row>
    <x:row r="60">
      <x:c r="D60" s="32"/>
      <x:c r="E60" s="32"/>
      <x:c r="F60" s="32"/>
    </x:row>
    <x:row r="61">
      <x:c r="D61" s="32"/>
      <x:c r="E61" s="32"/>
      <x:c r="F61" s="32"/>
    </x:row>
    <x:row r="62">
      <x:c r="D62" s="32"/>
      <x:c r="E62" s="32"/>
      <x:c r="F62" s="32"/>
    </x:row>
    <x:row r="63">
      <x:c r="D63" s="32"/>
      <x:c r="E63" s="32"/>
      <x:c r="F63" s="32"/>
    </x:row>
    <x:row r="64">
      <x:c r="D64" s="32"/>
      <x:c r="E64" s="32"/>
      <x:c r="F64" s="32"/>
    </x:row>
    <x:row r="65">
      <x:c r="D65" s="32"/>
      <x:c r="E65" s="32"/>
      <x:c r="F65" s="32"/>
    </x:row>
    <x:row r="66">
      <x:c r="D66" s="32"/>
      <x:c r="E66" s="32"/>
      <x:c r="F66" s="32"/>
    </x:row>
    <x:row r="67">
      <x:c r="D67" s="32"/>
      <x:c r="E67" s="32"/>
      <x:c r="F67" s="32"/>
    </x:row>
    <x:row r="68">
      <x:c r="D68" s="32"/>
      <x:c r="E68" s="32"/>
      <x:c r="F68" s="32"/>
    </x:row>
    <x:row r="69">
      <x:c r="D69" s="32"/>
      <x:c r="E69" s="32"/>
      <x:c r="F69" s="32"/>
    </x:row>
    <x:row r="70">
      <x:c r="D70" s="32"/>
      <x:c r="E70" s="32"/>
      <x:c r="F70" s="32"/>
    </x:row>
    <x:row r="71">
      <x:c r="D71" s="32"/>
      <x:c r="E71" s="32"/>
      <x:c r="F71" s="32"/>
    </x:row>
    <x:row r="72">
      <x:c r="D72" s="32"/>
      <x:c r="E72" s="32"/>
      <x:c r="F72" s="32"/>
    </x:row>
    <x:row r="73">
      <x:c r="D73" s="32"/>
      <x:c r="E73" s="32"/>
      <x:c r="F73" s="32"/>
    </x:row>
    <x:row r="74">
      <x:c r="D74" s="32"/>
      <x:c r="E74" s="32"/>
      <x:c r="F74" s="32"/>
    </x:row>
    <x:row r="75">
      <x:c r="D75" s="32"/>
      <x:c r="E75" s="32"/>
      <x:c r="F75" s="32"/>
    </x:row>
    <x:row r="76">
      <x:c r="D76" s="32"/>
      <x:c r="E76" s="32"/>
      <x:c r="F76" s="32"/>
    </x:row>
    <x:row r="77">
      <x:c r="D77" s="32"/>
      <x:c r="E77" s="32"/>
      <x:c r="F77" s="32"/>
    </x:row>
    <x:row r="78">
      <x:c r="D78" s="32"/>
      <x:c r="E78" s="32"/>
      <x:c r="F78" s="32"/>
    </x:row>
    <x:row r="79">
      <x:c r="D79" s="32"/>
      <x:c r="E79" s="32"/>
      <x:c r="F79" s="32"/>
    </x:row>
    <x:row r="80">
      <x:c r="D80" s="32"/>
      <x:c r="E80" s="32"/>
      <x:c r="F80" s="32"/>
    </x:row>
    <x:row r="81">
      <x:c r="D81" s="32"/>
      <x:c r="E81" s="32"/>
      <x:c r="F81" s="32"/>
    </x:row>
    <x:row r="82">
      <x:c r="D82" s="32"/>
      <x:c r="E82" s="32"/>
      <x:c r="F82" s="32"/>
    </x:row>
    <x:row r="83">
      <x:c r="D83" s="32"/>
      <x:c r="E83" s="32"/>
      <x:c r="F83" s="32"/>
    </x:row>
    <x:row r="84">
      <x:c r="D84" s="32"/>
      <x:c r="E84" s="32"/>
      <x:c r="F84" s="32"/>
    </x:row>
    <x:row r="85">
      <x:c r="D85" s="32"/>
      <x:c r="E85" s="32"/>
      <x:c r="F85" s="32"/>
    </x:row>
    <x:row r="86">
      <x:c r="D86" s="32"/>
      <x:c r="E86" s="32"/>
      <x:c r="F86" s="32"/>
    </x:row>
    <x:row r="87">
      <x:c r="D87" s="32"/>
      <x:c r="E87" s="32"/>
      <x:c r="F87" s="32"/>
    </x:row>
    <x:row r="88">
      <x:c r="D88" s="32"/>
      <x:c r="E88" s="32"/>
      <x:c r="F88" s="32"/>
    </x:row>
    <x:row r="89">
      <x:c r="D89" s="32"/>
      <x:c r="E89" s="32"/>
      <x:c r="F89" s="32"/>
    </x:row>
    <x:row r="90">
      <x:c r="D90" s="32"/>
      <x:c r="E90" s="32"/>
      <x:c r="F90" s="32"/>
    </x:row>
    <x:row r="91">
      <x:c r="D91" s="32"/>
      <x:c r="E91" s="32"/>
      <x:c r="F91" s="32"/>
    </x:row>
    <x:row r="92">
      <x:c r="D92" s="32"/>
      <x:c r="E92" s="32"/>
      <x:c r="F92" s="32"/>
    </x:row>
    <x:row r="93">
      <x:c r="D93" s="32"/>
      <x:c r="E93" s="32"/>
      <x:c r="F93" s="32"/>
    </x:row>
    <x:row r="94">
      <x:c r="D94" s="32"/>
      <x:c r="E94" s="32"/>
      <x:c r="F94" s="32"/>
    </x:row>
    <x:row r="95">
      <x:c r="D95" s="32"/>
      <x:c r="E95" s="32"/>
      <x:c r="F95" s="32"/>
    </x:row>
    <x:row r="96">
      <x:c r="D96" s="32"/>
      <x:c r="E96" s="32"/>
      <x:c r="F96" s="32"/>
    </x:row>
    <x:row r="97">
      <x:c r="D97" s="32"/>
      <x:c r="E97" s="32"/>
      <x:c r="F97" s="32"/>
    </x:row>
    <x:row r="98">
      <x:c r="D98" s="32"/>
      <x:c r="E98" s="32"/>
      <x:c r="F98" s="32"/>
    </x:row>
    <x:row r="99">
      <x:c r="D99" s="32"/>
      <x:c r="E99" s="32"/>
      <x:c r="F99" s="32"/>
    </x:row>
    <x:row r="100">
      <x:c r="D100" s="32"/>
      <x:c r="E100" s="32"/>
      <x:c r="F100" s="32"/>
    </x:row>
  </x:sheetData>
  <x:pageMargins left="0.7" right="0.7" top="0.75" bottom="0.75" header="0.3" footer="0.3"/>
  <x:tableParts count="1">
    <x:tablePart xmlns:r="http://schemas.openxmlformats.org/officeDocument/2006/relationships" r:id="R0a2301ff81f74376"/>
  </x:tableParts>
</x:worksheet>
</file>

<file path=xl/worksheets/sheet3.xml><?xml version="1.0" encoding="utf-8"?>
<x:worksheet xmlns:x="http://schemas.openxmlformats.org/spreadsheetml/2006/main">
  <x:sheetPr>
    <x:tabColor rgb="FFD6A84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3" hidden="0" customWidth="1"/>
    <x:col min="5" max="5" width="14" hidden="0" customWidth="1"/>
    <x:col min="6" max="6" width="10" hidden="0" customWidth="1"/>
    <x:col min="7" max="7" width="22" hidden="0" customWidth="1"/>
    <x:col min="8" max="8" width="16" hidden="0" customWidth="1"/>
    <x:col min="9" max="9" width="15" hidden="0" customWidth="1"/>
    <x:col min="10" max="10" width="14" hidden="0" customWidth="1"/>
    <x:col min="11" max="11" width="12" hidden="0" customWidth="1"/>
  </x:cols>
  <x:sheetData>
    <x:row r="2">
      <x:c r="A2" s="13" t="str">
        <x:v>Danh mục sản phẩm mẫu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14" t="str">
        <x:v>Một dòng cho một SKU; các mã và giá trị dưới đây đều là dữ liệu DEMO.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4" ht="32" customHeight="1">
      <x:c r="A4" s="23" t="str">
        <x:v>SKU</x:v>
      </x:c>
      <x:c r="B4" s="24" t="str">
        <x:v>Tên sản phẩm</x:v>
      </x:c>
      <x:c r="C4" s="24" t="str">
        <x:v>Nhóm</x:v>
      </x:c>
      <x:c r="D4" s="24" t="str">
        <x:v>ĐVT cơ sở</x:v>
      </x:c>
      <x:c r="E4" s="24" t="str">
        <x:v>ĐVT quy đổi</x:v>
      </x:c>
      <x:c r="F4" s="24" t="str">
        <x:v>Hệ số</x:v>
      </x:c>
      <x:c r="G4" s="24" t="str">
        <x:v>Barcode</x:v>
      </x:c>
      <x:c r="H4" s="24" t="str">
        <x:v>Giá niêm yết</x:v>
      </x:c>
      <x:c r="I4" s="24" t="str">
        <x:v>Tồn tối thiểu</x:v>
      </x:c>
      <x:c r="J4" s="24" t="str">
        <x:v>Trạng thái</x:v>
      </x:c>
      <x:c r="K4" s="25" t="str">
        <x:v>Nguồn</x:v>
      </x:c>
    </x:row>
    <x:row r="5" ht="23" customHeight="1">
      <x:c r="A5" s="29" t="str">
        <x:v>INOX-304-10</x:v>
      </x:c>
      <x:c r="B5" s="29" t="str">
        <x:v>Tấm inox 304 dày 1.0mm</x:v>
      </x:c>
      <x:c r="C5" s="29" t="str">
        <x:v>TAM</x:v>
      </x:c>
      <x:c r="D5" s="29" t="str">
        <x:v>Tấm</x:v>
      </x:c>
      <x:c r="E5" s="29" t="str">
        <x:v>Kiện</x:v>
      </x:c>
      <x:c r="F5" s="29" t="n">
        <x:v>20</x:v>
      </x:c>
      <x:c r="G5" s="29" t="str">
        <x:v>DEMO-30410-KIEN</x:v>
      </x:c>
      <x:c r="H5" s="33" t="n">
        <x:v>1850000</x:v>
      </x:c>
      <x:c r="I5" s="33" t="n">
        <x:v>20</x:v>
      </x:c>
      <x:c r="J5" s="29" t="str">
        <x:v>ACTIVE</x:v>
      </x:c>
      <x:c r="K5" s="26" t="str">
        <x:v>DEMO</x:v>
      </x:c>
    </x:row>
    <x:row r="6" ht="23" customHeight="1">
      <x:c r="A6" s="30" t="str">
        <x:v>INOX-304-15</x:v>
      </x:c>
      <x:c r="B6" s="30" t="str">
        <x:v>Tấm inox 304 dày 1.5mm</x:v>
      </x:c>
      <x:c r="C6" s="30" t="str">
        <x:v>TAM</x:v>
      </x:c>
      <x:c r="D6" s="30" t="str">
        <x:v>Tấm</x:v>
      </x:c>
      <x:c r="E6" s="30" t="str">
        <x:v>Kiện</x:v>
      </x:c>
      <x:c r="F6" s="30" t="n">
        <x:v>15</x:v>
      </x:c>
      <x:c r="G6" s="30" t="str">
        <x:v>DEMO-30415-KIEN</x:v>
      </x:c>
      <x:c r="H6" s="34" t="n">
        <x:v>2720000</x:v>
      </x:c>
      <x:c r="I6" s="34" t="n">
        <x:v>15</x:v>
      </x:c>
      <x:c r="J6" s="30" t="str">
        <x:v>ACTIVE</x:v>
      </x:c>
      <x:c r="K6" s="27" t="str">
        <x:v>DEMO</x:v>
      </x:c>
    </x:row>
    <x:row r="7" ht="23" customHeight="1">
      <x:c r="A7" s="30" t="str">
        <x:v>INOX-201-08</x:v>
      </x:c>
      <x:c r="B7" s="30" t="str">
        <x:v>Tấm inox 201 dày 0.8mm</x:v>
      </x:c>
      <x:c r="C7" s="30" t="str">
        <x:v>TAM</x:v>
      </x:c>
      <x:c r="D7" s="30" t="str">
        <x:v>Tấm</x:v>
      </x:c>
      <x:c r="E7" s="30" t="str">
        <x:v>Kiện</x:v>
      </x:c>
      <x:c r="F7" s="30" t="n">
        <x:v>20</x:v>
      </x:c>
      <x:c r="G7" s="30" t="str">
        <x:v>DEMO-20108-KIEN</x:v>
      </x:c>
      <x:c r="H7" s="34" t="n">
        <x:v>1180000</x:v>
      </x:c>
      <x:c r="I7" s="34" t="n">
        <x:v>25</x:v>
      </x:c>
      <x:c r="J7" s="30" t="str">
        <x:v>ACTIVE</x:v>
      </x:c>
      <x:c r="K7" s="27" t="str">
        <x:v>DEMO</x:v>
      </x:c>
    </x:row>
    <x:row r="8" ht="23" customHeight="1">
      <x:c r="A8" s="30" t="str">
        <x:v>ONG-304-D34</x:v>
      </x:c>
      <x:c r="B8" s="30" t="str">
        <x:v>Ống inox 304 phi 34</x:v>
      </x:c>
      <x:c r="C8" s="30" t="str">
        <x:v>ONG-HOP</x:v>
      </x:c>
      <x:c r="D8" s="30" t="str">
        <x:v>Cây</x:v>
      </x:c>
      <x:c r="E8" s="30" t="str">
        <x:v>Bó</x:v>
      </x:c>
      <x:c r="F8" s="30" t="n">
        <x:v>10</x:v>
      </x:c>
      <x:c r="G8" s="30" t="str">
        <x:v>DEMO-ONG34-BO</x:v>
      </x:c>
      <x:c r="H8" s="34" t="n">
        <x:v>640000</x:v>
      </x:c>
      <x:c r="I8" s="34" t="n">
        <x:v>30</x:v>
      </x:c>
      <x:c r="J8" s="30" t="str">
        <x:v>ACTIVE</x:v>
      </x:c>
      <x:c r="K8" s="27" t="str">
        <x:v>DEMO</x:v>
      </x:c>
    </x:row>
    <x:row r="9" ht="23" customHeight="1">
      <x:c r="A9" s="30" t="str">
        <x:v>HOP-304-2040</x:v>
      </x:c>
      <x:c r="B9" s="30" t="str">
        <x:v>Hộp inox 304 20x40mm</x:v>
      </x:c>
      <x:c r="C9" s="30" t="str">
        <x:v>ONG-HOP</x:v>
      </x:c>
      <x:c r="D9" s="30" t="str">
        <x:v>Cây</x:v>
      </x:c>
      <x:c r="E9" s="30" t="str">
        <x:v>Bó</x:v>
      </x:c>
      <x:c r="F9" s="30" t="n">
        <x:v>10</x:v>
      </x:c>
      <x:c r="G9" s="30" t="str">
        <x:v>DEMO-HOP2040-BO</x:v>
      </x:c>
      <x:c r="H9" s="34" t="n">
        <x:v>785000</x:v>
      </x:c>
      <x:c r="I9" s="34" t="n">
        <x:v>35</x:v>
      </x:c>
      <x:c r="J9" s="30" t="str">
        <x:v>ACTIVE</x:v>
      </x:c>
      <x:c r="K9" s="27" t="str">
        <x:v>DEMO</x:v>
      </x:c>
    </x:row>
    <x:row r="10" ht="23" customHeight="1">
      <x:c r="A10" s="30" t="str">
        <x:v>LA-304-30X3</x:v>
      </x:c>
      <x:c r="B10" s="30" t="str">
        <x:v>La inox 304 30x3mm</x:v>
      </x:c>
      <x:c r="C10" s="30" t="str">
        <x:v>ONG-HOP</x:v>
      </x:c>
      <x:c r="D10" s="30" t="str">
        <x:v>Cây</x:v>
      </x:c>
      <x:c r="E10" s="30" t="str">
        <x:v>Bó</x:v>
      </x:c>
      <x:c r="F10" s="30" t="n">
        <x:v>20</x:v>
      </x:c>
      <x:c r="G10" s="30" t="str">
        <x:v>DEMO-LA303-BO</x:v>
      </x:c>
      <x:c r="H10" s="34" t="n">
        <x:v>425000</x:v>
      </x:c>
      <x:c r="I10" s="34" t="n">
        <x:v>40</x:v>
      </x:c>
      <x:c r="J10" s="30" t="str">
        <x:v>ACTIVE</x:v>
      </x:c>
      <x:c r="K10" s="27" t="str">
        <x:v>DEMO</x:v>
      </x:c>
    </x:row>
    <x:row r="11" ht="23" customHeight="1">
      <x:c r="A11" s="30" t="str">
        <x:v>CUON-304-05</x:v>
      </x:c>
      <x:c r="B11" s="30" t="str">
        <x:v>Cuộn inox 304 dày 0.5mm</x:v>
      </x:c>
      <x:c r="C11" s="30" t="str">
        <x:v>CUON</x:v>
      </x:c>
      <x:c r="D11" s="30" t="str">
        <x:v>Kg</x:v>
      </x:c>
      <x:c r="E11" s="30" t="str"/>
      <x:c r="F11" s="30"/>
      <x:c r="G11" s="30" t="str"/>
      <x:c r="H11" s="34" t="n">
        <x:v>82500</x:v>
      </x:c>
      <x:c r="I11" s="34" t="n">
        <x:v>500</x:v>
      </x:c>
      <x:c r="J11" s="30" t="str">
        <x:v>ACTIVE</x:v>
      </x:c>
      <x:c r="K11" s="27" t="str">
        <x:v>DEMO</x:v>
      </x:c>
    </x:row>
    <x:row r="12" ht="23" customHeight="1">
      <x:c r="A12" s="31" t="str">
        <x:v>CO-304-D34</x:v>
      </x:c>
      <x:c r="B12" s="31" t="str">
        <x:v>Co hàn inox 304 phi 34</x:v>
      </x:c>
      <x:c r="C12" s="31" t="str">
        <x:v>PHU-KIEN</x:v>
      </x:c>
      <x:c r="D12" s="31" t="str">
        <x:v>Cái</x:v>
      </x:c>
      <x:c r="E12" s="31" t="str">
        <x:v>Hộp</x:v>
      </x:c>
      <x:c r="F12" s="31" t="n">
        <x:v>20</x:v>
      </x:c>
      <x:c r="G12" s="31" t="str">
        <x:v>DEMO-CO34-HOP</x:v>
      </x:c>
      <x:c r="H12" s="35" t="n">
        <x:v>68000</x:v>
      </x:c>
      <x:c r="I12" s="35" t="n">
        <x:v>25</x:v>
      </x:c>
      <x:c r="J12" s="31" t="str">
        <x:v>ACTIVE</x:v>
      </x:c>
      <x:c r="K12" s="28" t="str">
        <x:v>DEMO</x:v>
      </x:c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</x:row>
  </x:sheetData>
  <x:dataValidations count="1">
    <x:dataValidation type="list" sqref="J5:J100">
      <x:formula1>"ACTIVE,INACTIVE"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b60d890e27d4b5c"/>
  </x:tableParts>
</x:worksheet>
</file>

<file path=xl/worksheets/sheet4.xml><?xml version="1.0" encoding="utf-8"?>
<x:worksheet xmlns:x="http://schemas.openxmlformats.org/spreadsheetml/2006/main">
  <x:sheetPr>
    <x:tabColor rgb="FFD6A84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4" hidden="0" customWidth="1"/>
    <x:col min="3" max="3" width="16" hidden="0" customWidth="1"/>
    <x:col min="4" max="4" width="15" hidden="0" customWidth="1"/>
    <x:col min="5" max="5" width="18" hidden="0" customWidth="1"/>
    <x:col min="6" max="6" width="17" hidden="0" customWidth="1"/>
    <x:col min="7" max="7" width="12" hidden="0" customWidth="1"/>
    <x:col min="8" max="8" width="16" hidden="0" customWidth="1"/>
    <x:col min="9" max="9" width="24" hidden="0" customWidth="1"/>
    <x:col min="10" max="10" width="14" hidden="0" customWidth="1"/>
    <x:col min="11" max="11" width="12" hidden="0" customWidth="1"/>
  </x:cols>
  <x:sheetData>
    <x:row r="2">
      <x:c r="A2" s="13" t="str">
        <x:v>Đối tác mẫu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14" t="str">
        <x:v>Khách hàng và nhà cung cấp giả định; mã số thuế có tiền tố DEMO.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4" ht="32" customHeight="1">
      <x:c r="A4" s="23" t="str">
        <x:v>Mã đối tác</x:v>
      </x:c>
      <x:c r="B4" s="24" t="str">
        <x:v>Tên đối tác</x:v>
      </x:c>
      <x:c r="C4" s="24" t="str">
        <x:v>Loại</x:v>
      </x:c>
      <x:c r="D4" s="24" t="str">
        <x:v>Hạng khách</x:v>
      </x:c>
      <x:c r="E4" s="24" t="str">
        <x:v>Mã số thuế</x:v>
      </x:c>
      <x:c r="F4" s="24" t="str">
        <x:v>Hạn mức</x:v>
      </x:c>
      <x:c r="G4" s="24" t="str">
        <x:v>Ngày nợ</x:v>
      </x:c>
      <x:c r="H4" s="24" t="str">
        <x:v>Điện thoại</x:v>
      </x:c>
      <x:c r="I4" s="24" t="str">
        <x:v>Email</x:v>
      </x:c>
      <x:c r="J4" s="24" t="str">
        <x:v>Trạng thái</x:v>
      </x:c>
      <x:c r="K4" s="25" t="str">
        <x:v>Nguồn</x:v>
      </x:c>
    </x:row>
    <x:row r="5" ht="23" customHeight="1">
      <x:c r="A5" s="29" t="str">
        <x:v>DL-MINHPHAT</x:v>
      </x:c>
      <x:c r="B5" s="29" t="str">
        <x:v>Đại lý Minh Phát</x:v>
      </x:c>
      <x:c r="C5" s="29" t="str">
        <x:v>CUSTOMER</x:v>
      </x:c>
      <x:c r="D5" s="29" t="str">
        <x:v>TIER_1</x:v>
      </x:c>
      <x:c r="E5" s="29" t="str">
        <x:v>DEMO-CUS-001</x:v>
      </x:c>
      <x:c r="F5" s="33" t="n">
        <x:v>500000000</x:v>
      </x:c>
      <x:c r="G5" s="29" t="n">
        <x:v>30</x:v>
      </x:c>
      <x:c r="H5" s="29" t="str">
        <x:v>0900000001</x:v>
      </x:c>
      <x:c r="I5" s="29" t="str"/>
      <x:c r="J5" s="29" t="str">
        <x:v>ACTIVE</x:v>
      </x:c>
      <x:c r="K5" s="26" t="str">
        <x:v>DEMO</x:v>
      </x:c>
    </x:row>
    <x:row r="6" ht="23" customHeight="1">
      <x:c r="A6" s="30" t="str">
        <x:v>KH-ANKHANG</x:v>
      </x:c>
      <x:c r="B6" s="30" t="str">
        <x:v>Cơ khí An Khang</x:v>
      </x:c>
      <x:c r="C6" s="30" t="str">
        <x:v>CUSTOMER</x:v>
      </x:c>
      <x:c r="D6" s="30" t="str">
        <x:v>TIER_2</x:v>
      </x:c>
      <x:c r="E6" s="30" t="str">
        <x:v>DEMO-CUS-002</x:v>
      </x:c>
      <x:c r="F6" s="34" t="n">
        <x:v>200000000</x:v>
      </x:c>
      <x:c r="G6" s="30" t="n">
        <x:v>21</x:v>
      </x:c>
      <x:c r="H6" s="30" t="str">
        <x:v>0900000002</x:v>
      </x:c>
      <x:c r="I6" s="30" t="str"/>
      <x:c r="J6" s="30" t="str">
        <x:v>ACTIVE</x:v>
      </x:c>
      <x:c r="K6" s="27" t="str">
        <x:v>DEMO</x:v>
      </x:c>
    </x:row>
    <x:row r="7" ht="23" customHeight="1">
      <x:c r="A7" s="30" t="str">
        <x:v>KH-HUNGGIA</x:v>
      </x:c>
      <x:c r="B7" s="30" t="str">
        <x:v>Xây dựng Hưng Gia</x:v>
      </x:c>
      <x:c r="C7" s="30" t="str">
        <x:v>CUSTOMER</x:v>
      </x:c>
      <x:c r="D7" s="30" t="str">
        <x:v>TIER_2</x:v>
      </x:c>
      <x:c r="E7" s="30" t="str">
        <x:v>DEMO-CUS-003</x:v>
      </x:c>
      <x:c r="F7" s="34" t="n">
        <x:v>300000000</x:v>
      </x:c>
      <x:c r="G7" s="30" t="n">
        <x:v>30</x:v>
      </x:c>
      <x:c r="H7" s="30" t="str">
        <x:v>0900000003</x:v>
      </x:c>
      <x:c r="I7" s="30" t="str"/>
      <x:c r="J7" s="30" t="str">
        <x:v>ACTIVE</x:v>
      </x:c>
      <x:c r="K7" s="27" t="str">
        <x:v>DEMO</x:v>
      </x:c>
    </x:row>
    <x:row r="8" ht="23" customHeight="1">
      <x:c r="A8" s="30" t="str">
        <x:v>KH-LE</x:v>
      </x:c>
      <x:c r="B8" s="30" t="str">
        <x:v>Khách lẻ showroom</x:v>
      </x:c>
      <x:c r="C8" s="30" t="str">
        <x:v>CUSTOMER</x:v>
      </x:c>
      <x:c r="D8" s="30" t="str">
        <x:v>RETAIL</x:v>
      </x:c>
      <x:c r="E8" s="30" t="str">
        <x:v>DEMO-RETAIL</x:v>
      </x:c>
      <x:c r="F8" s="34" t="n">
        <x:v>0</x:v>
      </x:c>
      <x:c r="G8" s="30" t="n">
        <x:v>0</x:v>
      </x:c>
      <x:c r="H8" s="30" t="str"/>
      <x:c r="I8" s="30" t="str"/>
      <x:c r="J8" s="30" t="str">
        <x:v>ACTIVE</x:v>
      </x:c>
      <x:c r="K8" s="27" t="str">
        <x:v>DEMO</x:v>
      </x:c>
    </x:row>
    <x:row r="9" ht="23" customHeight="1">
      <x:c r="A9" s="30" t="str">
        <x:v>NCC-INOXVN</x:v>
      </x:c>
      <x:c r="B9" s="30" t="str">
        <x:v>Nhà cung cấp Inox Việt Nam</x:v>
      </x:c>
      <x:c r="C9" s="30" t="str">
        <x:v>SUPPLIER</x:v>
      </x:c>
      <x:c r="D9" s="30" t="str"/>
      <x:c r="E9" s="30" t="str">
        <x:v>DEMO-SUP-001</x:v>
      </x:c>
      <x:c r="F9" s="34" t="n">
        <x:v>0</x:v>
      </x:c>
      <x:c r="G9" s="30" t="n">
        <x:v>0</x:v>
      </x:c>
      <x:c r="H9" s="30" t="str"/>
      <x:c r="I9" s="30" t="str"/>
      <x:c r="J9" s="30" t="str">
        <x:v>ACTIVE</x:v>
      </x:c>
      <x:c r="K9" s="27" t="str">
        <x:v>DEMO</x:v>
      </x:c>
    </x:row>
    <x:row r="10" ht="23" customHeight="1">
      <x:c r="A10" s="30" t="str">
        <x:v>NCC-NAMVIET</x:v>
      </x:c>
      <x:c r="B10" s="30" t="str">
        <x:v>Thép Nam Việt</x:v>
      </x:c>
      <x:c r="C10" s="30" t="str">
        <x:v>SUPPLIER</x:v>
      </x:c>
      <x:c r="D10" s="30" t="str"/>
      <x:c r="E10" s="30" t="str">
        <x:v>DEMO-SUP-002</x:v>
      </x:c>
      <x:c r="F10" s="34" t="n">
        <x:v>0</x:v>
      </x:c>
      <x:c r="G10" s="30" t="n">
        <x:v>0</x:v>
      </x:c>
      <x:c r="H10" s="30" t="str"/>
      <x:c r="I10" s="30" t="str"/>
      <x:c r="J10" s="30" t="str">
        <x:v>ACTIVE</x:v>
      </x:c>
      <x:c r="K10" s="27" t="str">
        <x:v>DEMO</x:v>
      </x:c>
    </x:row>
    <x:row r="11" ht="23" customHeight="1">
      <x:c r="A11" s="31" t="str">
        <x:v>NCC-ACHAU</x:v>
      </x:c>
      <x:c r="B11" s="31" t="str">
        <x:v>Phụ kiện Công nghiệp Á Châu</x:v>
      </x:c>
      <x:c r="C11" s="31" t="str">
        <x:v>SUPPLIER</x:v>
      </x:c>
      <x:c r="D11" s="31" t="str"/>
      <x:c r="E11" s="31" t="str">
        <x:v>DEMO-SUP-003</x:v>
      </x:c>
      <x:c r="F11" s="35" t="n">
        <x:v>0</x:v>
      </x:c>
      <x:c r="G11" s="31" t="n">
        <x:v>0</x:v>
      </x:c>
      <x:c r="H11" s="31" t="str"/>
      <x:c r="I11" s="31" t="str"/>
      <x:c r="J11" s="31" t="str">
        <x:v>ACTIVE</x:v>
      </x:c>
      <x:c r="K11" s="28" t="str">
        <x:v>DEMO</x:v>
      </x:c>
    </x:row>
    <x:row r="12">
      <x:c r="A12" s="32"/>
      <x:c r="B12" s="32"/>
      <x:c r="C12" s="32"/>
      <x:c r="D12" s="32"/>
      <x:c r="E12" s="32"/>
      <x:c r="F12" s="32"/>
      <x:c r="G12" s="32"/>
      <x:c r="H12" s="32"/>
      <x:c r="I12" s="32"/>
      <x:c r="J12" s="32"/>
    </x:row>
    <x:row r="13">
      <x:c r="A13" s="32"/>
      <x:c r="B13" s="32"/>
      <x:c r="C13" s="32"/>
      <x:c r="D13" s="32"/>
      <x:c r="E13" s="32"/>
      <x:c r="F13" s="32"/>
      <x:c r="G13" s="32"/>
      <x:c r="H13" s="32"/>
      <x:c r="I13" s="32"/>
      <x:c r="J13" s="32"/>
    </x:row>
    <x:row r="14">
      <x:c r="A14" s="32"/>
      <x:c r="B14" s="32"/>
      <x:c r="C14" s="32"/>
      <x:c r="D14" s="32"/>
      <x:c r="E14" s="32"/>
      <x:c r="F14" s="32"/>
      <x:c r="G14" s="32"/>
      <x:c r="H14" s="32"/>
      <x:c r="I14" s="32"/>
      <x:c r="J14" s="32"/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  <x:c r="J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  <x:c r="J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  <x:c r="J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  <x:c r="J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  <x:c r="J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  <x:c r="J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  <x:c r="J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  <x:c r="J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  <x:c r="J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  <x:c r="J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  <x:c r="J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  <x:c r="J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  <x:c r="J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  <x:c r="J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  <x:c r="J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  <x:c r="J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  <x:c r="J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  <x:c r="J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  <x:c r="J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  <x:c r="J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</x:row>
  </x:sheetData>
  <x:dataValidations count="3">
    <x:dataValidation type="list" sqref="C5:C100">
      <x:formula1>"CUSTOMER,SUPPLIER,BOTH"</x:formula1>
    </x:dataValidation>
    <x:dataValidation type="list" sqref="D5:D100">
      <x:formula1>"TIER_1,TIER_2,RETAIL"</x:formula1>
    </x:dataValidation>
    <x:dataValidation type="list" sqref="J5:J100">
      <x:formula1>"ACTIVE,ON_HOLD,INACTIVE"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a762332a90344ed"/>
  </x:tableParts>
</x:worksheet>
</file>

<file path=xl/worksheets/sheet5.xml><?xml version="1.0" encoding="utf-8"?>
<x:worksheet xmlns:x="http://schemas.openxmlformats.org/spreadsheetml/2006/main">
  <x:sheetPr>
    <x:tabColor rgb="FFD6A84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30" hidden="0" customWidth="1"/>
    <x:col min="4" max="4" width="15" hidden="0" customWidth="1"/>
    <x:col min="5" max="5" width="25" hidden="0" customWidth="1"/>
    <x:col min="6" max="6" width="42" hidden="0" customWidth="1"/>
    <x:col min="7" max="7" width="14" hidden="0" customWidth="1"/>
    <x:col min="8" max="8" width="24" hidden="0" customWidth="1"/>
    <x:col min="9" max="9" width="12" hidden="0" customWidth="1"/>
  </x:cols>
  <x:sheetData>
    <x:row r="2">
      <x:c r="A2" s="13" t="str">
        <x:v>Kho và vị trí mẫu</x:v>
      </x:c>
      <x:c r="B2" s="13"/>
      <x:c r="C2" s="13"/>
      <x:c r="D2" s="13"/>
      <x:c r="E2" s="13"/>
      <x:c r="F2" s="13"/>
      <x:c r="G2" s="13"/>
      <x:c r="H2" s="13"/>
      <x:c r="I2" s="13"/>
    </x:row>
    <x:row r="3">
      <x:c r="A3" s="14" t="str">
        <x:v>Dữ liệu DEMO. Người phụ trách cần được Kho xác nhận trước import.</x:v>
      </x:c>
      <x:c r="B3" s="14"/>
      <x:c r="C3" s="14"/>
      <x:c r="D3" s="14"/>
      <x:c r="E3" s="14"/>
      <x:c r="F3" s="14"/>
      <x:c r="G3" s="14"/>
      <x:c r="H3" s="14"/>
      <x:c r="I3" s="14"/>
    </x:row>
    <x:row r="4" ht="32" customHeight="1">
      <x:c r="A4" s="23" t="str">
        <x:v>Loại bản ghi</x:v>
      </x:c>
      <x:c r="B4" s="24" t="str">
        <x:v>Mã kho</x:v>
      </x:c>
      <x:c r="C4" s="24" t="str">
        <x:v>Tên kho</x:v>
      </x:c>
      <x:c r="D4" s="24" t="str">
        <x:v>Mã vị trí</x:v>
      </x:c>
      <x:c r="E4" s="24" t="str">
        <x:v>Tên vị trí</x:v>
      </x:c>
      <x:c r="F4" s="24" t="str">
        <x:v>Địa chỉ</x:v>
      </x:c>
      <x:c r="G4" s="24" t="str">
        <x:v>Trạng thái</x:v>
      </x:c>
      <x:c r="H4" s="24" t="str">
        <x:v>Người phụ trách</x:v>
      </x:c>
      <x:c r="I4" s="25" t="str">
        <x:v>Nguồn</x:v>
      </x:c>
    </x:row>
    <x:row r="5" ht="23" customHeight="1">
      <x:c r="A5" s="29" t="str">
        <x:v>KHO</x:v>
      </x:c>
      <x:c r="B5" s="29" t="str">
        <x:v>KHO-HCM</x:v>
      </x:c>
      <x:c r="C5" s="29" t="str">
        <x:v>Kho trung tâm TP.HCM</x:v>
      </x:c>
      <x:c r="D5" s="29" t="str"/>
      <x:c r="E5" s="29" t="str"/>
      <x:c r="F5" s="29" t="str">
        <x:v>Khu công nghiệp Tân Tạo, TP.HCM (demo)</x:v>
      </x:c>
      <x:c r="G5" s="29" t="str">
        <x:v>ACTIVE</x:v>
      </x:c>
      <x:c r="H5" s="29" t="str"/>
      <x:c r="I5" s="26" t="str">
        <x:v>DEMO</x:v>
      </x:c>
    </x:row>
    <x:row r="6" ht="23" customHeight="1">
      <x:c r="A6" s="30" t="str">
        <x:v>VỊ TRÍ</x:v>
      </x:c>
      <x:c r="B6" s="30" t="str">
        <x:v>KHO-HCM</x:v>
      </x:c>
      <x:c r="C6" s="30" t="str">
        <x:v>Kho trung tâm TP.HCM</x:v>
      </x:c>
      <x:c r="D6" s="30" t="str">
        <x:v>A01-01</x:v>
      </x:c>
      <x:c r="E6" s="30" t="str">
        <x:v>Kệ tấm A01-01</x:v>
      </x:c>
      <x:c r="F6" s="30" t="str"/>
      <x:c r="G6" s="30" t="str">
        <x:v>ACTIVE</x:v>
      </x:c>
      <x:c r="H6" s="30" t="str"/>
      <x:c r="I6" s="27" t="str">
        <x:v>DEMO</x:v>
      </x:c>
    </x:row>
    <x:row r="7" ht="23" customHeight="1">
      <x:c r="A7" s="30" t="str">
        <x:v>VỊ TRÍ</x:v>
      </x:c>
      <x:c r="B7" s="30" t="str">
        <x:v>KHO-HCM</x:v>
      </x:c>
      <x:c r="C7" s="30" t="str">
        <x:v>Kho trung tâm TP.HCM</x:v>
      </x:c>
      <x:c r="D7" s="30" t="str">
        <x:v>A01-02</x:v>
      </x:c>
      <x:c r="E7" s="30" t="str">
        <x:v>Kệ tấm A01-02</x:v>
      </x:c>
      <x:c r="F7" s="30" t="str"/>
      <x:c r="G7" s="30" t="str">
        <x:v>ACTIVE</x:v>
      </x:c>
      <x:c r="H7" s="30" t="str"/>
      <x:c r="I7" s="27" t="str">
        <x:v>DEMO</x:v>
      </x:c>
    </x:row>
    <x:row r="8" ht="23" customHeight="1">
      <x:c r="A8" s="30" t="str">
        <x:v>VỊ TRÍ</x:v>
      </x:c>
      <x:c r="B8" s="30" t="str">
        <x:v>KHO-HCM</x:v>
      </x:c>
      <x:c r="C8" s="30" t="str">
        <x:v>Kho trung tâm TP.HCM</x:v>
      </x:c>
      <x:c r="D8" s="30" t="str">
        <x:v>B01-01</x:v>
      </x:c>
      <x:c r="E8" s="30" t="str">
        <x:v>Kệ ống/hộp B01-01</x:v>
      </x:c>
      <x:c r="F8" s="30" t="str"/>
      <x:c r="G8" s="30" t="str">
        <x:v>ACTIVE</x:v>
      </x:c>
      <x:c r="H8" s="30" t="str"/>
      <x:c r="I8" s="27" t="str">
        <x:v>DEMO</x:v>
      </x:c>
    </x:row>
    <x:row r="9" ht="23" customHeight="1">
      <x:c r="A9" s="30" t="str">
        <x:v>VỊ TRÍ</x:v>
      </x:c>
      <x:c r="B9" s="30" t="str">
        <x:v>KHO-HCM</x:v>
      </x:c>
      <x:c r="C9" s="30" t="str">
        <x:v>Kho trung tâm TP.HCM</x:v>
      </x:c>
      <x:c r="D9" s="30" t="str">
        <x:v>QC-01</x:v>
      </x:c>
      <x:c r="E9" s="30" t="str">
        <x:v>Khu chờ kiểm tra</x:v>
      </x:c>
      <x:c r="F9" s="30" t="str"/>
      <x:c r="G9" s="30" t="str">
        <x:v>ACTIVE</x:v>
      </x:c>
      <x:c r="H9" s="30" t="str"/>
      <x:c r="I9" s="27" t="str">
        <x:v>DEMO</x:v>
      </x:c>
    </x:row>
    <x:row r="10" ht="23" customHeight="1">
      <x:c r="A10" s="30" t="str">
        <x:v>KHO</x:v>
      </x:c>
      <x:c r="B10" s="30" t="str">
        <x:v>KHO-PHU</x:v>
      </x:c>
      <x:c r="C10" s="30" t="str">
        <x:v>Kho điều phối Bình Dương</x:v>
      </x:c>
      <x:c r="D10" s="30" t="str"/>
      <x:c r="E10" s="30" t="str"/>
      <x:c r="F10" s="30" t="str">
        <x:v>Dĩ An, Bình Dương (demo)</x:v>
      </x:c>
      <x:c r="G10" s="30" t="str">
        <x:v>ACTIVE</x:v>
      </x:c>
      <x:c r="H10" s="30" t="str"/>
      <x:c r="I10" s="27" t="str">
        <x:v>DEMO</x:v>
      </x:c>
    </x:row>
    <x:row r="11" ht="23" customHeight="1">
      <x:c r="A11" s="30" t="str">
        <x:v>VỊ TRÍ</x:v>
      </x:c>
      <x:c r="B11" s="30" t="str">
        <x:v>KHO-PHU</x:v>
      </x:c>
      <x:c r="C11" s="30" t="str">
        <x:v>Kho điều phối Bình Dương</x:v>
      </x:c>
      <x:c r="D11" s="30" t="str">
        <x:v>P01-01</x:v>
      </x:c>
      <x:c r="E11" s="30" t="str">
        <x:v>Kệ P01-01</x:v>
      </x:c>
      <x:c r="F11" s="30" t="str"/>
      <x:c r="G11" s="30" t="str">
        <x:v>ACTIVE</x:v>
      </x:c>
      <x:c r="H11" s="30" t="str"/>
      <x:c r="I11" s="27" t="str">
        <x:v>DEMO</x:v>
      </x:c>
    </x:row>
    <x:row r="12" ht="23" customHeight="1">
      <x:c r="A12" s="31" t="str">
        <x:v>VỊ TRÍ</x:v>
      </x:c>
      <x:c r="B12" s="31" t="str">
        <x:v>KHO-PHU</x:v>
      </x:c>
      <x:c r="C12" s="31" t="str">
        <x:v>Kho điều phối Bình Dương</x:v>
      </x:c>
      <x:c r="D12" s="31" t="str">
        <x:v>P02-01</x:v>
      </x:c>
      <x:c r="E12" s="31" t="str">
        <x:v>Kệ P02-01</x:v>
      </x:c>
      <x:c r="F12" s="31" t="str"/>
      <x:c r="G12" s="31" t="str">
        <x:v>ACTIVE</x:v>
      </x:c>
      <x:c r="H12" s="31" t="str"/>
      <x:c r="I12" s="28" t="str">
        <x:v>DEMO</x:v>
      </x:c>
    </x:row>
    <x:row r="13">
      <x:c r="A13" s="32"/>
      <x:c r="B13" s="32"/>
      <x:c r="C13" s="32"/>
      <x:c r="D13" s="32"/>
      <x:c r="E13" s="32"/>
      <x:c r="F13" s="32"/>
      <x:c r="G13" s="32"/>
      <x:c r="H13" s="32"/>
    </x:row>
    <x:row r="14">
      <x:c r="A14" s="32"/>
      <x:c r="B14" s="32"/>
      <x:c r="C14" s="32"/>
      <x:c r="D14" s="32"/>
      <x:c r="E14" s="32"/>
      <x:c r="F14" s="32"/>
      <x:c r="G14" s="32"/>
      <x:c r="H14" s="32"/>
    </x:row>
    <x:row r="15">
      <x:c r="A15" s="32"/>
      <x:c r="B15" s="32"/>
      <x:c r="C15" s="32"/>
      <x:c r="D15" s="32"/>
      <x:c r="E15" s="32"/>
      <x:c r="F15" s="32"/>
      <x:c r="G15" s="32"/>
      <x:c r="H15" s="32"/>
    </x:row>
    <x:row r="16">
      <x:c r="A16" s="32"/>
      <x:c r="B16" s="32"/>
      <x:c r="C16" s="32"/>
      <x:c r="D16" s="32"/>
      <x:c r="E16" s="32"/>
      <x:c r="F16" s="32"/>
      <x:c r="G16" s="32"/>
      <x:c r="H16" s="32"/>
    </x:row>
    <x:row r="17">
      <x:c r="A17" s="32"/>
      <x:c r="B17" s="32"/>
      <x:c r="C17" s="32"/>
      <x:c r="D17" s="32"/>
      <x:c r="E17" s="32"/>
      <x:c r="F17" s="32"/>
      <x:c r="G17" s="32"/>
      <x:c r="H17" s="32"/>
    </x:row>
    <x:row r="18">
      <x:c r="A18" s="32"/>
      <x:c r="B18" s="32"/>
      <x:c r="C18" s="32"/>
      <x:c r="D18" s="32"/>
      <x:c r="E18" s="32"/>
      <x:c r="F18" s="32"/>
      <x:c r="G18" s="32"/>
      <x:c r="H18" s="32"/>
    </x:row>
    <x:row r="19">
      <x:c r="A19" s="32"/>
      <x:c r="B19" s="32"/>
      <x:c r="C19" s="32"/>
      <x:c r="D19" s="32"/>
      <x:c r="E19" s="32"/>
      <x:c r="F19" s="32"/>
      <x:c r="G19" s="32"/>
      <x:c r="H19" s="32"/>
    </x:row>
    <x:row r="20">
      <x:c r="A20" s="32"/>
      <x:c r="B20" s="32"/>
      <x:c r="C20" s="32"/>
      <x:c r="D20" s="32"/>
      <x:c r="E20" s="32"/>
      <x:c r="F20" s="32"/>
      <x:c r="G20" s="32"/>
      <x:c r="H20" s="32"/>
    </x:row>
    <x:row r="21">
      <x:c r="A21" s="32"/>
      <x:c r="B21" s="32"/>
      <x:c r="C21" s="32"/>
      <x:c r="D21" s="32"/>
      <x:c r="E21" s="32"/>
      <x:c r="F21" s="32"/>
      <x:c r="G21" s="32"/>
      <x:c r="H21" s="32"/>
    </x:row>
    <x:row r="22">
      <x:c r="A22" s="32"/>
      <x:c r="B22" s="32"/>
      <x:c r="C22" s="32"/>
      <x:c r="D22" s="32"/>
      <x:c r="E22" s="32"/>
      <x:c r="F22" s="32"/>
      <x:c r="G22" s="32"/>
      <x:c r="H22" s="32"/>
    </x:row>
    <x:row r="23">
      <x:c r="A23" s="32"/>
      <x:c r="B23" s="32"/>
      <x:c r="C23" s="32"/>
      <x:c r="D23" s="32"/>
      <x:c r="E23" s="32"/>
      <x:c r="F23" s="32"/>
      <x:c r="G23" s="32"/>
      <x:c r="H23" s="32"/>
    </x:row>
    <x:row r="24">
      <x:c r="A24" s="32"/>
      <x:c r="B24" s="32"/>
      <x:c r="C24" s="32"/>
      <x:c r="D24" s="32"/>
      <x:c r="E24" s="32"/>
      <x:c r="F24" s="32"/>
      <x:c r="G24" s="32"/>
      <x:c r="H24" s="32"/>
    </x:row>
    <x:row r="25">
      <x:c r="A25" s="32"/>
      <x:c r="B25" s="32"/>
      <x:c r="C25" s="32"/>
      <x:c r="D25" s="32"/>
      <x:c r="E25" s="32"/>
      <x:c r="F25" s="32"/>
      <x:c r="G25" s="32"/>
      <x:c r="H25" s="32"/>
    </x:row>
    <x:row r="26">
      <x:c r="A26" s="32"/>
      <x:c r="B26" s="32"/>
      <x:c r="C26" s="32"/>
      <x:c r="D26" s="32"/>
      <x:c r="E26" s="32"/>
      <x:c r="F26" s="32"/>
      <x:c r="G26" s="32"/>
      <x:c r="H26" s="32"/>
    </x:row>
    <x:row r="27">
      <x:c r="A27" s="32"/>
      <x:c r="B27" s="32"/>
      <x:c r="C27" s="32"/>
      <x:c r="D27" s="32"/>
      <x:c r="E27" s="32"/>
      <x:c r="F27" s="32"/>
      <x:c r="G27" s="32"/>
      <x:c r="H27" s="32"/>
    </x:row>
    <x:row r="28">
      <x:c r="A28" s="32"/>
      <x:c r="B28" s="32"/>
      <x:c r="C28" s="32"/>
      <x:c r="D28" s="32"/>
      <x:c r="E28" s="32"/>
      <x:c r="F28" s="32"/>
      <x:c r="G28" s="32"/>
      <x:c r="H28" s="32"/>
    </x:row>
    <x:row r="29">
      <x:c r="A29" s="32"/>
      <x:c r="B29" s="32"/>
      <x:c r="C29" s="32"/>
      <x:c r="D29" s="32"/>
      <x:c r="E29" s="32"/>
      <x:c r="F29" s="32"/>
      <x:c r="G29" s="32"/>
      <x:c r="H29" s="32"/>
    </x:row>
    <x:row r="30">
      <x:c r="A30" s="32"/>
      <x:c r="B30" s="32"/>
      <x:c r="C30" s="32"/>
      <x:c r="D30" s="32"/>
      <x:c r="E30" s="32"/>
      <x:c r="F30" s="32"/>
      <x:c r="G30" s="32"/>
      <x:c r="H30" s="32"/>
    </x:row>
    <x:row r="31">
      <x:c r="A31" s="32"/>
      <x:c r="B31" s="32"/>
      <x:c r="C31" s="32"/>
      <x:c r="D31" s="32"/>
      <x:c r="E31" s="32"/>
      <x:c r="F31" s="32"/>
      <x:c r="G31" s="32"/>
      <x:c r="H31" s="32"/>
    </x:row>
    <x:row r="32">
      <x:c r="A32" s="32"/>
      <x:c r="B32" s="32"/>
      <x:c r="C32" s="32"/>
      <x:c r="D32" s="32"/>
      <x:c r="E32" s="32"/>
      <x:c r="F32" s="32"/>
      <x:c r="G32" s="32"/>
      <x:c r="H32" s="32"/>
    </x:row>
    <x:row r="33">
      <x:c r="A33" s="32"/>
      <x:c r="B33" s="32"/>
      <x:c r="C33" s="32"/>
      <x:c r="D33" s="32"/>
      <x:c r="E33" s="32"/>
      <x:c r="F33" s="32"/>
      <x:c r="G33" s="32"/>
      <x:c r="H33" s="32"/>
    </x:row>
    <x:row r="34">
      <x:c r="A34" s="32"/>
      <x:c r="B34" s="32"/>
      <x:c r="C34" s="32"/>
      <x:c r="D34" s="32"/>
      <x:c r="E34" s="32"/>
      <x:c r="F34" s="32"/>
      <x:c r="G34" s="32"/>
      <x:c r="H34" s="32"/>
    </x:row>
    <x:row r="35">
      <x:c r="A35" s="32"/>
      <x:c r="B35" s="32"/>
      <x:c r="C35" s="32"/>
      <x:c r="D35" s="32"/>
      <x:c r="E35" s="32"/>
      <x:c r="F35" s="32"/>
      <x:c r="G35" s="32"/>
      <x:c r="H35" s="32"/>
    </x:row>
    <x:row r="36">
      <x:c r="A36" s="32"/>
      <x:c r="B36" s="32"/>
      <x:c r="C36" s="32"/>
      <x:c r="D36" s="32"/>
      <x:c r="E36" s="32"/>
      <x:c r="F36" s="32"/>
      <x:c r="G36" s="32"/>
      <x:c r="H36" s="32"/>
    </x:row>
    <x:row r="37">
      <x:c r="A37" s="32"/>
      <x:c r="B37" s="32"/>
      <x:c r="C37" s="32"/>
      <x:c r="D37" s="32"/>
      <x:c r="E37" s="32"/>
      <x:c r="F37" s="32"/>
      <x:c r="G37" s="32"/>
      <x:c r="H37" s="32"/>
    </x:row>
    <x:row r="38">
      <x:c r="A38" s="32"/>
      <x:c r="B38" s="32"/>
      <x:c r="C38" s="32"/>
      <x:c r="D38" s="32"/>
      <x:c r="E38" s="32"/>
      <x:c r="F38" s="32"/>
      <x:c r="G38" s="32"/>
      <x:c r="H38" s="32"/>
    </x:row>
    <x:row r="39">
      <x:c r="A39" s="32"/>
      <x:c r="B39" s="32"/>
      <x:c r="C39" s="32"/>
      <x:c r="D39" s="32"/>
      <x:c r="E39" s="32"/>
      <x:c r="F39" s="32"/>
      <x:c r="G39" s="32"/>
      <x:c r="H39" s="32"/>
    </x:row>
    <x:row r="40">
      <x:c r="A40" s="32"/>
      <x:c r="B40" s="32"/>
      <x:c r="C40" s="32"/>
      <x:c r="D40" s="32"/>
      <x:c r="E40" s="32"/>
      <x:c r="F40" s="32"/>
      <x:c r="G40" s="32"/>
      <x:c r="H40" s="32"/>
    </x:row>
    <x:row r="41">
      <x:c r="A41" s="32"/>
      <x:c r="B41" s="32"/>
      <x:c r="C41" s="32"/>
      <x:c r="D41" s="32"/>
      <x:c r="E41" s="32"/>
      <x:c r="F41" s="32"/>
      <x:c r="G41" s="32"/>
      <x:c r="H41" s="32"/>
    </x:row>
    <x:row r="42">
      <x:c r="A42" s="32"/>
      <x:c r="B42" s="32"/>
      <x:c r="C42" s="32"/>
      <x:c r="D42" s="32"/>
      <x:c r="E42" s="32"/>
      <x:c r="F42" s="32"/>
      <x:c r="G42" s="32"/>
      <x:c r="H42" s="32"/>
    </x:row>
    <x:row r="43">
      <x:c r="A43" s="32"/>
      <x:c r="B43" s="32"/>
      <x:c r="C43" s="32"/>
      <x:c r="D43" s="32"/>
      <x:c r="E43" s="32"/>
      <x:c r="F43" s="32"/>
      <x:c r="G43" s="32"/>
      <x:c r="H43" s="32"/>
    </x:row>
    <x:row r="44">
      <x:c r="A44" s="32"/>
      <x:c r="B44" s="32"/>
      <x:c r="C44" s="32"/>
      <x:c r="D44" s="32"/>
      <x:c r="E44" s="32"/>
      <x:c r="F44" s="32"/>
      <x:c r="G44" s="32"/>
      <x:c r="H44" s="32"/>
    </x:row>
    <x:row r="45">
      <x:c r="A45" s="32"/>
      <x:c r="B45" s="32"/>
      <x:c r="C45" s="32"/>
      <x:c r="D45" s="32"/>
      <x:c r="E45" s="32"/>
      <x:c r="F45" s="32"/>
      <x:c r="G45" s="32"/>
      <x:c r="H45" s="32"/>
    </x:row>
    <x:row r="46">
      <x:c r="A46" s="32"/>
      <x:c r="B46" s="32"/>
      <x:c r="C46" s="32"/>
      <x:c r="D46" s="32"/>
      <x:c r="E46" s="32"/>
      <x:c r="F46" s="32"/>
      <x:c r="G46" s="32"/>
      <x:c r="H46" s="32"/>
    </x:row>
    <x:row r="47">
      <x:c r="A47" s="32"/>
      <x:c r="B47" s="32"/>
      <x:c r="C47" s="32"/>
      <x:c r="D47" s="32"/>
      <x:c r="E47" s="32"/>
      <x:c r="F47" s="32"/>
      <x:c r="G47" s="32"/>
      <x:c r="H47" s="32"/>
    </x:row>
    <x:row r="48">
      <x:c r="A48" s="32"/>
      <x:c r="B48" s="32"/>
      <x:c r="C48" s="32"/>
      <x:c r="D48" s="32"/>
      <x:c r="E48" s="32"/>
      <x:c r="F48" s="32"/>
      <x:c r="G48" s="32"/>
      <x:c r="H48" s="32"/>
    </x:row>
    <x:row r="49">
      <x:c r="A49" s="32"/>
      <x:c r="B49" s="32"/>
      <x:c r="C49" s="32"/>
      <x:c r="D49" s="32"/>
      <x:c r="E49" s="32"/>
      <x:c r="F49" s="32"/>
      <x:c r="G49" s="32"/>
      <x:c r="H49" s="32"/>
    </x:row>
    <x:row r="50">
      <x:c r="A50" s="32"/>
      <x:c r="B50" s="32"/>
      <x:c r="C50" s="32"/>
      <x:c r="D50" s="32"/>
      <x:c r="E50" s="32"/>
      <x:c r="F50" s="32"/>
      <x:c r="G50" s="32"/>
      <x:c r="H50" s="32"/>
    </x:row>
    <x:row r="51">
      <x:c r="A51" s="32"/>
      <x:c r="B51" s="32"/>
      <x:c r="C51" s="32"/>
      <x:c r="D51" s="32"/>
      <x:c r="E51" s="32"/>
      <x:c r="F51" s="32"/>
      <x:c r="G51" s="32"/>
      <x:c r="H51" s="32"/>
    </x:row>
    <x:row r="52">
      <x:c r="A52" s="32"/>
      <x:c r="B52" s="32"/>
      <x:c r="C52" s="32"/>
      <x:c r="D52" s="32"/>
      <x:c r="E52" s="32"/>
      <x:c r="F52" s="32"/>
      <x:c r="G52" s="32"/>
      <x:c r="H52" s="32"/>
    </x:row>
    <x:row r="53">
      <x:c r="A53" s="32"/>
      <x:c r="B53" s="32"/>
      <x:c r="C53" s="32"/>
      <x:c r="D53" s="32"/>
      <x:c r="E53" s="32"/>
      <x:c r="F53" s="32"/>
      <x:c r="G53" s="32"/>
      <x:c r="H53" s="32"/>
    </x:row>
    <x:row r="54">
      <x:c r="A54" s="32"/>
      <x:c r="B54" s="32"/>
      <x:c r="C54" s="32"/>
      <x:c r="D54" s="32"/>
      <x:c r="E54" s="32"/>
      <x:c r="F54" s="32"/>
      <x:c r="G54" s="32"/>
      <x:c r="H54" s="32"/>
    </x:row>
    <x:row r="55">
      <x:c r="A55" s="32"/>
      <x:c r="B55" s="32"/>
      <x:c r="C55" s="32"/>
      <x:c r="D55" s="32"/>
      <x:c r="E55" s="32"/>
      <x:c r="F55" s="32"/>
      <x:c r="G55" s="32"/>
      <x:c r="H55" s="32"/>
    </x:row>
    <x:row r="56">
      <x:c r="A56" s="32"/>
      <x:c r="B56" s="32"/>
      <x:c r="C56" s="32"/>
      <x:c r="D56" s="32"/>
      <x:c r="E56" s="32"/>
      <x:c r="F56" s="32"/>
      <x:c r="G56" s="32"/>
      <x:c r="H56" s="32"/>
    </x:row>
    <x:row r="57">
      <x:c r="A57" s="32"/>
      <x:c r="B57" s="32"/>
      <x:c r="C57" s="32"/>
      <x:c r="D57" s="32"/>
      <x:c r="E57" s="32"/>
      <x:c r="F57" s="32"/>
      <x:c r="G57" s="32"/>
      <x:c r="H57" s="32"/>
    </x:row>
    <x:row r="58">
      <x:c r="A58" s="32"/>
      <x:c r="B58" s="32"/>
      <x:c r="C58" s="32"/>
      <x:c r="D58" s="32"/>
      <x:c r="E58" s="32"/>
      <x:c r="F58" s="32"/>
      <x:c r="G58" s="32"/>
      <x:c r="H58" s="32"/>
    </x:row>
    <x:row r="59">
      <x:c r="A59" s="32"/>
      <x:c r="B59" s="32"/>
      <x:c r="C59" s="32"/>
      <x:c r="D59" s="32"/>
      <x:c r="E59" s="32"/>
      <x:c r="F59" s="32"/>
      <x:c r="G59" s="32"/>
      <x:c r="H59" s="32"/>
    </x:row>
    <x:row r="60">
      <x:c r="A60" s="32"/>
      <x:c r="B60" s="32"/>
      <x:c r="C60" s="32"/>
      <x:c r="D60" s="32"/>
      <x:c r="E60" s="32"/>
      <x:c r="F60" s="32"/>
      <x:c r="G60" s="32"/>
      <x:c r="H60" s="32"/>
    </x:row>
    <x:row r="61">
      <x:c r="A61" s="32"/>
      <x:c r="B61" s="32"/>
      <x:c r="C61" s="32"/>
      <x:c r="D61" s="32"/>
      <x:c r="E61" s="32"/>
      <x:c r="F61" s="32"/>
      <x:c r="G61" s="32"/>
      <x:c r="H61" s="32"/>
    </x:row>
    <x:row r="62">
      <x:c r="A62" s="32"/>
      <x:c r="B62" s="32"/>
      <x:c r="C62" s="32"/>
      <x:c r="D62" s="32"/>
      <x:c r="E62" s="32"/>
      <x:c r="F62" s="32"/>
      <x:c r="G62" s="32"/>
      <x:c r="H62" s="32"/>
    </x:row>
    <x:row r="63">
      <x:c r="A63" s="32"/>
      <x:c r="B63" s="32"/>
      <x:c r="C63" s="32"/>
      <x:c r="D63" s="32"/>
      <x:c r="E63" s="32"/>
      <x:c r="F63" s="32"/>
      <x:c r="G63" s="32"/>
      <x:c r="H63" s="32"/>
    </x:row>
    <x:row r="64">
      <x:c r="A64" s="32"/>
      <x:c r="B64" s="32"/>
      <x:c r="C64" s="32"/>
      <x:c r="D64" s="32"/>
      <x:c r="E64" s="32"/>
      <x:c r="F64" s="32"/>
      <x:c r="G64" s="32"/>
      <x:c r="H64" s="32"/>
    </x:row>
    <x:row r="65">
      <x:c r="A65" s="32"/>
      <x:c r="B65" s="32"/>
      <x:c r="C65" s="32"/>
      <x:c r="D65" s="32"/>
      <x:c r="E65" s="32"/>
      <x:c r="F65" s="32"/>
      <x:c r="G65" s="32"/>
      <x:c r="H65" s="32"/>
    </x:row>
    <x:row r="66">
      <x:c r="A66" s="32"/>
      <x:c r="B66" s="32"/>
      <x:c r="C66" s="32"/>
      <x:c r="D66" s="32"/>
      <x:c r="E66" s="32"/>
      <x:c r="F66" s="32"/>
      <x:c r="G66" s="32"/>
      <x:c r="H66" s="32"/>
    </x:row>
    <x:row r="67">
      <x:c r="A67" s="32"/>
      <x:c r="B67" s="32"/>
      <x:c r="C67" s="32"/>
      <x:c r="D67" s="32"/>
      <x:c r="E67" s="32"/>
      <x:c r="F67" s="32"/>
      <x:c r="G67" s="32"/>
      <x:c r="H67" s="32"/>
    </x:row>
    <x:row r="68">
      <x:c r="A68" s="32"/>
      <x:c r="B68" s="32"/>
      <x:c r="C68" s="32"/>
      <x:c r="D68" s="32"/>
      <x:c r="E68" s="32"/>
      <x:c r="F68" s="32"/>
      <x:c r="G68" s="32"/>
      <x:c r="H68" s="32"/>
    </x:row>
    <x:row r="69">
      <x:c r="A69" s="32"/>
      <x:c r="B69" s="32"/>
      <x:c r="C69" s="32"/>
      <x:c r="D69" s="32"/>
      <x:c r="E69" s="32"/>
      <x:c r="F69" s="32"/>
      <x:c r="G69" s="32"/>
      <x:c r="H69" s="32"/>
    </x:row>
    <x:row r="70">
      <x:c r="A70" s="32"/>
      <x:c r="B70" s="32"/>
      <x:c r="C70" s="32"/>
      <x:c r="D70" s="32"/>
      <x:c r="E70" s="32"/>
      <x:c r="F70" s="32"/>
      <x:c r="G70" s="32"/>
      <x:c r="H70" s="32"/>
    </x:row>
    <x:row r="71">
      <x:c r="A71" s="32"/>
      <x:c r="B71" s="32"/>
      <x:c r="C71" s="32"/>
      <x:c r="D71" s="32"/>
      <x:c r="E71" s="32"/>
      <x:c r="F71" s="32"/>
      <x:c r="G71" s="32"/>
      <x:c r="H71" s="32"/>
    </x:row>
    <x:row r="72">
      <x:c r="A72" s="32"/>
      <x:c r="B72" s="32"/>
      <x:c r="C72" s="32"/>
      <x:c r="D72" s="32"/>
      <x:c r="E72" s="32"/>
      <x:c r="F72" s="32"/>
      <x:c r="G72" s="32"/>
      <x:c r="H72" s="32"/>
    </x:row>
    <x:row r="73">
      <x:c r="A73" s="32"/>
      <x:c r="B73" s="32"/>
      <x:c r="C73" s="32"/>
      <x:c r="D73" s="32"/>
      <x:c r="E73" s="32"/>
      <x:c r="F73" s="32"/>
      <x:c r="G73" s="32"/>
      <x:c r="H73" s="32"/>
    </x:row>
    <x:row r="74">
      <x:c r="A74" s="32"/>
      <x:c r="B74" s="32"/>
      <x:c r="C74" s="32"/>
      <x:c r="D74" s="32"/>
      <x:c r="E74" s="32"/>
      <x:c r="F74" s="32"/>
      <x:c r="G74" s="32"/>
      <x:c r="H74" s="32"/>
    </x:row>
    <x:row r="75">
      <x:c r="A75" s="32"/>
      <x:c r="B75" s="32"/>
      <x:c r="C75" s="32"/>
      <x:c r="D75" s="32"/>
      <x:c r="E75" s="32"/>
      <x:c r="F75" s="32"/>
      <x:c r="G75" s="32"/>
      <x:c r="H75" s="32"/>
    </x:row>
    <x:row r="76">
      <x:c r="A76" s="32"/>
      <x:c r="B76" s="32"/>
      <x:c r="C76" s="32"/>
      <x:c r="D76" s="32"/>
      <x:c r="E76" s="32"/>
      <x:c r="F76" s="32"/>
      <x:c r="G76" s="32"/>
      <x:c r="H76" s="32"/>
    </x:row>
    <x:row r="77">
      <x:c r="A77" s="32"/>
      <x:c r="B77" s="32"/>
      <x:c r="C77" s="32"/>
      <x:c r="D77" s="32"/>
      <x:c r="E77" s="32"/>
      <x:c r="F77" s="32"/>
      <x:c r="G77" s="32"/>
      <x:c r="H77" s="32"/>
    </x:row>
    <x:row r="78">
      <x:c r="A78" s="32"/>
      <x:c r="B78" s="32"/>
      <x:c r="C78" s="32"/>
      <x:c r="D78" s="32"/>
      <x:c r="E78" s="32"/>
      <x:c r="F78" s="32"/>
      <x:c r="G78" s="32"/>
      <x:c r="H78" s="32"/>
    </x:row>
    <x:row r="79">
      <x:c r="A79" s="32"/>
      <x:c r="B79" s="32"/>
      <x:c r="C79" s="32"/>
      <x:c r="D79" s="32"/>
      <x:c r="E79" s="32"/>
      <x:c r="F79" s="32"/>
      <x:c r="G79" s="32"/>
      <x:c r="H79" s="32"/>
    </x:row>
    <x:row r="80">
      <x:c r="A80" s="32"/>
      <x:c r="B80" s="32"/>
      <x:c r="C80" s="32"/>
      <x:c r="D80" s="32"/>
      <x:c r="E80" s="32"/>
      <x:c r="F80" s="32"/>
      <x:c r="G80" s="32"/>
      <x:c r="H80" s="32"/>
    </x:row>
    <x:row r="81">
      <x:c r="A81" s="32"/>
      <x:c r="B81" s="32"/>
      <x:c r="C81" s="32"/>
      <x:c r="D81" s="32"/>
      <x:c r="E81" s="32"/>
      <x:c r="F81" s="32"/>
      <x:c r="G81" s="32"/>
      <x:c r="H81" s="32"/>
    </x:row>
    <x:row r="82">
      <x:c r="A82" s="32"/>
      <x:c r="B82" s="32"/>
      <x:c r="C82" s="32"/>
      <x:c r="D82" s="32"/>
      <x:c r="E82" s="32"/>
      <x:c r="F82" s="32"/>
      <x:c r="G82" s="32"/>
      <x:c r="H82" s="32"/>
    </x:row>
    <x:row r="83">
      <x:c r="A83" s="32"/>
      <x:c r="B83" s="32"/>
      <x:c r="C83" s="32"/>
      <x:c r="D83" s="32"/>
      <x:c r="E83" s="32"/>
      <x:c r="F83" s="32"/>
      <x:c r="G83" s="32"/>
      <x:c r="H83" s="32"/>
    </x:row>
    <x:row r="84">
      <x:c r="A84" s="32"/>
      <x:c r="B84" s="32"/>
      <x:c r="C84" s="32"/>
      <x:c r="D84" s="32"/>
      <x:c r="E84" s="32"/>
      <x:c r="F84" s="32"/>
      <x:c r="G84" s="32"/>
      <x:c r="H84" s="32"/>
    </x:row>
    <x:row r="85">
      <x:c r="A85" s="32"/>
      <x:c r="B85" s="32"/>
      <x:c r="C85" s="32"/>
      <x:c r="D85" s="32"/>
      <x:c r="E85" s="32"/>
      <x:c r="F85" s="32"/>
      <x:c r="G85" s="32"/>
      <x:c r="H85" s="32"/>
    </x:row>
    <x:row r="86">
      <x:c r="A86" s="32"/>
      <x:c r="B86" s="32"/>
      <x:c r="C86" s="32"/>
      <x:c r="D86" s="32"/>
      <x:c r="E86" s="32"/>
      <x:c r="F86" s="32"/>
      <x:c r="G86" s="32"/>
      <x:c r="H86" s="32"/>
    </x:row>
    <x:row r="87">
      <x:c r="A87" s="32"/>
      <x:c r="B87" s="32"/>
      <x:c r="C87" s="32"/>
      <x:c r="D87" s="32"/>
      <x:c r="E87" s="32"/>
      <x:c r="F87" s="32"/>
      <x:c r="G87" s="32"/>
      <x:c r="H87" s="32"/>
    </x:row>
    <x:row r="88">
      <x:c r="A88" s="32"/>
      <x:c r="B88" s="32"/>
      <x:c r="C88" s="32"/>
      <x:c r="D88" s="32"/>
      <x:c r="E88" s="32"/>
      <x:c r="F88" s="32"/>
      <x:c r="G88" s="32"/>
      <x:c r="H88" s="32"/>
    </x:row>
    <x:row r="89">
      <x:c r="A89" s="32"/>
      <x:c r="B89" s="32"/>
      <x:c r="C89" s="32"/>
      <x:c r="D89" s="32"/>
      <x:c r="E89" s="32"/>
      <x:c r="F89" s="32"/>
      <x:c r="G89" s="32"/>
      <x:c r="H89" s="32"/>
    </x:row>
    <x:row r="90">
      <x:c r="A90" s="32"/>
      <x:c r="B90" s="32"/>
      <x:c r="C90" s="32"/>
      <x:c r="D90" s="32"/>
      <x:c r="E90" s="32"/>
      <x:c r="F90" s="32"/>
      <x:c r="G90" s="32"/>
      <x:c r="H90" s="32"/>
    </x:row>
    <x:row r="91">
      <x:c r="A91" s="32"/>
      <x:c r="B91" s="32"/>
      <x:c r="C91" s="32"/>
      <x:c r="D91" s="32"/>
      <x:c r="E91" s="32"/>
      <x:c r="F91" s="32"/>
      <x:c r="G91" s="32"/>
      <x:c r="H91" s="32"/>
    </x:row>
    <x:row r="92">
      <x:c r="A92" s="32"/>
      <x:c r="B92" s="32"/>
      <x:c r="C92" s="32"/>
      <x:c r="D92" s="32"/>
      <x:c r="E92" s="32"/>
      <x:c r="F92" s="32"/>
      <x:c r="G92" s="32"/>
      <x:c r="H92" s="32"/>
    </x:row>
    <x:row r="93">
      <x:c r="A93" s="32"/>
      <x:c r="B93" s="32"/>
      <x:c r="C93" s="32"/>
      <x:c r="D93" s="32"/>
      <x:c r="E93" s="32"/>
      <x:c r="F93" s="32"/>
      <x:c r="G93" s="32"/>
      <x:c r="H93" s="32"/>
    </x:row>
    <x:row r="94">
      <x:c r="A94" s="32"/>
      <x:c r="B94" s="32"/>
      <x:c r="C94" s="32"/>
      <x:c r="D94" s="32"/>
      <x:c r="E94" s="32"/>
      <x:c r="F94" s="32"/>
      <x:c r="G94" s="32"/>
      <x:c r="H94" s="32"/>
    </x:row>
    <x:row r="95">
      <x:c r="A95" s="32"/>
      <x:c r="B95" s="32"/>
      <x:c r="C95" s="32"/>
      <x:c r="D95" s="32"/>
      <x:c r="E95" s="32"/>
      <x:c r="F95" s="32"/>
      <x:c r="G95" s="32"/>
      <x:c r="H95" s="32"/>
    </x:row>
    <x:row r="96">
      <x:c r="A96" s="32"/>
      <x:c r="B96" s="32"/>
      <x:c r="C96" s="32"/>
      <x:c r="D96" s="32"/>
      <x:c r="E96" s="32"/>
      <x:c r="F96" s="32"/>
      <x:c r="G96" s="32"/>
      <x:c r="H96" s="32"/>
    </x:row>
    <x:row r="97">
      <x:c r="A97" s="32"/>
      <x:c r="B97" s="32"/>
      <x:c r="C97" s="32"/>
      <x:c r="D97" s="32"/>
      <x:c r="E97" s="32"/>
      <x:c r="F97" s="32"/>
      <x:c r="G97" s="32"/>
      <x:c r="H97" s="32"/>
    </x:row>
    <x:row r="98">
      <x:c r="A98" s="32"/>
      <x:c r="B98" s="32"/>
      <x:c r="C98" s="32"/>
      <x:c r="D98" s="32"/>
      <x:c r="E98" s="32"/>
      <x:c r="F98" s="32"/>
      <x:c r="G98" s="32"/>
      <x:c r="H98" s="32"/>
    </x:row>
    <x:row r="99">
      <x:c r="A99" s="32"/>
      <x:c r="B99" s="32"/>
      <x:c r="C99" s="32"/>
      <x:c r="D99" s="32"/>
      <x:c r="E99" s="32"/>
      <x:c r="F99" s="32"/>
      <x:c r="G99" s="32"/>
      <x:c r="H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</x:row>
  </x:sheetData>
  <x:pageMargins left="0.7" right="0.7" top="0.75" bottom="0.75" header="0.3" footer="0.3"/>
  <x:tableParts count="1">
    <x:tablePart xmlns:r="http://schemas.openxmlformats.org/officeDocument/2006/relationships" r:id="Rb9aa1daefb90414e"/>
  </x:tableParts>
</x:worksheet>
</file>

<file path=xl/worksheets/sheet6.xml><?xml version="1.0" encoding="utf-8"?>
<x:worksheet xmlns:x="http://schemas.openxmlformats.org/spreadsheetml/2006/main">
  <x:sheetPr>
    <x:tabColor rgb="FFD6A84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8" hidden="0" customWidth="1"/>
    <x:col min="4" max="4" width="34" hidden="0" customWidth="1"/>
    <x:col min="5" max="5" width="13" hidden="0" customWidth="1"/>
    <x:col min="6" max="6" width="10" hidden="0" customWidth="1"/>
    <x:col min="7" max="7" width="17" hidden="0" customWidth="1"/>
    <x:col min="8" max="8" width="13" hidden="0" customWidth="1"/>
    <x:col min="9" max="9" width="17" hidden="0" customWidth="1"/>
    <x:col min="10" max="10" width="18" hidden="0" customWidth="1"/>
    <x:col min="11" max="11" width="12" hidden="0" customWidth="1"/>
  </x:cols>
  <x:sheetData>
    <x:row r="2">
      <x:c r="A2" s="13" t="str">
        <x:v>Tồn đầu mẫu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14" t="str">
        <x:v>Số lượng và giá trị giả định tại ngày demo; không phải số liệu kiểm kê của công ty.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4" ht="32" customHeight="1">
      <x:c r="A4" s="23" t="str">
        <x:v>Mã kho</x:v>
      </x:c>
      <x:c r="B4" s="24" t="str">
        <x:v>Mã vị trí</x:v>
      </x:c>
      <x:c r="C4" s="24" t="str">
        <x:v>SKU</x:v>
      </x:c>
      <x:c r="D4" s="24" t="str">
        <x:v>Tên hàng</x:v>
      </x:c>
      <x:c r="E4" s="24" t="str">
        <x:v>Số lượng</x:v>
      </x:c>
      <x:c r="F4" s="24" t="str">
        <x:v>ĐVT</x:v>
      </x:c>
      <x:c r="G4" s="24" t="str">
        <x:v>Đơn giá demo</x:v>
      </x:c>
      <x:c r="H4" s="24" t="str">
        <x:v>Định mức</x:v>
      </x:c>
      <x:c r="I4" s="24" t="str">
        <x:v>Tình trạng</x:v>
      </x:c>
      <x:c r="J4" s="24" t="str">
        <x:v>Giá trị demo</x:v>
      </x:c>
      <x:c r="K4" s="25" t="str">
        <x:v>Nguồn</x:v>
      </x:c>
    </x:row>
    <x:row r="5" ht="23" customHeight="1">
      <x:c r="A5" s="29" t="str">
        <x:v>KHO-HCM</x:v>
      </x:c>
      <x:c r="B5" s="29" t="str">
        <x:v>A01-01</x:v>
      </x:c>
      <x:c r="C5" s="29" t="str">
        <x:v>INOX-304-10</x:v>
      </x:c>
      <x:c r="D5" s="26" t="str">
        <x:v>Tấm inox 304 dày 1.0mm</x:v>
      </x:c>
      <x:c r="E5" s="36" t="n">
        <x:v>120</x:v>
      </x:c>
      <x:c r="F5" s="29" t="str">
        <x:v>Tấm</x:v>
      </x:c>
      <x:c r="G5" s="33" t="n">
        <x:v>1850000</x:v>
      </x:c>
      <x:c r="H5" s="33" t="n">
        <x:v>20</x:v>
      </x:c>
      <x:c r="I5" s="26" t="str">
        <x:f>IF(E5&lt;=H5,"CẦN NHẬP","BÌNH THƯỜNG")</x:f>
        <x:v>BÌNH THƯỜNG</x:v>
      </x:c>
      <x:c r="J5" s="39" t="n">
        <x:f>E5*G5</x:f>
        <x:v>222000000</x:v>
      </x:c>
      <x:c r="K5" s="26" t="str">
        <x:v>DEMO</x:v>
      </x:c>
    </x:row>
    <x:row r="6" ht="23" customHeight="1">
      <x:c r="A6" s="30" t="str">
        <x:v>KHO-PHU</x:v>
      </x:c>
      <x:c r="B6" s="30" t="str">
        <x:v>P01-01</x:v>
      </x:c>
      <x:c r="C6" s="30" t="str">
        <x:v>INOX-304-10</x:v>
      </x:c>
      <x:c r="D6" s="27" t="str">
        <x:v>Tấm inox 304 dày 1.0mm</x:v>
      </x:c>
      <x:c r="E6" s="37" t="n">
        <x:v>30</x:v>
      </x:c>
      <x:c r="F6" s="30" t="str">
        <x:v>Tấm</x:v>
      </x:c>
      <x:c r="G6" s="34" t="n">
        <x:v>1850000</x:v>
      </x:c>
      <x:c r="H6" s="34" t="n">
        <x:v>20</x:v>
      </x:c>
      <x:c r="I6" s="27" t="str">
        <x:f>IF(E6&lt;=H6,"CẦN NHẬP","BÌNH THƯỜNG")</x:f>
        <x:v>BÌNH THƯỜNG</x:v>
      </x:c>
      <x:c r="J6" s="40" t="n">
        <x:f>E6*G6</x:f>
        <x:v>55500000</x:v>
      </x:c>
      <x:c r="K6" s="27" t="str">
        <x:v>DEMO</x:v>
      </x:c>
    </x:row>
    <x:row r="7" ht="23" customHeight="1">
      <x:c r="A7" s="30" t="str">
        <x:v>KHO-HCM</x:v>
      </x:c>
      <x:c r="B7" s="30" t="str">
        <x:v>A01-01</x:v>
      </x:c>
      <x:c r="C7" s="30" t="str">
        <x:v>INOX-304-15</x:v>
      </x:c>
      <x:c r="D7" s="27" t="str">
        <x:v>Tấm inox 304 dày 1.5mm</x:v>
      </x:c>
      <x:c r="E7" s="37" t="n">
        <x:v>80</x:v>
      </x:c>
      <x:c r="F7" s="30" t="str">
        <x:v>Tấm</x:v>
      </x:c>
      <x:c r="G7" s="34" t="n">
        <x:v>2720000</x:v>
      </x:c>
      <x:c r="H7" s="34" t="n">
        <x:v>15</x:v>
      </x:c>
      <x:c r="I7" s="27" t="str">
        <x:f>IF(E7&lt;=H7,"CẦN NHẬP","BÌNH THƯỜNG")</x:f>
        <x:v>BÌNH THƯỜNG</x:v>
      </x:c>
      <x:c r="J7" s="40" t="n">
        <x:f>E7*G7</x:f>
        <x:v>217600000</x:v>
      </x:c>
      <x:c r="K7" s="27" t="str">
        <x:v>DEMO</x:v>
      </x:c>
    </x:row>
    <x:row r="8" ht="23" customHeight="1">
      <x:c r="A8" s="30" t="str">
        <x:v>KHO-HCM</x:v>
      </x:c>
      <x:c r="B8" s="30" t="str">
        <x:v>A01-02</x:v>
      </x:c>
      <x:c r="C8" s="30" t="str">
        <x:v>INOX-201-08</x:v>
      </x:c>
      <x:c r="D8" s="27" t="str">
        <x:v>Tấm inox 201 dày 0.8mm</x:v>
      </x:c>
      <x:c r="E8" s="37" t="n">
        <x:v>95</x:v>
      </x:c>
      <x:c r="F8" s="30" t="str">
        <x:v>Tấm</x:v>
      </x:c>
      <x:c r="G8" s="34" t="n">
        <x:v>1180000</x:v>
      </x:c>
      <x:c r="H8" s="34" t="n">
        <x:v>25</x:v>
      </x:c>
      <x:c r="I8" s="27" t="str">
        <x:f>IF(E8&lt;=H8,"CẦN NHẬP","BÌNH THƯỜNG")</x:f>
        <x:v>BÌNH THƯỜNG</x:v>
      </x:c>
      <x:c r="J8" s="40" t="n">
        <x:f>E8*G8</x:f>
        <x:v>112100000</x:v>
      </x:c>
      <x:c r="K8" s="27" t="str">
        <x:v>DEMO</x:v>
      </x:c>
    </x:row>
    <x:row r="9" ht="23" customHeight="1">
      <x:c r="A9" s="30" t="str">
        <x:v>KHO-PHU</x:v>
      </x:c>
      <x:c r="B9" s="30" t="str">
        <x:v>P01-01</x:v>
      </x:c>
      <x:c r="C9" s="30" t="str">
        <x:v>INOX-201-08</x:v>
      </x:c>
      <x:c r="D9" s="27" t="str">
        <x:v>Tấm inox 201 dày 0.8mm</x:v>
      </x:c>
      <x:c r="E9" s="37" t="n">
        <x:v>35</x:v>
      </x:c>
      <x:c r="F9" s="30" t="str">
        <x:v>Tấm</x:v>
      </x:c>
      <x:c r="G9" s="34" t="n">
        <x:v>1180000</x:v>
      </x:c>
      <x:c r="H9" s="34" t="n">
        <x:v>25</x:v>
      </x:c>
      <x:c r="I9" s="27" t="str">
        <x:f>IF(E9&lt;=H9,"CẦN NHẬP","BÌNH THƯỜNG")</x:f>
        <x:v>BÌNH THƯỜNG</x:v>
      </x:c>
      <x:c r="J9" s="40" t="n">
        <x:f>E9*G9</x:f>
        <x:v>41300000</x:v>
      </x:c>
      <x:c r="K9" s="27" t="str">
        <x:v>DEMO</x:v>
      </x:c>
    </x:row>
    <x:row r="10" ht="23" customHeight="1">
      <x:c r="A10" s="30" t="str">
        <x:v>KHO-HCM</x:v>
      </x:c>
      <x:c r="B10" s="30" t="str">
        <x:v>B01-01</x:v>
      </x:c>
      <x:c r="C10" s="30" t="str">
        <x:v>ONG-304-D34</x:v>
      </x:c>
      <x:c r="D10" s="27" t="str">
        <x:v>Ống inox 304 phi 34</x:v>
      </x:c>
      <x:c r="E10" s="37" t="n">
        <x:v>160</x:v>
      </x:c>
      <x:c r="F10" s="30" t="str">
        <x:v>Cây</x:v>
      </x:c>
      <x:c r="G10" s="34" t="n">
        <x:v>640000</x:v>
      </x:c>
      <x:c r="H10" s="34" t="n">
        <x:v>30</x:v>
      </x:c>
      <x:c r="I10" s="27" t="str">
        <x:f>IF(E10&lt;=H10,"CẦN NHẬP","BÌNH THƯỜNG")</x:f>
        <x:v>BÌNH THƯỜNG</x:v>
      </x:c>
      <x:c r="J10" s="40" t="n">
        <x:f>E10*G10</x:f>
        <x:v>102400000</x:v>
      </x:c>
      <x:c r="K10" s="27" t="str">
        <x:v>DEMO</x:v>
      </x:c>
    </x:row>
    <x:row r="11" ht="23" customHeight="1">
      <x:c r="A11" s="30" t="str">
        <x:v>KHO-PHU</x:v>
      </x:c>
      <x:c r="B11" s="30" t="str">
        <x:v>P02-01</x:v>
      </x:c>
      <x:c r="C11" s="30" t="str">
        <x:v>ONG-304-D34</x:v>
      </x:c>
      <x:c r="D11" s="27" t="str">
        <x:v>Ống inox 304 phi 34</x:v>
      </x:c>
      <x:c r="E11" s="37" t="n">
        <x:v>50</x:v>
      </x:c>
      <x:c r="F11" s="30" t="str">
        <x:v>Cây</x:v>
      </x:c>
      <x:c r="G11" s="34" t="n">
        <x:v>640000</x:v>
      </x:c>
      <x:c r="H11" s="34" t="n">
        <x:v>30</x:v>
      </x:c>
      <x:c r="I11" s="27" t="str">
        <x:f>IF(E11&lt;=H11,"CẦN NHẬP","BÌNH THƯỜNG")</x:f>
        <x:v>BÌNH THƯỜNG</x:v>
      </x:c>
      <x:c r="J11" s="40" t="n">
        <x:f>E11*G11</x:f>
        <x:v>32000000</x:v>
      </x:c>
      <x:c r="K11" s="27" t="str">
        <x:v>DEMO</x:v>
      </x:c>
    </x:row>
    <x:row r="12" ht="23" customHeight="1">
      <x:c r="A12" s="30" t="str">
        <x:v>KHO-HCM</x:v>
      </x:c>
      <x:c r="B12" s="30" t="str">
        <x:v>B01-01</x:v>
      </x:c>
      <x:c r="C12" s="30" t="str">
        <x:v>HOP-304-2040</x:v>
      </x:c>
      <x:c r="D12" s="27" t="str">
        <x:v>Hộp inox 304 20x40mm</x:v>
      </x:c>
      <x:c r="E12" s="37" t="n">
        <x:v>145</x:v>
      </x:c>
      <x:c r="F12" s="30" t="str">
        <x:v>Cây</x:v>
      </x:c>
      <x:c r="G12" s="34" t="n">
        <x:v>785000</x:v>
      </x:c>
      <x:c r="H12" s="34" t="n">
        <x:v>35</x:v>
      </x:c>
      <x:c r="I12" s="27" t="str">
        <x:f>IF(E12&lt;=H12,"CẦN NHẬP","BÌNH THƯỜNG")</x:f>
        <x:v>BÌNH THƯỜNG</x:v>
      </x:c>
      <x:c r="J12" s="40" t="n">
        <x:f>E12*G12</x:f>
        <x:v>113825000</x:v>
      </x:c>
      <x:c r="K12" s="27" t="str">
        <x:v>DEMO</x:v>
      </x:c>
    </x:row>
    <x:row r="13" ht="23" customHeight="1">
      <x:c r="A13" s="30" t="str">
        <x:v>KHO-HCM</x:v>
      </x:c>
      <x:c r="B13" s="30" t="str">
        <x:v>B01-01</x:v>
      </x:c>
      <x:c r="C13" s="30" t="str">
        <x:v>LA-304-30X3</x:v>
      </x:c>
      <x:c r="D13" s="27" t="str">
        <x:v>La inox 304 30x3mm</x:v>
      </x:c>
      <x:c r="E13" s="37" t="n">
        <x:v>130</x:v>
      </x:c>
      <x:c r="F13" s="30" t="str">
        <x:v>Cây</x:v>
      </x:c>
      <x:c r="G13" s="34" t="n">
        <x:v>425000</x:v>
      </x:c>
      <x:c r="H13" s="34" t="n">
        <x:v>40</x:v>
      </x:c>
      <x:c r="I13" s="27" t="str">
        <x:f>IF(E13&lt;=H13,"CẦN NHẬP","BÌNH THƯỜNG")</x:f>
        <x:v>BÌNH THƯỜNG</x:v>
      </x:c>
      <x:c r="J13" s="40" t="n">
        <x:f>E13*G13</x:f>
        <x:v>55250000</x:v>
      </x:c>
      <x:c r="K13" s="27" t="str">
        <x:v>DEMO</x:v>
      </x:c>
    </x:row>
    <x:row r="14" ht="23" customHeight="1">
      <x:c r="A14" s="30" t="str">
        <x:v>KHO-HCM</x:v>
      </x:c>
      <x:c r="B14" s="30" t="str">
        <x:v>A01-02</x:v>
      </x:c>
      <x:c r="C14" s="30" t="str">
        <x:v>CUON-304-05</x:v>
      </x:c>
      <x:c r="D14" s="27" t="str">
        <x:v>Cuộn inox 304 dày 0.5mm</x:v>
      </x:c>
      <x:c r="E14" s="37" t="n">
        <x:v>1800</x:v>
      </x:c>
      <x:c r="F14" s="30" t="str">
        <x:v>Kg</x:v>
      </x:c>
      <x:c r="G14" s="34" t="n">
        <x:v>82500</x:v>
      </x:c>
      <x:c r="H14" s="34" t="n">
        <x:v>500</x:v>
      </x:c>
      <x:c r="I14" s="27" t="str">
        <x:f>IF(E14&lt;=H14,"CẦN NHẬP","BÌNH THƯỜNG")</x:f>
        <x:v>BÌNH THƯỜNG</x:v>
      </x:c>
      <x:c r="J14" s="40" t="n">
        <x:f>E14*G14</x:f>
        <x:v>148500000</x:v>
      </x:c>
      <x:c r="K14" s="27" t="str">
        <x:v>DEMO</x:v>
      </x:c>
    </x:row>
    <x:row r="15" ht="23" customHeight="1">
      <x:c r="A15" s="30" t="str">
        <x:v>KHO-PHU</x:v>
      </x:c>
      <x:c r="B15" s="30" t="str">
        <x:v>P02-01</x:v>
      </x:c>
      <x:c r="C15" s="30" t="str">
        <x:v>CUON-304-05</x:v>
      </x:c>
      <x:c r="D15" s="27" t="str">
        <x:v>Cuộn inox 304 dày 0.5mm</x:v>
      </x:c>
      <x:c r="E15" s="37" t="n">
        <x:v>650</x:v>
      </x:c>
      <x:c r="F15" s="30" t="str">
        <x:v>Kg</x:v>
      </x:c>
      <x:c r="G15" s="34" t="n">
        <x:v>82500</x:v>
      </x:c>
      <x:c r="H15" s="34" t="n">
        <x:v>500</x:v>
      </x:c>
      <x:c r="I15" s="27" t="str">
        <x:f>IF(E15&lt;=H15,"CẦN NHẬP","BÌNH THƯỜNG")</x:f>
        <x:v>BÌNH THƯỜNG</x:v>
      </x:c>
      <x:c r="J15" s="40" t="n">
        <x:f>E15*G15</x:f>
        <x:v>53625000</x:v>
      </x:c>
      <x:c r="K15" s="27" t="str">
        <x:v>DEMO</x:v>
      </x:c>
    </x:row>
    <x:row r="16" ht="23" customHeight="1">
      <x:c r="A16" s="31" t="str">
        <x:v>KHO-HCM</x:v>
      </x:c>
      <x:c r="B16" s="31" t="str">
        <x:v>QC-01</x:v>
      </x:c>
      <x:c r="C16" s="31" t="str">
        <x:v>CO-304-D34</x:v>
      </x:c>
      <x:c r="D16" s="28" t="str">
        <x:v>Co hàn inox 304 phi 34</x:v>
      </x:c>
      <x:c r="E16" s="38" t="n">
        <x:v>12</x:v>
      </x:c>
      <x:c r="F16" s="31" t="str">
        <x:v>Cái</x:v>
      </x:c>
      <x:c r="G16" s="35" t="n">
        <x:v>68000</x:v>
      </x:c>
      <x:c r="H16" s="35" t="n">
        <x:v>25</x:v>
      </x:c>
      <x:c r="I16" s="28" t="str">
        <x:f>IF(E16&lt;=H16,"CẦN NHẬP","BÌNH THƯỜNG")</x:f>
        <x:v>CẦN NHẬP</x:v>
      </x:c>
      <x:c r="J16" s="41" t="n">
        <x:f>E16*G16</x:f>
        <x:v>816000</x:v>
      </x:c>
      <x:c r="K16" s="28" t="str">
        <x:v>DEMO</x:v>
      </x:c>
    </x:row>
    <x:row r="17">
      <x:c r="A17" s="32"/>
      <x:c r="B17" s="32"/>
      <x:c r="C17" s="32"/>
      <x:c r="E17" s="32"/>
      <x:c r="F17" s="32"/>
      <x:c r="G17" s="32"/>
      <x:c r="H17" s="32"/>
    </x:row>
    <x:row r="18">
      <x:c r="A18" s="32"/>
      <x:c r="B18" s="32"/>
      <x:c r="C18" s="32"/>
      <x:c r="E18" s="32"/>
      <x:c r="F18" s="32"/>
      <x:c r="G18" s="32"/>
      <x:c r="H18" s="32"/>
    </x:row>
    <x:row r="19">
      <x:c r="A19" s="32"/>
      <x:c r="B19" s="32"/>
      <x:c r="C19" s="32"/>
      <x:c r="E19" s="32"/>
      <x:c r="F19" s="32"/>
      <x:c r="G19" s="32"/>
      <x:c r="H19" s="32"/>
    </x:row>
    <x:row r="20">
      <x:c r="A20" s="32"/>
      <x:c r="B20" s="32"/>
      <x:c r="C20" s="32"/>
      <x:c r="E20" s="32"/>
      <x:c r="F20" s="32"/>
      <x:c r="G20" s="32"/>
      <x:c r="H20" s="32"/>
    </x:row>
    <x:row r="21">
      <x:c r="A21" s="32"/>
      <x:c r="B21" s="32"/>
      <x:c r="C21" s="32"/>
      <x:c r="E21" s="32"/>
      <x:c r="F21" s="32"/>
      <x:c r="G21" s="32"/>
      <x:c r="H21" s="32"/>
    </x:row>
    <x:row r="22">
      <x:c r="A22" s="32"/>
      <x:c r="B22" s="32"/>
      <x:c r="C22" s="32"/>
      <x:c r="E22" s="32"/>
      <x:c r="F22" s="32"/>
      <x:c r="G22" s="32"/>
      <x:c r="H22" s="32"/>
    </x:row>
    <x:row r="23">
      <x:c r="A23" s="32"/>
      <x:c r="B23" s="32"/>
      <x:c r="C23" s="32"/>
      <x:c r="E23" s="32"/>
      <x:c r="F23" s="32"/>
      <x:c r="G23" s="32"/>
      <x:c r="H23" s="32"/>
    </x:row>
    <x:row r="24">
      <x:c r="A24" s="32"/>
      <x:c r="B24" s="32"/>
      <x:c r="C24" s="32"/>
      <x:c r="E24" s="32"/>
      <x:c r="F24" s="32"/>
      <x:c r="G24" s="32"/>
      <x:c r="H24" s="32"/>
    </x:row>
    <x:row r="25">
      <x:c r="A25" s="32"/>
      <x:c r="B25" s="32"/>
      <x:c r="C25" s="32"/>
      <x:c r="E25" s="32"/>
      <x:c r="F25" s="32"/>
      <x:c r="G25" s="32"/>
      <x:c r="H25" s="32"/>
    </x:row>
    <x:row r="26">
      <x:c r="A26" s="32"/>
      <x:c r="B26" s="32"/>
      <x:c r="C26" s="32"/>
      <x:c r="E26" s="32"/>
      <x:c r="F26" s="32"/>
      <x:c r="G26" s="32"/>
      <x:c r="H26" s="32"/>
    </x:row>
    <x:row r="27">
      <x:c r="A27" s="32"/>
      <x:c r="B27" s="32"/>
      <x:c r="C27" s="32"/>
      <x:c r="E27" s="32"/>
      <x:c r="F27" s="32"/>
      <x:c r="G27" s="32"/>
      <x:c r="H27" s="32"/>
    </x:row>
    <x:row r="28">
      <x:c r="A28" s="32"/>
      <x:c r="B28" s="32"/>
      <x:c r="C28" s="32"/>
      <x:c r="E28" s="32"/>
      <x:c r="F28" s="32"/>
      <x:c r="G28" s="32"/>
      <x:c r="H28" s="32"/>
    </x:row>
    <x:row r="29">
      <x:c r="A29" s="32"/>
      <x:c r="B29" s="32"/>
      <x:c r="C29" s="32"/>
      <x:c r="E29" s="32"/>
      <x:c r="F29" s="32"/>
      <x:c r="G29" s="32"/>
      <x:c r="H29" s="32"/>
    </x:row>
    <x:row r="30">
      <x:c r="A30" s="32"/>
      <x:c r="B30" s="32"/>
      <x:c r="C30" s="32"/>
      <x:c r="E30" s="32"/>
      <x:c r="F30" s="32"/>
      <x:c r="G30" s="32"/>
      <x:c r="H30" s="32"/>
    </x:row>
    <x:row r="31">
      <x:c r="A31" s="32"/>
      <x:c r="B31" s="32"/>
      <x:c r="C31" s="32"/>
      <x:c r="E31" s="32"/>
      <x:c r="F31" s="32"/>
      <x:c r="G31" s="32"/>
      <x:c r="H31" s="32"/>
    </x:row>
    <x:row r="32">
      <x:c r="A32" s="32"/>
      <x:c r="B32" s="32"/>
      <x:c r="C32" s="32"/>
      <x:c r="E32" s="32"/>
      <x:c r="F32" s="32"/>
      <x:c r="G32" s="32"/>
      <x:c r="H32" s="32"/>
    </x:row>
    <x:row r="33">
      <x:c r="A33" s="32"/>
      <x:c r="B33" s="32"/>
      <x:c r="C33" s="32"/>
      <x:c r="E33" s="32"/>
      <x:c r="F33" s="32"/>
      <x:c r="G33" s="32"/>
      <x:c r="H33" s="32"/>
    </x:row>
    <x:row r="34">
      <x:c r="A34" s="32"/>
      <x:c r="B34" s="32"/>
      <x:c r="C34" s="32"/>
      <x:c r="E34" s="32"/>
      <x:c r="F34" s="32"/>
      <x:c r="G34" s="32"/>
      <x:c r="H34" s="32"/>
    </x:row>
    <x:row r="35">
      <x:c r="A35" s="32"/>
      <x:c r="B35" s="32"/>
      <x:c r="C35" s="32"/>
      <x:c r="E35" s="32"/>
      <x:c r="F35" s="32"/>
      <x:c r="G35" s="32"/>
      <x:c r="H35" s="32"/>
    </x:row>
    <x:row r="36">
      <x:c r="A36" s="32"/>
      <x:c r="B36" s="32"/>
      <x:c r="C36" s="32"/>
      <x:c r="E36" s="32"/>
      <x:c r="F36" s="32"/>
      <x:c r="G36" s="32"/>
      <x:c r="H36" s="32"/>
    </x:row>
    <x:row r="37">
      <x:c r="A37" s="32"/>
      <x:c r="B37" s="32"/>
      <x:c r="C37" s="32"/>
      <x:c r="E37" s="32"/>
      <x:c r="F37" s="32"/>
      <x:c r="G37" s="32"/>
      <x:c r="H37" s="32"/>
    </x:row>
    <x:row r="38">
      <x:c r="A38" s="32"/>
      <x:c r="B38" s="32"/>
      <x:c r="C38" s="32"/>
      <x:c r="E38" s="32"/>
      <x:c r="F38" s="32"/>
      <x:c r="G38" s="32"/>
      <x:c r="H38" s="32"/>
    </x:row>
    <x:row r="39">
      <x:c r="A39" s="32"/>
      <x:c r="B39" s="32"/>
      <x:c r="C39" s="32"/>
      <x:c r="E39" s="32"/>
      <x:c r="F39" s="32"/>
      <x:c r="G39" s="32"/>
      <x:c r="H39" s="32"/>
    </x:row>
    <x:row r="40">
      <x:c r="A40" s="32"/>
      <x:c r="B40" s="32"/>
      <x:c r="C40" s="32"/>
      <x:c r="E40" s="32"/>
      <x:c r="F40" s="32"/>
      <x:c r="G40" s="32"/>
      <x:c r="H40" s="32"/>
    </x:row>
    <x:row r="41">
      <x:c r="A41" s="32"/>
      <x:c r="B41" s="32"/>
      <x:c r="C41" s="32"/>
      <x:c r="E41" s="32"/>
      <x:c r="F41" s="32"/>
      <x:c r="G41" s="32"/>
      <x:c r="H41" s="32"/>
    </x:row>
    <x:row r="42">
      <x:c r="A42" s="32"/>
      <x:c r="B42" s="32"/>
      <x:c r="C42" s="32"/>
      <x:c r="E42" s="32"/>
      <x:c r="F42" s="32"/>
      <x:c r="G42" s="32"/>
      <x:c r="H42" s="32"/>
    </x:row>
    <x:row r="43">
      <x:c r="A43" s="32"/>
      <x:c r="B43" s="32"/>
      <x:c r="C43" s="32"/>
      <x:c r="E43" s="32"/>
      <x:c r="F43" s="32"/>
      <x:c r="G43" s="32"/>
      <x:c r="H43" s="32"/>
    </x:row>
    <x:row r="44">
      <x:c r="A44" s="32"/>
      <x:c r="B44" s="32"/>
      <x:c r="C44" s="32"/>
      <x:c r="E44" s="32"/>
      <x:c r="F44" s="32"/>
      <x:c r="G44" s="32"/>
      <x:c r="H44" s="32"/>
    </x:row>
    <x:row r="45">
      <x:c r="A45" s="32"/>
      <x:c r="B45" s="32"/>
      <x:c r="C45" s="32"/>
      <x:c r="E45" s="32"/>
      <x:c r="F45" s="32"/>
      <x:c r="G45" s="32"/>
      <x:c r="H45" s="32"/>
    </x:row>
    <x:row r="46">
      <x:c r="A46" s="32"/>
      <x:c r="B46" s="32"/>
      <x:c r="C46" s="32"/>
      <x:c r="E46" s="32"/>
      <x:c r="F46" s="32"/>
      <x:c r="G46" s="32"/>
      <x:c r="H46" s="32"/>
    </x:row>
    <x:row r="47">
      <x:c r="A47" s="32"/>
      <x:c r="B47" s="32"/>
      <x:c r="C47" s="32"/>
      <x:c r="E47" s="32"/>
      <x:c r="F47" s="32"/>
      <x:c r="G47" s="32"/>
      <x:c r="H47" s="32"/>
    </x:row>
    <x:row r="48">
      <x:c r="A48" s="32"/>
      <x:c r="B48" s="32"/>
      <x:c r="C48" s="32"/>
      <x:c r="E48" s="32"/>
      <x:c r="F48" s="32"/>
      <x:c r="G48" s="32"/>
      <x:c r="H48" s="32"/>
    </x:row>
    <x:row r="49">
      <x:c r="A49" s="32"/>
      <x:c r="B49" s="32"/>
      <x:c r="C49" s="32"/>
      <x:c r="E49" s="32"/>
      <x:c r="F49" s="32"/>
      <x:c r="G49" s="32"/>
      <x:c r="H49" s="32"/>
    </x:row>
    <x:row r="50">
      <x:c r="A50" s="32"/>
      <x:c r="B50" s="32"/>
      <x:c r="C50" s="32"/>
      <x:c r="E50" s="32"/>
      <x:c r="F50" s="32"/>
      <x:c r="G50" s="32"/>
      <x:c r="H50" s="32"/>
    </x:row>
    <x:row r="51">
      <x:c r="A51" s="32"/>
      <x:c r="B51" s="32"/>
      <x:c r="C51" s="32"/>
      <x:c r="E51" s="32"/>
      <x:c r="F51" s="32"/>
      <x:c r="G51" s="32"/>
      <x:c r="H51" s="32"/>
    </x:row>
    <x:row r="52">
      <x:c r="A52" s="32"/>
      <x:c r="B52" s="32"/>
      <x:c r="C52" s="32"/>
      <x:c r="E52" s="32"/>
      <x:c r="F52" s="32"/>
      <x:c r="G52" s="32"/>
      <x:c r="H52" s="32"/>
    </x:row>
    <x:row r="53">
      <x:c r="A53" s="32"/>
      <x:c r="B53" s="32"/>
      <x:c r="C53" s="32"/>
      <x:c r="E53" s="32"/>
      <x:c r="F53" s="32"/>
      <x:c r="G53" s="32"/>
      <x:c r="H53" s="32"/>
    </x:row>
    <x:row r="54">
      <x:c r="A54" s="32"/>
      <x:c r="B54" s="32"/>
      <x:c r="C54" s="32"/>
      <x:c r="E54" s="32"/>
      <x:c r="F54" s="32"/>
      <x:c r="G54" s="32"/>
      <x:c r="H54" s="32"/>
    </x:row>
    <x:row r="55">
      <x:c r="A55" s="32"/>
      <x:c r="B55" s="32"/>
      <x:c r="C55" s="32"/>
      <x:c r="E55" s="32"/>
      <x:c r="F55" s="32"/>
      <x:c r="G55" s="32"/>
      <x:c r="H55" s="32"/>
    </x:row>
    <x:row r="56">
      <x:c r="A56" s="32"/>
      <x:c r="B56" s="32"/>
      <x:c r="C56" s="32"/>
      <x:c r="E56" s="32"/>
      <x:c r="F56" s="32"/>
      <x:c r="G56" s="32"/>
      <x:c r="H56" s="32"/>
    </x:row>
    <x:row r="57">
      <x:c r="A57" s="32"/>
      <x:c r="B57" s="32"/>
      <x:c r="C57" s="32"/>
      <x:c r="E57" s="32"/>
      <x:c r="F57" s="32"/>
      <x:c r="G57" s="32"/>
      <x:c r="H57" s="32"/>
    </x:row>
    <x:row r="58">
      <x:c r="A58" s="32"/>
      <x:c r="B58" s="32"/>
      <x:c r="C58" s="32"/>
      <x:c r="E58" s="32"/>
      <x:c r="F58" s="32"/>
      <x:c r="G58" s="32"/>
      <x:c r="H58" s="32"/>
    </x:row>
    <x:row r="59">
      <x:c r="A59" s="32"/>
      <x:c r="B59" s="32"/>
      <x:c r="C59" s="32"/>
      <x:c r="E59" s="32"/>
      <x:c r="F59" s="32"/>
      <x:c r="G59" s="32"/>
      <x:c r="H59" s="32"/>
    </x:row>
    <x:row r="60">
      <x:c r="A60" s="32"/>
      <x:c r="B60" s="32"/>
      <x:c r="C60" s="32"/>
      <x:c r="E60" s="32"/>
      <x:c r="F60" s="32"/>
      <x:c r="G60" s="32"/>
      <x:c r="H60" s="32"/>
    </x:row>
    <x:row r="61">
      <x:c r="A61" s="32"/>
      <x:c r="B61" s="32"/>
      <x:c r="C61" s="32"/>
      <x:c r="E61" s="32"/>
      <x:c r="F61" s="32"/>
      <x:c r="G61" s="32"/>
      <x:c r="H61" s="32"/>
    </x:row>
    <x:row r="62">
      <x:c r="A62" s="32"/>
      <x:c r="B62" s="32"/>
      <x:c r="C62" s="32"/>
      <x:c r="E62" s="32"/>
      <x:c r="F62" s="32"/>
      <x:c r="G62" s="32"/>
      <x:c r="H62" s="32"/>
    </x:row>
    <x:row r="63">
      <x:c r="A63" s="32"/>
      <x:c r="B63" s="32"/>
      <x:c r="C63" s="32"/>
      <x:c r="E63" s="32"/>
      <x:c r="F63" s="32"/>
      <x:c r="G63" s="32"/>
      <x:c r="H63" s="32"/>
    </x:row>
    <x:row r="64">
      <x:c r="A64" s="32"/>
      <x:c r="B64" s="32"/>
      <x:c r="C64" s="32"/>
      <x:c r="E64" s="32"/>
      <x:c r="F64" s="32"/>
      <x:c r="G64" s="32"/>
      <x:c r="H64" s="32"/>
    </x:row>
    <x:row r="65">
      <x:c r="A65" s="32"/>
      <x:c r="B65" s="32"/>
      <x:c r="C65" s="32"/>
      <x:c r="E65" s="32"/>
      <x:c r="F65" s="32"/>
      <x:c r="G65" s="32"/>
      <x:c r="H65" s="32"/>
    </x:row>
    <x:row r="66">
      <x:c r="A66" s="32"/>
      <x:c r="B66" s="32"/>
      <x:c r="C66" s="32"/>
      <x:c r="E66" s="32"/>
      <x:c r="F66" s="32"/>
      <x:c r="G66" s="32"/>
      <x:c r="H66" s="32"/>
    </x:row>
    <x:row r="67">
      <x:c r="A67" s="32"/>
      <x:c r="B67" s="32"/>
      <x:c r="C67" s="32"/>
      <x:c r="E67" s="32"/>
      <x:c r="F67" s="32"/>
      <x:c r="G67" s="32"/>
      <x:c r="H67" s="32"/>
    </x:row>
    <x:row r="68">
      <x:c r="A68" s="32"/>
      <x:c r="B68" s="32"/>
      <x:c r="C68" s="32"/>
      <x:c r="E68" s="32"/>
      <x:c r="F68" s="32"/>
      <x:c r="G68" s="32"/>
      <x:c r="H68" s="32"/>
    </x:row>
    <x:row r="69">
      <x:c r="A69" s="32"/>
      <x:c r="B69" s="32"/>
      <x:c r="C69" s="32"/>
      <x:c r="E69" s="32"/>
      <x:c r="F69" s="32"/>
      <x:c r="G69" s="32"/>
      <x:c r="H69" s="32"/>
    </x:row>
    <x:row r="70">
      <x:c r="A70" s="32"/>
      <x:c r="B70" s="32"/>
      <x:c r="C70" s="32"/>
      <x:c r="E70" s="32"/>
      <x:c r="F70" s="32"/>
      <x:c r="G70" s="32"/>
      <x:c r="H70" s="32"/>
    </x:row>
    <x:row r="71">
      <x:c r="A71" s="32"/>
      <x:c r="B71" s="32"/>
      <x:c r="C71" s="32"/>
      <x:c r="E71" s="32"/>
      <x:c r="F71" s="32"/>
      <x:c r="G71" s="32"/>
      <x:c r="H71" s="32"/>
    </x:row>
    <x:row r="72">
      <x:c r="A72" s="32"/>
      <x:c r="B72" s="32"/>
      <x:c r="C72" s="32"/>
      <x:c r="E72" s="32"/>
      <x:c r="F72" s="32"/>
      <x:c r="G72" s="32"/>
      <x:c r="H72" s="32"/>
    </x:row>
    <x:row r="73">
      <x:c r="A73" s="32"/>
      <x:c r="B73" s="32"/>
      <x:c r="C73" s="32"/>
      <x:c r="E73" s="32"/>
      <x:c r="F73" s="32"/>
      <x:c r="G73" s="32"/>
      <x:c r="H73" s="32"/>
    </x:row>
    <x:row r="74">
      <x:c r="A74" s="32"/>
      <x:c r="B74" s="32"/>
      <x:c r="C74" s="32"/>
      <x:c r="E74" s="32"/>
      <x:c r="F74" s="32"/>
      <x:c r="G74" s="32"/>
      <x:c r="H74" s="32"/>
    </x:row>
    <x:row r="75">
      <x:c r="A75" s="32"/>
      <x:c r="B75" s="32"/>
      <x:c r="C75" s="32"/>
      <x:c r="E75" s="32"/>
      <x:c r="F75" s="32"/>
      <x:c r="G75" s="32"/>
      <x:c r="H75" s="32"/>
    </x:row>
    <x:row r="76">
      <x:c r="A76" s="32"/>
      <x:c r="B76" s="32"/>
      <x:c r="C76" s="32"/>
      <x:c r="E76" s="32"/>
      <x:c r="F76" s="32"/>
      <x:c r="G76" s="32"/>
      <x:c r="H76" s="32"/>
    </x:row>
    <x:row r="77">
      <x:c r="A77" s="32"/>
      <x:c r="B77" s="32"/>
      <x:c r="C77" s="32"/>
      <x:c r="E77" s="32"/>
      <x:c r="F77" s="32"/>
      <x:c r="G77" s="32"/>
      <x:c r="H77" s="32"/>
    </x:row>
    <x:row r="78">
      <x:c r="A78" s="32"/>
      <x:c r="B78" s="32"/>
      <x:c r="C78" s="32"/>
      <x:c r="E78" s="32"/>
      <x:c r="F78" s="32"/>
      <x:c r="G78" s="32"/>
      <x:c r="H78" s="32"/>
    </x:row>
    <x:row r="79">
      <x:c r="A79" s="32"/>
      <x:c r="B79" s="32"/>
      <x:c r="C79" s="32"/>
      <x:c r="E79" s="32"/>
      <x:c r="F79" s="32"/>
      <x:c r="G79" s="32"/>
      <x:c r="H79" s="32"/>
    </x:row>
    <x:row r="80">
      <x:c r="A80" s="32"/>
      <x:c r="B80" s="32"/>
      <x:c r="C80" s="32"/>
      <x:c r="E80" s="32"/>
      <x:c r="F80" s="32"/>
      <x:c r="G80" s="32"/>
      <x:c r="H80" s="32"/>
    </x:row>
    <x:row r="81">
      <x:c r="A81" s="32"/>
      <x:c r="B81" s="32"/>
      <x:c r="C81" s="32"/>
      <x:c r="E81" s="32"/>
      <x:c r="F81" s="32"/>
      <x:c r="G81" s="32"/>
      <x:c r="H81" s="32"/>
    </x:row>
    <x:row r="82">
      <x:c r="A82" s="32"/>
      <x:c r="B82" s="32"/>
      <x:c r="C82" s="32"/>
      <x:c r="E82" s="32"/>
      <x:c r="F82" s="32"/>
      <x:c r="G82" s="32"/>
      <x:c r="H82" s="32"/>
    </x:row>
    <x:row r="83">
      <x:c r="A83" s="32"/>
      <x:c r="B83" s="32"/>
      <x:c r="C83" s="32"/>
      <x:c r="E83" s="32"/>
      <x:c r="F83" s="32"/>
      <x:c r="G83" s="32"/>
      <x:c r="H83" s="32"/>
    </x:row>
    <x:row r="84">
      <x:c r="A84" s="32"/>
      <x:c r="B84" s="32"/>
      <x:c r="C84" s="32"/>
      <x:c r="E84" s="32"/>
      <x:c r="F84" s="32"/>
      <x:c r="G84" s="32"/>
      <x:c r="H84" s="32"/>
    </x:row>
    <x:row r="85">
      <x:c r="A85" s="32"/>
      <x:c r="B85" s="32"/>
      <x:c r="C85" s="32"/>
      <x:c r="E85" s="32"/>
      <x:c r="F85" s="32"/>
      <x:c r="G85" s="32"/>
      <x:c r="H85" s="32"/>
    </x:row>
    <x:row r="86">
      <x:c r="A86" s="32"/>
      <x:c r="B86" s="32"/>
      <x:c r="C86" s="32"/>
      <x:c r="E86" s="32"/>
      <x:c r="F86" s="32"/>
      <x:c r="G86" s="32"/>
      <x:c r="H86" s="32"/>
    </x:row>
    <x:row r="87">
      <x:c r="A87" s="32"/>
      <x:c r="B87" s="32"/>
      <x:c r="C87" s="32"/>
      <x:c r="E87" s="32"/>
      <x:c r="F87" s="32"/>
      <x:c r="G87" s="32"/>
      <x:c r="H87" s="32"/>
    </x:row>
    <x:row r="88">
      <x:c r="A88" s="32"/>
      <x:c r="B88" s="32"/>
      <x:c r="C88" s="32"/>
      <x:c r="E88" s="32"/>
      <x:c r="F88" s="32"/>
      <x:c r="G88" s="32"/>
      <x:c r="H88" s="32"/>
    </x:row>
    <x:row r="89">
      <x:c r="A89" s="32"/>
      <x:c r="B89" s="32"/>
      <x:c r="C89" s="32"/>
      <x:c r="E89" s="32"/>
      <x:c r="F89" s="32"/>
      <x:c r="G89" s="32"/>
      <x:c r="H89" s="32"/>
    </x:row>
    <x:row r="90">
      <x:c r="A90" s="32"/>
      <x:c r="B90" s="32"/>
      <x:c r="C90" s="32"/>
      <x:c r="E90" s="32"/>
      <x:c r="F90" s="32"/>
      <x:c r="G90" s="32"/>
      <x:c r="H90" s="32"/>
    </x:row>
    <x:row r="91">
      <x:c r="A91" s="32"/>
      <x:c r="B91" s="32"/>
      <x:c r="C91" s="32"/>
      <x:c r="E91" s="32"/>
      <x:c r="F91" s="32"/>
      <x:c r="G91" s="32"/>
      <x:c r="H91" s="32"/>
    </x:row>
    <x:row r="92">
      <x:c r="A92" s="32"/>
      <x:c r="B92" s="32"/>
      <x:c r="C92" s="32"/>
      <x:c r="E92" s="32"/>
      <x:c r="F92" s="32"/>
      <x:c r="G92" s="32"/>
      <x:c r="H92" s="32"/>
    </x:row>
    <x:row r="93">
      <x:c r="A93" s="32"/>
      <x:c r="B93" s="32"/>
      <x:c r="C93" s="32"/>
      <x:c r="E93" s="32"/>
      <x:c r="F93" s="32"/>
      <x:c r="G93" s="32"/>
      <x:c r="H93" s="32"/>
    </x:row>
    <x:row r="94">
      <x:c r="A94" s="32"/>
      <x:c r="B94" s="32"/>
      <x:c r="C94" s="32"/>
      <x:c r="E94" s="32"/>
      <x:c r="F94" s="32"/>
      <x:c r="G94" s="32"/>
      <x:c r="H94" s="32"/>
    </x:row>
    <x:row r="95">
      <x:c r="A95" s="32"/>
      <x:c r="B95" s="32"/>
      <x:c r="C95" s="32"/>
      <x:c r="E95" s="32"/>
      <x:c r="F95" s="32"/>
      <x:c r="G95" s="32"/>
      <x:c r="H95" s="32"/>
    </x:row>
    <x:row r="96">
      <x:c r="A96" s="32"/>
      <x:c r="B96" s="32"/>
      <x:c r="C96" s="32"/>
      <x:c r="E96" s="32"/>
      <x:c r="F96" s="32"/>
      <x:c r="G96" s="32"/>
      <x:c r="H96" s="32"/>
    </x:row>
    <x:row r="97">
      <x:c r="A97" s="32"/>
      <x:c r="B97" s="32"/>
      <x:c r="C97" s="32"/>
      <x:c r="E97" s="32"/>
      <x:c r="F97" s="32"/>
      <x:c r="G97" s="32"/>
      <x:c r="H97" s="32"/>
    </x:row>
    <x:row r="98">
      <x:c r="A98" s="32"/>
      <x:c r="B98" s="32"/>
      <x:c r="C98" s="32"/>
      <x:c r="E98" s="32"/>
      <x:c r="F98" s="32"/>
      <x:c r="G98" s="32"/>
      <x:c r="H98" s="32"/>
    </x:row>
    <x:row r="99">
      <x:c r="A99" s="32"/>
      <x:c r="B99" s="32"/>
      <x:c r="C99" s="32"/>
      <x:c r="E99" s="32"/>
      <x:c r="F99" s="32"/>
      <x:c r="G99" s="32"/>
      <x:c r="H99" s="32"/>
    </x:row>
    <x:row r="100">
      <x:c r="A100" s="32"/>
      <x:c r="B100" s="32"/>
      <x:c r="C100" s="32"/>
      <x:c r="E100" s="32"/>
      <x:c r="F100" s="32"/>
      <x:c r="G100" s="32"/>
      <x:c r="H100" s="32"/>
    </x:row>
  </x:sheetData>
  <x:conditionalFormatting sqref="I5:I16">
    <x:cfRule type="containsText" dxfId="0" priority="1" operator="containsText" text="CẦN NHẬP"/>
  </x:conditionalFormatting>
  <x:pageMargins left="0.7" right="0.7" top="0.75" bottom="0.75" header="0.3" footer="0.3"/>
  <x:tableParts count="1">
    <x:tablePart xmlns:r="http://schemas.openxmlformats.org/officeDocument/2006/relationships" r:id="R3557ab1b87544372"/>
  </x:tableParts>
</x:worksheet>
</file>

<file path=xl/worksheets/sheet7.xml><?xml version="1.0" encoding="utf-8"?>
<x:worksheet xmlns:x="http://schemas.openxmlformats.org/spreadsheetml/2006/main">
  <x:sheetPr>
    <x:tabColor rgb="FFD6A84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11" hidden="0" customWidth="1"/>
    <x:col min="3" max="3" width="14" hidden="0" customWidth="1"/>
    <x:col min="4" max="4" width="14" hidden="0" customWidth="1"/>
    <x:col min="5" max="5" width="14" hidden="0" customWidth="1"/>
    <x:col min="6" max="6" width="18" hidden="0" customWidth="1"/>
    <x:col min="7" max="7" width="34" hidden="0" customWidth="1"/>
    <x:col min="8" max="8" width="18" hidden="0" customWidth="1"/>
    <x:col min="9" max="9" width="12" hidden="0" customWidth="1"/>
    <x:col min="10" max="10" width="16" hidden="0" customWidth="1"/>
    <x:col min="11" max="11" width="12" hidden="0" customWidth="1"/>
  </x:cols>
  <x:sheetData>
    <x:row r="2">
      <x:c r="A2" s="13" t="str">
        <x:v>Bảng giá mẫu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14" t="str">
        <x:v>Bảng giá DEMO có hiệu lực từ 01/01/2026; giá chưa gồm VAT.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4" ht="32" customHeight="1">
      <x:c r="A4" s="23" t="str">
        <x:v>Mã bảng giá</x:v>
      </x:c>
      <x:c r="B4" s="24" t="str">
        <x:v>Phiên bản</x:v>
      </x:c>
      <x:c r="C4" s="24" t="str">
        <x:v>Từ ngày</x:v>
      </x:c>
      <x:c r="D4" s="24" t="str">
        <x:v>Đến ngày</x:v>
      </x:c>
      <x:c r="E4" s="24" t="str">
        <x:v>Hạng khách</x:v>
      </x:c>
      <x:c r="F4" s="24" t="str">
        <x:v>SKU</x:v>
      </x:c>
      <x:c r="G4" s="24" t="str">
        <x:v>Tên hàng</x:v>
      </x:c>
      <x:c r="H4" s="24" t="str">
        <x:v>Đơn giá cơ sở</x:v>
      </x:c>
      <x:c r="I4" s="24" t="str">
        <x:v>VAT (%)</x:v>
      </x:c>
      <x:c r="J4" s="24" t="str">
        <x:v>Trạng thái</x:v>
      </x:c>
      <x:c r="K4" s="25" t="str">
        <x:v>Nguồn</x:v>
      </x:c>
    </x:row>
    <x:row r="5" ht="23" customHeight="1">
      <x:c r="A5" s="29" t="str">
        <x:v>BG-DEMO-2026</x:v>
      </x:c>
      <x:c r="B5" s="29" t="n">
        <x:v>1</x:v>
      </x:c>
      <x:c r="C5" s="42" t="d">
        <x:v>2026-01-01T00:00:00.000Z</x:v>
      </x:c>
      <x:c r="D5" s="42"/>
      <x:c r="E5" s="29" t="str">
        <x:v>ALL</x:v>
      </x:c>
      <x:c r="F5" s="29" t="str">
        <x:v>INOX-304-10</x:v>
      </x:c>
      <x:c r="G5" s="26" t="str">
        <x:v>Tấm inox 304 dày 1.0mm</x:v>
      </x:c>
      <x:c r="H5" s="33" t="n">
        <x:v>1850000</x:v>
      </x:c>
      <x:c r="I5" s="45" t="n">
        <x:v>10</x:v>
      </x:c>
      <x:c r="J5" s="29" t="str">
        <x:v>PUBLISHED</x:v>
      </x:c>
      <x:c r="K5" s="26" t="str">
        <x:v>DEMO</x:v>
      </x:c>
    </x:row>
    <x:row r="6" ht="23" customHeight="1">
      <x:c r="A6" s="30" t="str">
        <x:v>BG-DEMO-2026</x:v>
      </x:c>
      <x:c r="B6" s="30" t="n">
        <x:v>1</x:v>
      </x:c>
      <x:c r="C6" s="43" t="d">
        <x:v>2026-01-01T00:00:00.000Z</x:v>
      </x:c>
      <x:c r="D6" s="43"/>
      <x:c r="E6" s="30" t="str">
        <x:v>ALL</x:v>
      </x:c>
      <x:c r="F6" s="30" t="str">
        <x:v>INOX-304-15</x:v>
      </x:c>
      <x:c r="G6" s="27" t="str">
        <x:v>Tấm inox 304 dày 1.5mm</x:v>
      </x:c>
      <x:c r="H6" s="34" t="n">
        <x:v>2720000</x:v>
      </x:c>
      <x:c r="I6" s="46" t="n">
        <x:v>10</x:v>
      </x:c>
      <x:c r="J6" s="30" t="str">
        <x:v>PUBLISHED</x:v>
      </x:c>
      <x:c r="K6" s="27" t="str">
        <x:v>DEMO</x:v>
      </x:c>
    </x:row>
    <x:row r="7" ht="23" customHeight="1">
      <x:c r="A7" s="30" t="str">
        <x:v>BG-DEMO-2026</x:v>
      </x:c>
      <x:c r="B7" s="30" t="n">
        <x:v>1</x:v>
      </x:c>
      <x:c r="C7" s="43" t="d">
        <x:v>2026-01-01T00:00:00.000Z</x:v>
      </x:c>
      <x:c r="D7" s="43"/>
      <x:c r="E7" s="30" t="str">
        <x:v>ALL</x:v>
      </x:c>
      <x:c r="F7" s="30" t="str">
        <x:v>INOX-201-08</x:v>
      </x:c>
      <x:c r="G7" s="27" t="str">
        <x:v>Tấm inox 201 dày 0.8mm</x:v>
      </x:c>
      <x:c r="H7" s="34" t="n">
        <x:v>1180000</x:v>
      </x:c>
      <x:c r="I7" s="46" t="n">
        <x:v>10</x:v>
      </x:c>
      <x:c r="J7" s="30" t="str">
        <x:v>PUBLISHED</x:v>
      </x:c>
      <x:c r="K7" s="27" t="str">
        <x:v>DEMO</x:v>
      </x:c>
    </x:row>
    <x:row r="8" ht="23" customHeight="1">
      <x:c r="A8" s="30" t="str">
        <x:v>BG-DEMO-2026</x:v>
      </x:c>
      <x:c r="B8" s="30" t="n">
        <x:v>1</x:v>
      </x:c>
      <x:c r="C8" s="43" t="d">
        <x:v>2026-01-01T00:00:00.000Z</x:v>
      </x:c>
      <x:c r="D8" s="43"/>
      <x:c r="E8" s="30" t="str">
        <x:v>ALL</x:v>
      </x:c>
      <x:c r="F8" s="30" t="str">
        <x:v>ONG-304-D34</x:v>
      </x:c>
      <x:c r="G8" s="27" t="str">
        <x:v>Ống inox 304 phi 34</x:v>
      </x:c>
      <x:c r="H8" s="34" t="n">
        <x:v>640000</x:v>
      </x:c>
      <x:c r="I8" s="46" t="n">
        <x:v>10</x:v>
      </x:c>
      <x:c r="J8" s="30" t="str">
        <x:v>PUBLISHED</x:v>
      </x:c>
      <x:c r="K8" s="27" t="str">
        <x:v>DEMO</x:v>
      </x:c>
    </x:row>
    <x:row r="9" ht="23" customHeight="1">
      <x:c r="A9" s="30" t="str">
        <x:v>BG-DEMO-2026</x:v>
      </x:c>
      <x:c r="B9" s="30" t="n">
        <x:v>1</x:v>
      </x:c>
      <x:c r="C9" s="43" t="d">
        <x:v>2026-01-01T00:00:00.000Z</x:v>
      </x:c>
      <x:c r="D9" s="43"/>
      <x:c r="E9" s="30" t="str">
        <x:v>ALL</x:v>
      </x:c>
      <x:c r="F9" s="30" t="str">
        <x:v>HOP-304-2040</x:v>
      </x:c>
      <x:c r="G9" s="27" t="str">
        <x:v>Hộp inox 304 20x40mm</x:v>
      </x:c>
      <x:c r="H9" s="34" t="n">
        <x:v>785000</x:v>
      </x:c>
      <x:c r="I9" s="46" t="n">
        <x:v>10</x:v>
      </x:c>
      <x:c r="J9" s="30" t="str">
        <x:v>PUBLISHED</x:v>
      </x:c>
      <x:c r="K9" s="27" t="str">
        <x:v>DEMO</x:v>
      </x:c>
    </x:row>
    <x:row r="10" ht="23" customHeight="1">
      <x:c r="A10" s="30" t="str">
        <x:v>BG-DEMO-2026</x:v>
      </x:c>
      <x:c r="B10" s="30" t="n">
        <x:v>1</x:v>
      </x:c>
      <x:c r="C10" s="43" t="d">
        <x:v>2026-01-01T00:00:00.000Z</x:v>
      </x:c>
      <x:c r="D10" s="43"/>
      <x:c r="E10" s="30" t="str">
        <x:v>ALL</x:v>
      </x:c>
      <x:c r="F10" s="30" t="str">
        <x:v>LA-304-30X3</x:v>
      </x:c>
      <x:c r="G10" s="27" t="str">
        <x:v>La inox 304 30x3mm</x:v>
      </x:c>
      <x:c r="H10" s="34" t="n">
        <x:v>425000</x:v>
      </x:c>
      <x:c r="I10" s="46" t="n">
        <x:v>10</x:v>
      </x:c>
      <x:c r="J10" s="30" t="str">
        <x:v>PUBLISHED</x:v>
      </x:c>
      <x:c r="K10" s="27" t="str">
        <x:v>DEMO</x:v>
      </x:c>
    </x:row>
    <x:row r="11" ht="23" customHeight="1">
      <x:c r="A11" s="30" t="str">
        <x:v>BG-DEMO-2026</x:v>
      </x:c>
      <x:c r="B11" s="30" t="n">
        <x:v>1</x:v>
      </x:c>
      <x:c r="C11" s="43" t="d">
        <x:v>2026-01-01T00:00:00.000Z</x:v>
      </x:c>
      <x:c r="D11" s="43"/>
      <x:c r="E11" s="30" t="str">
        <x:v>ALL</x:v>
      </x:c>
      <x:c r="F11" s="30" t="str">
        <x:v>CUON-304-05</x:v>
      </x:c>
      <x:c r="G11" s="27" t="str">
        <x:v>Cuộn inox 304 dày 0.5mm</x:v>
      </x:c>
      <x:c r="H11" s="34" t="n">
        <x:v>82500</x:v>
      </x:c>
      <x:c r="I11" s="46" t="n">
        <x:v>10</x:v>
      </x:c>
      <x:c r="J11" s="30" t="str">
        <x:v>PUBLISHED</x:v>
      </x:c>
      <x:c r="K11" s="27" t="str">
        <x:v>DEMO</x:v>
      </x:c>
    </x:row>
    <x:row r="12" ht="23" customHeight="1">
      <x:c r="A12" s="31" t="str">
        <x:v>BG-DEMO-2026</x:v>
      </x:c>
      <x:c r="B12" s="31" t="n">
        <x:v>1</x:v>
      </x:c>
      <x:c r="C12" s="44" t="d">
        <x:v>2026-01-01T00:00:00.000Z</x:v>
      </x:c>
      <x:c r="D12" s="44"/>
      <x:c r="E12" s="31" t="str">
        <x:v>ALL</x:v>
      </x:c>
      <x:c r="F12" s="31" t="str">
        <x:v>CO-304-D34</x:v>
      </x:c>
      <x:c r="G12" s="28" t="str">
        <x:v>Co hàn inox 304 phi 34</x:v>
      </x:c>
      <x:c r="H12" s="35" t="n">
        <x:v>68000</x:v>
      </x:c>
      <x:c r="I12" s="47" t="n">
        <x:v>10</x:v>
      </x:c>
      <x:c r="J12" s="31" t="str">
        <x:v>PUBLISHED</x:v>
      </x:c>
      <x:c r="K12" s="28" t="str">
        <x:v>DEMO</x:v>
      </x:c>
    </x:row>
    <x:row r="13">
      <x:c r="A13" s="32"/>
      <x:c r="B13" s="32"/>
      <x:c r="C13" s="32"/>
      <x:c r="D13" s="32"/>
      <x:c r="E13" s="32"/>
      <x:c r="F13" s="32"/>
      <x:c r="H13" s="32"/>
      <x:c r="I13" s="32"/>
      <x:c r="J13" s="32"/>
    </x:row>
    <x:row r="14">
      <x:c r="A14" s="32"/>
      <x:c r="B14" s="32"/>
      <x:c r="C14" s="32"/>
      <x:c r="D14" s="32"/>
      <x:c r="E14" s="32"/>
      <x:c r="F14" s="32"/>
      <x:c r="H14" s="32"/>
      <x:c r="I14" s="32"/>
      <x:c r="J14" s="32"/>
    </x:row>
    <x:row r="15">
      <x:c r="A15" s="32"/>
      <x:c r="B15" s="32"/>
      <x:c r="C15" s="32"/>
      <x:c r="D15" s="32"/>
      <x:c r="E15" s="32"/>
      <x:c r="F15" s="32"/>
      <x:c r="H15" s="32"/>
      <x:c r="I15" s="32"/>
      <x:c r="J15" s="32"/>
    </x:row>
    <x:row r="16">
      <x:c r="A16" s="32"/>
      <x:c r="B16" s="32"/>
      <x:c r="C16" s="32"/>
      <x:c r="D16" s="32"/>
      <x:c r="E16" s="32"/>
      <x:c r="F16" s="32"/>
      <x:c r="H16" s="32"/>
      <x:c r="I16" s="32"/>
      <x:c r="J16" s="32"/>
    </x:row>
    <x:row r="17">
      <x:c r="A17" s="32"/>
      <x:c r="B17" s="32"/>
      <x:c r="C17" s="32"/>
      <x:c r="D17" s="32"/>
      <x:c r="E17" s="32"/>
      <x:c r="F17" s="32"/>
      <x:c r="H17" s="32"/>
      <x:c r="I17" s="32"/>
      <x:c r="J17" s="32"/>
    </x:row>
    <x:row r="18">
      <x:c r="A18" s="32"/>
      <x:c r="B18" s="32"/>
      <x:c r="C18" s="32"/>
      <x:c r="D18" s="32"/>
      <x:c r="E18" s="32"/>
      <x:c r="F18" s="32"/>
      <x:c r="H18" s="32"/>
      <x:c r="I18" s="32"/>
      <x:c r="J18" s="32"/>
    </x:row>
    <x:row r="19">
      <x:c r="A19" s="32"/>
      <x:c r="B19" s="32"/>
      <x:c r="C19" s="32"/>
      <x:c r="D19" s="32"/>
      <x:c r="E19" s="32"/>
      <x:c r="F19" s="32"/>
      <x:c r="H19" s="32"/>
      <x:c r="I19" s="32"/>
      <x:c r="J19" s="32"/>
    </x:row>
    <x:row r="20">
      <x:c r="A20" s="32"/>
      <x:c r="B20" s="32"/>
      <x:c r="C20" s="32"/>
      <x:c r="D20" s="32"/>
      <x:c r="E20" s="32"/>
      <x:c r="F20" s="32"/>
      <x:c r="H20" s="32"/>
      <x:c r="I20" s="32"/>
      <x:c r="J20" s="32"/>
    </x:row>
    <x:row r="21">
      <x:c r="A21" s="32"/>
      <x:c r="B21" s="32"/>
      <x:c r="C21" s="32"/>
      <x:c r="D21" s="32"/>
      <x:c r="E21" s="32"/>
      <x:c r="F21" s="32"/>
      <x:c r="H21" s="32"/>
      <x:c r="I21" s="32"/>
      <x:c r="J21" s="32"/>
    </x:row>
    <x:row r="22">
      <x:c r="A22" s="32"/>
      <x:c r="B22" s="32"/>
      <x:c r="C22" s="32"/>
      <x:c r="D22" s="32"/>
      <x:c r="E22" s="32"/>
      <x:c r="F22" s="32"/>
      <x:c r="H22" s="32"/>
      <x:c r="I22" s="32"/>
      <x:c r="J22" s="32"/>
    </x:row>
    <x:row r="23">
      <x:c r="A23" s="32"/>
      <x:c r="B23" s="32"/>
      <x:c r="C23" s="32"/>
      <x:c r="D23" s="32"/>
      <x:c r="E23" s="32"/>
      <x:c r="F23" s="32"/>
      <x:c r="H23" s="32"/>
      <x:c r="I23" s="32"/>
      <x:c r="J23" s="32"/>
    </x:row>
    <x:row r="24">
      <x:c r="A24" s="32"/>
      <x:c r="B24" s="32"/>
      <x:c r="C24" s="32"/>
      <x:c r="D24" s="32"/>
      <x:c r="E24" s="32"/>
      <x:c r="F24" s="32"/>
      <x:c r="H24" s="32"/>
      <x:c r="I24" s="32"/>
      <x:c r="J24" s="32"/>
    </x:row>
    <x:row r="25">
      <x:c r="A25" s="32"/>
      <x:c r="B25" s="32"/>
      <x:c r="C25" s="32"/>
      <x:c r="D25" s="32"/>
      <x:c r="E25" s="32"/>
      <x:c r="F25" s="32"/>
      <x:c r="H25" s="32"/>
      <x:c r="I25" s="32"/>
      <x:c r="J25" s="32"/>
    </x:row>
    <x:row r="26">
      <x:c r="A26" s="32"/>
      <x:c r="B26" s="32"/>
      <x:c r="C26" s="32"/>
      <x:c r="D26" s="32"/>
      <x:c r="E26" s="32"/>
      <x:c r="F26" s="32"/>
      <x:c r="H26" s="32"/>
      <x:c r="I26" s="32"/>
      <x:c r="J26" s="32"/>
    </x:row>
    <x:row r="27">
      <x:c r="A27" s="32"/>
      <x:c r="B27" s="32"/>
      <x:c r="C27" s="32"/>
      <x:c r="D27" s="32"/>
      <x:c r="E27" s="32"/>
      <x:c r="F27" s="32"/>
      <x:c r="H27" s="32"/>
      <x:c r="I27" s="32"/>
      <x:c r="J27" s="32"/>
    </x:row>
    <x:row r="28">
      <x:c r="A28" s="32"/>
      <x:c r="B28" s="32"/>
      <x:c r="C28" s="32"/>
      <x:c r="D28" s="32"/>
      <x:c r="E28" s="32"/>
      <x:c r="F28" s="32"/>
      <x:c r="H28" s="32"/>
      <x:c r="I28" s="32"/>
      <x:c r="J28" s="32"/>
    </x:row>
    <x:row r="29">
      <x:c r="A29" s="32"/>
      <x:c r="B29" s="32"/>
      <x:c r="C29" s="32"/>
      <x:c r="D29" s="32"/>
      <x:c r="E29" s="32"/>
      <x:c r="F29" s="32"/>
      <x:c r="H29" s="32"/>
      <x:c r="I29" s="32"/>
      <x:c r="J29" s="32"/>
    </x:row>
    <x:row r="30">
      <x:c r="A30" s="32"/>
      <x:c r="B30" s="32"/>
      <x:c r="C30" s="32"/>
      <x:c r="D30" s="32"/>
      <x:c r="E30" s="32"/>
      <x:c r="F30" s="32"/>
      <x:c r="H30" s="32"/>
      <x:c r="I30" s="32"/>
      <x:c r="J30" s="32"/>
    </x:row>
    <x:row r="31">
      <x:c r="A31" s="32"/>
      <x:c r="B31" s="32"/>
      <x:c r="C31" s="32"/>
      <x:c r="D31" s="32"/>
      <x:c r="E31" s="32"/>
      <x:c r="F31" s="32"/>
      <x:c r="H31" s="32"/>
      <x:c r="I31" s="32"/>
      <x:c r="J31" s="32"/>
    </x:row>
    <x:row r="32">
      <x:c r="A32" s="32"/>
      <x:c r="B32" s="32"/>
      <x:c r="C32" s="32"/>
      <x:c r="D32" s="32"/>
      <x:c r="E32" s="32"/>
      <x:c r="F32" s="32"/>
      <x:c r="H32" s="32"/>
      <x:c r="I32" s="32"/>
      <x:c r="J32" s="32"/>
    </x:row>
    <x:row r="33">
      <x:c r="A33" s="32"/>
      <x:c r="B33" s="32"/>
      <x:c r="C33" s="32"/>
      <x:c r="D33" s="32"/>
      <x:c r="E33" s="32"/>
      <x:c r="F33" s="32"/>
      <x:c r="H33" s="32"/>
      <x:c r="I33" s="32"/>
      <x:c r="J33" s="32"/>
    </x:row>
    <x:row r="34">
      <x:c r="A34" s="32"/>
      <x:c r="B34" s="32"/>
      <x:c r="C34" s="32"/>
      <x:c r="D34" s="32"/>
      <x:c r="E34" s="32"/>
      <x:c r="F34" s="32"/>
      <x:c r="H34" s="32"/>
      <x:c r="I34" s="32"/>
      <x:c r="J34" s="32"/>
    </x:row>
    <x:row r="35">
      <x:c r="A35" s="32"/>
      <x:c r="B35" s="32"/>
      <x:c r="C35" s="32"/>
      <x:c r="D35" s="32"/>
      <x:c r="E35" s="32"/>
      <x:c r="F35" s="32"/>
      <x:c r="H35" s="32"/>
      <x:c r="I35" s="32"/>
      <x:c r="J35" s="32"/>
    </x:row>
    <x:row r="36">
      <x:c r="A36" s="32"/>
      <x:c r="B36" s="32"/>
      <x:c r="C36" s="32"/>
      <x:c r="D36" s="32"/>
      <x:c r="E36" s="32"/>
      <x:c r="F36" s="32"/>
      <x:c r="H36" s="32"/>
      <x:c r="I36" s="32"/>
      <x:c r="J36" s="32"/>
    </x:row>
    <x:row r="37">
      <x:c r="A37" s="32"/>
      <x:c r="B37" s="32"/>
      <x:c r="C37" s="32"/>
      <x:c r="D37" s="32"/>
      <x:c r="E37" s="32"/>
      <x:c r="F37" s="32"/>
      <x:c r="H37" s="32"/>
      <x:c r="I37" s="32"/>
      <x:c r="J37" s="32"/>
    </x:row>
    <x:row r="38">
      <x:c r="A38" s="32"/>
      <x:c r="B38" s="32"/>
      <x:c r="C38" s="32"/>
      <x:c r="D38" s="32"/>
      <x:c r="E38" s="32"/>
      <x:c r="F38" s="32"/>
      <x:c r="H38" s="32"/>
      <x:c r="I38" s="32"/>
      <x:c r="J38" s="32"/>
    </x:row>
    <x:row r="39">
      <x:c r="A39" s="32"/>
      <x:c r="B39" s="32"/>
      <x:c r="C39" s="32"/>
      <x:c r="D39" s="32"/>
      <x:c r="E39" s="32"/>
      <x:c r="F39" s="32"/>
      <x:c r="H39" s="32"/>
      <x:c r="I39" s="32"/>
      <x:c r="J39" s="32"/>
    </x:row>
    <x:row r="40">
      <x:c r="A40" s="32"/>
      <x:c r="B40" s="32"/>
      <x:c r="C40" s="32"/>
      <x:c r="D40" s="32"/>
      <x:c r="E40" s="32"/>
      <x:c r="F40" s="32"/>
      <x:c r="H40" s="32"/>
      <x:c r="I40" s="32"/>
      <x:c r="J40" s="32"/>
    </x:row>
    <x:row r="41">
      <x:c r="A41" s="32"/>
      <x:c r="B41" s="32"/>
      <x:c r="C41" s="32"/>
      <x:c r="D41" s="32"/>
      <x:c r="E41" s="32"/>
      <x:c r="F41" s="32"/>
      <x:c r="H41" s="32"/>
      <x:c r="I41" s="32"/>
      <x:c r="J41" s="32"/>
    </x:row>
    <x:row r="42">
      <x:c r="A42" s="32"/>
      <x:c r="B42" s="32"/>
      <x:c r="C42" s="32"/>
      <x:c r="D42" s="32"/>
      <x:c r="E42" s="32"/>
      <x:c r="F42" s="32"/>
      <x:c r="H42" s="32"/>
      <x:c r="I42" s="32"/>
      <x:c r="J42" s="32"/>
    </x:row>
    <x:row r="43">
      <x:c r="A43" s="32"/>
      <x:c r="B43" s="32"/>
      <x:c r="C43" s="32"/>
      <x:c r="D43" s="32"/>
      <x:c r="E43" s="32"/>
      <x:c r="F43" s="32"/>
      <x:c r="H43" s="32"/>
      <x:c r="I43" s="32"/>
      <x:c r="J43" s="32"/>
    </x:row>
    <x:row r="44">
      <x:c r="A44" s="32"/>
      <x:c r="B44" s="32"/>
      <x:c r="C44" s="32"/>
      <x:c r="D44" s="32"/>
      <x:c r="E44" s="32"/>
      <x:c r="F44" s="32"/>
      <x:c r="H44" s="32"/>
      <x:c r="I44" s="32"/>
      <x:c r="J44" s="32"/>
    </x:row>
    <x:row r="45">
      <x:c r="A45" s="32"/>
      <x:c r="B45" s="32"/>
      <x:c r="C45" s="32"/>
      <x:c r="D45" s="32"/>
      <x:c r="E45" s="32"/>
      <x:c r="F45" s="32"/>
      <x:c r="H45" s="32"/>
      <x:c r="I45" s="32"/>
      <x:c r="J45" s="32"/>
    </x:row>
    <x:row r="46">
      <x:c r="A46" s="32"/>
      <x:c r="B46" s="32"/>
      <x:c r="C46" s="32"/>
      <x:c r="D46" s="32"/>
      <x:c r="E46" s="32"/>
      <x:c r="F46" s="32"/>
      <x:c r="H46" s="32"/>
      <x:c r="I46" s="32"/>
      <x:c r="J46" s="32"/>
    </x:row>
    <x:row r="47">
      <x:c r="A47" s="32"/>
      <x:c r="B47" s="32"/>
      <x:c r="C47" s="32"/>
      <x:c r="D47" s="32"/>
      <x:c r="E47" s="32"/>
      <x:c r="F47" s="32"/>
      <x:c r="H47" s="32"/>
      <x:c r="I47" s="32"/>
      <x:c r="J47" s="32"/>
    </x:row>
    <x:row r="48">
      <x:c r="A48" s="32"/>
      <x:c r="B48" s="32"/>
      <x:c r="C48" s="32"/>
      <x:c r="D48" s="32"/>
      <x:c r="E48" s="32"/>
      <x:c r="F48" s="32"/>
      <x:c r="H48" s="32"/>
      <x:c r="I48" s="32"/>
      <x:c r="J48" s="32"/>
    </x:row>
    <x:row r="49">
      <x:c r="A49" s="32"/>
      <x:c r="B49" s="32"/>
      <x:c r="C49" s="32"/>
      <x:c r="D49" s="32"/>
      <x:c r="E49" s="32"/>
      <x:c r="F49" s="32"/>
      <x:c r="H49" s="32"/>
      <x:c r="I49" s="32"/>
      <x:c r="J49" s="32"/>
    </x:row>
    <x:row r="50">
      <x:c r="A50" s="32"/>
      <x:c r="B50" s="32"/>
      <x:c r="C50" s="32"/>
      <x:c r="D50" s="32"/>
      <x:c r="E50" s="32"/>
      <x:c r="F50" s="32"/>
      <x:c r="H50" s="32"/>
      <x:c r="I50" s="32"/>
      <x:c r="J50" s="32"/>
    </x:row>
    <x:row r="51">
      <x:c r="A51" s="32"/>
      <x:c r="B51" s="32"/>
      <x:c r="C51" s="32"/>
      <x:c r="D51" s="32"/>
      <x:c r="E51" s="32"/>
      <x:c r="F51" s="32"/>
      <x:c r="H51" s="32"/>
      <x:c r="I51" s="32"/>
      <x:c r="J51" s="32"/>
    </x:row>
    <x:row r="52">
      <x:c r="A52" s="32"/>
      <x:c r="B52" s="32"/>
      <x:c r="C52" s="32"/>
      <x:c r="D52" s="32"/>
      <x:c r="E52" s="32"/>
      <x:c r="F52" s="32"/>
      <x:c r="H52" s="32"/>
      <x:c r="I52" s="32"/>
      <x:c r="J52" s="32"/>
    </x:row>
    <x:row r="53">
      <x:c r="A53" s="32"/>
      <x:c r="B53" s="32"/>
      <x:c r="C53" s="32"/>
      <x:c r="D53" s="32"/>
      <x:c r="E53" s="32"/>
      <x:c r="F53" s="32"/>
      <x:c r="H53" s="32"/>
      <x:c r="I53" s="32"/>
      <x:c r="J53" s="32"/>
    </x:row>
    <x:row r="54">
      <x:c r="A54" s="32"/>
      <x:c r="B54" s="32"/>
      <x:c r="C54" s="32"/>
      <x:c r="D54" s="32"/>
      <x:c r="E54" s="32"/>
      <x:c r="F54" s="32"/>
      <x:c r="H54" s="32"/>
      <x:c r="I54" s="32"/>
      <x:c r="J54" s="32"/>
    </x:row>
    <x:row r="55">
      <x:c r="A55" s="32"/>
      <x:c r="B55" s="32"/>
      <x:c r="C55" s="32"/>
      <x:c r="D55" s="32"/>
      <x:c r="E55" s="32"/>
      <x:c r="F55" s="32"/>
      <x:c r="H55" s="32"/>
      <x:c r="I55" s="32"/>
      <x:c r="J55" s="32"/>
    </x:row>
    <x:row r="56">
      <x:c r="A56" s="32"/>
      <x:c r="B56" s="32"/>
      <x:c r="C56" s="32"/>
      <x:c r="D56" s="32"/>
      <x:c r="E56" s="32"/>
      <x:c r="F56" s="32"/>
      <x:c r="H56" s="32"/>
      <x:c r="I56" s="32"/>
      <x:c r="J56" s="32"/>
    </x:row>
    <x:row r="57">
      <x:c r="A57" s="32"/>
      <x:c r="B57" s="32"/>
      <x:c r="C57" s="32"/>
      <x:c r="D57" s="32"/>
      <x:c r="E57" s="32"/>
      <x:c r="F57" s="32"/>
      <x:c r="H57" s="32"/>
      <x:c r="I57" s="32"/>
      <x:c r="J57" s="32"/>
    </x:row>
    <x:row r="58">
      <x:c r="A58" s="32"/>
      <x:c r="B58" s="32"/>
      <x:c r="C58" s="32"/>
      <x:c r="D58" s="32"/>
      <x:c r="E58" s="32"/>
      <x:c r="F58" s="32"/>
      <x:c r="H58" s="32"/>
      <x:c r="I58" s="32"/>
      <x:c r="J58" s="32"/>
    </x:row>
    <x:row r="59">
      <x:c r="A59" s="32"/>
      <x:c r="B59" s="32"/>
      <x:c r="C59" s="32"/>
      <x:c r="D59" s="32"/>
      <x:c r="E59" s="32"/>
      <x:c r="F59" s="32"/>
      <x:c r="H59" s="32"/>
      <x:c r="I59" s="32"/>
      <x:c r="J59" s="32"/>
    </x:row>
    <x:row r="60">
      <x:c r="A60" s="32"/>
      <x:c r="B60" s="32"/>
      <x:c r="C60" s="32"/>
      <x:c r="D60" s="32"/>
      <x:c r="E60" s="32"/>
      <x:c r="F60" s="32"/>
      <x:c r="H60" s="32"/>
      <x:c r="I60" s="32"/>
      <x:c r="J60" s="32"/>
    </x:row>
    <x:row r="61">
      <x:c r="A61" s="32"/>
      <x:c r="B61" s="32"/>
      <x:c r="C61" s="32"/>
      <x:c r="D61" s="32"/>
      <x:c r="E61" s="32"/>
      <x:c r="F61" s="32"/>
      <x:c r="H61" s="32"/>
      <x:c r="I61" s="32"/>
      <x:c r="J61" s="32"/>
    </x:row>
    <x:row r="62">
      <x:c r="A62" s="32"/>
      <x:c r="B62" s="32"/>
      <x:c r="C62" s="32"/>
      <x:c r="D62" s="32"/>
      <x:c r="E62" s="32"/>
      <x:c r="F62" s="32"/>
      <x:c r="H62" s="32"/>
      <x:c r="I62" s="32"/>
      <x:c r="J62" s="32"/>
    </x:row>
    <x:row r="63">
      <x:c r="A63" s="32"/>
      <x:c r="B63" s="32"/>
      <x:c r="C63" s="32"/>
      <x:c r="D63" s="32"/>
      <x:c r="E63" s="32"/>
      <x:c r="F63" s="32"/>
      <x:c r="H63" s="32"/>
      <x:c r="I63" s="32"/>
      <x:c r="J63" s="32"/>
    </x:row>
    <x:row r="64">
      <x:c r="A64" s="32"/>
      <x:c r="B64" s="32"/>
      <x:c r="C64" s="32"/>
      <x:c r="D64" s="32"/>
      <x:c r="E64" s="32"/>
      <x:c r="F64" s="32"/>
      <x:c r="H64" s="32"/>
      <x:c r="I64" s="32"/>
      <x:c r="J64" s="32"/>
    </x:row>
    <x:row r="65">
      <x:c r="A65" s="32"/>
      <x:c r="B65" s="32"/>
      <x:c r="C65" s="32"/>
      <x:c r="D65" s="32"/>
      <x:c r="E65" s="32"/>
      <x:c r="F65" s="32"/>
      <x:c r="H65" s="32"/>
      <x:c r="I65" s="32"/>
      <x:c r="J65" s="32"/>
    </x:row>
    <x:row r="66">
      <x:c r="A66" s="32"/>
      <x:c r="B66" s="32"/>
      <x:c r="C66" s="32"/>
      <x:c r="D66" s="32"/>
      <x:c r="E66" s="32"/>
      <x:c r="F66" s="32"/>
      <x:c r="H66" s="32"/>
      <x:c r="I66" s="32"/>
      <x:c r="J66" s="32"/>
    </x:row>
    <x:row r="67">
      <x:c r="A67" s="32"/>
      <x:c r="B67" s="32"/>
      <x:c r="C67" s="32"/>
      <x:c r="D67" s="32"/>
      <x:c r="E67" s="32"/>
      <x:c r="F67" s="32"/>
      <x:c r="H67" s="32"/>
      <x:c r="I67" s="32"/>
      <x:c r="J67" s="32"/>
    </x:row>
    <x:row r="68">
      <x:c r="A68" s="32"/>
      <x:c r="B68" s="32"/>
      <x:c r="C68" s="32"/>
      <x:c r="D68" s="32"/>
      <x:c r="E68" s="32"/>
      <x:c r="F68" s="32"/>
      <x:c r="H68" s="32"/>
      <x:c r="I68" s="32"/>
      <x:c r="J68" s="32"/>
    </x:row>
    <x:row r="69">
      <x:c r="A69" s="32"/>
      <x:c r="B69" s="32"/>
      <x:c r="C69" s="32"/>
      <x:c r="D69" s="32"/>
      <x:c r="E69" s="32"/>
      <x:c r="F69" s="32"/>
      <x:c r="H69" s="32"/>
      <x:c r="I69" s="32"/>
      <x:c r="J69" s="32"/>
    </x:row>
    <x:row r="70">
      <x:c r="A70" s="32"/>
      <x:c r="B70" s="32"/>
      <x:c r="C70" s="32"/>
      <x:c r="D70" s="32"/>
      <x:c r="E70" s="32"/>
      <x:c r="F70" s="32"/>
      <x:c r="H70" s="32"/>
      <x:c r="I70" s="32"/>
      <x:c r="J70" s="32"/>
    </x:row>
    <x:row r="71">
      <x:c r="A71" s="32"/>
      <x:c r="B71" s="32"/>
      <x:c r="C71" s="32"/>
      <x:c r="D71" s="32"/>
      <x:c r="E71" s="32"/>
      <x:c r="F71" s="32"/>
      <x:c r="H71" s="32"/>
      <x:c r="I71" s="32"/>
      <x:c r="J71" s="32"/>
    </x:row>
    <x:row r="72">
      <x:c r="A72" s="32"/>
      <x:c r="B72" s="32"/>
      <x:c r="C72" s="32"/>
      <x:c r="D72" s="32"/>
      <x:c r="E72" s="32"/>
      <x:c r="F72" s="32"/>
      <x:c r="H72" s="32"/>
      <x:c r="I72" s="32"/>
      <x:c r="J72" s="32"/>
    </x:row>
    <x:row r="73">
      <x:c r="A73" s="32"/>
      <x:c r="B73" s="32"/>
      <x:c r="C73" s="32"/>
      <x:c r="D73" s="32"/>
      <x:c r="E73" s="32"/>
      <x:c r="F73" s="32"/>
      <x:c r="H73" s="32"/>
      <x:c r="I73" s="32"/>
      <x:c r="J73" s="32"/>
    </x:row>
    <x:row r="74">
      <x:c r="A74" s="32"/>
      <x:c r="B74" s="32"/>
      <x:c r="C74" s="32"/>
      <x:c r="D74" s="32"/>
      <x:c r="E74" s="32"/>
      <x:c r="F74" s="32"/>
      <x:c r="H74" s="32"/>
      <x:c r="I74" s="32"/>
      <x:c r="J74" s="32"/>
    </x:row>
    <x:row r="75">
      <x:c r="A75" s="32"/>
      <x:c r="B75" s="32"/>
      <x:c r="C75" s="32"/>
      <x:c r="D75" s="32"/>
      <x:c r="E75" s="32"/>
      <x:c r="F75" s="32"/>
      <x:c r="H75" s="32"/>
      <x:c r="I75" s="32"/>
      <x:c r="J75" s="32"/>
    </x:row>
    <x:row r="76">
      <x:c r="A76" s="32"/>
      <x:c r="B76" s="32"/>
      <x:c r="C76" s="32"/>
      <x:c r="D76" s="32"/>
      <x:c r="E76" s="32"/>
      <x:c r="F76" s="32"/>
      <x:c r="H76" s="32"/>
      <x:c r="I76" s="32"/>
      <x:c r="J76" s="32"/>
    </x:row>
    <x:row r="77">
      <x:c r="A77" s="32"/>
      <x:c r="B77" s="32"/>
      <x:c r="C77" s="32"/>
      <x:c r="D77" s="32"/>
      <x:c r="E77" s="32"/>
      <x:c r="F77" s="32"/>
      <x:c r="H77" s="32"/>
      <x:c r="I77" s="32"/>
      <x:c r="J77" s="32"/>
    </x:row>
    <x:row r="78">
      <x:c r="A78" s="32"/>
      <x:c r="B78" s="32"/>
      <x:c r="C78" s="32"/>
      <x:c r="D78" s="32"/>
      <x:c r="E78" s="32"/>
      <x:c r="F78" s="32"/>
      <x:c r="H78" s="32"/>
      <x:c r="I78" s="32"/>
      <x:c r="J78" s="32"/>
    </x:row>
    <x:row r="79">
      <x:c r="A79" s="32"/>
      <x:c r="B79" s="32"/>
      <x:c r="C79" s="32"/>
      <x:c r="D79" s="32"/>
      <x:c r="E79" s="32"/>
      <x:c r="F79" s="32"/>
      <x:c r="H79" s="32"/>
      <x:c r="I79" s="32"/>
      <x:c r="J79" s="32"/>
    </x:row>
    <x:row r="80">
      <x:c r="A80" s="32"/>
      <x:c r="B80" s="32"/>
      <x:c r="C80" s="32"/>
      <x:c r="D80" s="32"/>
      <x:c r="E80" s="32"/>
      <x:c r="F80" s="32"/>
      <x:c r="H80" s="32"/>
      <x:c r="I80" s="32"/>
      <x:c r="J80" s="32"/>
    </x:row>
    <x:row r="81">
      <x:c r="A81" s="32"/>
      <x:c r="B81" s="32"/>
      <x:c r="C81" s="32"/>
      <x:c r="D81" s="32"/>
      <x:c r="E81" s="32"/>
      <x:c r="F81" s="32"/>
      <x:c r="H81" s="32"/>
      <x:c r="I81" s="32"/>
      <x:c r="J81" s="32"/>
    </x:row>
    <x:row r="82">
      <x:c r="A82" s="32"/>
      <x:c r="B82" s="32"/>
      <x:c r="C82" s="32"/>
      <x:c r="D82" s="32"/>
      <x:c r="E82" s="32"/>
      <x:c r="F82" s="32"/>
      <x:c r="H82" s="32"/>
      <x:c r="I82" s="32"/>
      <x:c r="J82" s="32"/>
    </x:row>
    <x:row r="83">
      <x:c r="A83" s="32"/>
      <x:c r="B83" s="32"/>
      <x:c r="C83" s="32"/>
      <x:c r="D83" s="32"/>
      <x:c r="E83" s="32"/>
      <x:c r="F83" s="32"/>
      <x:c r="H83" s="32"/>
      <x:c r="I83" s="32"/>
      <x:c r="J83" s="32"/>
    </x:row>
    <x:row r="84">
      <x:c r="A84" s="32"/>
      <x:c r="B84" s="32"/>
      <x:c r="C84" s="32"/>
      <x:c r="D84" s="32"/>
      <x:c r="E84" s="32"/>
      <x:c r="F84" s="32"/>
      <x:c r="H84" s="32"/>
      <x:c r="I84" s="32"/>
      <x:c r="J84" s="32"/>
    </x:row>
    <x:row r="85">
      <x:c r="A85" s="32"/>
      <x:c r="B85" s="32"/>
      <x:c r="C85" s="32"/>
      <x:c r="D85" s="32"/>
      <x:c r="E85" s="32"/>
      <x:c r="F85" s="32"/>
      <x:c r="H85" s="32"/>
      <x:c r="I85" s="32"/>
      <x:c r="J85" s="32"/>
    </x:row>
    <x:row r="86">
      <x:c r="A86" s="32"/>
      <x:c r="B86" s="32"/>
      <x:c r="C86" s="32"/>
      <x:c r="D86" s="32"/>
      <x:c r="E86" s="32"/>
      <x:c r="F86" s="32"/>
      <x:c r="H86" s="32"/>
      <x:c r="I86" s="32"/>
      <x:c r="J86" s="32"/>
    </x:row>
    <x:row r="87">
      <x:c r="A87" s="32"/>
      <x:c r="B87" s="32"/>
      <x:c r="C87" s="32"/>
      <x:c r="D87" s="32"/>
      <x:c r="E87" s="32"/>
      <x:c r="F87" s="32"/>
      <x:c r="H87" s="32"/>
      <x:c r="I87" s="32"/>
      <x:c r="J87" s="32"/>
    </x:row>
    <x:row r="88">
      <x:c r="A88" s="32"/>
      <x:c r="B88" s="32"/>
      <x:c r="C88" s="32"/>
      <x:c r="D88" s="32"/>
      <x:c r="E88" s="32"/>
      <x:c r="F88" s="32"/>
      <x:c r="H88" s="32"/>
      <x:c r="I88" s="32"/>
      <x:c r="J88" s="32"/>
    </x:row>
    <x:row r="89">
      <x:c r="A89" s="32"/>
      <x:c r="B89" s="32"/>
      <x:c r="C89" s="32"/>
      <x:c r="D89" s="32"/>
      <x:c r="E89" s="32"/>
      <x:c r="F89" s="32"/>
      <x:c r="H89" s="32"/>
      <x:c r="I89" s="32"/>
      <x:c r="J89" s="32"/>
    </x:row>
    <x:row r="90">
      <x:c r="A90" s="32"/>
      <x:c r="B90" s="32"/>
      <x:c r="C90" s="32"/>
      <x:c r="D90" s="32"/>
      <x:c r="E90" s="32"/>
      <x:c r="F90" s="32"/>
      <x:c r="H90" s="32"/>
      <x:c r="I90" s="32"/>
      <x:c r="J90" s="32"/>
    </x:row>
    <x:row r="91">
      <x:c r="A91" s="32"/>
      <x:c r="B91" s="32"/>
      <x:c r="C91" s="32"/>
      <x:c r="D91" s="32"/>
      <x:c r="E91" s="32"/>
      <x:c r="F91" s="32"/>
      <x:c r="H91" s="32"/>
      <x:c r="I91" s="32"/>
      <x:c r="J91" s="32"/>
    </x:row>
    <x:row r="92">
      <x:c r="A92" s="32"/>
      <x:c r="B92" s="32"/>
      <x:c r="C92" s="32"/>
      <x:c r="D92" s="32"/>
      <x:c r="E92" s="32"/>
      <x:c r="F92" s="32"/>
      <x:c r="H92" s="32"/>
      <x:c r="I92" s="32"/>
      <x:c r="J92" s="32"/>
    </x:row>
    <x:row r="93">
      <x:c r="A93" s="32"/>
      <x:c r="B93" s="32"/>
      <x:c r="C93" s="32"/>
      <x:c r="D93" s="32"/>
      <x:c r="E93" s="32"/>
      <x:c r="F93" s="32"/>
      <x:c r="H93" s="32"/>
      <x:c r="I93" s="32"/>
      <x:c r="J93" s="32"/>
    </x:row>
    <x:row r="94">
      <x:c r="A94" s="32"/>
      <x:c r="B94" s="32"/>
      <x:c r="C94" s="32"/>
      <x:c r="D94" s="32"/>
      <x:c r="E94" s="32"/>
      <x:c r="F94" s="32"/>
      <x:c r="H94" s="32"/>
      <x:c r="I94" s="32"/>
      <x:c r="J94" s="32"/>
    </x:row>
    <x:row r="95">
      <x:c r="A95" s="32"/>
      <x:c r="B95" s="32"/>
      <x:c r="C95" s="32"/>
      <x:c r="D95" s="32"/>
      <x:c r="E95" s="32"/>
      <x:c r="F95" s="32"/>
      <x:c r="H95" s="32"/>
      <x:c r="I95" s="32"/>
      <x:c r="J95" s="32"/>
    </x:row>
    <x:row r="96">
      <x:c r="A96" s="32"/>
      <x:c r="B96" s="32"/>
      <x:c r="C96" s="32"/>
      <x:c r="D96" s="32"/>
      <x:c r="E96" s="32"/>
      <x:c r="F96" s="32"/>
      <x:c r="H96" s="32"/>
      <x:c r="I96" s="32"/>
      <x:c r="J96" s="32"/>
    </x:row>
    <x:row r="97">
      <x:c r="A97" s="32"/>
      <x:c r="B97" s="32"/>
      <x:c r="C97" s="32"/>
      <x:c r="D97" s="32"/>
      <x:c r="E97" s="32"/>
      <x:c r="F97" s="32"/>
      <x:c r="H97" s="32"/>
      <x:c r="I97" s="32"/>
      <x:c r="J97" s="32"/>
    </x:row>
    <x:row r="98">
      <x:c r="A98" s="32"/>
      <x:c r="B98" s="32"/>
      <x:c r="C98" s="32"/>
      <x:c r="D98" s="32"/>
      <x:c r="E98" s="32"/>
      <x:c r="F98" s="32"/>
      <x:c r="H98" s="32"/>
      <x:c r="I98" s="32"/>
      <x:c r="J98" s="32"/>
    </x:row>
    <x:row r="99">
      <x:c r="A99" s="32"/>
      <x:c r="B99" s="32"/>
      <x:c r="C99" s="32"/>
      <x:c r="D99" s="32"/>
      <x:c r="E99" s="32"/>
      <x:c r="F99" s="32"/>
      <x:c r="H99" s="32"/>
      <x:c r="I99" s="32"/>
      <x:c r="J99" s="32"/>
    </x:row>
    <x:row r="100">
      <x:c r="A100" s="32"/>
      <x:c r="B100" s="32"/>
      <x:c r="C100" s="32"/>
      <x:c r="D100" s="32"/>
      <x:c r="E100" s="32"/>
      <x:c r="F100" s="32"/>
      <x:c r="H100" s="32"/>
      <x:c r="I100" s="32"/>
      <x:c r="J100" s="32"/>
    </x:row>
  </x:sheetData>
  <x:pageMargins left="0.7" right="0.7" top="0.75" bottom="0.75" header="0.3" footer="0.3"/>
  <x:tableParts count="1">
    <x:tablePart xmlns:r="http://schemas.openxmlformats.org/officeDocument/2006/relationships" r:id="R9dd89253a9754d63"/>
  </x:tableParts>
</x:worksheet>
</file>

<file path=xl/worksheets/sheet8.xml><?xml version="1.0" encoding="utf-8"?>
<x:worksheet xmlns:x="http://schemas.openxmlformats.org/spreadsheetml/2006/main">
  <x:sheetPr>
    <x:tabColor rgb="FFD6A84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6" hidden="0" customWidth="1"/>
    <x:col min="10" max="10" width="17" hidden="0" customWidth="1"/>
    <x:col min="11" max="11" width="12" hidden="0" customWidth="1"/>
  </x:cols>
  <x:sheetData>
    <x:row r="2">
      <x:c r="A2" s="13" t="str">
        <x:v>Công nợ phải thu mẫu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3">
      <x:c r="A3" s="14" t="str">
        <x:v>Số liệu DEMO tính tuổi nợ tại ngày 01/10/2026.</x:v>
      </x:c>
      <x:c r="B3" s="14"/>
      <x:c r="C3" s="14"/>
      <x:c r="D3" s="14"/>
      <x:c r="E3" s="14"/>
      <x:c r="F3" s="14"/>
      <x:c r="G3" s="14"/>
      <x:c r="H3" s="14"/>
      <x:c r="I3" s="14"/>
      <x:c r="J3" s="14"/>
      <x:c r="K3" s="14"/>
    </x:row>
    <x:row r="4" ht="32" customHeight="1">
      <x:c r="A4" s="23" t="str">
        <x:v>Chứng từ</x:v>
      </x:c>
      <x:c r="B4" s="24" t="str">
        <x:v>Mã khách</x:v>
      </x:c>
      <x:c r="C4" s="24" t="str">
        <x:v>Tên khách</x:v>
      </x:c>
      <x:c r="D4" s="24" t="str">
        <x:v>Ngày chứng từ</x:v>
      </x:c>
      <x:c r="E4" s="24" t="str">
        <x:v>Phải thu</x:v>
      </x:c>
      <x:c r="F4" s="24" t="str">
        <x:v>Đã thu</x:v>
      </x:c>
      <x:c r="G4" s="24" t="str">
        <x:v>Còn lại</x:v>
      </x:c>
      <x:c r="H4" s="24" t="str">
        <x:v>Hạn thanh toán</x:v>
      </x:c>
      <x:c r="I4" s="24" t="str">
        <x:v>Quá hạn (ngày)</x:v>
      </x:c>
      <x:c r="J4" s="24" t="str">
        <x:v>Nhóm tuổi nợ</x:v>
      </x:c>
      <x:c r="K4" s="25" t="str">
        <x:v>Nguồn</x:v>
      </x:c>
    </x:row>
    <x:row r="5" ht="23" customHeight="1">
      <x:c r="A5" s="29" t="str">
        <x:v>AR-DEMO-001</x:v>
      </x:c>
      <x:c r="B5" s="29" t="str">
        <x:v>DL-MINHPHAT</x:v>
      </x:c>
      <x:c r="C5" s="29" t="str">
        <x:v>Đại lý Minh Phát</x:v>
      </x:c>
      <x:c r="D5" s="42" t="d">
        <x:v>2026-08-21T00:00:00.000Z</x:v>
      </x:c>
      <x:c r="E5" s="33" t="n">
        <x:v>82000000</x:v>
      </x:c>
      <x:c r="F5" s="33" t="n">
        <x:v>20000000</x:v>
      </x:c>
      <x:c r="G5" s="39" t="n">
        <x:f>E5-F5</x:f>
        <x:v>62000000</x:v>
      </x:c>
      <x:c r="H5" s="42" t="d">
        <x:v>2026-09-20T00:00:00.000Z</x:v>
      </x:c>
      <x:c r="I5" s="26" t="n">
        <x:f>MAX(0,DATE(2026,10,1)-H5)</x:f>
        <x:v>11</x:v>
      </x:c>
      <x:c r="J5" s="26" t="str">
        <x:f>IF(G5=0,"ĐÃ THU",IF(I5=0,"CHƯA ĐẾN HẠN",IF(I5&lt;=30,"1-30",IF(I5&lt;=60,"31-60",IF(I5&lt;=90,"61-90","&gt;90")))))</x:f>
        <x:v>1-30</x:v>
      </x:c>
      <x:c r="K5" s="26" t="str">
        <x:v>DEMO</x:v>
      </x:c>
    </x:row>
    <x:row r="6" ht="23" customHeight="1">
      <x:c r="A6" s="30" t="str">
        <x:v>AR-DEMO-002</x:v>
      </x:c>
      <x:c r="B6" s="30" t="str">
        <x:v>KH-ANKHANG</x:v>
      </x:c>
      <x:c r="C6" s="30" t="str">
        <x:v>Cơ khí An Khang</x:v>
      </x:c>
      <x:c r="D6" s="43" t="d">
        <x:v>2026-09-24T00:00:00.000Z</x:v>
      </x:c>
      <x:c r="E6" s="34" t="n">
        <x:v>45000000</x:v>
      </x:c>
      <x:c r="F6" s="34" t="n">
        <x:v>0</x:v>
      </x:c>
      <x:c r="G6" s="40" t="n">
        <x:f>E6-F6</x:f>
        <x:v>45000000</x:v>
      </x:c>
      <x:c r="H6" s="43" t="d">
        <x:v>2026-10-15T00:00:00.000Z</x:v>
      </x:c>
      <x:c r="I6" s="27" t="n">
        <x:f>MAX(0,DATE(2026,10,1)-H6)</x:f>
        <x:v>0</x:v>
      </x:c>
      <x:c r="J6" s="27" t="str">
        <x:f>IF(G6=0,"ĐÃ THU",IF(I6=0,"CHƯA ĐẾN HẠN",IF(I6&lt;=30,"1-30",IF(I6&lt;=60,"31-60",IF(I6&lt;=90,"61-90","&gt;90")))))</x:f>
        <x:v>CHƯA ĐẾN HẠN</x:v>
      </x:c>
      <x:c r="K6" s="27" t="str">
        <x:v>DEMO</x:v>
      </x:c>
    </x:row>
    <x:row r="7" ht="23" customHeight="1">
      <x:c r="A7" s="30" t="str">
        <x:v>AR-DEMO-003</x:v>
      </x:c>
      <x:c r="B7" s="30" t="str">
        <x:v>KH-HUNGGIA</x:v>
      </x:c>
      <x:c r="C7" s="30" t="str">
        <x:v>Xây dựng Hưng Gia</x:v>
      </x:c>
      <x:c r="D7" s="43" t="d">
        <x:v>2026-07-21T00:00:00.000Z</x:v>
      </x:c>
      <x:c r="E7" s="34" t="n">
        <x:v>130000000</x:v>
      </x:c>
      <x:c r="F7" s="34" t="n">
        <x:v>50000000</x:v>
      </x:c>
      <x:c r="G7" s="40" t="n">
        <x:f>E7-F7</x:f>
        <x:v>80000000</x:v>
      </x:c>
      <x:c r="H7" s="43" t="d">
        <x:v>2026-08-20T00:00:00.000Z</x:v>
      </x:c>
      <x:c r="I7" s="27" t="n">
        <x:f>MAX(0,DATE(2026,10,1)-H7)</x:f>
        <x:v>42</x:v>
      </x:c>
      <x:c r="J7" s="27" t="str">
        <x:f>IF(G7=0,"ĐÃ THU",IF(I7=0,"CHƯA ĐẾN HẠN",IF(I7&lt;=30,"1-30",IF(I7&lt;=60,"31-60",IF(I7&lt;=90,"61-90","&gt;90")))))</x:f>
        <x:v>31-60</x:v>
      </x:c>
      <x:c r="K7" s="27" t="str">
        <x:v>DEMO</x:v>
      </x:c>
    </x:row>
    <x:row r="8" ht="23" customHeight="1">
      <x:c r="A8" s="31" t="str">
        <x:v>AR-DEMO-004</x:v>
      </x:c>
      <x:c r="B8" s="31" t="str">
        <x:v>DL-MINHPHAT</x:v>
      </x:c>
      <x:c r="C8" s="31" t="str">
        <x:v>Đại lý Minh Phát</x:v>
      </x:c>
      <x:c r="D8" s="44" t="d">
        <x:v>2026-08-02T00:00:00.000Z</x:v>
      </x:c>
      <x:c r="E8" s="35" t="n">
        <x:v>30000000</x:v>
      </x:c>
      <x:c r="F8" s="35" t="n">
        <x:v>30000000</x:v>
      </x:c>
      <x:c r="G8" s="41" t="n">
        <x:f>E8-F8</x:f>
        <x:v>0</x:v>
      </x:c>
      <x:c r="H8" s="44" t="d">
        <x:v>2026-09-01T00:00:00.000Z</x:v>
      </x:c>
      <x:c r="I8" s="28" t="n">
        <x:f>MAX(0,DATE(2026,10,1)-H8)</x:f>
        <x:v>30</x:v>
      </x:c>
      <x:c r="J8" s="28" t="str">
        <x:f>IF(G8=0,"ĐÃ THU",IF(I8=0,"CHƯA ĐẾN HẠN",IF(I8&lt;=30,"1-30",IF(I8&lt;=60,"31-60",IF(I8&lt;=90,"61-90","&gt;90")))))</x:f>
        <x:v>ĐÃ THU</x:v>
      </x:c>
      <x:c r="K8" s="28" t="str">
        <x:v>DEMO</x:v>
      </x:c>
    </x:row>
    <x:row r="9">
      <x:c r="A9" s="32"/>
      <x:c r="B9" s="32"/>
      <x:c r="C9" s="32"/>
      <x:c r="D9" s="32"/>
      <x:c r="E9" s="32"/>
      <x:c r="F9" s="32"/>
      <x:c r="H9" s="32"/>
    </x:row>
    <x:row r="10">
      <x:c r="A10" s="32"/>
      <x:c r="B10" s="32"/>
      <x:c r="C10" s="32"/>
      <x:c r="D10" s="32"/>
      <x:c r="E10" s="32"/>
      <x:c r="F10" s="32"/>
      <x:c r="H10" s="32"/>
    </x:row>
    <x:row r="11">
      <x:c r="A11" s="32"/>
      <x:c r="B11" s="32"/>
      <x:c r="C11" s="32"/>
      <x:c r="D11" s="32"/>
      <x:c r="E11" s="32"/>
      <x:c r="F11" s="32"/>
      <x:c r="H11" s="32"/>
    </x:row>
    <x:row r="12">
      <x:c r="A12" s="32"/>
      <x:c r="B12" s="32"/>
      <x:c r="C12" s="32"/>
      <x:c r="D12" s="32"/>
      <x:c r="E12" s="32"/>
      <x:c r="F12" s="32"/>
      <x:c r="H12" s="32"/>
    </x:row>
    <x:row r="13">
      <x:c r="A13" s="32"/>
      <x:c r="B13" s="32"/>
      <x:c r="C13" s="32"/>
      <x:c r="D13" s="32"/>
      <x:c r="E13" s="32"/>
      <x:c r="F13" s="32"/>
      <x:c r="H13" s="32"/>
    </x:row>
    <x:row r="14">
      <x:c r="A14" s="32"/>
      <x:c r="B14" s="32"/>
      <x:c r="C14" s="32"/>
      <x:c r="D14" s="32"/>
      <x:c r="E14" s="32"/>
      <x:c r="F14" s="32"/>
      <x:c r="H14" s="32"/>
    </x:row>
    <x:row r="15">
      <x:c r="A15" s="32"/>
      <x:c r="B15" s="32"/>
      <x:c r="C15" s="32"/>
      <x:c r="D15" s="32"/>
      <x:c r="E15" s="32"/>
      <x:c r="F15" s="32"/>
      <x:c r="H15" s="32"/>
    </x:row>
    <x:row r="16">
      <x:c r="A16" s="32"/>
      <x:c r="B16" s="32"/>
      <x:c r="C16" s="32"/>
      <x:c r="D16" s="32"/>
      <x:c r="E16" s="32"/>
      <x:c r="F16" s="32"/>
      <x:c r="H16" s="32"/>
    </x:row>
    <x:row r="17">
      <x:c r="A17" s="32"/>
      <x:c r="B17" s="32"/>
      <x:c r="C17" s="32"/>
      <x:c r="D17" s="32"/>
      <x:c r="E17" s="32"/>
      <x:c r="F17" s="32"/>
      <x:c r="H17" s="32"/>
    </x:row>
    <x:row r="18">
      <x:c r="A18" s="32"/>
      <x:c r="B18" s="32"/>
      <x:c r="C18" s="32"/>
      <x:c r="D18" s="32"/>
      <x:c r="E18" s="32"/>
      <x:c r="F18" s="32"/>
      <x:c r="H18" s="32"/>
    </x:row>
    <x:row r="19">
      <x:c r="A19" s="32"/>
      <x:c r="B19" s="32"/>
      <x:c r="C19" s="32"/>
      <x:c r="D19" s="32"/>
      <x:c r="E19" s="32"/>
      <x:c r="F19" s="32"/>
      <x:c r="H19" s="32"/>
    </x:row>
    <x:row r="20">
      <x:c r="A20" s="32"/>
      <x:c r="B20" s="32"/>
      <x:c r="C20" s="32"/>
      <x:c r="D20" s="32"/>
      <x:c r="E20" s="32"/>
      <x:c r="F20" s="32"/>
      <x:c r="H20" s="32"/>
    </x:row>
    <x:row r="21">
      <x:c r="A21" s="32"/>
      <x:c r="B21" s="32"/>
      <x:c r="C21" s="32"/>
      <x:c r="D21" s="32"/>
      <x:c r="E21" s="32"/>
      <x:c r="F21" s="32"/>
      <x:c r="H21" s="32"/>
    </x:row>
    <x:row r="22">
      <x:c r="A22" s="32"/>
      <x:c r="B22" s="32"/>
      <x:c r="C22" s="32"/>
      <x:c r="D22" s="32"/>
      <x:c r="E22" s="32"/>
      <x:c r="F22" s="32"/>
      <x:c r="H22" s="32"/>
    </x:row>
    <x:row r="23">
      <x:c r="A23" s="32"/>
      <x:c r="B23" s="32"/>
      <x:c r="C23" s="32"/>
      <x:c r="D23" s="32"/>
      <x:c r="E23" s="32"/>
      <x:c r="F23" s="32"/>
      <x:c r="H23" s="32"/>
    </x:row>
    <x:row r="24">
      <x:c r="A24" s="32"/>
      <x:c r="B24" s="32"/>
      <x:c r="C24" s="32"/>
      <x:c r="D24" s="32"/>
      <x:c r="E24" s="32"/>
      <x:c r="F24" s="32"/>
      <x:c r="H24" s="32"/>
    </x:row>
    <x:row r="25">
      <x:c r="A25" s="32"/>
      <x:c r="B25" s="32"/>
      <x:c r="C25" s="32"/>
      <x:c r="D25" s="32"/>
      <x:c r="E25" s="32"/>
      <x:c r="F25" s="32"/>
      <x:c r="H25" s="32"/>
    </x:row>
    <x:row r="26">
      <x:c r="A26" s="32"/>
      <x:c r="B26" s="32"/>
      <x:c r="C26" s="32"/>
      <x:c r="D26" s="32"/>
      <x:c r="E26" s="32"/>
      <x:c r="F26" s="32"/>
      <x:c r="H26" s="32"/>
    </x:row>
    <x:row r="27">
      <x:c r="A27" s="32"/>
      <x:c r="B27" s="32"/>
      <x:c r="C27" s="32"/>
      <x:c r="D27" s="32"/>
      <x:c r="E27" s="32"/>
      <x:c r="F27" s="32"/>
      <x:c r="H27" s="32"/>
    </x:row>
    <x:row r="28">
      <x:c r="A28" s="32"/>
      <x:c r="B28" s="32"/>
      <x:c r="C28" s="32"/>
      <x:c r="D28" s="32"/>
      <x:c r="E28" s="32"/>
      <x:c r="F28" s="32"/>
      <x:c r="H28" s="32"/>
    </x:row>
    <x:row r="29">
      <x:c r="A29" s="32"/>
      <x:c r="B29" s="32"/>
      <x:c r="C29" s="32"/>
      <x:c r="D29" s="32"/>
      <x:c r="E29" s="32"/>
      <x:c r="F29" s="32"/>
      <x:c r="H29" s="32"/>
    </x:row>
    <x:row r="30">
      <x:c r="A30" s="32"/>
      <x:c r="B30" s="32"/>
      <x:c r="C30" s="32"/>
      <x:c r="D30" s="32"/>
      <x:c r="E30" s="32"/>
      <x:c r="F30" s="32"/>
      <x:c r="H30" s="32"/>
    </x:row>
    <x:row r="31">
      <x:c r="A31" s="32"/>
      <x:c r="B31" s="32"/>
      <x:c r="C31" s="32"/>
      <x:c r="D31" s="32"/>
      <x:c r="E31" s="32"/>
      <x:c r="F31" s="32"/>
      <x:c r="H31" s="32"/>
    </x:row>
    <x:row r="32">
      <x:c r="A32" s="32"/>
      <x:c r="B32" s="32"/>
      <x:c r="C32" s="32"/>
      <x:c r="D32" s="32"/>
      <x:c r="E32" s="32"/>
      <x:c r="F32" s="32"/>
      <x:c r="H32" s="32"/>
    </x:row>
    <x:row r="33">
      <x:c r="A33" s="32"/>
      <x:c r="B33" s="32"/>
      <x:c r="C33" s="32"/>
      <x:c r="D33" s="32"/>
      <x:c r="E33" s="32"/>
      <x:c r="F33" s="32"/>
      <x:c r="H33" s="32"/>
    </x:row>
    <x:row r="34">
      <x:c r="A34" s="32"/>
      <x:c r="B34" s="32"/>
      <x:c r="C34" s="32"/>
      <x:c r="D34" s="32"/>
      <x:c r="E34" s="32"/>
      <x:c r="F34" s="32"/>
      <x:c r="H34" s="32"/>
    </x:row>
    <x:row r="35">
      <x:c r="A35" s="32"/>
      <x:c r="B35" s="32"/>
      <x:c r="C35" s="32"/>
      <x:c r="D35" s="32"/>
      <x:c r="E35" s="32"/>
      <x:c r="F35" s="32"/>
      <x:c r="H35" s="32"/>
    </x:row>
    <x:row r="36">
      <x:c r="A36" s="32"/>
      <x:c r="B36" s="32"/>
      <x:c r="C36" s="32"/>
      <x:c r="D36" s="32"/>
      <x:c r="E36" s="32"/>
      <x:c r="F36" s="32"/>
      <x:c r="H36" s="32"/>
    </x:row>
    <x:row r="37">
      <x:c r="A37" s="32"/>
      <x:c r="B37" s="32"/>
      <x:c r="C37" s="32"/>
      <x:c r="D37" s="32"/>
      <x:c r="E37" s="32"/>
      <x:c r="F37" s="32"/>
      <x:c r="H37" s="32"/>
    </x:row>
    <x:row r="38">
      <x:c r="A38" s="32"/>
      <x:c r="B38" s="32"/>
      <x:c r="C38" s="32"/>
      <x:c r="D38" s="32"/>
      <x:c r="E38" s="32"/>
      <x:c r="F38" s="32"/>
      <x:c r="H38" s="32"/>
    </x:row>
    <x:row r="39">
      <x:c r="A39" s="32"/>
      <x:c r="B39" s="32"/>
      <x:c r="C39" s="32"/>
      <x:c r="D39" s="32"/>
      <x:c r="E39" s="32"/>
      <x:c r="F39" s="32"/>
      <x:c r="H39" s="32"/>
    </x:row>
    <x:row r="40">
      <x:c r="A40" s="32"/>
      <x:c r="B40" s="32"/>
      <x:c r="C40" s="32"/>
      <x:c r="D40" s="32"/>
      <x:c r="E40" s="32"/>
      <x:c r="F40" s="32"/>
      <x:c r="H40" s="32"/>
    </x:row>
    <x:row r="41">
      <x:c r="A41" s="32"/>
      <x:c r="B41" s="32"/>
      <x:c r="C41" s="32"/>
      <x:c r="D41" s="32"/>
      <x:c r="E41" s="32"/>
      <x:c r="F41" s="32"/>
      <x:c r="H41" s="32"/>
    </x:row>
    <x:row r="42">
      <x:c r="A42" s="32"/>
      <x:c r="B42" s="32"/>
      <x:c r="C42" s="32"/>
      <x:c r="D42" s="32"/>
      <x:c r="E42" s="32"/>
      <x:c r="F42" s="32"/>
      <x:c r="H42" s="32"/>
    </x:row>
    <x:row r="43">
      <x:c r="A43" s="32"/>
      <x:c r="B43" s="32"/>
      <x:c r="C43" s="32"/>
      <x:c r="D43" s="32"/>
      <x:c r="E43" s="32"/>
      <x:c r="F43" s="32"/>
      <x:c r="H43" s="32"/>
    </x:row>
    <x:row r="44">
      <x:c r="A44" s="32"/>
      <x:c r="B44" s="32"/>
      <x:c r="C44" s="32"/>
      <x:c r="D44" s="32"/>
      <x:c r="E44" s="32"/>
      <x:c r="F44" s="32"/>
      <x:c r="H44" s="32"/>
    </x:row>
    <x:row r="45">
      <x:c r="A45" s="32"/>
      <x:c r="B45" s="32"/>
      <x:c r="C45" s="32"/>
      <x:c r="D45" s="32"/>
      <x:c r="E45" s="32"/>
      <x:c r="F45" s="32"/>
      <x:c r="H45" s="32"/>
    </x:row>
    <x:row r="46">
      <x:c r="A46" s="32"/>
      <x:c r="B46" s="32"/>
      <x:c r="C46" s="32"/>
      <x:c r="D46" s="32"/>
      <x:c r="E46" s="32"/>
      <x:c r="F46" s="32"/>
      <x:c r="H46" s="32"/>
    </x:row>
    <x:row r="47">
      <x:c r="A47" s="32"/>
      <x:c r="B47" s="32"/>
      <x:c r="C47" s="32"/>
      <x:c r="D47" s="32"/>
      <x:c r="E47" s="32"/>
      <x:c r="F47" s="32"/>
      <x:c r="H47" s="32"/>
    </x:row>
    <x:row r="48">
      <x:c r="A48" s="32"/>
      <x:c r="B48" s="32"/>
      <x:c r="C48" s="32"/>
      <x:c r="D48" s="32"/>
      <x:c r="E48" s="32"/>
      <x:c r="F48" s="32"/>
      <x:c r="H48" s="32"/>
    </x:row>
    <x:row r="49">
      <x:c r="A49" s="32"/>
      <x:c r="B49" s="32"/>
      <x:c r="C49" s="32"/>
      <x:c r="D49" s="32"/>
      <x:c r="E49" s="32"/>
      <x:c r="F49" s="32"/>
      <x:c r="H49" s="32"/>
    </x:row>
    <x:row r="50">
      <x:c r="A50" s="32"/>
      <x:c r="B50" s="32"/>
      <x:c r="C50" s="32"/>
      <x:c r="D50" s="32"/>
      <x:c r="E50" s="32"/>
      <x:c r="F50" s="32"/>
      <x:c r="H50" s="32"/>
    </x:row>
    <x:row r="51">
      <x:c r="A51" s="32"/>
      <x:c r="B51" s="32"/>
      <x:c r="C51" s="32"/>
      <x:c r="D51" s="32"/>
      <x:c r="E51" s="32"/>
      <x:c r="F51" s="32"/>
      <x:c r="H51" s="32"/>
    </x:row>
    <x:row r="52">
      <x:c r="A52" s="32"/>
      <x:c r="B52" s="32"/>
      <x:c r="C52" s="32"/>
      <x:c r="D52" s="32"/>
      <x:c r="E52" s="32"/>
      <x:c r="F52" s="32"/>
      <x:c r="H52" s="32"/>
    </x:row>
    <x:row r="53">
      <x:c r="A53" s="32"/>
      <x:c r="B53" s="32"/>
      <x:c r="C53" s="32"/>
      <x:c r="D53" s="32"/>
      <x:c r="E53" s="32"/>
      <x:c r="F53" s="32"/>
      <x:c r="H53" s="32"/>
    </x:row>
    <x:row r="54">
      <x:c r="A54" s="32"/>
      <x:c r="B54" s="32"/>
      <x:c r="C54" s="32"/>
      <x:c r="D54" s="32"/>
      <x:c r="E54" s="32"/>
      <x:c r="F54" s="32"/>
      <x:c r="H54" s="32"/>
    </x:row>
    <x:row r="55">
      <x:c r="A55" s="32"/>
      <x:c r="B55" s="32"/>
      <x:c r="C55" s="32"/>
      <x:c r="D55" s="32"/>
      <x:c r="E55" s="32"/>
      <x:c r="F55" s="32"/>
      <x:c r="H55" s="32"/>
    </x:row>
    <x:row r="56">
      <x:c r="A56" s="32"/>
      <x:c r="B56" s="32"/>
      <x:c r="C56" s="32"/>
      <x:c r="D56" s="32"/>
      <x:c r="E56" s="32"/>
      <x:c r="F56" s="32"/>
      <x:c r="H56" s="32"/>
    </x:row>
    <x:row r="57">
      <x:c r="A57" s="32"/>
      <x:c r="B57" s="32"/>
      <x:c r="C57" s="32"/>
      <x:c r="D57" s="32"/>
      <x:c r="E57" s="32"/>
      <x:c r="F57" s="32"/>
      <x:c r="H57" s="32"/>
    </x:row>
    <x:row r="58">
      <x:c r="A58" s="32"/>
      <x:c r="B58" s="32"/>
      <x:c r="C58" s="32"/>
      <x:c r="D58" s="32"/>
      <x:c r="E58" s="32"/>
      <x:c r="F58" s="32"/>
      <x:c r="H58" s="32"/>
    </x:row>
    <x:row r="59">
      <x:c r="A59" s="32"/>
      <x:c r="B59" s="32"/>
      <x:c r="C59" s="32"/>
      <x:c r="D59" s="32"/>
      <x:c r="E59" s="32"/>
      <x:c r="F59" s="32"/>
      <x:c r="H59" s="32"/>
    </x:row>
    <x:row r="60">
      <x:c r="A60" s="32"/>
      <x:c r="B60" s="32"/>
      <x:c r="C60" s="32"/>
      <x:c r="D60" s="32"/>
      <x:c r="E60" s="32"/>
      <x:c r="F60" s="32"/>
      <x:c r="H60" s="32"/>
    </x:row>
    <x:row r="61">
      <x:c r="A61" s="32"/>
      <x:c r="B61" s="32"/>
      <x:c r="C61" s="32"/>
      <x:c r="D61" s="32"/>
      <x:c r="E61" s="32"/>
      <x:c r="F61" s="32"/>
      <x:c r="H61" s="32"/>
    </x:row>
    <x:row r="62">
      <x:c r="A62" s="32"/>
      <x:c r="B62" s="32"/>
      <x:c r="C62" s="32"/>
      <x:c r="D62" s="32"/>
      <x:c r="E62" s="32"/>
      <x:c r="F62" s="32"/>
      <x:c r="H62" s="32"/>
    </x:row>
    <x:row r="63">
      <x:c r="A63" s="32"/>
      <x:c r="B63" s="32"/>
      <x:c r="C63" s="32"/>
      <x:c r="D63" s="32"/>
      <x:c r="E63" s="32"/>
      <x:c r="F63" s="32"/>
      <x:c r="H63" s="32"/>
    </x:row>
    <x:row r="64">
      <x:c r="A64" s="32"/>
      <x:c r="B64" s="32"/>
      <x:c r="C64" s="32"/>
      <x:c r="D64" s="32"/>
      <x:c r="E64" s="32"/>
      <x:c r="F64" s="32"/>
      <x:c r="H64" s="32"/>
    </x:row>
    <x:row r="65">
      <x:c r="A65" s="32"/>
      <x:c r="B65" s="32"/>
      <x:c r="C65" s="32"/>
      <x:c r="D65" s="32"/>
      <x:c r="E65" s="32"/>
      <x:c r="F65" s="32"/>
      <x:c r="H65" s="32"/>
    </x:row>
    <x:row r="66">
      <x:c r="A66" s="32"/>
      <x:c r="B66" s="32"/>
      <x:c r="C66" s="32"/>
      <x:c r="D66" s="32"/>
      <x:c r="E66" s="32"/>
      <x:c r="F66" s="32"/>
      <x:c r="H66" s="32"/>
    </x:row>
    <x:row r="67">
      <x:c r="A67" s="32"/>
      <x:c r="B67" s="32"/>
      <x:c r="C67" s="32"/>
      <x:c r="D67" s="32"/>
      <x:c r="E67" s="32"/>
      <x:c r="F67" s="32"/>
      <x:c r="H67" s="32"/>
    </x:row>
    <x:row r="68">
      <x:c r="A68" s="32"/>
      <x:c r="B68" s="32"/>
      <x:c r="C68" s="32"/>
      <x:c r="D68" s="32"/>
      <x:c r="E68" s="32"/>
      <x:c r="F68" s="32"/>
      <x:c r="H68" s="32"/>
    </x:row>
    <x:row r="69">
      <x:c r="A69" s="32"/>
      <x:c r="B69" s="32"/>
      <x:c r="C69" s="32"/>
      <x:c r="D69" s="32"/>
      <x:c r="E69" s="32"/>
      <x:c r="F69" s="32"/>
      <x:c r="H69" s="32"/>
    </x:row>
    <x:row r="70">
      <x:c r="A70" s="32"/>
      <x:c r="B70" s="32"/>
      <x:c r="C70" s="32"/>
      <x:c r="D70" s="32"/>
      <x:c r="E70" s="32"/>
      <x:c r="F70" s="32"/>
      <x:c r="H70" s="32"/>
    </x:row>
    <x:row r="71">
      <x:c r="A71" s="32"/>
      <x:c r="B71" s="32"/>
      <x:c r="C71" s="32"/>
      <x:c r="D71" s="32"/>
      <x:c r="E71" s="32"/>
      <x:c r="F71" s="32"/>
      <x:c r="H71" s="32"/>
    </x:row>
    <x:row r="72">
      <x:c r="A72" s="32"/>
      <x:c r="B72" s="32"/>
      <x:c r="C72" s="32"/>
      <x:c r="D72" s="32"/>
      <x:c r="E72" s="32"/>
      <x:c r="F72" s="32"/>
      <x:c r="H72" s="32"/>
    </x:row>
    <x:row r="73">
      <x:c r="A73" s="32"/>
      <x:c r="B73" s="32"/>
      <x:c r="C73" s="32"/>
      <x:c r="D73" s="32"/>
      <x:c r="E73" s="32"/>
      <x:c r="F73" s="32"/>
      <x:c r="H73" s="32"/>
    </x:row>
    <x:row r="74">
      <x:c r="A74" s="32"/>
      <x:c r="B74" s="32"/>
      <x:c r="C74" s="32"/>
      <x:c r="D74" s="32"/>
      <x:c r="E74" s="32"/>
      <x:c r="F74" s="32"/>
      <x:c r="H74" s="32"/>
    </x:row>
    <x:row r="75">
      <x:c r="A75" s="32"/>
      <x:c r="B75" s="32"/>
      <x:c r="C75" s="32"/>
      <x:c r="D75" s="32"/>
      <x:c r="E75" s="32"/>
      <x:c r="F75" s="32"/>
      <x:c r="H75" s="32"/>
    </x:row>
    <x:row r="76">
      <x:c r="A76" s="32"/>
      <x:c r="B76" s="32"/>
      <x:c r="C76" s="32"/>
      <x:c r="D76" s="32"/>
      <x:c r="E76" s="32"/>
      <x:c r="F76" s="32"/>
      <x:c r="H76" s="32"/>
    </x:row>
    <x:row r="77">
      <x:c r="A77" s="32"/>
      <x:c r="B77" s="32"/>
      <x:c r="C77" s="32"/>
      <x:c r="D77" s="32"/>
      <x:c r="E77" s="32"/>
      <x:c r="F77" s="32"/>
      <x:c r="H77" s="32"/>
    </x:row>
    <x:row r="78">
      <x:c r="A78" s="32"/>
      <x:c r="B78" s="32"/>
      <x:c r="C78" s="32"/>
      <x:c r="D78" s="32"/>
      <x:c r="E78" s="32"/>
      <x:c r="F78" s="32"/>
      <x:c r="H78" s="32"/>
    </x:row>
    <x:row r="79">
      <x:c r="A79" s="32"/>
      <x:c r="B79" s="32"/>
      <x:c r="C79" s="32"/>
      <x:c r="D79" s="32"/>
      <x:c r="E79" s="32"/>
      <x:c r="F79" s="32"/>
      <x:c r="H79" s="32"/>
    </x:row>
    <x:row r="80">
      <x:c r="A80" s="32"/>
      <x:c r="B80" s="32"/>
      <x:c r="C80" s="32"/>
      <x:c r="D80" s="32"/>
      <x:c r="E80" s="32"/>
      <x:c r="F80" s="32"/>
      <x:c r="H80" s="32"/>
    </x:row>
    <x:row r="81">
      <x:c r="A81" s="32"/>
      <x:c r="B81" s="32"/>
      <x:c r="C81" s="32"/>
      <x:c r="D81" s="32"/>
      <x:c r="E81" s="32"/>
      <x:c r="F81" s="32"/>
      <x:c r="H81" s="32"/>
    </x:row>
    <x:row r="82">
      <x:c r="A82" s="32"/>
      <x:c r="B82" s="32"/>
      <x:c r="C82" s="32"/>
      <x:c r="D82" s="32"/>
      <x:c r="E82" s="32"/>
      <x:c r="F82" s="32"/>
      <x:c r="H82" s="32"/>
    </x:row>
    <x:row r="83">
      <x:c r="A83" s="32"/>
      <x:c r="B83" s="32"/>
      <x:c r="C83" s="32"/>
      <x:c r="D83" s="32"/>
      <x:c r="E83" s="32"/>
      <x:c r="F83" s="32"/>
      <x:c r="H83" s="32"/>
    </x:row>
    <x:row r="84">
      <x:c r="A84" s="32"/>
      <x:c r="B84" s="32"/>
      <x:c r="C84" s="32"/>
      <x:c r="D84" s="32"/>
      <x:c r="E84" s="32"/>
      <x:c r="F84" s="32"/>
      <x:c r="H84" s="32"/>
    </x:row>
    <x:row r="85">
      <x:c r="A85" s="32"/>
      <x:c r="B85" s="32"/>
      <x:c r="C85" s="32"/>
      <x:c r="D85" s="32"/>
      <x:c r="E85" s="32"/>
      <x:c r="F85" s="32"/>
      <x:c r="H85" s="32"/>
    </x:row>
    <x:row r="86">
      <x:c r="A86" s="32"/>
      <x:c r="B86" s="32"/>
      <x:c r="C86" s="32"/>
      <x:c r="D86" s="32"/>
      <x:c r="E86" s="32"/>
      <x:c r="F86" s="32"/>
      <x:c r="H86" s="32"/>
    </x:row>
    <x:row r="87">
      <x:c r="A87" s="32"/>
      <x:c r="B87" s="32"/>
      <x:c r="C87" s="32"/>
      <x:c r="D87" s="32"/>
      <x:c r="E87" s="32"/>
      <x:c r="F87" s="32"/>
      <x:c r="H87" s="32"/>
    </x:row>
    <x:row r="88">
      <x:c r="A88" s="32"/>
      <x:c r="B88" s="32"/>
      <x:c r="C88" s="32"/>
      <x:c r="D88" s="32"/>
      <x:c r="E88" s="32"/>
      <x:c r="F88" s="32"/>
      <x:c r="H88" s="32"/>
    </x:row>
    <x:row r="89">
      <x:c r="A89" s="32"/>
      <x:c r="B89" s="32"/>
      <x:c r="C89" s="32"/>
      <x:c r="D89" s="32"/>
      <x:c r="E89" s="32"/>
      <x:c r="F89" s="32"/>
      <x:c r="H89" s="32"/>
    </x:row>
    <x:row r="90">
      <x:c r="A90" s="32"/>
      <x:c r="B90" s="32"/>
      <x:c r="C90" s="32"/>
      <x:c r="D90" s="32"/>
      <x:c r="E90" s="32"/>
      <x:c r="F90" s="32"/>
      <x:c r="H90" s="32"/>
    </x:row>
    <x:row r="91">
      <x:c r="A91" s="32"/>
      <x:c r="B91" s="32"/>
      <x:c r="C91" s="32"/>
      <x:c r="D91" s="32"/>
      <x:c r="E91" s="32"/>
      <x:c r="F91" s="32"/>
      <x:c r="H91" s="32"/>
    </x:row>
    <x:row r="92">
      <x:c r="A92" s="32"/>
      <x:c r="B92" s="32"/>
      <x:c r="C92" s="32"/>
      <x:c r="D92" s="32"/>
      <x:c r="E92" s="32"/>
      <x:c r="F92" s="32"/>
      <x:c r="H92" s="32"/>
    </x:row>
    <x:row r="93">
      <x:c r="A93" s="32"/>
      <x:c r="B93" s="32"/>
      <x:c r="C93" s="32"/>
      <x:c r="D93" s="32"/>
      <x:c r="E93" s="32"/>
      <x:c r="F93" s="32"/>
      <x:c r="H93" s="32"/>
    </x:row>
    <x:row r="94">
      <x:c r="A94" s="32"/>
      <x:c r="B94" s="32"/>
      <x:c r="C94" s="32"/>
      <x:c r="D94" s="32"/>
      <x:c r="E94" s="32"/>
      <x:c r="F94" s="32"/>
      <x:c r="H94" s="32"/>
    </x:row>
    <x:row r="95">
      <x:c r="A95" s="32"/>
      <x:c r="B95" s="32"/>
      <x:c r="C95" s="32"/>
      <x:c r="D95" s="32"/>
      <x:c r="E95" s="32"/>
      <x:c r="F95" s="32"/>
      <x:c r="H95" s="32"/>
    </x:row>
    <x:row r="96">
      <x:c r="A96" s="32"/>
      <x:c r="B96" s="32"/>
      <x:c r="C96" s="32"/>
      <x:c r="D96" s="32"/>
      <x:c r="E96" s="32"/>
      <x:c r="F96" s="32"/>
      <x:c r="H96" s="32"/>
    </x:row>
    <x:row r="97">
      <x:c r="A97" s="32"/>
      <x:c r="B97" s="32"/>
      <x:c r="C97" s="32"/>
      <x:c r="D97" s="32"/>
      <x:c r="E97" s="32"/>
      <x:c r="F97" s="32"/>
      <x:c r="H97" s="32"/>
    </x:row>
    <x:row r="98">
      <x:c r="A98" s="32"/>
      <x:c r="B98" s="32"/>
      <x:c r="C98" s="32"/>
      <x:c r="D98" s="32"/>
      <x:c r="E98" s="32"/>
      <x:c r="F98" s="32"/>
      <x:c r="H98" s="32"/>
    </x:row>
    <x:row r="99">
      <x:c r="A99" s="32"/>
      <x:c r="B99" s="32"/>
      <x:c r="C99" s="32"/>
      <x:c r="D99" s="32"/>
      <x:c r="E99" s="32"/>
      <x:c r="F99" s="32"/>
      <x:c r="H99" s="32"/>
    </x:row>
    <x:row r="100">
      <x:c r="A100" s="32"/>
      <x:c r="B100" s="32"/>
      <x:c r="C100" s="32"/>
      <x:c r="D100" s="32"/>
      <x:c r="E100" s="32"/>
      <x:c r="F100" s="32"/>
      <x:c r="H100" s="32"/>
    </x:row>
  </x:sheetData>
  <x:pageMargins left="0.7" right="0.7" top="0.75" bottom="0.75" header="0.3" footer="0.3"/>
  <x:tableParts count="1">
    <x:tablePart xmlns:r="http://schemas.openxmlformats.org/officeDocument/2006/relationships" r:id="R87d10b4890b64ba3"/>
  </x:tableParts>
</x:worksheet>
</file>

<file path=xl/worksheets/sheet9.xml><?xml version="1.0" encoding="utf-8"?>
<x:worksheet xmlns:x="http://schemas.openxmlformats.org/spreadsheetml/2006/main">
  <x:sheetPr>
    <x:tabColor rgb="FFD6A84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24" hidden="0" customWidth="1"/>
    <x:col min="4" max="4" width="44" hidden="0" customWidth="1"/>
    <x:col min="5" max="5" width="16" hidden="0" customWidth="1"/>
    <x:col min="6" max="6" width="28" hidden="0" customWidth="1"/>
    <x:col min="7" max="7" width="20" hidden="0" customWidth="1"/>
  </x:cols>
  <x:sheetData>
    <x:row r="2">
      <x:c r="A2" s="13" t="str">
        <x:v>Ma trận vai trò mẫu</x:v>
      </x:c>
      <x:c r="B2" s="13"/>
      <x:c r="C2" s="13"/>
      <x:c r="D2" s="13"/>
      <x:c r="E2" s="13"/>
      <x:c r="F2" s="13"/>
      <x:c r="G2" s="13"/>
    </x:row>
    <x:row r="3">
      <x:c r="A3" s="14" t="str">
        <x:v>Chỉ là đề xuất ban đầu; không điền mật khẩu hoặc mã MFA vào file.</x:v>
      </x:c>
      <x:c r="B3" s="14"/>
      <x:c r="C3" s="14"/>
      <x:c r="D3" s="14"/>
      <x:c r="E3" s="14"/>
      <x:c r="F3" s="14"/>
      <x:c r="G3" s="14"/>
    </x:row>
    <x:row r="4" ht="32" customHeight="1">
      <x:c r="A4" s="23" t="str">
        <x:v>Vai trò hệ thống</x:v>
      </x:c>
      <x:c r="B4" s="24" t="str">
        <x:v>Phòng ban</x:v>
      </x:c>
      <x:c r="C4" s="24" t="str">
        <x:v>Phạm vi</x:v>
      </x:c>
      <x:c r="D4" s="24" t="str">
        <x:v>Quyền chính</x:v>
      </x:c>
      <x:c r="E4" s="24" t="str">
        <x:v>MFA</x:v>
      </x:c>
      <x:c r="F4" s="24" t="str">
        <x:v>Người dùng/chức danh</x:v>
      </x:c>
      <x:c r="G4" s="25" t="str">
        <x:v>Trạng thái</x:v>
      </x:c>
    </x:row>
    <x:row r="5" ht="23" customHeight="1">
      <x:c r="A5" s="26" t="str">
        <x:v>ADMIN</x:v>
      </x:c>
      <x:c r="B5" s="26" t="str">
        <x:v>Quản trị hệ thống</x:v>
      </x:c>
      <x:c r="C5" s="26" t="str">
        <x:v>Toàn hệ thống</x:v>
      </x:c>
      <x:c r="D5" s="26" t="str">
        <x:v>Quản trị, cấu hình và khắc phục sự cố</x:v>
      </x:c>
      <x:c r="E5" s="26" t="str">
        <x:v>BẮT BUỘC</x:v>
      </x:c>
      <x:c r="F5" s="29" t="str"/>
      <x:c r="G5" s="29" t="str">
        <x:v>CHỜ XÁC NHẬN</x:v>
      </x:c>
    </x:row>
    <x:row r="6" ht="23" customHeight="1">
      <x:c r="A6" s="27" t="str">
        <x:v>DIRECTOR</x:v>
      </x:c>
      <x:c r="B6" s="27" t="str">
        <x:v>Ban giám đốc</x:v>
      </x:c>
      <x:c r="C6" s="27" t="str">
        <x:v>Toàn công ty</x:v>
      </x:c>
      <x:c r="D6" s="27" t="str">
        <x:v>Duyệt ngoại lệ bán/mua, xem báo cáo</x:v>
      </x:c>
      <x:c r="E6" s="27" t="str">
        <x:v>BẮT BUỘC</x:v>
      </x:c>
      <x:c r="F6" s="30" t="str"/>
      <x:c r="G6" s="30" t="str">
        <x:v>CHỜ XÁC NHẬN</x:v>
      </x:c>
    </x:row>
    <x:row r="7" ht="23" customHeight="1">
      <x:c r="A7" s="27" t="str">
        <x:v>SALES</x:v>
      </x:c>
      <x:c r="B7" s="27" t="str">
        <x:v>Kinh doanh</x:v>
      </x:c>
      <x:c r="C7" s="27" t="str">
        <x:v>Khách hàng được giao</x:v>
      </x:c>
      <x:c r="D7" s="27" t="str">
        <x:v>Lập và gửi đơn bán</x:v>
      </x:c>
      <x:c r="E7" s="27" t="str">
        <x:v>KHUYẾN NGHỊ</x:v>
      </x:c>
      <x:c r="F7" s="30" t="str"/>
      <x:c r="G7" s="30" t="str">
        <x:v>CHỜ XÁC NHẬN</x:v>
      </x:c>
    </x:row>
    <x:row r="8" ht="23" customHeight="1">
      <x:c r="A8" s="27" t="str">
        <x:v>SALES_MANAGER</x:v>
      </x:c>
      <x:c r="B8" s="27" t="str">
        <x:v>Kinh doanh</x:v>
      </x:c>
      <x:c r="C8" s="27" t="str">
        <x:v>Phòng kinh doanh</x:v>
      </x:c>
      <x:c r="D8" s="27" t="str">
        <x:v>Duyệt đơn bán, xem hàng chờ duyệt</x:v>
      </x:c>
      <x:c r="E8" s="27" t="str">
        <x:v>BẮT BUỘC</x:v>
      </x:c>
      <x:c r="F8" s="30" t="str"/>
      <x:c r="G8" s="30" t="str">
        <x:v>CHỜ XÁC NHẬN</x:v>
      </x:c>
    </x:row>
    <x:row r="9" ht="23" customHeight="1">
      <x:c r="A9" s="27" t="str">
        <x:v>PROCUREMENT</x:v>
      </x:c>
      <x:c r="B9" s="27" t="str">
        <x:v>Mua hàng</x:v>
      </x:c>
      <x:c r="C9" s="27" t="str">
        <x:v>Nhà cung cấp được giao</x:v>
      </x:c>
      <x:c r="D9" s="27" t="str">
        <x:v>Lập và gửi đơn mua</x:v>
      </x:c>
      <x:c r="E9" s="27" t="str">
        <x:v>KHUYẾN NGHỊ</x:v>
      </x:c>
      <x:c r="F9" s="30" t="str"/>
      <x:c r="G9" s="30" t="str">
        <x:v>CHỜ XÁC NHẬN</x:v>
      </x:c>
    </x:row>
    <x:row r="10" ht="23" customHeight="1">
      <x:c r="A10" s="27" t="str">
        <x:v>PROCUREMENT_MANAGER</x:v>
      </x:c>
      <x:c r="B10" s="27" t="str">
        <x:v>Mua hàng</x:v>
      </x:c>
      <x:c r="C10" s="27" t="str">
        <x:v>Phòng mua hàng</x:v>
      </x:c>
      <x:c r="D10" s="27" t="str">
        <x:v>Duyệt đơn mua, xem hàng chờ duyệt</x:v>
      </x:c>
      <x:c r="E10" s="27" t="str">
        <x:v>BẮT BUỘC</x:v>
      </x:c>
      <x:c r="F10" s="30" t="str"/>
      <x:c r="G10" s="30" t="str">
        <x:v>CHỜ XÁC NHẬN</x:v>
      </x:c>
    </x:row>
    <x:row r="11" ht="23" customHeight="1">
      <x:c r="A11" s="27" t="str">
        <x:v>WAREHOUSE</x:v>
      </x:c>
      <x:c r="B11" s="27" t="str">
        <x:v>Kho</x:v>
      </x:c>
      <x:c r="C11" s="27" t="str">
        <x:v>Kho được phân quyền</x:v>
      </x:c>
      <x:c r="D11" s="27" t="str">
        <x:v>Nhập hàng và xuất đơn đã duyệt</x:v>
      </x:c>
      <x:c r="E11" s="27" t="str">
        <x:v>KHUYẾN NGHỊ</x:v>
      </x:c>
      <x:c r="F11" s="30" t="str"/>
      <x:c r="G11" s="30" t="str">
        <x:v>CHỜ XÁC NHẬN</x:v>
      </x:c>
    </x:row>
    <x:row r="12" ht="23" customHeight="1">
      <x:c r="A12" s="27" t="str">
        <x:v>WAREHOUSE_MANAGER</x:v>
      </x:c>
      <x:c r="B12" s="27" t="str">
        <x:v>Kho</x:v>
      </x:c>
      <x:c r="C12" s="27" t="str">
        <x:v>Kho được phân quyền</x:v>
      </x:c>
      <x:c r="D12" s="27" t="str">
        <x:v>Điều chỉnh và chuyển kho</x:v>
      </x:c>
      <x:c r="E12" s="27" t="str">
        <x:v>BẮT BUỘC</x:v>
      </x:c>
      <x:c r="F12" s="30" t="str"/>
      <x:c r="G12" s="30" t="str">
        <x:v>CHỜ XÁC NHẬN</x:v>
      </x:c>
    </x:row>
    <x:row r="13" ht="23" customHeight="1">
      <x:c r="A13" s="27" t="str">
        <x:v>ACCOUNTANT</x:v>
      </x:c>
      <x:c r="B13" s="27" t="str">
        <x:v>Kế toán</x:v>
      </x:c>
      <x:c r="C13" s="27" t="str">
        <x:v>Toàn công ty</x:v>
      </x:c>
      <x:c r="D13" s="27" t="str">
        <x:v>Thu tiền, công nợ và tích hợp kế toán</x:v>
      </x:c>
      <x:c r="E13" s="27" t="str">
        <x:v>BẮT BUỘC</x:v>
      </x:c>
      <x:c r="F13" s="30" t="str"/>
      <x:c r="G13" s="30" t="str">
        <x:v>CHỜ XÁC NHẬN</x:v>
      </x:c>
    </x:row>
    <x:row r="14" ht="23" customHeight="1">
      <x:c r="A14" s="27" t="str">
        <x:v>CATALOG_MANAGER</x:v>
      </x:c>
      <x:c r="B14" s="27" t="str">
        <x:v>Danh mục</x:v>
      </x:c>
      <x:c r="C14" s="27" t="str">
        <x:v>Toàn công ty</x:v>
      </x:c>
      <x:c r="D14" s="27" t="str">
        <x:v>Sản phẩm, đối tác và bảng giá</x:v>
      </x:c>
      <x:c r="E14" s="27" t="str">
        <x:v>BẮT BUỘC</x:v>
      </x:c>
      <x:c r="F14" s="30" t="str"/>
      <x:c r="G14" s="30" t="str">
        <x:v>CHỜ XÁC NHẬN</x:v>
      </x:c>
    </x:row>
    <x:row r="15" ht="23" customHeight="1">
      <x:c r="A15" s="28" t="str">
        <x:v>AUDITOR</x:v>
      </x:c>
      <x:c r="B15" s="28" t="str">
        <x:v>Kiểm soát nội bộ</x:v>
      </x:c>
      <x:c r="C15" s="28" t="str">
        <x:v>Chỉ đọc</x:v>
      </x:c>
      <x:c r="D15" s="28" t="str">
        <x:v>Xem audit trail</x:v>
      </x:c>
      <x:c r="E15" s="28" t="str">
        <x:v>BẮT BUỘC</x:v>
      </x:c>
      <x:c r="F15" s="31" t="str"/>
      <x:c r="G15" s="31" t="str">
        <x:v>CHỜ XÁC NHẬN</x:v>
      </x:c>
    </x:row>
    <x:row r="16">
      <x:c r="F16" s="32"/>
      <x:c r="G16" s="32"/>
    </x:row>
    <x:row r="17">
      <x:c r="F17" s="32"/>
      <x:c r="G17" s="32"/>
    </x:row>
    <x:row r="18">
      <x:c r="F18" s="32"/>
      <x:c r="G18" s="32"/>
    </x:row>
    <x:row r="19">
      <x:c r="F19" s="32"/>
      <x:c r="G19" s="32"/>
    </x:row>
    <x:row r="20">
      <x:c r="F20" s="32"/>
      <x:c r="G20" s="32"/>
    </x:row>
    <x:row r="21">
      <x:c r="F21" s="32"/>
      <x:c r="G21" s="32"/>
    </x:row>
    <x:row r="22">
      <x:c r="F22" s="32"/>
      <x:c r="G22" s="32"/>
    </x:row>
    <x:row r="23">
      <x:c r="F23" s="32"/>
      <x:c r="G23" s="32"/>
    </x:row>
    <x:row r="24">
      <x:c r="F24" s="32"/>
      <x:c r="G24" s="32"/>
    </x:row>
    <x:row r="25">
      <x:c r="F25" s="32"/>
      <x:c r="G25" s="32"/>
    </x:row>
    <x:row r="26">
      <x:c r="F26" s="32"/>
      <x:c r="G26" s="32"/>
    </x:row>
    <x:row r="27">
      <x:c r="F27" s="32"/>
      <x:c r="G27" s="32"/>
    </x:row>
    <x:row r="28">
      <x:c r="F28" s="32"/>
      <x:c r="G28" s="32"/>
    </x:row>
    <x:row r="29">
      <x:c r="F29" s="32"/>
      <x:c r="G29" s="32"/>
    </x:row>
    <x:row r="30">
      <x:c r="F30" s="32"/>
      <x:c r="G30" s="32"/>
    </x:row>
    <x:row r="31">
      <x:c r="F31" s="32"/>
      <x:c r="G31" s="32"/>
    </x:row>
    <x:row r="32">
      <x:c r="F32" s="32"/>
      <x:c r="G32" s="32"/>
    </x:row>
    <x:row r="33">
      <x:c r="F33" s="32"/>
      <x:c r="G33" s="32"/>
    </x:row>
    <x:row r="34">
      <x:c r="F34" s="32"/>
      <x:c r="G34" s="32"/>
    </x:row>
    <x:row r="35">
      <x:c r="F35" s="32"/>
      <x:c r="G35" s="32"/>
    </x:row>
    <x:row r="36">
      <x:c r="F36" s="32"/>
      <x:c r="G36" s="32"/>
    </x:row>
    <x:row r="37">
      <x:c r="F37" s="32"/>
      <x:c r="G37" s="32"/>
    </x:row>
    <x:row r="38">
      <x:c r="F38" s="32"/>
      <x:c r="G38" s="32"/>
    </x:row>
    <x:row r="39">
      <x:c r="F39" s="32"/>
      <x:c r="G39" s="32"/>
    </x:row>
    <x:row r="40">
      <x:c r="F40" s="32"/>
      <x:c r="G40" s="32"/>
    </x:row>
    <x:row r="41">
      <x:c r="F41" s="32"/>
      <x:c r="G41" s="32"/>
    </x:row>
    <x:row r="42">
      <x:c r="F42" s="32"/>
      <x:c r="G42" s="32"/>
    </x:row>
    <x:row r="43">
      <x:c r="F43" s="32"/>
      <x:c r="G43" s="32"/>
    </x:row>
    <x:row r="44">
      <x:c r="F44" s="32"/>
      <x:c r="G44" s="32"/>
    </x:row>
    <x:row r="45">
      <x:c r="F45" s="32"/>
      <x:c r="G45" s="32"/>
    </x:row>
    <x:row r="46">
      <x:c r="F46" s="32"/>
      <x:c r="G46" s="32"/>
    </x:row>
    <x:row r="47">
      <x:c r="F47" s="32"/>
      <x:c r="G47" s="32"/>
    </x:row>
    <x:row r="48">
      <x:c r="F48" s="32"/>
      <x:c r="G48" s="32"/>
    </x:row>
    <x:row r="49">
      <x:c r="F49" s="32"/>
      <x:c r="G49" s="32"/>
    </x:row>
    <x:row r="50">
      <x:c r="F50" s="32"/>
      <x:c r="G50" s="32"/>
    </x:row>
    <x:row r="51">
      <x:c r="F51" s="32"/>
      <x:c r="G51" s="32"/>
    </x:row>
    <x:row r="52">
      <x:c r="F52" s="32"/>
      <x:c r="G52" s="32"/>
    </x:row>
    <x:row r="53">
      <x:c r="F53" s="32"/>
      <x:c r="G53" s="32"/>
    </x:row>
    <x:row r="54">
      <x:c r="F54" s="32"/>
      <x:c r="G54" s="32"/>
    </x:row>
    <x:row r="55">
      <x:c r="F55" s="32"/>
      <x:c r="G55" s="32"/>
    </x:row>
    <x:row r="56">
      <x:c r="F56" s="32"/>
      <x:c r="G56" s="32"/>
    </x:row>
    <x:row r="57">
      <x:c r="F57" s="32"/>
      <x:c r="G57" s="32"/>
    </x:row>
    <x:row r="58">
      <x:c r="F58" s="32"/>
      <x:c r="G58" s="32"/>
    </x:row>
    <x:row r="59">
      <x:c r="F59" s="32"/>
      <x:c r="G59" s="32"/>
    </x:row>
    <x:row r="60">
      <x:c r="F60" s="32"/>
      <x:c r="G60" s="32"/>
    </x:row>
    <x:row r="61">
      <x:c r="F61" s="32"/>
      <x:c r="G61" s="32"/>
    </x:row>
    <x:row r="62">
      <x:c r="F62" s="32"/>
      <x:c r="G62" s="32"/>
    </x:row>
    <x:row r="63">
      <x:c r="F63" s="32"/>
      <x:c r="G63" s="32"/>
    </x:row>
    <x:row r="64">
      <x:c r="F64" s="32"/>
      <x:c r="G64" s="32"/>
    </x:row>
    <x:row r="65">
      <x:c r="F65" s="32"/>
      <x:c r="G65" s="32"/>
    </x:row>
    <x:row r="66">
      <x:c r="F66" s="32"/>
      <x:c r="G66" s="32"/>
    </x:row>
    <x:row r="67">
      <x:c r="F67" s="32"/>
      <x:c r="G67" s="32"/>
    </x:row>
    <x:row r="68">
      <x:c r="F68" s="32"/>
      <x:c r="G68" s="32"/>
    </x:row>
    <x:row r="69">
      <x:c r="F69" s="32"/>
      <x:c r="G69" s="32"/>
    </x:row>
    <x:row r="70">
      <x:c r="F70" s="32"/>
      <x:c r="G70" s="32"/>
    </x:row>
    <x:row r="71">
      <x:c r="F71" s="32"/>
      <x:c r="G71" s="32"/>
    </x:row>
    <x:row r="72">
      <x:c r="F72" s="32"/>
      <x:c r="G72" s="32"/>
    </x:row>
    <x:row r="73">
      <x:c r="F73" s="32"/>
      <x:c r="G73" s="32"/>
    </x:row>
    <x:row r="74">
      <x:c r="F74" s="32"/>
      <x:c r="G74" s="32"/>
    </x:row>
    <x:row r="75">
      <x:c r="F75" s="32"/>
      <x:c r="G75" s="32"/>
    </x:row>
    <x:row r="76">
      <x:c r="F76" s="32"/>
      <x:c r="G76" s="32"/>
    </x:row>
    <x:row r="77">
      <x:c r="F77" s="32"/>
      <x:c r="G77" s="32"/>
    </x:row>
    <x:row r="78">
      <x:c r="F78" s="32"/>
      <x:c r="G78" s="32"/>
    </x:row>
    <x:row r="79">
      <x:c r="F79" s="32"/>
      <x:c r="G79" s="32"/>
    </x:row>
    <x:row r="80">
      <x:c r="F80" s="32"/>
      <x:c r="G80" s="32"/>
    </x:row>
    <x:row r="81">
      <x:c r="F81" s="32"/>
      <x:c r="G81" s="32"/>
    </x:row>
    <x:row r="82">
      <x:c r="F82" s="32"/>
      <x:c r="G82" s="32"/>
    </x:row>
    <x:row r="83">
      <x:c r="F83" s="32"/>
      <x:c r="G83" s="32"/>
    </x:row>
    <x:row r="84">
      <x:c r="F84" s="32"/>
      <x:c r="G84" s="32"/>
    </x:row>
    <x:row r="85">
      <x:c r="F85" s="32"/>
      <x:c r="G85" s="32"/>
    </x:row>
    <x:row r="86">
      <x:c r="F86" s="32"/>
      <x:c r="G86" s="32"/>
    </x:row>
    <x:row r="87">
      <x:c r="F87" s="32"/>
      <x:c r="G87" s="32"/>
    </x:row>
    <x:row r="88">
      <x:c r="F88" s="32"/>
      <x:c r="G88" s="32"/>
    </x:row>
    <x:row r="89">
      <x:c r="F89" s="32"/>
      <x:c r="G89" s="32"/>
    </x:row>
    <x:row r="90">
      <x:c r="F90" s="32"/>
      <x:c r="G90" s="32"/>
    </x:row>
    <x:row r="91">
      <x:c r="F91" s="32"/>
      <x:c r="G91" s="32"/>
    </x:row>
    <x:row r="92">
      <x:c r="F92" s="32"/>
      <x:c r="G92" s="32"/>
    </x:row>
    <x:row r="93">
      <x:c r="F93" s="32"/>
      <x:c r="G93" s="32"/>
    </x:row>
    <x:row r="94">
      <x:c r="F94" s="32"/>
      <x:c r="G94" s="32"/>
    </x:row>
    <x:row r="95">
      <x:c r="F95" s="32"/>
      <x:c r="G95" s="32"/>
    </x:row>
    <x:row r="96">
      <x:c r="F96" s="32"/>
      <x:c r="G96" s="32"/>
    </x:row>
    <x:row r="97">
      <x:c r="F97" s="32"/>
      <x:c r="G97" s="32"/>
    </x:row>
    <x:row r="98">
      <x:c r="F98" s="32"/>
      <x:c r="G98" s="32"/>
    </x:row>
    <x:row r="99">
      <x:c r="F99" s="32"/>
      <x:c r="G99" s="32"/>
    </x:row>
    <x:row r="100">
      <x:c r="F100" s="32"/>
      <x:c r="G100" s="32"/>
    </x:row>
  </x:sheetData>
  <x:pageMargins left="0.7" right="0.7" top="0.75" bottom="0.75" header="0.3" footer="0.3"/>
  <x:tableParts count="1">
    <x:tablePart xmlns:r="http://schemas.openxmlformats.org/officeDocument/2006/relationships" r:id="R40f6e0e82db94b52"/>
  </x:tableParts>
</x:worksheet>
</file>

<file path=xl/worksheets/sheet10.xml><?xml version="1.0" encoding="utf-8"?>
<x:worksheet xmlns:x="http://schemas.openxmlformats.org/spreadsheetml/2006/main">
  <x:sheetPr>
    <x:tabColor rgb="FFD6A84B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36" hidden="0" customWidth="1"/>
    <x:col min="3" max="3" width="24" hidden="0" customWidth="1"/>
    <x:col min="4" max="4" width="24" hidden="0" customWidth="1"/>
    <x:col min="5" max="5" width="15" hidden="0" customWidth="1"/>
    <x:col min="6" max="6" width="42" hidden="0" customWidth="1"/>
    <x:col min="7" max="7" width="18" hidden="0" customWidth="1"/>
    <x:col min="8" max="8" width="36" hidden="0" customWidth="1"/>
  </x:cols>
  <x:sheetData>
    <x:row r="2">
      <x:c r="A2" s="13" t="str">
        <x:v>Danh sách dữ liệu cần bàn giao</x:v>
      </x:c>
      <x:c r="B2" s="13"/>
      <x:c r="C2" s="13"/>
      <x:c r="D2" s="13"/>
      <x:c r="E2" s="13"/>
      <x:c r="F2" s="13"/>
      <x:c r="G2" s="13"/>
      <x:c r="H2" s="13"/>
    </x:row>
    <x:row r="3">
      <x:c r="A3" s="14" t="str">
        <x:v>Điền người lập, người duyệt, ngày chốt và trạng thái. Màu vàng là trường cần cập nhật.</x:v>
      </x:c>
      <x:c r="B3" s="14"/>
      <x:c r="C3" s="14"/>
      <x:c r="D3" s="14"/>
      <x:c r="E3" s="14"/>
      <x:c r="F3" s="14"/>
      <x:c r="G3" s="14"/>
      <x:c r="H3" s="14"/>
    </x:row>
    <x:row r="4" ht="32" customHeight="1">
      <x:c r="A4" s="23" t="str">
        <x:v>Phòng ban</x:v>
      </x:c>
      <x:c r="B4" s="24" t="str">
        <x:v>Dữ liệu/quy tắc</x:v>
      </x:c>
      <x:c r="C4" s="24" t="str">
        <x:v>Người lập</x:v>
      </x:c>
      <x:c r="D4" s="24" t="str">
        <x:v>Người duyệt</x:v>
      </x:c>
      <x:c r="E4" s="24" t="str">
        <x:v>Ngày chốt</x:v>
      </x:c>
      <x:c r="F4" s="24" t="str">
        <x:v>Tổng kiểm soát bắt buộc</x:v>
      </x:c>
      <x:c r="G4" s="24" t="str">
        <x:v>Trạng thái</x:v>
      </x:c>
      <x:c r="H4" s="25" t="str">
        <x:v>Ghi chú</x:v>
      </x:c>
    </x:row>
    <x:row r="5" ht="23" customHeight="1">
      <x:c r="A5" s="26" t="str">
        <x:v>Kho</x:v>
      </x:c>
      <x:c r="B5" s="26" t="str">
        <x:v>Danh sách kho và vị trí</x:v>
      </x:c>
      <x:c r="C5" s="29" t="str"/>
      <x:c r="D5" s="29" t="str"/>
      <x:c r="E5" s="42"/>
      <x:c r="F5" s="26" t="str">
        <x:v>Số kho, số vị trí, người phụ trách</x:v>
      </x:c>
      <x:c r="G5" s="29" t="str">
        <x:v>CHƯA NHẬN</x:v>
      </x:c>
      <x:c r="H5" s="29" t="str"/>
    </x:row>
    <x:row r="6" ht="23" customHeight="1">
      <x:c r="A6" s="27" t="str">
        <x:v>Kho</x:v>
      </x:c>
      <x:c r="B6" s="27" t="str">
        <x:v>Danh mục SKU và quy đổi đơn vị</x:v>
      </x:c>
      <x:c r="C6" s="30" t="str"/>
      <x:c r="D6" s="30" t="str"/>
      <x:c r="E6" s="43"/>
      <x:c r="F6" s="27" t="str">
        <x:v>Số SKU, SKU thiếu ĐVT, mã trùng</x:v>
      </x:c>
      <x:c r="G6" s="30" t="str">
        <x:v>CHƯA NHẬN</x:v>
      </x:c>
      <x:c r="H6" s="30" t="str"/>
    </x:row>
    <x:row r="7" ht="23" customHeight="1">
      <x:c r="A7" s="27" t="str">
        <x:v>Kho</x:v>
      </x:c>
      <x:c r="B7" s="27" t="str">
        <x:v>Tồn tại ngày chốt</x:v>
      </x:c>
      <x:c r="C7" s="30" t="str"/>
      <x:c r="D7" s="30" t="str"/>
      <x:c r="E7" s="43"/>
      <x:c r="F7" s="27" t="str">
        <x:v>Tổng số lượng và giá trị theo kho</x:v>
      </x:c>
      <x:c r="G7" s="30" t="str">
        <x:v>CHƯA NHẬN</x:v>
      </x:c>
      <x:c r="H7" s="30" t="str"/>
    </x:row>
    <x:row r="8" ht="23" customHeight="1">
      <x:c r="A8" s="27" t="str">
        <x:v>Kinh doanh</x:v>
      </x:c>
      <x:c r="B8" s="27" t="str">
        <x:v>Khách hàng và hạng khách</x:v>
      </x:c>
      <x:c r="C8" s="30" t="str"/>
      <x:c r="D8" s="30" t="str"/>
      <x:c r="E8" s="43"/>
      <x:c r="F8" s="27" t="str">
        <x:v>Số khách theo hạng, mã trùng</x:v>
      </x:c>
      <x:c r="G8" s="30" t="str">
        <x:v>CHƯA NHẬN</x:v>
      </x:c>
      <x:c r="H8" s="30" t="str"/>
    </x:row>
    <x:row r="9" ht="23" customHeight="1">
      <x:c r="A9" s="27" t="str">
        <x:v>Kinh doanh</x:v>
      </x:c>
      <x:c r="B9" s="27" t="str">
        <x:v>Bảng giá và chiết khấu</x:v>
      </x:c>
      <x:c r="C9" s="30" t="str"/>
      <x:c r="D9" s="30" t="str"/>
      <x:c r="E9" s="43"/>
      <x:c r="F9" s="27" t="str">
        <x:v>Số dòng, khoảng hiệu lực, giá chồng</x:v>
      </x:c>
      <x:c r="G9" s="30" t="str">
        <x:v>CHƯA NHẬN</x:v>
      </x:c>
      <x:c r="H9" s="30" t="str"/>
    </x:row>
    <x:row r="10" ht="23" customHeight="1">
      <x:c r="A10" s="27" t="str">
        <x:v>Kinh doanh</x:v>
      </x:c>
      <x:c r="B10" s="27" t="str">
        <x:v>Đơn bán/giao hàng đang mở</x:v>
      </x:c>
      <x:c r="C10" s="30" t="str"/>
      <x:c r="D10" s="30" t="str"/>
      <x:c r="E10" s="43"/>
      <x:c r="F10" s="27" t="str">
        <x:v>Tổng tiền, đã giao, còn giao</x:v>
      </x:c>
      <x:c r="G10" s="30" t="str">
        <x:v>CHƯA NHẬN</x:v>
      </x:c>
      <x:c r="H10" s="30" t="str"/>
    </x:row>
    <x:row r="11" ht="23" customHeight="1">
      <x:c r="A11" s="27" t="str">
        <x:v>Kế toán</x:v>
      </x:c>
      <x:c r="B11" s="27" t="str">
        <x:v>Hạn mức và điều khoản thanh toán</x:v>
      </x:c>
      <x:c r="C11" s="30" t="str"/>
      <x:c r="D11" s="30" t="str"/>
      <x:c r="E11" s="43"/>
      <x:c r="F11" s="27" t="str">
        <x:v>Số khách, tổng hạn mức</x:v>
      </x:c>
      <x:c r="G11" s="30" t="str">
        <x:v>CHƯA NHẬN</x:v>
      </x:c>
      <x:c r="H11" s="30" t="str"/>
    </x:row>
    <x:row r="12" ht="23" customHeight="1">
      <x:c r="A12" s="27" t="str">
        <x:v>Kế toán</x:v>
      </x:c>
      <x:c r="B12" s="27" t="str">
        <x:v>Công nợ phải thu mở</x:v>
      </x:c>
      <x:c r="C12" s="30" t="str"/>
      <x:c r="D12" s="30" t="str"/>
      <x:c r="E12" s="43"/>
      <x:c r="F12" s="27" t="str">
        <x:v>Số chứng từ, phải thu, đã thu, còn lại</x:v>
      </x:c>
      <x:c r="G12" s="30" t="str">
        <x:v>CHƯA NHẬN</x:v>
      </x:c>
      <x:c r="H12" s="30" t="str"/>
    </x:row>
    <x:row r="13" ht="23" customHeight="1">
      <x:c r="A13" s="27" t="str">
        <x:v>Kế toán</x:v>
      </x:c>
      <x:c r="B13" s="27" t="str">
        <x:v>Nhà cung cấp và chứng từ mua mở</x:v>
      </x:c>
      <x:c r="C13" s="30" t="str"/>
      <x:c r="D13" s="30" t="str"/>
      <x:c r="E13" s="43"/>
      <x:c r="F13" s="27" t="str">
        <x:v>Số NCC, số chứng từ, tổng tiền</x:v>
      </x:c>
      <x:c r="G13" s="30" t="str">
        <x:v>CHƯA NHẬN</x:v>
      </x:c>
      <x:c r="H13" s="30" t="str"/>
    </x:row>
    <x:row r="14" ht="23" customHeight="1">
      <x:c r="A14" s="28" t="str">
        <x:v>Ban giám đốc</x:v>
      </x:c>
      <x:c r="B14" s="28" t="str">
        <x:v>Ma trận quyền và ngưỡng duyệt</x:v>
      </x:c>
      <x:c r="C14" s="31" t="str"/>
      <x:c r="D14" s="31" t="str"/>
      <x:c r="E14" s="44"/>
      <x:c r="F14" s="28" t="str">
        <x:v>Đủ người lập, duyệt, thay thế</x:v>
      </x:c>
      <x:c r="G14" s="31" t="str">
        <x:v>CHƯA NHẬN</x:v>
      </x:c>
      <x:c r="H14" s="31" t="str"/>
    </x:row>
    <x:row r="15">
      <x:c r="C15" s="32"/>
      <x:c r="D15" s="32"/>
      <x:c r="E15" s="32"/>
      <x:c r="G15" s="32"/>
      <x:c r="H15" s="32"/>
    </x:row>
    <x:row r="16">
      <x:c r="C16" s="32"/>
      <x:c r="D16" s="32"/>
      <x:c r="E16" s="32"/>
      <x:c r="G16" s="32"/>
      <x:c r="H16" s="32"/>
    </x:row>
    <x:row r="17">
      <x:c r="C17" s="32"/>
      <x:c r="D17" s="32"/>
      <x:c r="E17" s="32"/>
      <x:c r="G17" s="32"/>
      <x:c r="H17" s="32"/>
    </x:row>
    <x:row r="18">
      <x:c r="C18" s="32"/>
      <x:c r="D18" s="32"/>
      <x:c r="E18" s="32"/>
      <x:c r="G18" s="32"/>
      <x:c r="H18" s="32"/>
    </x:row>
    <x:row r="19">
      <x:c r="C19" s="32"/>
      <x:c r="D19" s="32"/>
      <x:c r="E19" s="32"/>
      <x:c r="G19" s="32"/>
      <x:c r="H19" s="32"/>
    </x:row>
    <x:row r="20">
      <x:c r="C20" s="32"/>
      <x:c r="D20" s="32"/>
      <x:c r="E20" s="32"/>
      <x:c r="G20" s="32"/>
      <x:c r="H20" s="32"/>
    </x:row>
    <x:row r="21">
      <x:c r="C21" s="32"/>
      <x:c r="D21" s="32"/>
      <x:c r="E21" s="32"/>
      <x:c r="G21" s="32"/>
      <x:c r="H21" s="32"/>
    </x:row>
    <x:row r="22">
      <x:c r="C22" s="32"/>
      <x:c r="D22" s="32"/>
      <x:c r="E22" s="32"/>
      <x:c r="G22" s="32"/>
      <x:c r="H22" s="32"/>
    </x:row>
    <x:row r="23">
      <x:c r="C23" s="32"/>
      <x:c r="D23" s="32"/>
      <x:c r="E23" s="32"/>
      <x:c r="G23" s="32"/>
      <x:c r="H23" s="32"/>
    </x:row>
    <x:row r="24">
      <x:c r="C24" s="32"/>
      <x:c r="D24" s="32"/>
      <x:c r="E24" s="32"/>
      <x:c r="G24" s="32"/>
      <x:c r="H24" s="32"/>
    </x:row>
    <x:row r="25">
      <x:c r="C25" s="32"/>
      <x:c r="D25" s="32"/>
      <x:c r="E25" s="32"/>
      <x:c r="G25" s="32"/>
      <x:c r="H25" s="32"/>
    </x:row>
    <x:row r="26">
      <x:c r="C26" s="32"/>
      <x:c r="D26" s="32"/>
      <x:c r="E26" s="32"/>
      <x:c r="G26" s="32"/>
      <x:c r="H26" s="32"/>
    </x:row>
    <x:row r="27">
      <x:c r="C27" s="32"/>
      <x:c r="D27" s="32"/>
      <x:c r="E27" s="32"/>
      <x:c r="G27" s="32"/>
      <x:c r="H27" s="32"/>
    </x:row>
    <x:row r="28">
      <x:c r="C28" s="32"/>
      <x:c r="D28" s="32"/>
      <x:c r="E28" s="32"/>
      <x:c r="G28" s="32"/>
      <x:c r="H28" s="32"/>
    </x:row>
    <x:row r="29">
      <x:c r="C29" s="32"/>
      <x:c r="D29" s="32"/>
      <x:c r="E29" s="32"/>
      <x:c r="G29" s="32"/>
      <x:c r="H29" s="32"/>
    </x:row>
    <x:row r="30">
      <x:c r="C30" s="32"/>
      <x:c r="D30" s="32"/>
      <x:c r="E30" s="32"/>
      <x:c r="G30" s="32"/>
      <x:c r="H30" s="32"/>
    </x:row>
    <x:row r="31">
      <x:c r="C31" s="32"/>
      <x:c r="D31" s="32"/>
      <x:c r="E31" s="32"/>
      <x:c r="G31" s="32"/>
      <x:c r="H31" s="32"/>
    </x:row>
    <x:row r="32">
      <x:c r="C32" s="32"/>
      <x:c r="D32" s="32"/>
      <x:c r="E32" s="32"/>
      <x:c r="G32" s="32"/>
      <x:c r="H32" s="32"/>
    </x:row>
    <x:row r="33">
      <x:c r="C33" s="32"/>
      <x:c r="D33" s="32"/>
      <x:c r="E33" s="32"/>
      <x:c r="G33" s="32"/>
      <x:c r="H33" s="32"/>
    </x:row>
    <x:row r="34">
      <x:c r="C34" s="32"/>
      <x:c r="D34" s="32"/>
      <x:c r="E34" s="32"/>
      <x:c r="G34" s="32"/>
      <x:c r="H34" s="32"/>
    </x:row>
    <x:row r="35">
      <x:c r="C35" s="32"/>
      <x:c r="D35" s="32"/>
      <x:c r="E35" s="32"/>
      <x:c r="G35" s="32"/>
      <x:c r="H35" s="32"/>
    </x:row>
    <x:row r="36">
      <x:c r="C36" s="32"/>
      <x:c r="D36" s="32"/>
      <x:c r="E36" s="32"/>
      <x:c r="G36" s="32"/>
      <x:c r="H36" s="32"/>
    </x:row>
    <x:row r="37">
      <x:c r="C37" s="32"/>
      <x:c r="D37" s="32"/>
      <x:c r="E37" s="32"/>
      <x:c r="G37" s="32"/>
      <x:c r="H37" s="32"/>
    </x:row>
    <x:row r="38">
      <x:c r="C38" s="32"/>
      <x:c r="D38" s="32"/>
      <x:c r="E38" s="32"/>
      <x:c r="G38" s="32"/>
      <x:c r="H38" s="32"/>
    </x:row>
    <x:row r="39">
      <x:c r="C39" s="32"/>
      <x:c r="D39" s="32"/>
      <x:c r="E39" s="32"/>
      <x:c r="G39" s="32"/>
      <x:c r="H39" s="32"/>
    </x:row>
    <x:row r="40">
      <x:c r="C40" s="32"/>
      <x:c r="D40" s="32"/>
      <x:c r="E40" s="32"/>
      <x:c r="G40" s="32"/>
      <x:c r="H40" s="32"/>
    </x:row>
    <x:row r="41">
      <x:c r="C41" s="32"/>
      <x:c r="D41" s="32"/>
      <x:c r="E41" s="32"/>
      <x:c r="G41" s="32"/>
      <x:c r="H41" s="32"/>
    </x:row>
    <x:row r="42">
      <x:c r="C42" s="32"/>
      <x:c r="D42" s="32"/>
      <x:c r="E42" s="32"/>
      <x:c r="G42" s="32"/>
      <x:c r="H42" s="32"/>
    </x:row>
    <x:row r="43">
      <x:c r="C43" s="32"/>
      <x:c r="D43" s="32"/>
      <x:c r="E43" s="32"/>
      <x:c r="G43" s="32"/>
      <x:c r="H43" s="32"/>
    </x:row>
    <x:row r="44">
      <x:c r="C44" s="32"/>
      <x:c r="D44" s="32"/>
      <x:c r="E44" s="32"/>
      <x:c r="G44" s="32"/>
      <x:c r="H44" s="32"/>
    </x:row>
    <x:row r="45">
      <x:c r="C45" s="32"/>
      <x:c r="D45" s="32"/>
      <x:c r="E45" s="32"/>
      <x:c r="G45" s="32"/>
      <x:c r="H45" s="32"/>
    </x:row>
    <x:row r="46">
      <x:c r="C46" s="32"/>
      <x:c r="D46" s="32"/>
      <x:c r="E46" s="32"/>
      <x:c r="G46" s="32"/>
      <x:c r="H46" s="32"/>
    </x:row>
    <x:row r="47">
      <x:c r="C47" s="32"/>
      <x:c r="D47" s="32"/>
      <x:c r="E47" s="32"/>
      <x:c r="G47" s="32"/>
      <x:c r="H47" s="32"/>
    </x:row>
    <x:row r="48">
      <x:c r="C48" s="32"/>
      <x:c r="D48" s="32"/>
      <x:c r="E48" s="32"/>
      <x:c r="G48" s="32"/>
      <x:c r="H48" s="32"/>
    </x:row>
    <x:row r="49">
      <x:c r="C49" s="32"/>
      <x:c r="D49" s="32"/>
      <x:c r="E49" s="32"/>
      <x:c r="G49" s="32"/>
      <x:c r="H49" s="32"/>
    </x:row>
    <x:row r="50">
      <x:c r="C50" s="32"/>
      <x:c r="D50" s="32"/>
      <x:c r="E50" s="32"/>
      <x:c r="G50" s="32"/>
      <x:c r="H50" s="32"/>
    </x:row>
    <x:row r="51">
      <x:c r="C51" s="32"/>
      <x:c r="D51" s="32"/>
      <x:c r="E51" s="32"/>
      <x:c r="G51" s="32"/>
      <x:c r="H51" s="32"/>
    </x:row>
    <x:row r="52">
      <x:c r="C52" s="32"/>
      <x:c r="D52" s="32"/>
      <x:c r="E52" s="32"/>
      <x:c r="G52" s="32"/>
      <x:c r="H52" s="32"/>
    </x:row>
    <x:row r="53">
      <x:c r="C53" s="32"/>
      <x:c r="D53" s="32"/>
      <x:c r="E53" s="32"/>
      <x:c r="G53" s="32"/>
      <x:c r="H53" s="32"/>
    </x:row>
    <x:row r="54">
      <x:c r="C54" s="32"/>
      <x:c r="D54" s="32"/>
      <x:c r="E54" s="32"/>
      <x:c r="G54" s="32"/>
      <x:c r="H54" s="32"/>
    </x:row>
    <x:row r="55">
      <x:c r="C55" s="32"/>
      <x:c r="D55" s="32"/>
      <x:c r="E55" s="32"/>
      <x:c r="G55" s="32"/>
      <x:c r="H55" s="32"/>
    </x:row>
    <x:row r="56">
      <x:c r="C56" s="32"/>
      <x:c r="D56" s="32"/>
      <x:c r="E56" s="32"/>
      <x:c r="G56" s="32"/>
      <x:c r="H56" s="32"/>
    </x:row>
    <x:row r="57">
      <x:c r="C57" s="32"/>
      <x:c r="D57" s="32"/>
      <x:c r="E57" s="32"/>
      <x:c r="G57" s="32"/>
      <x:c r="H57" s="32"/>
    </x:row>
    <x:row r="58">
      <x:c r="C58" s="32"/>
      <x:c r="D58" s="32"/>
      <x:c r="E58" s="32"/>
      <x:c r="G58" s="32"/>
      <x:c r="H58" s="32"/>
    </x:row>
    <x:row r="59">
      <x:c r="C59" s="32"/>
      <x:c r="D59" s="32"/>
      <x:c r="E59" s="32"/>
      <x:c r="G59" s="32"/>
      <x:c r="H59" s="32"/>
    </x:row>
    <x:row r="60">
      <x:c r="C60" s="32"/>
      <x:c r="D60" s="32"/>
      <x:c r="E60" s="32"/>
      <x:c r="G60" s="32"/>
      <x:c r="H60" s="32"/>
    </x:row>
    <x:row r="61">
      <x:c r="C61" s="32"/>
      <x:c r="D61" s="32"/>
      <x:c r="E61" s="32"/>
      <x:c r="G61" s="32"/>
      <x:c r="H61" s="32"/>
    </x:row>
    <x:row r="62">
      <x:c r="C62" s="32"/>
      <x:c r="D62" s="32"/>
      <x:c r="E62" s="32"/>
      <x:c r="G62" s="32"/>
      <x:c r="H62" s="32"/>
    </x:row>
    <x:row r="63">
      <x:c r="C63" s="32"/>
      <x:c r="D63" s="32"/>
      <x:c r="E63" s="32"/>
      <x:c r="G63" s="32"/>
      <x:c r="H63" s="32"/>
    </x:row>
    <x:row r="64">
      <x:c r="C64" s="32"/>
      <x:c r="D64" s="32"/>
      <x:c r="E64" s="32"/>
      <x:c r="G64" s="32"/>
      <x:c r="H64" s="32"/>
    </x:row>
    <x:row r="65">
      <x:c r="C65" s="32"/>
      <x:c r="D65" s="32"/>
      <x:c r="E65" s="32"/>
      <x:c r="G65" s="32"/>
      <x:c r="H65" s="32"/>
    </x:row>
    <x:row r="66">
      <x:c r="C66" s="32"/>
      <x:c r="D66" s="32"/>
      <x:c r="E66" s="32"/>
      <x:c r="G66" s="32"/>
      <x:c r="H66" s="32"/>
    </x:row>
    <x:row r="67">
      <x:c r="C67" s="32"/>
      <x:c r="D67" s="32"/>
      <x:c r="E67" s="32"/>
      <x:c r="G67" s="32"/>
      <x:c r="H67" s="32"/>
    </x:row>
    <x:row r="68">
      <x:c r="C68" s="32"/>
      <x:c r="D68" s="32"/>
      <x:c r="E68" s="32"/>
      <x:c r="G68" s="32"/>
      <x:c r="H68" s="32"/>
    </x:row>
    <x:row r="69">
      <x:c r="C69" s="32"/>
      <x:c r="D69" s="32"/>
      <x:c r="E69" s="32"/>
      <x:c r="G69" s="32"/>
      <x:c r="H69" s="32"/>
    </x:row>
    <x:row r="70">
      <x:c r="C70" s="32"/>
      <x:c r="D70" s="32"/>
      <x:c r="E70" s="32"/>
      <x:c r="G70" s="32"/>
      <x:c r="H70" s="32"/>
    </x:row>
    <x:row r="71">
      <x:c r="C71" s="32"/>
      <x:c r="D71" s="32"/>
      <x:c r="E71" s="32"/>
      <x:c r="G71" s="32"/>
      <x:c r="H71" s="32"/>
    </x:row>
    <x:row r="72">
      <x:c r="C72" s="32"/>
      <x:c r="D72" s="32"/>
      <x:c r="E72" s="32"/>
      <x:c r="G72" s="32"/>
      <x:c r="H72" s="32"/>
    </x:row>
    <x:row r="73">
      <x:c r="C73" s="32"/>
      <x:c r="D73" s="32"/>
      <x:c r="E73" s="32"/>
      <x:c r="G73" s="32"/>
      <x:c r="H73" s="32"/>
    </x:row>
    <x:row r="74">
      <x:c r="C74" s="32"/>
      <x:c r="D74" s="32"/>
      <x:c r="E74" s="32"/>
      <x:c r="G74" s="32"/>
      <x:c r="H74" s="32"/>
    </x:row>
    <x:row r="75">
      <x:c r="C75" s="32"/>
      <x:c r="D75" s="32"/>
      <x:c r="E75" s="32"/>
      <x:c r="G75" s="32"/>
      <x:c r="H75" s="32"/>
    </x:row>
    <x:row r="76">
      <x:c r="C76" s="32"/>
      <x:c r="D76" s="32"/>
      <x:c r="E76" s="32"/>
      <x:c r="G76" s="32"/>
      <x:c r="H76" s="32"/>
    </x:row>
    <x:row r="77">
      <x:c r="C77" s="32"/>
      <x:c r="D77" s="32"/>
      <x:c r="E77" s="32"/>
      <x:c r="G77" s="32"/>
      <x:c r="H77" s="32"/>
    </x:row>
    <x:row r="78">
      <x:c r="C78" s="32"/>
      <x:c r="D78" s="32"/>
      <x:c r="E78" s="32"/>
      <x:c r="G78" s="32"/>
      <x:c r="H78" s="32"/>
    </x:row>
    <x:row r="79">
      <x:c r="C79" s="32"/>
      <x:c r="D79" s="32"/>
      <x:c r="E79" s="32"/>
      <x:c r="G79" s="32"/>
      <x:c r="H79" s="32"/>
    </x:row>
    <x:row r="80">
      <x:c r="C80" s="32"/>
      <x:c r="D80" s="32"/>
      <x:c r="E80" s="32"/>
      <x:c r="G80" s="32"/>
      <x:c r="H80" s="32"/>
    </x:row>
    <x:row r="81">
      <x:c r="C81" s="32"/>
      <x:c r="D81" s="32"/>
      <x:c r="E81" s="32"/>
      <x:c r="G81" s="32"/>
      <x:c r="H81" s="32"/>
    </x:row>
    <x:row r="82">
      <x:c r="C82" s="32"/>
      <x:c r="D82" s="32"/>
      <x:c r="E82" s="32"/>
      <x:c r="G82" s="32"/>
      <x:c r="H82" s="32"/>
    </x:row>
    <x:row r="83">
      <x:c r="C83" s="32"/>
      <x:c r="D83" s="32"/>
      <x:c r="E83" s="32"/>
      <x:c r="G83" s="32"/>
      <x:c r="H83" s="32"/>
    </x:row>
    <x:row r="84">
      <x:c r="C84" s="32"/>
      <x:c r="D84" s="32"/>
      <x:c r="E84" s="32"/>
      <x:c r="G84" s="32"/>
      <x:c r="H84" s="32"/>
    </x:row>
    <x:row r="85">
      <x:c r="C85" s="32"/>
      <x:c r="D85" s="32"/>
      <x:c r="E85" s="32"/>
      <x:c r="G85" s="32"/>
      <x:c r="H85" s="32"/>
    </x:row>
    <x:row r="86">
      <x:c r="C86" s="32"/>
      <x:c r="D86" s="32"/>
      <x:c r="E86" s="32"/>
      <x:c r="G86" s="32"/>
      <x:c r="H86" s="32"/>
    </x:row>
    <x:row r="87">
      <x:c r="C87" s="32"/>
      <x:c r="D87" s="32"/>
      <x:c r="E87" s="32"/>
      <x:c r="G87" s="32"/>
      <x:c r="H87" s="32"/>
    </x:row>
    <x:row r="88">
      <x:c r="C88" s="32"/>
      <x:c r="D88" s="32"/>
      <x:c r="E88" s="32"/>
      <x:c r="G88" s="32"/>
      <x:c r="H88" s="32"/>
    </x:row>
    <x:row r="89">
      <x:c r="C89" s="32"/>
      <x:c r="D89" s="32"/>
      <x:c r="E89" s="32"/>
      <x:c r="G89" s="32"/>
      <x:c r="H89" s="32"/>
    </x:row>
    <x:row r="90">
      <x:c r="C90" s="32"/>
      <x:c r="D90" s="32"/>
      <x:c r="E90" s="32"/>
      <x:c r="G90" s="32"/>
      <x:c r="H90" s="32"/>
    </x:row>
    <x:row r="91">
      <x:c r="C91" s="32"/>
      <x:c r="D91" s="32"/>
      <x:c r="E91" s="32"/>
      <x:c r="G91" s="32"/>
      <x:c r="H91" s="32"/>
    </x:row>
    <x:row r="92">
      <x:c r="C92" s="32"/>
      <x:c r="D92" s="32"/>
      <x:c r="E92" s="32"/>
      <x:c r="G92" s="32"/>
      <x:c r="H92" s="32"/>
    </x:row>
    <x:row r="93">
      <x:c r="C93" s="32"/>
      <x:c r="D93" s="32"/>
      <x:c r="E93" s="32"/>
      <x:c r="G93" s="32"/>
      <x:c r="H93" s="32"/>
    </x:row>
    <x:row r="94">
      <x:c r="C94" s="32"/>
      <x:c r="D94" s="32"/>
      <x:c r="E94" s="32"/>
      <x:c r="G94" s="32"/>
      <x:c r="H94" s="32"/>
    </x:row>
    <x:row r="95">
      <x:c r="C95" s="32"/>
      <x:c r="D95" s="32"/>
      <x:c r="E95" s="32"/>
      <x:c r="G95" s="32"/>
      <x:c r="H95" s="32"/>
    </x:row>
    <x:row r="96">
      <x:c r="C96" s="32"/>
      <x:c r="D96" s="32"/>
      <x:c r="E96" s="32"/>
      <x:c r="G96" s="32"/>
      <x:c r="H96" s="32"/>
    </x:row>
    <x:row r="97">
      <x:c r="C97" s="32"/>
      <x:c r="D97" s="32"/>
      <x:c r="E97" s="32"/>
      <x:c r="G97" s="32"/>
      <x:c r="H97" s="32"/>
    </x:row>
    <x:row r="98">
      <x:c r="C98" s="32"/>
      <x:c r="D98" s="32"/>
      <x:c r="E98" s="32"/>
      <x:c r="G98" s="32"/>
      <x:c r="H98" s="32"/>
    </x:row>
    <x:row r="99">
      <x:c r="C99" s="32"/>
      <x:c r="D99" s="32"/>
      <x:c r="E99" s="32"/>
      <x:c r="G99" s="32"/>
      <x:c r="H99" s="32"/>
    </x:row>
    <x:row r="100">
      <x:c r="C100" s="32"/>
      <x:c r="D100" s="32"/>
      <x:c r="E100" s="32"/>
      <x:c r="G100" s="32"/>
      <x:c r="H100" s="32"/>
    </x:row>
  </x:sheetData>
  <x:conditionalFormatting sqref="G5:G14">
    <x:cfRule type="containsText" dxfId="1" priority="1" operator="containsText" text="CẦN SỬA"/>
    <x:cfRule type="containsText" dxfId="2" priority="2" operator="containsText" text="ĐÃ DUYỆT"/>
  </x:conditionalFormatting>
  <x:dataValidations count="1">
    <x:dataValidation type="list" sqref="G5:G100">
      <x:formula1>"CHƯA NHẬN,ĐÃ NHẬN,CẦN SỬA,ĐÃ DUYỆT"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323f153ce64753"/>
  </x:tableParts>
</x:worksheet>
</file>

<file path=xl/worksheets/sheet11.xml><?xml version="1.0" encoding="utf-8"?>
<x:worksheet xmlns:x="http://schemas.openxmlformats.org/spreadsheetml/2006/main">
  <x:sheetPr>
    <x:tabColor rgb="FF8B96A0"/>
  </x:sheetPr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76" hidden="0" customWidth="1"/>
  </x:cols>
  <x:sheetData>
    <x:row r="2">
      <x:c r="A2" s="1" t="str">
        <x:v>Hướng dẫn sử dụng workbook</x:v>
      </x:c>
    </x:row>
    <x:row r="3">
      <x:c r="A3" s="3" t="str">
        <x:v>Dùng cùng tài liệu docs/department-data-guide.md.</x:v>
      </x:c>
      <x:c r="B3" s="4"/>
      <x:c r="C3" s="4"/>
      <x:c r="D3" s="4"/>
      <x:c r="E3" s="4"/>
      <x:c r="F3" s="4"/>
    </x:row>
    <x:row r="5" ht="34" customHeight="1">
      <x:c r="A5" s="64" t="str">
        <x:v>1</x:v>
      </x:c>
      <x:c r="B5" s="67" t="str">
        <x:v>Mục đích</x:v>
      </x:c>
      <x:c r="C5" s="86" t="str">
        <x:v>Workbook vừa chứa dữ liệu mẫu để demo, vừa là cấu trúc tham khảo khi các phòng ban bàn giao dữ liệu thật.</x:v>
      </x:c>
    </x:row>
    <x:row r="6" ht="34" customHeight="1">
      <x:c r="A6" s="65" t="str">
        <x:v>2</x:v>
      </x:c>
      <x:c r="B6" s="68" t="str">
        <x:v>Nhận biết dữ liệu demo</x:v>
      </x:c>
      <x:c r="C6" s="87" t="str">
        <x:v>Cột Nguồn ghi DEMO. Không đổi nhãn này thành THỰC TẾ nếu chưa có người duyệt.</x:v>
      </x:c>
    </x:row>
    <x:row r="7" ht="34" customHeight="1">
      <x:c r="A7" s="65" t="str">
        <x:v>3</x:v>
      </x:c>
      <x:c r="B7" s="68" t="str">
        <x:v>Ô màu vàng</x:v>
      </x:c>
      <x:c r="C7" s="87" t="str">
        <x:v>Phòng ban điền hoặc xác nhận. Không xóa cột mã, trạng thái và tổng kiểm soát.</x:v>
      </x:c>
    </x:row>
    <x:row r="8" ht="34" customHeight="1">
      <x:c r="A8" s="65" t="str">
        <x:v>4</x:v>
      </x:c>
      <x:c r="B8" s="68" t="str">
        <x:v>Ngày và số</x:v>
      </x:c>
      <x:c r="C8" s="87" t="str">
        <x:v>Ngày nhập YYYY-MM-DD. Tiền là số VND. Tỷ lệ 8 nghĩa là 8%.</x:v>
      </x:c>
    </x:row>
    <x:row r="9" ht="34" customHeight="1">
      <x:c r="A9" s="65" t="str">
        <x:v>5</x:v>
      </x:c>
      <x:c r="B9" s="68" t="str">
        <x:v>Khóa chính</x:v>
      </x:c>
      <x:c r="C9" s="87" t="str">
        <x:v>SKU, mã đối tác, mã kho, mã vị trí và mã chứng từ phải duy nhất trong phạm vi quy định.</x:v>
      </x:c>
    </x:row>
    <x:row r="10" ht="34" customHeight="1">
      <x:c r="A10" s="65" t="str">
        <x:v>6</x:v>
      </x:c>
      <x:c r="B10" s="68" t="str">
        <x:v>Đối soát</x:v>
      </x:c>
      <x:c r="C10" s="87" t="str">
        <x:v>Mỗi batch phải khớp số dòng, tổng tiền, tổng tồn và tổng công nợ với nguồn.</x:v>
      </x:c>
    </x:row>
    <x:row r="11" ht="34" customHeight="1">
      <x:c r="A11" s="65" t="str">
        <x:v>7</x:v>
      </x:c>
      <x:c r="B11" s="68" t="str">
        <x:v>Bảo mật</x:v>
      </x:c>
      <x:c r="C11" s="87" t="str">
        <x:v>Không điền mật khẩu, mã MFA, khóa API hoặc thông tin ngân hàng nhạy cảm vào workbook.</x:v>
      </x:c>
    </x:row>
    <x:row r="12" ht="34" customHeight="1">
      <x:c r="A12" s="66" t="str">
        <x:v>8</x:v>
      </x:c>
      <x:c r="B12" s="69" t="str">
        <x:v>Quy trình</x:v>
      </x:c>
      <x:c r="C12" s="88" t="str">
        <x:v>Tiếp nhận bản gốc → kiểm tra → sửa tại nguồn → nạp staging → đối soát → UAT → cutover.</x:v>
      </x:c>
    </x:row>
  </x:sheetData>
  <x:pageMargins left="0.7" right="0.7" top="0.75" bottom="0.75" header="0.3" footer="0.3"/>
</x:worksheet>
</file>