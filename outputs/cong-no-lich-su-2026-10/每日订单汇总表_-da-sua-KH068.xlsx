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F:\Mai\"/>
    </mc:Choice>
  </mc:AlternateContent>
  <xr:revisionPtr revIDLastSave="0" documentId="13_ncr:1_{914BDE49-47B9-41B1-8C29-728FBB15D7DF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Sheet1" sheetId="1" state="hidden" r:id="rId1"/>
    <sheet name="订单" sheetId="2" r:id="rId2"/>
    <sheet name="319 ĐÔng Anh" sheetId="31" r:id="rId3"/>
    <sheet name="Ánh Luật " sheetId="41" r:id="rId4"/>
    <sheet name="NPP Thế Tài" sheetId="13" r:id="rId5"/>
    <sheet name="Gia Bảo  " sheetId="42" r:id="rId6"/>
    <sheet name="BẰNG ÁNH" sheetId="5" r:id="rId7"/>
    <sheet name="Đức Lương" sheetId="32" r:id="rId8"/>
    <sheet name="Thảo Nguyên HD" sheetId="8" r:id="rId9"/>
    <sheet name="Cảnh Cường " sheetId="34" r:id="rId10"/>
    <sheet name="Sơn Thúy" sheetId="28" r:id="rId11"/>
    <sheet name="Trường An" sheetId="9" r:id="rId12"/>
    <sheet name="Sheet9" sheetId="40" r:id="rId13"/>
    <sheet name="Sơn Thùy" sheetId="39" r:id="rId14"/>
    <sheet name="Bá Hiến (2)" sheetId="36" r:id="rId15"/>
    <sheet name="GMN" sheetId="7" r:id="rId16"/>
    <sheet name="Doanh số t9" sheetId="35" r:id="rId17"/>
    <sheet name="Đại Phát" sheetId="16" r:id="rId18"/>
    <sheet name="Rồng Việt" sheetId="12" r:id="rId19"/>
    <sheet name="Minh Trí" sheetId="11" r:id="rId20"/>
    <sheet name="NPP Cường Diệp" sheetId="18" r:id="rId21"/>
    <sheet name="Ánh Luật" sheetId="29" r:id="rId22"/>
    <sheet name="Tùng Anh" sheetId="10" r:id="rId23"/>
    <sheet name="Sheet4" sheetId="25" r:id="rId24"/>
    <sheet name="Sheet2" sheetId="23" r:id="rId25"/>
    <sheet name="Sheet6" sheetId="30" r:id="rId26"/>
    <sheet name="Sheet7" sheetId="33" r:id="rId27"/>
    <sheet name="Sheet3" sheetId="37" r:id="rId28"/>
    <sheet name="Sheet5" sheetId="38" r:id="rId29"/>
  </sheets>
  <definedNames>
    <definedName name="_xlnm._FilterDatabase" localSheetId="2" hidden="1">'319 ĐÔng Anh'!$A$1:$R$172</definedName>
    <definedName name="_xlnm._FilterDatabase" localSheetId="3" hidden="1">'Ánh Luật '!$A$2:$R$48</definedName>
    <definedName name="_xlnm._FilterDatabase" localSheetId="14" hidden="1">'Bá Hiến (2)'!$A$1:$R$1</definedName>
    <definedName name="_xlnm._FilterDatabase" localSheetId="6" hidden="1">'BẰNG ÁNH'!$A$2:$Q$180</definedName>
    <definedName name="_xlnm._FilterDatabase" localSheetId="9" hidden="1">'Cảnh Cường '!$A$1:$S$154</definedName>
    <definedName name="_xlnm._FilterDatabase" localSheetId="17" hidden="1">'Đại Phát'!$A$1:$R$1</definedName>
    <definedName name="_xlnm._FilterDatabase" localSheetId="5" hidden="1">'Gia Bảo  '!$A$1:$Q$1</definedName>
    <definedName name="_xlnm._FilterDatabase" localSheetId="15" hidden="1">GMN!$A$2:$R$201</definedName>
    <definedName name="_xlnm._FilterDatabase" localSheetId="19" hidden="1">'Minh Trí'!$A$1:$R$1</definedName>
    <definedName name="_xlnm._FilterDatabase" localSheetId="20" hidden="1">'NPP Cường Diệp'!$A$1:$R$1</definedName>
    <definedName name="_xlnm._FilterDatabase" localSheetId="4" hidden="1">'NPP Thế Tài'!$A$1:$R$142</definedName>
    <definedName name="_xlnm._FilterDatabase" localSheetId="18" hidden="1">'Rồng Việt'!$A$1:$S$75</definedName>
    <definedName name="_xlnm._FilterDatabase" localSheetId="0" hidden="1">Sheet1!$A$2:$BI$990</definedName>
    <definedName name="_xlnm._FilterDatabase" localSheetId="10" hidden="1">'Sơn Thúy'!$A$2:$Q$70</definedName>
    <definedName name="_xlnm._FilterDatabase" localSheetId="8" hidden="1">'Thảo Nguyên HD'!$A$2:$S$2</definedName>
    <definedName name="_xlnm._FilterDatabase" localSheetId="1" hidden="1">订单!$A$1:$Y$2210</definedName>
    <definedName name="JR_PAGE_ANCHOR_0_1" localSheetId="2">#REF!</definedName>
    <definedName name="JR_PAGE_ANCHOR_0_1" localSheetId="3">#REF!</definedName>
    <definedName name="JR_PAGE_ANCHOR_0_1" localSheetId="14">#REF!</definedName>
    <definedName name="JR_PAGE_ANCHOR_0_1" localSheetId="9">#REF!</definedName>
    <definedName name="JR_PAGE_ANCHOR_0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8" i="31" l="1"/>
  <c r="O138" i="31" s="1"/>
  <c r="N139" i="31"/>
  <c r="O139" i="31"/>
  <c r="P139" i="31" s="1"/>
  <c r="N140" i="31"/>
  <c r="O140" i="31" s="1"/>
  <c r="P140" i="31" s="1"/>
  <c r="N141" i="31"/>
  <c r="O141" i="31" s="1"/>
  <c r="N142" i="31"/>
  <c r="O142" i="31"/>
  <c r="P142" i="31"/>
  <c r="N143" i="31"/>
  <c r="O143" i="31"/>
  <c r="P143" i="31"/>
  <c r="N144" i="31"/>
  <c r="O144" i="31"/>
  <c r="P144" i="31"/>
  <c r="N145" i="31"/>
  <c r="O145" i="31"/>
  <c r="P145" i="31"/>
  <c r="N146" i="31"/>
  <c r="O146" i="31"/>
  <c r="P146" i="31"/>
  <c r="N147" i="31"/>
  <c r="O147" i="31"/>
  <c r="P147" i="31"/>
  <c r="N148" i="31"/>
  <c r="O148" i="31"/>
  <c r="P148" i="31"/>
  <c r="N149" i="31"/>
  <c r="O149" i="31"/>
  <c r="P149" i="31"/>
  <c r="N150" i="31"/>
  <c r="O150" i="31"/>
  <c r="P150" i="31"/>
  <c r="N151" i="31"/>
  <c r="O151" i="31"/>
  <c r="P151" i="31"/>
  <c r="N152" i="31"/>
  <c r="O152" i="31"/>
  <c r="P152" i="31"/>
  <c r="N153" i="31"/>
  <c r="O153" i="31"/>
  <c r="P153" i="31"/>
  <c r="N154" i="31"/>
  <c r="O154" i="31"/>
  <c r="P154" i="31"/>
  <c r="N155" i="31"/>
  <c r="O155" i="31"/>
  <c r="P155" i="31"/>
  <c r="N156" i="31"/>
  <c r="O156" i="31"/>
  <c r="P156" i="31"/>
  <c r="N157" i="31"/>
  <c r="O157" i="31"/>
  <c r="P157" i="31"/>
  <c r="N158" i="31"/>
  <c r="O158" i="31"/>
  <c r="P158" i="31"/>
  <c r="N159" i="31"/>
  <c r="O159" i="31"/>
  <c r="P159" i="31"/>
  <c r="N160" i="31"/>
  <c r="O160" i="31"/>
  <c r="P160" i="31"/>
  <c r="N161" i="31"/>
  <c r="O161" i="31"/>
  <c r="P161" i="31"/>
  <c r="N162" i="31"/>
  <c r="O162" i="31"/>
  <c r="P162" i="31"/>
  <c r="N163" i="31"/>
  <c r="O163" i="31"/>
  <c r="P163" i="31"/>
  <c r="N164" i="31"/>
  <c r="O164" i="31"/>
  <c r="P164" i="31"/>
  <c r="N165" i="31"/>
  <c r="O165" i="31"/>
  <c r="P165" i="31"/>
  <c r="N166" i="31"/>
  <c r="O166" i="31"/>
  <c r="P166" i="31"/>
  <c r="N167" i="31"/>
  <c r="O167" i="31"/>
  <c r="P167" i="31"/>
  <c r="N168" i="31"/>
  <c r="O168" i="31"/>
  <c r="P168" i="31"/>
  <c r="N169" i="31"/>
  <c r="O169" i="31"/>
  <c r="P169" i="31"/>
  <c r="N170" i="31"/>
  <c r="O170" i="31" s="1"/>
  <c r="P170" i="31" s="1"/>
  <c r="N171" i="31"/>
  <c r="O171" i="31"/>
  <c r="P171" i="31"/>
  <c r="P55" i="41"/>
  <c r="R55" i="41"/>
  <c r="Q55" i="41"/>
  <c r="V1777" i="2"/>
  <c r="V1776" i="2"/>
  <c r="V1775" i="2"/>
  <c r="V1774" i="2"/>
  <c r="V1773" i="2"/>
  <c r="V1772" i="2"/>
  <c r="V1771" i="2"/>
  <c r="V1770" i="2"/>
  <c r="O2192" i="2"/>
  <c r="P2192" i="2" s="1"/>
  <c r="Q2192" i="2" s="1"/>
  <c r="V2192" i="2" s="1"/>
  <c r="O2193" i="2"/>
  <c r="O2194" i="2"/>
  <c r="O2195" i="2"/>
  <c r="P2195" i="2" s="1"/>
  <c r="O2196" i="2"/>
  <c r="O2197" i="2"/>
  <c r="O2198" i="2"/>
  <c r="P2198" i="2" s="1"/>
  <c r="O2199" i="2"/>
  <c r="P2199" i="2" s="1"/>
  <c r="O2200" i="2"/>
  <c r="P2200" i="2" s="1"/>
  <c r="Q2200" i="2" s="1"/>
  <c r="V2200" i="2" s="1"/>
  <c r="O2201" i="2"/>
  <c r="P2201" i="2" s="1"/>
  <c r="Q2201" i="2" s="1"/>
  <c r="V2201" i="2" s="1"/>
  <c r="O2202" i="2"/>
  <c r="P2202" i="2" s="1"/>
  <c r="Q2202" i="2" s="1"/>
  <c r="V2202" i="2" s="1"/>
  <c r="V2210" i="2"/>
  <c r="O126" i="2"/>
  <c r="P126" i="2" s="1"/>
  <c r="O121" i="2"/>
  <c r="O118" i="2"/>
  <c r="O116" i="2"/>
  <c r="O114" i="2"/>
  <c r="O2209" i="2"/>
  <c r="P141" i="31" l="1"/>
  <c r="P138" i="31"/>
  <c r="Q2195" i="2"/>
  <c r="V2195" i="2" s="1"/>
  <c r="P2197" i="2"/>
  <c r="Q2197" i="2" s="1"/>
  <c r="V2197" i="2" s="1"/>
  <c r="P2194" i="2"/>
  <c r="Q2194" i="2" s="1"/>
  <c r="V2194" i="2" s="1"/>
  <c r="P2196" i="2"/>
  <c r="Q2196" i="2" s="1"/>
  <c r="V2196" i="2" s="1"/>
  <c r="P2193" i="2"/>
  <c r="Q2193" i="2" s="1"/>
  <c r="V2193" i="2" s="1"/>
  <c r="Q2199" i="2"/>
  <c r="V2199" i="2" s="1"/>
  <c r="Q2198" i="2"/>
  <c r="V2198" i="2" s="1"/>
  <c r="P2209" i="2"/>
  <c r="Q2209" i="2" s="1"/>
  <c r="V2209" i="2" s="1"/>
  <c r="Q126" i="2"/>
  <c r="V126" i="2" s="1"/>
  <c r="P121" i="2"/>
  <c r="Q121" i="2" s="1"/>
  <c r="V121" i="2" s="1"/>
  <c r="P118" i="2"/>
  <c r="Q118" i="2" s="1"/>
  <c r="V118" i="2" s="1"/>
  <c r="P116" i="2"/>
  <c r="Q116" i="2" s="1"/>
  <c r="V116" i="2" s="1"/>
  <c r="P114" i="2"/>
  <c r="Q114" i="2" s="1"/>
  <c r="V114" i="2" s="1"/>
  <c r="O2208" i="2" l="1"/>
  <c r="P2208" i="2" l="1"/>
  <c r="Q2208" i="2" s="1"/>
  <c r="V2208" i="2" s="1"/>
  <c r="O2207" i="2" l="1"/>
  <c r="O2206" i="2"/>
  <c r="O2205" i="2"/>
  <c r="O2204" i="2"/>
  <c r="P2204" i="2" l="1"/>
  <c r="Q2204" i="2" s="1"/>
  <c r="V2204" i="2" s="1"/>
  <c r="P2205" i="2"/>
  <c r="Q2205" i="2" s="1"/>
  <c r="V2205" i="2" s="1"/>
  <c r="P2206" i="2"/>
  <c r="Q2206" i="2" s="1"/>
  <c r="V2206" i="2" s="1"/>
  <c r="P2207" i="2"/>
  <c r="Q2207" i="2" s="1"/>
  <c r="V2207" i="2" s="1"/>
  <c r="O2203" i="2"/>
  <c r="P2203" i="2" l="1"/>
  <c r="Q2203" i="2" s="1"/>
  <c r="V2203" i="2" s="1"/>
  <c r="O2191" i="2" l="1"/>
  <c r="P2191" i="2" l="1"/>
  <c r="Q2191" i="2" s="1"/>
  <c r="V2191" i="2" s="1"/>
  <c r="O2190" i="2" l="1"/>
  <c r="O2189" i="2"/>
  <c r="O2188" i="2"/>
  <c r="O2187" i="2"/>
  <c r="O2186" i="2"/>
  <c r="O2185" i="2"/>
  <c r="P2189" i="2" l="1"/>
  <c r="Q2189" i="2" s="1"/>
  <c r="V2189" i="2" s="1"/>
  <c r="P2190" i="2"/>
  <c r="Q2190" i="2" s="1"/>
  <c r="V2190" i="2" s="1"/>
  <c r="P2185" i="2"/>
  <c r="Q2185" i="2" s="1"/>
  <c r="V2185" i="2" s="1"/>
  <c r="P2186" i="2"/>
  <c r="Q2186" i="2" s="1"/>
  <c r="V2186" i="2" s="1"/>
  <c r="P2187" i="2"/>
  <c r="Q2187" i="2" s="1"/>
  <c r="V2187" i="2" s="1"/>
  <c r="P2188" i="2"/>
  <c r="Q2188" i="2" s="1"/>
  <c r="V2188" i="2" s="1"/>
  <c r="O2129" i="2" l="1"/>
  <c r="P2129" i="2" s="1"/>
  <c r="Q2129" i="2" s="1"/>
  <c r="O2130" i="2"/>
  <c r="P2130" i="2" s="1"/>
  <c r="Q2130" i="2" s="1"/>
  <c r="O2131" i="2"/>
  <c r="P2131" i="2" s="1"/>
  <c r="Q2131" i="2" s="1"/>
  <c r="O2132" i="2"/>
  <c r="P2132" i="2" s="1"/>
  <c r="Q2132" i="2" s="1"/>
  <c r="O2133" i="2"/>
  <c r="O2134" i="2"/>
  <c r="P2181" i="2"/>
  <c r="Q2181" i="2" s="1"/>
  <c r="V2181" i="2" s="1"/>
  <c r="O2184" i="2"/>
  <c r="P2184" i="2" s="1"/>
  <c r="Q2184" i="2" s="1"/>
  <c r="V2184" i="2" s="1"/>
  <c r="O2183" i="2"/>
  <c r="P2183" i="2" s="1"/>
  <c r="Q2183" i="2" s="1"/>
  <c r="V2183" i="2" s="1"/>
  <c r="O2182" i="2"/>
  <c r="P2182" i="2" s="1"/>
  <c r="O2180" i="2"/>
  <c r="P2180" i="2" s="1"/>
  <c r="O2179" i="2"/>
  <c r="P2179" i="2" s="1"/>
  <c r="O2178" i="2"/>
  <c r="P2178" i="2" s="1"/>
  <c r="O2177" i="2"/>
  <c r="O2176" i="2"/>
  <c r="P2176" i="2" s="1"/>
  <c r="Q2176" i="2" s="1"/>
  <c r="V2176" i="2" s="1"/>
  <c r="O2175" i="2"/>
  <c r="O2174" i="2"/>
  <c r="P2174" i="2" s="1"/>
  <c r="Q2174" i="2" s="1"/>
  <c r="V2174" i="2" s="1"/>
  <c r="O2173" i="2"/>
  <c r="P2173" i="2" s="1"/>
  <c r="Q2173" i="2" s="1"/>
  <c r="V2173" i="2" s="1"/>
  <c r="O2172" i="2"/>
  <c r="P2172" i="2" s="1"/>
  <c r="Q2172" i="2" s="1"/>
  <c r="V2172" i="2" s="1"/>
  <c r="O2171" i="2"/>
  <c r="P2171" i="2" s="1"/>
  <c r="Q2171" i="2" s="1"/>
  <c r="V2171" i="2" s="1"/>
  <c r="O2170" i="2"/>
  <c r="P2170" i="2" s="1"/>
  <c r="O2169" i="2"/>
  <c r="P2169" i="2" s="1"/>
  <c r="O2168" i="2"/>
  <c r="P2168" i="2" s="1"/>
  <c r="O2167" i="2"/>
  <c r="P2167" i="2" s="1"/>
  <c r="O2166" i="2"/>
  <c r="P2177" i="2" l="1"/>
  <c r="Q2177" i="2" s="1"/>
  <c r="V2177" i="2" s="1"/>
  <c r="P2175" i="2"/>
  <c r="Q2175" i="2" s="1"/>
  <c r="V2175" i="2" s="1"/>
  <c r="Q2182" i="2"/>
  <c r="V2182" i="2" s="1"/>
  <c r="Q2169" i="2"/>
  <c r="V2169" i="2" s="1"/>
  <c r="P2166" i="2"/>
  <c r="Q2166" i="2" s="1"/>
  <c r="V2166" i="2" s="1"/>
  <c r="Q2170" i="2"/>
  <c r="V2170" i="2" s="1"/>
  <c r="Q2180" i="2"/>
  <c r="V2180" i="2" s="1"/>
  <c r="Q2179" i="2"/>
  <c r="V2179" i="2" s="1"/>
  <c r="Q2178" i="2"/>
  <c r="V2178" i="2" s="1"/>
  <c r="Q2168" i="2"/>
  <c r="V2168" i="2" s="1"/>
  <c r="Q2167" i="2"/>
  <c r="V2167" i="2" s="1"/>
  <c r="R172" i="31"/>
  <c r="Q172" i="31"/>
  <c r="O172" i="31"/>
  <c r="N172" i="31"/>
  <c r="P172" i="31" s="1"/>
  <c r="P2072" i="2"/>
  <c r="Q2072" i="2" s="1"/>
  <c r="O2165" i="2"/>
  <c r="P2165" i="2" s="1"/>
  <c r="Q2165" i="2" s="1"/>
  <c r="V2165" i="2" s="1"/>
  <c r="O2164" i="2"/>
  <c r="P2164" i="2" s="1"/>
  <c r="Q2164" i="2" s="1"/>
  <c r="V2164" i="2" s="1"/>
  <c r="O2163" i="2"/>
  <c r="O2162" i="2"/>
  <c r="P2162" i="2" s="1"/>
  <c r="Q2162" i="2" s="1"/>
  <c r="V2162" i="2" s="1"/>
  <c r="O2161" i="2"/>
  <c r="P2161" i="2" s="1"/>
  <c r="Q2161" i="2" s="1"/>
  <c r="V2161" i="2" s="1"/>
  <c r="O2160" i="2"/>
  <c r="P2160" i="2" s="1"/>
  <c r="Q2160" i="2" s="1"/>
  <c r="V2160" i="2" s="1"/>
  <c r="O2159" i="2"/>
  <c r="P2159" i="2" s="1"/>
  <c r="O2158" i="2"/>
  <c r="P2158" i="2" s="1"/>
  <c r="Q2158" i="2" s="1"/>
  <c r="V2158" i="2" s="1"/>
  <c r="O2157" i="2"/>
  <c r="P2157" i="2" s="1"/>
  <c r="Q2157" i="2" s="1"/>
  <c r="V2157" i="2" s="1"/>
  <c r="O2156" i="2"/>
  <c r="P2156" i="2" s="1"/>
  <c r="O2155" i="2"/>
  <c r="P2155" i="2" s="1"/>
  <c r="Q2155" i="2" s="1"/>
  <c r="V2155" i="2" s="1"/>
  <c r="O2154" i="2"/>
  <c r="P2154" i="2" s="1"/>
  <c r="Q2154" i="2" s="1"/>
  <c r="V2154" i="2" s="1"/>
  <c r="O2153" i="2"/>
  <c r="P2153" i="2" s="1"/>
  <c r="Q2153" i="2" s="1"/>
  <c r="V2153" i="2" s="1"/>
  <c r="O2152" i="2"/>
  <c r="P2152" i="2" s="1"/>
  <c r="Q2152" i="2" s="1"/>
  <c r="V2152" i="2" s="1"/>
  <c r="O2151" i="2"/>
  <c r="O2150" i="2"/>
  <c r="P2150" i="2" s="1"/>
  <c r="Q2150" i="2" s="1"/>
  <c r="V2150" i="2" s="1"/>
  <c r="O2149" i="2"/>
  <c r="P2149" i="2" s="1"/>
  <c r="Q2149" i="2" s="1"/>
  <c r="V2149" i="2" s="1"/>
  <c r="O2148" i="2"/>
  <c r="P2148" i="2" s="1"/>
  <c r="Q2148" i="2" s="1"/>
  <c r="V2148" i="2" s="1"/>
  <c r="O2147" i="2"/>
  <c r="P2147" i="2" s="1"/>
  <c r="O2146" i="2"/>
  <c r="P2146" i="2" s="1"/>
  <c r="Q2146" i="2" s="1"/>
  <c r="V2146" i="2" s="1"/>
  <c r="O2145" i="2"/>
  <c r="P2145" i="2" s="1"/>
  <c r="Q2145" i="2" s="1"/>
  <c r="V2145" i="2" s="1"/>
  <c r="O2144" i="2"/>
  <c r="P2144" i="2" s="1"/>
  <c r="O2143" i="2"/>
  <c r="P2143" i="2" s="1"/>
  <c r="Q2143" i="2" s="1"/>
  <c r="V2143" i="2" s="1"/>
  <c r="O2142" i="2"/>
  <c r="P2142" i="2" s="1"/>
  <c r="Q2142" i="2" s="1"/>
  <c r="V2142" i="2" s="1"/>
  <c r="O2141" i="2"/>
  <c r="P2141" i="2" s="1"/>
  <c r="Q2141" i="2" s="1"/>
  <c r="V2141" i="2" s="1"/>
  <c r="O2140" i="2"/>
  <c r="P2140" i="2" s="1"/>
  <c r="Q2140" i="2" s="1"/>
  <c r="V2140" i="2" s="1"/>
  <c r="O2139" i="2"/>
  <c r="O2138" i="2"/>
  <c r="P2138" i="2" s="1"/>
  <c r="Q2138" i="2" s="1"/>
  <c r="V2138" i="2" s="1"/>
  <c r="O2137" i="2"/>
  <c r="P2137" i="2" s="1"/>
  <c r="Q2137" i="2" s="1"/>
  <c r="V2137" i="2" s="1"/>
  <c r="O2136" i="2"/>
  <c r="P2136" i="2" s="1"/>
  <c r="Q2136" i="2" s="1"/>
  <c r="V2136" i="2" s="1"/>
  <c r="O2135" i="2"/>
  <c r="P2135" i="2" s="1"/>
  <c r="P2134" i="2"/>
  <c r="Q2134" i="2" s="1"/>
  <c r="V2134" i="2" s="1"/>
  <c r="P2133" i="2"/>
  <c r="Q2133" i="2" s="1"/>
  <c r="V2133" i="2" s="1"/>
  <c r="V2132" i="2" l="1"/>
  <c r="Q2144" i="2"/>
  <c r="V2144" i="2" s="1"/>
  <c r="Q2156" i="2"/>
  <c r="V2156" i="2" s="1"/>
  <c r="P2151" i="2"/>
  <c r="Q2151" i="2" s="1"/>
  <c r="V2151" i="2" s="1"/>
  <c r="Q2135" i="2"/>
  <c r="V2135" i="2" s="1"/>
  <c r="Q2147" i="2"/>
  <c r="V2147" i="2" s="1"/>
  <c r="Q2159" i="2"/>
  <c r="V2159" i="2" s="1"/>
  <c r="P2139" i="2"/>
  <c r="Q2139" i="2" s="1"/>
  <c r="V2139" i="2" s="1"/>
  <c r="P2163" i="2"/>
  <c r="Q2163" i="2" s="1"/>
  <c r="V2163" i="2" s="1"/>
  <c r="R142" i="13" l="1"/>
  <c r="Q142" i="13"/>
  <c r="V2129" i="2"/>
  <c r="O2128" i="2"/>
  <c r="P2128" i="2" s="1"/>
  <c r="O2127" i="2"/>
  <c r="O2126" i="2"/>
  <c r="P2126" i="2" s="1"/>
  <c r="O2125" i="2"/>
  <c r="P2125" i="2" s="1"/>
  <c r="Q2125" i="2" s="1"/>
  <c r="V2125" i="2" s="1"/>
  <c r="O2124" i="2"/>
  <c r="O2123" i="2"/>
  <c r="O2122" i="2"/>
  <c r="Q2126" i="2" l="1"/>
  <c r="V2126" i="2" s="1"/>
  <c r="P2127" i="2"/>
  <c r="Q2127" i="2" s="1"/>
  <c r="V2127" i="2" s="1"/>
  <c r="P2122" i="2"/>
  <c r="Q2122" i="2" s="1"/>
  <c r="V2122" i="2" s="1"/>
  <c r="Q2128" i="2"/>
  <c r="V2128" i="2" s="1"/>
  <c r="P2123" i="2"/>
  <c r="Q2123" i="2" s="1"/>
  <c r="V2123" i="2" s="1"/>
  <c r="P2124" i="2"/>
  <c r="Q2124" i="2" s="1"/>
  <c r="V2124" i="2" s="1"/>
  <c r="P2111" i="2"/>
  <c r="Q2111" i="2" s="1"/>
  <c r="V2111" i="2" s="1"/>
  <c r="P2112" i="2"/>
  <c r="Q2112" i="2" s="1"/>
  <c r="O2121" i="2"/>
  <c r="P2121" i="2" s="1"/>
  <c r="O2120" i="2"/>
  <c r="P2120" i="2" s="1"/>
  <c r="O2119" i="2"/>
  <c r="P2119" i="2" s="1"/>
  <c r="Q2119" i="2" s="1"/>
  <c r="V2119" i="2" s="1"/>
  <c r="O2118" i="2"/>
  <c r="P2118" i="2" s="1"/>
  <c r="Q2118" i="2" s="1"/>
  <c r="V2118" i="2" s="1"/>
  <c r="O2117" i="2"/>
  <c r="P2117" i="2" s="1"/>
  <c r="O2116" i="2"/>
  <c r="P2116" i="2" s="1"/>
  <c r="O2115" i="2"/>
  <c r="P2115" i="2" s="1"/>
  <c r="O2114" i="2"/>
  <c r="P2114" i="2" s="1"/>
  <c r="O2113" i="2"/>
  <c r="P2113" i="2" s="1"/>
  <c r="Q2114" i="2" l="1"/>
  <c r="V2114" i="2" s="1"/>
  <c r="Q2116" i="2"/>
  <c r="V2116" i="2" s="1"/>
  <c r="Q2121" i="2"/>
  <c r="V2121" i="2" s="1"/>
  <c r="Q2120" i="2"/>
  <c r="V2120" i="2" s="1"/>
  <c r="Q2117" i="2"/>
  <c r="V2117" i="2" s="1"/>
  <c r="Q2115" i="2"/>
  <c r="V2115" i="2" s="1"/>
  <c r="Q2113" i="2"/>
  <c r="V2113" i="2" s="1"/>
  <c r="I77" i="42" l="1"/>
  <c r="I75" i="42"/>
  <c r="I74" i="42"/>
  <c r="Q71" i="42"/>
  <c r="I76" i="42" s="1"/>
  <c r="P71" i="42"/>
  <c r="I73" i="42" s="1"/>
  <c r="O71" i="42"/>
  <c r="N71" i="42"/>
  <c r="V2112" i="2"/>
  <c r="O2110" i="2"/>
  <c r="O2109" i="2"/>
  <c r="O2108" i="2"/>
  <c r="O2107" i="2"/>
  <c r="O2106" i="2"/>
  <c r="O2105" i="2"/>
  <c r="P2105" i="2" s="1"/>
  <c r="O2104" i="2"/>
  <c r="P2104" i="2" s="1"/>
  <c r="I78" i="42" l="1"/>
  <c r="P2106" i="2"/>
  <c r="Q2106" i="2" s="1"/>
  <c r="V2106" i="2" s="1"/>
  <c r="P2107" i="2"/>
  <c r="Q2107" i="2" s="1"/>
  <c r="V2107" i="2" s="1"/>
  <c r="P2108" i="2"/>
  <c r="Q2108" i="2" s="1"/>
  <c r="V2108" i="2" s="1"/>
  <c r="P2109" i="2"/>
  <c r="Q2109" i="2" s="1"/>
  <c r="V2109" i="2" s="1"/>
  <c r="P2110" i="2"/>
  <c r="Q2110" i="2" s="1"/>
  <c r="V2110" i="2" s="1"/>
  <c r="Q2104" i="2"/>
  <c r="V2104" i="2" s="1"/>
  <c r="Q2105" i="2"/>
  <c r="V2105" i="2" s="1"/>
  <c r="V2102" i="2" l="1"/>
  <c r="V2103" i="2"/>
  <c r="O2101" i="2"/>
  <c r="P2101" i="2" s="1"/>
  <c r="O2100" i="2"/>
  <c r="P2100" i="2" s="1"/>
  <c r="Q2100" i="2" s="1"/>
  <c r="V2100" i="2" s="1"/>
  <c r="O2099" i="2"/>
  <c r="P2099" i="2" s="1"/>
  <c r="Q2099" i="2" s="1"/>
  <c r="V2099" i="2" s="1"/>
  <c r="O2098" i="2"/>
  <c r="P2098" i="2" s="1"/>
  <c r="Q2098" i="2" s="1"/>
  <c r="V2098" i="2" s="1"/>
  <c r="O2097" i="2"/>
  <c r="P2097" i="2" s="1"/>
  <c r="Q2097" i="2" s="1"/>
  <c r="V2097" i="2" s="1"/>
  <c r="O2096" i="2"/>
  <c r="P2096" i="2" s="1"/>
  <c r="O2095" i="2"/>
  <c r="P2095" i="2" s="1"/>
  <c r="O2094" i="2"/>
  <c r="P2094" i="2" s="1"/>
  <c r="O2093" i="2"/>
  <c r="P2093" i="2" s="1"/>
  <c r="O2092" i="2"/>
  <c r="P2092" i="2" s="1"/>
  <c r="O2091" i="2"/>
  <c r="P2091" i="2" s="1"/>
  <c r="Q2101" i="2" l="1"/>
  <c r="V2101" i="2" s="1"/>
  <c r="Q2096" i="2"/>
  <c r="V2096" i="2" s="1"/>
  <c r="Q2095" i="2"/>
  <c r="V2095" i="2" s="1"/>
  <c r="Q2094" i="2"/>
  <c r="V2094" i="2" s="1"/>
  <c r="Q2093" i="2"/>
  <c r="V2093" i="2" s="1"/>
  <c r="Q2092" i="2"/>
  <c r="V2092" i="2" s="1"/>
  <c r="Q2091" i="2"/>
  <c r="V2091" i="2" s="1"/>
  <c r="P2087" i="2" l="1"/>
  <c r="Q2087" i="2" s="1"/>
  <c r="V2087" i="2" s="1"/>
  <c r="O2090" i="2"/>
  <c r="P2090" i="2" s="1"/>
  <c r="O2089" i="2"/>
  <c r="O2088" i="2"/>
  <c r="P2088" i="2" l="1"/>
  <c r="Q2088" i="2" s="1"/>
  <c r="V2088" i="2" s="1"/>
  <c r="Q2090" i="2"/>
  <c r="V2090" i="2" s="1"/>
  <c r="P2089" i="2"/>
  <c r="Q2089" i="2" s="1"/>
  <c r="V2089" i="2" s="1"/>
  <c r="P2081" i="2"/>
  <c r="Q2081" i="2" s="1"/>
  <c r="V2081" i="2" s="1"/>
  <c r="O2086" i="2"/>
  <c r="P2086" i="2" s="1"/>
  <c r="Q2086" i="2" s="1"/>
  <c r="V2086" i="2" s="1"/>
  <c r="O2085" i="2"/>
  <c r="P2085" i="2" s="1"/>
  <c r="Q2085" i="2" s="1"/>
  <c r="V2085" i="2" s="1"/>
  <c r="O2084" i="2"/>
  <c r="P2084" i="2" s="1"/>
  <c r="O2083" i="2"/>
  <c r="P2083" i="2" s="1"/>
  <c r="O2082" i="2"/>
  <c r="O2080" i="2"/>
  <c r="O2079" i="2"/>
  <c r="P2082" i="2" l="1"/>
  <c r="Q2082" i="2" s="1"/>
  <c r="V2082" i="2" s="1"/>
  <c r="Q2084" i="2"/>
  <c r="V2084" i="2" s="1"/>
  <c r="Q2083" i="2"/>
  <c r="V2083" i="2" s="1"/>
  <c r="P2079" i="2"/>
  <c r="Q2079" i="2" s="1"/>
  <c r="P2080" i="2"/>
  <c r="Q2080" i="2" s="1"/>
  <c r="V2080" i="2" s="1"/>
  <c r="V2079" i="2" l="1"/>
  <c r="P2077" i="2"/>
  <c r="Q2077" i="2" s="1"/>
  <c r="V2077" i="2" s="1"/>
  <c r="P2078" i="2"/>
  <c r="Q2078" i="2" s="1"/>
  <c r="V2078" i="2" s="1"/>
  <c r="P1999" i="2"/>
  <c r="Q1999" i="2" s="1"/>
  <c r="O2076" i="2"/>
  <c r="O2075" i="2"/>
  <c r="P2075" i="2" s="1"/>
  <c r="Q2075" i="2" s="1"/>
  <c r="V2075" i="2" s="1"/>
  <c r="O2074" i="2"/>
  <c r="P2074" i="2" l="1"/>
  <c r="Q2074" i="2" s="1"/>
  <c r="V2074" i="2" s="1"/>
  <c r="P2076" i="2"/>
  <c r="Q2076" i="2" s="1"/>
  <c r="V2076" i="2" s="1"/>
  <c r="Q180" i="5" l="1"/>
  <c r="P180" i="5"/>
  <c r="V2073" i="2"/>
  <c r="V2072" i="2"/>
  <c r="V2071" i="2" l="1"/>
  <c r="V2070" i="2"/>
  <c r="V2069" i="2"/>
  <c r="O2064" i="2"/>
  <c r="P2064" i="2" s="1"/>
  <c r="Q2064" i="2" s="1"/>
  <c r="V2064" i="2" s="1"/>
  <c r="O2065" i="2"/>
  <c r="P2065" i="2" s="1"/>
  <c r="Q2065" i="2" s="1"/>
  <c r="V2065" i="2" s="1"/>
  <c r="O2066" i="2"/>
  <c r="P2066" i="2" s="1"/>
  <c r="Q2066" i="2" s="1"/>
  <c r="V2066" i="2" s="1"/>
  <c r="O2067" i="2"/>
  <c r="P2067" i="2" s="1"/>
  <c r="Q2067" i="2" s="1"/>
  <c r="V2067" i="2" s="1"/>
  <c r="O2068" i="2"/>
  <c r="O2063" i="2"/>
  <c r="P2063" i="2" s="1"/>
  <c r="O2062" i="2"/>
  <c r="P2062" i="2" s="1"/>
  <c r="Q2062" i="2" s="1"/>
  <c r="V2062" i="2" s="1"/>
  <c r="P2068" i="2" l="1"/>
  <c r="Q2068" i="2" s="1"/>
  <c r="V2068" i="2" s="1"/>
  <c r="Q2063" i="2"/>
  <c r="V2063" i="2" s="1"/>
  <c r="O2061" i="2"/>
  <c r="O2060" i="2"/>
  <c r="O2059" i="2"/>
  <c r="P2059" i="2" s="1"/>
  <c r="Q2059" i="2" s="1"/>
  <c r="V2059" i="2" s="1"/>
  <c r="P2060" i="2" l="1"/>
  <c r="Q2060" i="2" s="1"/>
  <c r="V2060" i="2" s="1"/>
  <c r="P2061" i="2"/>
  <c r="Q2061" i="2" s="1"/>
  <c r="V2061" i="2" s="1"/>
  <c r="P38" i="32" l="1"/>
  <c r="Q38" i="32"/>
  <c r="K43" i="32" s="1"/>
  <c r="O38" i="32"/>
  <c r="O2058" i="2"/>
  <c r="P2058" i="2" s="1"/>
  <c r="Q2058" i="2" l="1"/>
  <c r="V2058" i="2" s="1"/>
  <c r="P2052" i="2" l="1"/>
  <c r="Q2052" i="2" s="1"/>
  <c r="V2052" i="2" s="1"/>
  <c r="P2053" i="2"/>
  <c r="Q2053" i="2" s="1"/>
  <c r="V2053" i="2" s="1"/>
  <c r="O2057" i="2"/>
  <c r="O2056" i="2"/>
  <c r="O2055" i="2"/>
  <c r="P2055" i="2" s="1"/>
  <c r="Q2055" i="2" s="1"/>
  <c r="V2055" i="2" s="1"/>
  <c r="O2054" i="2"/>
  <c r="P2057" i="2" l="1"/>
  <c r="Q2057" i="2" s="1"/>
  <c r="V2057" i="2" s="1"/>
  <c r="P2056" i="2"/>
  <c r="Q2056" i="2" s="1"/>
  <c r="V2056" i="2" s="1"/>
  <c r="P2054" i="2"/>
  <c r="Q2054" i="2" s="1"/>
  <c r="V2054" i="2" s="1"/>
  <c r="F207" i="2" l="1"/>
  <c r="V2048" i="2"/>
  <c r="O2051" i="2"/>
  <c r="P2051" i="2" l="1"/>
  <c r="Q2051" i="2" s="1"/>
  <c r="V2051" i="2" s="1"/>
  <c r="O2050" i="2" l="1"/>
  <c r="O2049" i="2"/>
  <c r="P2049" i="2" l="1"/>
  <c r="Q2049" i="2" s="1"/>
  <c r="V2049" i="2" s="1"/>
  <c r="P2050" i="2"/>
  <c r="Q2050" i="2" s="1"/>
  <c r="V2050" i="2" s="1"/>
  <c r="O2047" i="2" l="1"/>
  <c r="P2047" i="2" s="1"/>
  <c r="Q2047" i="2" s="1"/>
  <c r="V2047" i="2" s="1"/>
  <c r="O2046" i="2"/>
  <c r="P2046" i="2" s="1"/>
  <c r="Q2046" i="2" s="1"/>
  <c r="V2046" i="2" s="1"/>
  <c r="O2045" i="2"/>
  <c r="O2044" i="2"/>
  <c r="O2043" i="2"/>
  <c r="P2043" i="2" l="1"/>
  <c r="Q2043" i="2" s="1"/>
  <c r="V2043" i="2" s="1"/>
  <c r="P2044" i="2"/>
  <c r="Q2044" i="2" s="1"/>
  <c r="V2044" i="2" s="1"/>
  <c r="P2045" i="2"/>
  <c r="Q2045" i="2" s="1"/>
  <c r="V2045" i="2" s="1"/>
  <c r="O2031" i="2" l="1"/>
  <c r="O2032" i="2"/>
  <c r="O2033" i="2"/>
  <c r="O2034" i="2"/>
  <c r="O2035" i="2"/>
  <c r="O2042" i="2" l="1"/>
  <c r="O2041" i="2"/>
  <c r="O2040" i="2"/>
  <c r="P2040" i="2" s="1"/>
  <c r="Q2040" i="2" s="1"/>
  <c r="V2040" i="2" s="1"/>
  <c r="P2041" i="2" l="1"/>
  <c r="Q2041" i="2" s="1"/>
  <c r="V2041" i="2" s="1"/>
  <c r="P2042" i="2"/>
  <c r="Q2042" i="2" s="1"/>
  <c r="V2042" i="2" s="1"/>
  <c r="P1971" i="2"/>
  <c r="O2039" i="2"/>
  <c r="P2039" i="2" s="1"/>
  <c r="O2038" i="2"/>
  <c r="P2038" i="2" s="1"/>
  <c r="O2037" i="2"/>
  <c r="P2037" i="2" s="1"/>
  <c r="O2036" i="2"/>
  <c r="P2036" i="2" s="1"/>
  <c r="P2035" i="2"/>
  <c r="P2034" i="2"/>
  <c r="P2033" i="2"/>
  <c r="P2032" i="2"/>
  <c r="P2031" i="2"/>
  <c r="Q2039" i="2" l="1"/>
  <c r="V2039" i="2" s="1"/>
  <c r="Q2038" i="2"/>
  <c r="V2038" i="2" s="1"/>
  <c r="Q2037" i="2"/>
  <c r="V2037" i="2" s="1"/>
  <c r="Q2036" i="2"/>
  <c r="V2036" i="2" s="1"/>
  <c r="Q2035" i="2"/>
  <c r="V2035" i="2" s="1"/>
  <c r="Q2034" i="2"/>
  <c r="V2034" i="2" s="1"/>
  <c r="Q2033" i="2"/>
  <c r="V2033" i="2" s="1"/>
  <c r="Q2032" i="2"/>
  <c r="V2032" i="2" s="1"/>
  <c r="Q2031" i="2"/>
  <c r="V2031" i="2" s="1"/>
  <c r="O2030" i="2" l="1"/>
  <c r="P2030" i="2" s="1"/>
  <c r="Q2030" i="2" s="1"/>
  <c r="V2030" i="2" s="1"/>
  <c r="O2029" i="2"/>
  <c r="P2029" i="2" s="1"/>
  <c r="Q2029" i="2" s="1"/>
  <c r="V2029" i="2" s="1"/>
  <c r="O2028" i="2"/>
  <c r="O2027" i="2"/>
  <c r="O2026" i="2"/>
  <c r="O2025" i="2"/>
  <c r="P2025" i="2" s="1"/>
  <c r="Q2025" i="2" s="1"/>
  <c r="V2025" i="2" s="1"/>
  <c r="O2024" i="2"/>
  <c r="P2024" i="2" s="1"/>
  <c r="Q2024" i="2" s="1"/>
  <c r="V2024" i="2" s="1"/>
  <c r="O2023" i="2"/>
  <c r="P2023" i="2" s="1"/>
  <c r="Q2023" i="2" s="1"/>
  <c r="V2023" i="2" s="1"/>
  <c r="P2028" i="2" l="1"/>
  <c r="Q2028" i="2" s="1"/>
  <c r="V2028" i="2" s="1"/>
  <c r="P2027" i="2"/>
  <c r="Q2027" i="2" s="1"/>
  <c r="V2027" i="2" s="1"/>
  <c r="P2026" i="2"/>
  <c r="Q2026" i="2" s="1"/>
  <c r="V2026" i="2" s="1"/>
  <c r="O2021" i="2" l="1"/>
  <c r="O2022" i="2"/>
  <c r="P2022" i="2" s="1"/>
  <c r="Q2022" i="2" s="1"/>
  <c r="V2022" i="2" s="1"/>
  <c r="P2021" i="2" l="1"/>
  <c r="Q2021" i="2" s="1"/>
  <c r="V2021" i="2" s="1"/>
  <c r="O2014" i="2" l="1"/>
  <c r="O2015" i="2"/>
  <c r="O2016" i="2"/>
  <c r="O2017" i="2"/>
  <c r="P2017" i="2" s="1"/>
  <c r="O2018" i="2"/>
  <c r="P2018" i="2" s="1"/>
  <c r="O2019" i="2"/>
  <c r="P2019" i="2" s="1"/>
  <c r="O2020" i="2"/>
  <c r="P2020" i="2" s="1"/>
  <c r="P2015" i="2" l="1"/>
  <c r="Q2015" i="2" s="1"/>
  <c r="V2015" i="2" s="1"/>
  <c r="Q2018" i="2"/>
  <c r="V2018" i="2" s="1"/>
  <c r="P2014" i="2"/>
  <c r="Q2014" i="2" s="1"/>
  <c r="V2014" i="2" s="1"/>
  <c r="Q2017" i="2"/>
  <c r="V2017" i="2" s="1"/>
  <c r="P2016" i="2"/>
  <c r="Q2016" i="2" s="1"/>
  <c r="V2016" i="2" s="1"/>
  <c r="Q2019" i="2"/>
  <c r="V2019" i="2" s="1"/>
  <c r="Q2020" i="2"/>
  <c r="V2020" i="2" s="1"/>
  <c r="I157" i="34"/>
  <c r="I158" i="34"/>
  <c r="I161" i="34"/>
  <c r="Q154" i="34"/>
  <c r="N154" i="34"/>
  <c r="O2013" i="2" l="1"/>
  <c r="O2012" i="2"/>
  <c r="P2012" i="2" s="1"/>
  <c r="Q2012" i="2" l="1"/>
  <c r="V2012" i="2" s="1"/>
  <c r="P2013" i="2"/>
  <c r="Q2013" i="2" s="1"/>
  <c r="V2013" i="2" s="1"/>
  <c r="O2011" i="2" l="1"/>
  <c r="P2011" i="2" s="1"/>
  <c r="Q2011" i="2" s="1"/>
  <c r="V2011" i="2" s="1"/>
  <c r="O2010" i="2"/>
  <c r="P2010" i="2" s="1"/>
  <c r="Q2010" i="2" s="1"/>
  <c r="V2010" i="2" s="1"/>
  <c r="P1970" i="2" l="1"/>
  <c r="Q1970" i="2" s="1"/>
  <c r="P1904" i="2"/>
  <c r="O2009" i="2"/>
  <c r="P2009" i="2" s="1"/>
  <c r="Q2009" i="2" s="1"/>
  <c r="V2009" i="2" s="1"/>
  <c r="P2005" i="2" l="1"/>
  <c r="Q2005" i="2" s="1"/>
  <c r="O2008" i="2"/>
  <c r="P2008" i="2" s="1"/>
  <c r="O2007" i="2"/>
  <c r="O2006" i="2"/>
  <c r="P2006" i="2" s="1"/>
  <c r="Q2006" i="2" s="1"/>
  <c r="Q2008" i="2" l="1"/>
  <c r="P2007" i="2"/>
  <c r="Q2007" i="2" s="1"/>
  <c r="V2001" i="2" l="1"/>
  <c r="V2005" i="2"/>
  <c r="V2006" i="2"/>
  <c r="V2007" i="2"/>
  <c r="V2008" i="2"/>
  <c r="O2004" i="2"/>
  <c r="O2003" i="2"/>
  <c r="P2003" i="2" s="1"/>
  <c r="O2002" i="2"/>
  <c r="O1249" i="2"/>
  <c r="O1248" i="2"/>
  <c r="O1247" i="2"/>
  <c r="V1999" i="2"/>
  <c r="V2000" i="2"/>
  <c r="O1998" i="2"/>
  <c r="O1997" i="2"/>
  <c r="P1997" i="2" s="1"/>
  <c r="O1996" i="2"/>
  <c r="O1995" i="2"/>
  <c r="P1995" i="2" s="1"/>
  <c r="Q1995" i="2" s="1"/>
  <c r="V1995" i="2" s="1"/>
  <c r="O1994" i="2"/>
  <c r="P1994" i="2" s="1"/>
  <c r="O1993" i="2"/>
  <c r="P1993" i="2" s="1"/>
  <c r="Q1993" i="2" s="1"/>
  <c r="V1993" i="2" s="1"/>
  <c r="O1992" i="2"/>
  <c r="P1992" i="2" s="1"/>
  <c r="Q1992" i="2" s="1"/>
  <c r="V1992" i="2" s="1"/>
  <c r="Q2003" i="2" l="1"/>
  <c r="V2003" i="2" s="1"/>
  <c r="P2002" i="2"/>
  <c r="Q2002" i="2" s="1"/>
  <c r="V2002" i="2" s="1"/>
  <c r="P2004" i="2"/>
  <c r="Q2004" i="2" s="1"/>
  <c r="V2004" i="2" s="1"/>
  <c r="P1247" i="2"/>
  <c r="Q1247" i="2" s="1"/>
  <c r="P1248" i="2"/>
  <c r="Q1248" i="2" s="1"/>
  <c r="P1249" i="2"/>
  <c r="Q1249" i="2" s="1"/>
  <c r="P1998" i="2"/>
  <c r="Q1998" i="2" s="1"/>
  <c r="V1998" i="2" s="1"/>
  <c r="P1996" i="2"/>
  <c r="Q1996" i="2" s="1"/>
  <c r="V1996" i="2" s="1"/>
  <c r="Q1994" i="2"/>
  <c r="V1994" i="2" s="1"/>
  <c r="Q1997" i="2"/>
  <c r="V1997" i="2" s="1"/>
  <c r="P1988" i="2"/>
  <c r="Q1988" i="2" s="1"/>
  <c r="O1991" i="2"/>
  <c r="O1990" i="2"/>
  <c r="O1989" i="2"/>
  <c r="P1989" i="2" l="1"/>
  <c r="Q1989" i="2" s="1"/>
  <c r="V1989" i="2" s="1"/>
  <c r="P1990" i="2"/>
  <c r="Q1990" i="2" s="1"/>
  <c r="V1990" i="2" s="1"/>
  <c r="P1991" i="2"/>
  <c r="Q1991" i="2" s="1"/>
  <c r="V1991" i="2" s="1"/>
  <c r="V1970" i="2" l="1"/>
  <c r="V1971" i="2"/>
  <c r="V1987" i="2"/>
  <c r="V1988" i="2"/>
  <c r="O1986" i="2"/>
  <c r="O1985" i="2"/>
  <c r="P1985" i="2" s="1"/>
  <c r="O1984" i="2"/>
  <c r="O1983" i="2"/>
  <c r="P1983" i="2" s="1"/>
  <c r="O1982" i="2"/>
  <c r="P1982" i="2" s="1"/>
  <c r="O1981" i="2"/>
  <c r="P1981" i="2" s="1"/>
  <c r="O1980" i="2"/>
  <c r="P1980" i="2" s="1"/>
  <c r="O1979" i="2"/>
  <c r="P1979" i="2" s="1"/>
  <c r="O1978" i="2"/>
  <c r="O1977" i="2"/>
  <c r="P1977" i="2" s="1"/>
  <c r="O1976" i="2"/>
  <c r="P1976" i="2" s="1"/>
  <c r="O1975" i="2"/>
  <c r="P1975" i="2" s="1"/>
  <c r="O1974" i="2"/>
  <c r="O1973" i="2"/>
  <c r="O1972" i="2"/>
  <c r="P1972" i="2" s="1"/>
  <c r="Q1979" i="2" l="1"/>
  <c r="V1979" i="2" s="1"/>
  <c r="Q1980" i="2"/>
  <c r="V1980" i="2" s="1"/>
  <c r="P1978" i="2"/>
  <c r="Q1978" i="2" s="1"/>
  <c r="V1978" i="2" s="1"/>
  <c r="Q1975" i="2"/>
  <c r="V1975" i="2" s="1"/>
  <c r="Q1976" i="2"/>
  <c r="V1976" i="2" s="1"/>
  <c r="Q1977" i="2"/>
  <c r="V1977" i="2" s="1"/>
  <c r="Q1981" i="2"/>
  <c r="V1981" i="2" s="1"/>
  <c r="Q1982" i="2"/>
  <c r="V1982" i="2" s="1"/>
  <c r="Q1983" i="2"/>
  <c r="V1983" i="2" s="1"/>
  <c r="P1984" i="2"/>
  <c r="Q1984" i="2" s="1"/>
  <c r="V1984" i="2" s="1"/>
  <c r="P1986" i="2"/>
  <c r="Q1986" i="2" s="1"/>
  <c r="V1986" i="2" s="1"/>
  <c r="Q1972" i="2"/>
  <c r="V1972" i="2" s="1"/>
  <c r="P1973" i="2"/>
  <c r="Q1973" i="2" s="1"/>
  <c r="V1973" i="2" s="1"/>
  <c r="Q1985" i="2"/>
  <c r="V1985" i="2" s="1"/>
  <c r="P1974" i="2"/>
  <c r="Q1974" i="2" s="1"/>
  <c r="V1974" i="2" s="1"/>
  <c r="O1768" i="2" l="1"/>
  <c r="P1768" i="2" l="1"/>
  <c r="Q1768" i="2" s="1"/>
  <c r="V1768" i="2" s="1"/>
  <c r="Q70" i="28" l="1"/>
  <c r="V1809" i="2"/>
  <c r="N69" i="28" l="1"/>
  <c r="N68" i="28"/>
  <c r="O68" i="28" s="1"/>
  <c r="P68" i="28" s="1"/>
  <c r="N67" i="28"/>
  <c r="N66" i="28"/>
  <c r="O66" i="28" s="1"/>
  <c r="N65" i="28"/>
  <c r="O65" i="28" s="1"/>
  <c r="P65" i="28" s="1"/>
  <c r="N64" i="28"/>
  <c r="O64" i="28" s="1"/>
  <c r="P64" i="28" s="1"/>
  <c r="N63" i="28"/>
  <c r="O63" i="28" s="1"/>
  <c r="P63" i="28" s="1"/>
  <c r="N62" i="28"/>
  <c r="N61" i="28"/>
  <c r="O61" i="28" s="1"/>
  <c r="P61" i="28" s="1"/>
  <c r="N60" i="28"/>
  <c r="O60" i="28" s="1"/>
  <c r="N59" i="28"/>
  <c r="P70" i="9"/>
  <c r="O70" i="9"/>
  <c r="N70" i="9"/>
  <c r="Q70" i="9"/>
  <c r="V1969" i="2"/>
  <c r="V1953" i="2"/>
  <c r="I59" i="41"/>
  <c r="I60" i="41"/>
  <c r="N24" i="41"/>
  <c r="O24" i="41" s="1"/>
  <c r="N23" i="41"/>
  <c r="O23" i="41" s="1"/>
  <c r="O59" i="28" l="1"/>
  <c r="P59" i="28" s="1"/>
  <c r="N70" i="28"/>
  <c r="O67" i="28"/>
  <c r="P67" i="28" s="1"/>
  <c r="P60" i="28"/>
  <c r="K73" i="28" s="1"/>
  <c r="O62" i="28"/>
  <c r="P62" i="28" s="1"/>
  <c r="P66" i="28"/>
  <c r="O69" i="28"/>
  <c r="P69" i="28" s="1"/>
  <c r="P23" i="41"/>
  <c r="P24" i="41"/>
  <c r="I58" i="41" l="1"/>
  <c r="I61" i="41" s="1"/>
  <c r="P70" i="28"/>
  <c r="O70" i="28"/>
  <c r="N108" i="31"/>
  <c r="K53" i="39"/>
  <c r="K52" i="39"/>
  <c r="K51" i="39"/>
  <c r="Q47" i="39"/>
  <c r="P47" i="39"/>
  <c r="O47" i="39"/>
  <c r="V1967" i="2"/>
  <c r="N137" i="34"/>
  <c r="N136" i="34"/>
  <c r="O136" i="34" s="1"/>
  <c r="P136" i="34" s="1"/>
  <c r="N135" i="34"/>
  <c r="O135" i="34" s="1"/>
  <c r="O137" i="34" l="1"/>
  <c r="O154" i="34" s="1"/>
  <c r="O108" i="31"/>
  <c r="P108" i="31" s="1"/>
  <c r="P135" i="34"/>
  <c r="P137" i="34" l="1"/>
  <c r="P154" i="34" s="1"/>
  <c r="V1966" i="2"/>
  <c r="V1249" i="2"/>
  <c r="V1248" i="2"/>
  <c r="V1247" i="2"/>
  <c r="V429" i="2"/>
  <c r="V426" i="2"/>
  <c r="V391" i="2"/>
  <c r="K92" i="8"/>
  <c r="K91" i="8"/>
  <c r="K90" i="8"/>
  <c r="K89" i="8"/>
  <c r="K88" i="8"/>
  <c r="N86" i="8"/>
  <c r="O86" i="8"/>
  <c r="Q86" i="8"/>
  <c r="R86" i="8"/>
  <c r="I110" i="36"/>
  <c r="I109" i="36"/>
  <c r="I111" i="36" s="1"/>
  <c r="I107" i="36"/>
  <c r="Q96" i="36"/>
  <c r="I101" i="36" s="1"/>
  <c r="N95" i="36"/>
  <c r="N94" i="36"/>
  <c r="O93" i="36"/>
  <c r="P93" i="36" s="1"/>
  <c r="N93" i="36"/>
  <c r="N92" i="36"/>
  <c r="O92" i="36" s="1"/>
  <c r="P92" i="36" s="1"/>
  <c r="N91" i="36"/>
  <c r="N96" i="36" s="1"/>
  <c r="N10" i="36"/>
  <c r="O9" i="36"/>
  <c r="P9" i="36" s="1"/>
  <c r="N9" i="36"/>
  <c r="N8" i="36"/>
  <c r="O8" i="36" s="1"/>
  <c r="P8" i="36" s="1"/>
  <c r="N7" i="36"/>
  <c r="O7" i="36" s="1"/>
  <c r="N6" i="36"/>
  <c r="P5" i="36"/>
  <c r="O5" i="36"/>
  <c r="N5" i="36"/>
  <c r="N4" i="36"/>
  <c r="O4" i="36" s="1"/>
  <c r="P4" i="36" s="1"/>
  <c r="N3" i="36"/>
  <c r="N2" i="36"/>
  <c r="P86" i="8" l="1"/>
  <c r="P6" i="36"/>
  <c r="P10" i="36"/>
  <c r="P2" i="36"/>
  <c r="I102" i="36" s="1"/>
  <c r="P3" i="36"/>
  <c r="O2" i="36"/>
  <c r="O6" i="36"/>
  <c r="O10" i="36"/>
  <c r="O94" i="36"/>
  <c r="P94" i="36" s="1"/>
  <c r="P7" i="36"/>
  <c r="O3" i="36"/>
  <c r="O91" i="36"/>
  <c r="O95" i="36"/>
  <c r="P95" i="36" s="1"/>
  <c r="P91" i="36"/>
  <c r="P96" i="36" l="1"/>
  <c r="I100" i="36" s="1"/>
  <c r="I103" i="36" s="1"/>
  <c r="I104" i="36" s="1"/>
  <c r="I112" i="36" s="1"/>
  <c r="O96" i="36"/>
  <c r="O969" i="2" l="1"/>
  <c r="O968" i="2"/>
  <c r="P968" i="2" s="1"/>
  <c r="Q968" i="2" s="1"/>
  <c r="V968" i="2" s="1"/>
  <c r="O967" i="2"/>
  <c r="P967" i="2" s="1"/>
  <c r="Q967" i="2" s="1"/>
  <c r="V967" i="2" s="1"/>
  <c r="O966" i="2"/>
  <c r="P966" i="2" s="1"/>
  <c r="Q966" i="2" s="1"/>
  <c r="V966" i="2" s="1"/>
  <c r="O965" i="2"/>
  <c r="O964" i="2"/>
  <c r="P964" i="2" s="1"/>
  <c r="Q964" i="2" s="1"/>
  <c r="V964" i="2" s="1"/>
  <c r="O963" i="2"/>
  <c r="P963" i="2" s="1"/>
  <c r="O962" i="2"/>
  <c r="P962" i="2" s="1"/>
  <c r="Q962" i="2" s="1"/>
  <c r="V962" i="2" s="1"/>
  <c r="O961" i="2"/>
  <c r="P961" i="2" s="1"/>
  <c r="P965" i="2" l="1"/>
  <c r="Q965" i="2" s="1"/>
  <c r="V965" i="2" s="1"/>
  <c r="Q961" i="2"/>
  <c r="V961" i="2" s="1"/>
  <c r="P969" i="2"/>
  <c r="Q969" i="2" s="1"/>
  <c r="V969" i="2" s="1"/>
  <c r="Q963" i="2"/>
  <c r="V963" i="2" s="1"/>
  <c r="P1733" i="2" l="1"/>
  <c r="Q1733" i="2" s="1"/>
  <c r="O1965" i="2"/>
  <c r="P1965" i="2" s="1"/>
  <c r="O1964" i="2"/>
  <c r="P1964" i="2" s="1"/>
  <c r="O1963" i="2"/>
  <c r="P1963" i="2" s="1"/>
  <c r="O1962" i="2"/>
  <c r="P1962" i="2" s="1"/>
  <c r="Q1965" i="2" l="1"/>
  <c r="V1965" i="2" s="1"/>
  <c r="Q1963" i="2"/>
  <c r="V1963" i="2" s="1"/>
  <c r="Q1964" i="2"/>
  <c r="V1964" i="2" s="1"/>
  <c r="Q1962" i="2"/>
  <c r="V1962" i="2" s="1"/>
  <c r="P1477" i="2" l="1"/>
  <c r="Q1477" i="2" s="1"/>
  <c r="V1477" i="2" s="1"/>
  <c r="P1476" i="2"/>
  <c r="Q1476" i="2" s="1"/>
  <c r="V1476" i="2" s="1"/>
  <c r="O1961" i="2"/>
  <c r="P1961" i="2" s="1"/>
  <c r="Q1961" i="2" s="1"/>
  <c r="V1961" i="2" s="1"/>
  <c r="O1960" i="2"/>
  <c r="P1960" i="2" s="1"/>
  <c r="Q1960" i="2" s="1"/>
  <c r="V1960" i="2" s="1"/>
  <c r="O1959" i="2"/>
  <c r="O1958" i="2"/>
  <c r="O1957" i="2"/>
  <c r="P1957" i="2" s="1"/>
  <c r="O1956" i="2"/>
  <c r="P1956" i="2" s="1"/>
  <c r="O1955" i="2"/>
  <c r="P1955" i="2" s="1"/>
  <c r="P1958" i="2" l="1"/>
  <c r="Q1958" i="2" s="1"/>
  <c r="V1958" i="2" s="1"/>
  <c r="Q1956" i="2"/>
  <c r="V1956" i="2" s="1"/>
  <c r="Q1957" i="2"/>
  <c r="V1957" i="2" s="1"/>
  <c r="P1959" i="2"/>
  <c r="Q1959" i="2" s="1"/>
  <c r="V1959" i="2" s="1"/>
  <c r="Q1955" i="2"/>
  <c r="V1955" i="2" s="1"/>
  <c r="P1916" i="2" l="1"/>
  <c r="Q1916" i="2" s="1"/>
  <c r="P1915" i="2"/>
  <c r="Q1915" i="2" s="1"/>
  <c r="P1839" i="2"/>
  <c r="Q1839" i="2" s="1"/>
  <c r="O1954" i="2"/>
  <c r="P1954" i="2" l="1"/>
  <c r="Q1954" i="2" s="1"/>
  <c r="V1954" i="2" s="1"/>
  <c r="K207" i="7" l="1"/>
  <c r="P201" i="7"/>
  <c r="R201" i="7"/>
  <c r="Q201" i="7"/>
  <c r="O201" i="7"/>
  <c r="N201" i="7"/>
  <c r="P248" i="35"/>
  <c r="N247" i="35"/>
  <c r="O1952" i="2"/>
  <c r="P1952" i="2" s="1"/>
  <c r="Q1952" i="2" l="1"/>
  <c r="V1952" i="2" s="1"/>
  <c r="O247" i="35"/>
  <c r="P247" i="35" s="1"/>
  <c r="O248" i="35" l="1"/>
  <c r="K44" i="32" l="1"/>
  <c r="K42" i="32"/>
  <c r="O1948" i="2"/>
  <c r="P1948" i="2" s="1"/>
  <c r="O1949" i="2"/>
  <c r="P1949" i="2" s="1"/>
  <c r="Q1949" i="2" s="1"/>
  <c r="V1949" i="2" s="1"/>
  <c r="O1950" i="2"/>
  <c r="P1950" i="2" s="1"/>
  <c r="O1951" i="2"/>
  <c r="P1951" i="2" s="1"/>
  <c r="K45" i="32" l="1"/>
  <c r="K46" i="32" s="1"/>
  <c r="Q1948" i="2"/>
  <c r="Q1951" i="2"/>
  <c r="V1951" i="2" s="1"/>
  <c r="Q1950" i="2"/>
  <c r="V1950" i="2" s="1"/>
  <c r="V1948" i="2" l="1"/>
  <c r="O1947" i="2"/>
  <c r="O1946" i="2"/>
  <c r="P1946" i="2" s="1"/>
  <c r="O1945" i="2"/>
  <c r="P1945" i="2" s="1"/>
  <c r="O1944" i="2"/>
  <c r="P1944" i="2" s="1"/>
  <c r="O1943" i="2"/>
  <c r="P1943" i="2" s="1"/>
  <c r="O1942" i="2"/>
  <c r="O1941" i="2"/>
  <c r="O1940" i="2"/>
  <c r="O1939" i="2"/>
  <c r="O1938" i="2"/>
  <c r="P1938" i="2" s="1"/>
  <c r="O1937" i="2"/>
  <c r="P1937" i="2" s="1"/>
  <c r="O1936" i="2"/>
  <c r="P1936" i="2" s="1"/>
  <c r="O1935" i="2"/>
  <c r="P1935" i="2" s="1"/>
  <c r="O1934" i="2"/>
  <c r="P1934" i="2" s="1"/>
  <c r="O1933" i="2"/>
  <c r="P1933" i="2" s="1"/>
  <c r="O1932" i="2"/>
  <c r="P1932" i="2" s="1"/>
  <c r="O1931" i="2"/>
  <c r="P1931" i="2" s="1"/>
  <c r="O1930" i="2"/>
  <c r="O1929" i="2"/>
  <c r="P1929" i="2" s="1"/>
  <c r="Q1929" i="2" s="1"/>
  <c r="V1929" i="2" s="1"/>
  <c r="O1928" i="2"/>
  <c r="O1927" i="2"/>
  <c r="O1926" i="2"/>
  <c r="O1925" i="2"/>
  <c r="P1925" i="2" s="1"/>
  <c r="O1924" i="2"/>
  <c r="P1924" i="2" s="1"/>
  <c r="O1923" i="2"/>
  <c r="P1923" i="2" s="1"/>
  <c r="O1922" i="2"/>
  <c r="P1922" i="2" s="1"/>
  <c r="O1921" i="2"/>
  <c r="P1921" i="2" s="1"/>
  <c r="Q1921" i="2" s="1"/>
  <c r="V1921" i="2" s="1"/>
  <c r="O1920" i="2"/>
  <c r="P1920" i="2" s="1"/>
  <c r="P1947" i="2" l="1"/>
  <c r="Q1947" i="2" s="1"/>
  <c r="V1947" i="2" s="1"/>
  <c r="Q1943" i="2"/>
  <c r="V1943" i="2" s="1"/>
  <c r="Q1944" i="2"/>
  <c r="V1944" i="2" s="1"/>
  <c r="Q1945" i="2"/>
  <c r="V1945" i="2" s="1"/>
  <c r="Q1946" i="2"/>
  <c r="V1946" i="2" s="1"/>
  <c r="P1941" i="2"/>
  <c r="Q1941" i="2" s="1"/>
  <c r="V1941" i="2" s="1"/>
  <c r="P1942" i="2"/>
  <c r="Q1942" i="2" s="1"/>
  <c r="V1942" i="2" s="1"/>
  <c r="P1930" i="2"/>
  <c r="Q1930" i="2" s="1"/>
  <c r="V1930" i="2" s="1"/>
  <c r="Q1938" i="2"/>
  <c r="V1938" i="2" s="1"/>
  <c r="P1926" i="2"/>
  <c r="Q1926" i="2" s="1"/>
  <c r="V1926" i="2" s="1"/>
  <c r="P1927" i="2"/>
  <c r="Q1927" i="2" s="1"/>
  <c r="V1927" i="2" s="1"/>
  <c r="P1939" i="2"/>
  <c r="Q1939" i="2" s="1"/>
  <c r="V1939" i="2" s="1"/>
  <c r="P1928" i="2"/>
  <c r="Q1928" i="2" s="1"/>
  <c r="V1928" i="2" s="1"/>
  <c r="P1940" i="2"/>
  <c r="Q1940" i="2" s="1"/>
  <c r="V1940" i="2" s="1"/>
  <c r="Q1931" i="2"/>
  <c r="V1931" i="2" s="1"/>
  <c r="Q1920" i="2"/>
  <c r="V1920" i="2" s="1"/>
  <c r="Q1932" i="2"/>
  <c r="V1932" i="2" s="1"/>
  <c r="Q1933" i="2"/>
  <c r="V1933" i="2" s="1"/>
  <c r="Q1922" i="2"/>
  <c r="V1922" i="2" s="1"/>
  <c r="Q1934" i="2"/>
  <c r="V1934" i="2" s="1"/>
  <c r="Q1923" i="2"/>
  <c r="V1923" i="2" s="1"/>
  <c r="Q1935" i="2"/>
  <c r="V1935" i="2" s="1"/>
  <c r="Q1924" i="2"/>
  <c r="V1924" i="2" s="1"/>
  <c r="Q1936" i="2"/>
  <c r="V1936" i="2" s="1"/>
  <c r="Q1925" i="2"/>
  <c r="V1925" i="2" s="1"/>
  <c r="Q1937" i="2"/>
  <c r="V1937" i="2" s="1"/>
  <c r="O1919" i="2" l="1"/>
  <c r="V1918" i="2"/>
  <c r="Q1914" i="2"/>
  <c r="O1917" i="2"/>
  <c r="P1917" i="2" s="1"/>
  <c r="V1916" i="2"/>
  <c r="V1915" i="2"/>
  <c r="P1919" i="2" l="1"/>
  <c r="Q1919" i="2" s="1"/>
  <c r="V1919" i="2" s="1"/>
  <c r="Q1917" i="2"/>
  <c r="V1917" i="2" s="1"/>
  <c r="V1914" i="2" l="1"/>
  <c r="O1913" i="2"/>
  <c r="Q1913" i="2" s="1"/>
  <c r="V1913" i="2" s="1"/>
  <c r="O1912" i="2"/>
  <c r="Q1912" i="2" s="1"/>
  <c r="V1912" i="2" s="1"/>
  <c r="O1911" i="2"/>
  <c r="Q1911" i="2" s="1"/>
  <c r="V1911" i="2" s="1"/>
  <c r="V1910" i="2" l="1"/>
  <c r="O1909" i="2"/>
  <c r="P1909" i="2" s="1"/>
  <c r="Q1909" i="2" l="1"/>
  <c r="V1909" i="2" s="1"/>
  <c r="Q1904" i="2" l="1"/>
  <c r="V1904" i="2" s="1"/>
  <c r="P1905" i="2"/>
  <c r="Q1905" i="2" s="1"/>
  <c r="V1905" i="2" s="1"/>
  <c r="O1908" i="2"/>
  <c r="Q1908" i="2" s="1"/>
  <c r="O1907" i="2"/>
  <c r="Q1907" i="2" s="1"/>
  <c r="O1906" i="2"/>
  <c r="Q1906" i="2" s="1"/>
  <c r="V1907" i="2" l="1"/>
  <c r="V1908" i="2"/>
  <c r="V1906" i="2"/>
  <c r="O1903" i="2" l="1"/>
  <c r="O1902" i="2"/>
  <c r="P1902" i="2" s="1"/>
  <c r="O1901" i="2"/>
  <c r="O1900" i="2"/>
  <c r="P1900" i="2" s="1"/>
  <c r="Q1900" i="2" l="1"/>
  <c r="V1900" i="2" s="1"/>
  <c r="Q1902" i="2"/>
  <c r="V1902" i="2" s="1"/>
  <c r="P1903" i="2"/>
  <c r="Q1903" i="2" s="1"/>
  <c r="V1903" i="2" s="1"/>
  <c r="P1901" i="2"/>
  <c r="Q1901" i="2" s="1"/>
  <c r="V1901" i="2" s="1"/>
  <c r="O1899" i="2"/>
  <c r="O1898" i="2"/>
  <c r="P1898" i="2" s="1"/>
  <c r="Q1898" i="2" s="1"/>
  <c r="V1898" i="2" s="1"/>
  <c r="O1897" i="2"/>
  <c r="O1896" i="2"/>
  <c r="O1895" i="2"/>
  <c r="O1894" i="2"/>
  <c r="P1894" i="2" s="1"/>
  <c r="O1893" i="2"/>
  <c r="P1893" i="2" s="1"/>
  <c r="Q1893" i="2" s="1"/>
  <c r="V1893" i="2" s="1"/>
  <c r="O1892" i="2"/>
  <c r="P1892" i="2" s="1"/>
  <c r="O1891" i="2"/>
  <c r="P1891" i="2" s="1"/>
  <c r="Q1891" i="2" s="1"/>
  <c r="V1891" i="2" s="1"/>
  <c r="O1890" i="2"/>
  <c r="O1889" i="2"/>
  <c r="O1888" i="2"/>
  <c r="P1888" i="2" s="1"/>
  <c r="Q1888" i="2" s="1"/>
  <c r="V1888" i="2" s="1"/>
  <c r="O1887" i="2"/>
  <c r="O1886" i="2"/>
  <c r="P1886" i="2" s="1"/>
  <c r="Q1886" i="2" s="1"/>
  <c r="V1886" i="2" s="1"/>
  <c r="O1885" i="2"/>
  <c r="O1884" i="2"/>
  <c r="O1883" i="2"/>
  <c r="O1882" i="2"/>
  <c r="P1882" i="2" s="1"/>
  <c r="O1881" i="2"/>
  <c r="P1881" i="2" s="1"/>
  <c r="O1880" i="2"/>
  <c r="P1880" i="2" s="1"/>
  <c r="O1879" i="2"/>
  <c r="P1879" i="2" s="1"/>
  <c r="O1878" i="2"/>
  <c r="P1897" i="2" l="1"/>
  <c r="Q1897" i="2" s="1"/>
  <c r="V1897" i="2" s="1"/>
  <c r="P1895" i="2"/>
  <c r="Q1895" i="2" s="1"/>
  <c r="V1895" i="2" s="1"/>
  <c r="Q1882" i="2"/>
  <c r="V1882" i="2" s="1"/>
  <c r="Q1894" i="2"/>
  <c r="V1894" i="2" s="1"/>
  <c r="P1883" i="2"/>
  <c r="Q1883" i="2" s="1"/>
  <c r="V1883" i="2" s="1"/>
  <c r="P1878" i="2"/>
  <c r="Q1878" i="2" s="1"/>
  <c r="V1878" i="2" s="1"/>
  <c r="P1890" i="2"/>
  <c r="Q1890" i="2" s="1"/>
  <c r="V1890" i="2" s="1"/>
  <c r="Q1881" i="2"/>
  <c r="V1881" i="2" s="1"/>
  <c r="P1889" i="2"/>
  <c r="Q1889" i="2" s="1"/>
  <c r="V1889" i="2" s="1"/>
  <c r="Q1892" i="2"/>
  <c r="V1892" i="2" s="1"/>
  <c r="Q1880" i="2"/>
  <c r="V1880" i="2" s="1"/>
  <c r="Q1879" i="2"/>
  <c r="V1879" i="2" s="1"/>
  <c r="P1899" i="2"/>
  <c r="Q1899" i="2" s="1"/>
  <c r="V1899" i="2" s="1"/>
  <c r="P1887" i="2"/>
  <c r="Q1887" i="2" s="1"/>
  <c r="V1887" i="2" s="1"/>
  <c r="P1885" i="2"/>
  <c r="Q1885" i="2" s="1"/>
  <c r="V1885" i="2" s="1"/>
  <c r="P1896" i="2"/>
  <c r="Q1896" i="2" s="1"/>
  <c r="V1896" i="2" s="1"/>
  <c r="P1884" i="2"/>
  <c r="Q1884" i="2" s="1"/>
  <c r="V1884" i="2" s="1"/>
  <c r="O1877" i="2" l="1"/>
  <c r="O1876" i="2"/>
  <c r="O1875" i="2"/>
  <c r="O1874" i="2"/>
  <c r="O1873" i="2"/>
  <c r="P1875" i="2" l="1"/>
  <c r="Q1875" i="2" s="1"/>
  <c r="V1875" i="2" s="1"/>
  <c r="P1873" i="2"/>
  <c r="Q1873" i="2" s="1"/>
  <c r="V1873" i="2" s="1"/>
  <c r="P1874" i="2"/>
  <c r="Q1874" i="2" s="1"/>
  <c r="V1874" i="2" s="1"/>
  <c r="P1876" i="2"/>
  <c r="Q1876" i="2" s="1"/>
  <c r="V1876" i="2" s="1"/>
  <c r="P1877" i="2"/>
  <c r="Q1877" i="2" s="1"/>
  <c r="V1877" i="2" s="1"/>
  <c r="N177" i="5"/>
  <c r="N176" i="5"/>
  <c r="O176" i="5" s="1"/>
  <c r="P176" i="5" s="1"/>
  <c r="N175" i="5"/>
  <c r="N174" i="5"/>
  <c r="O174" i="5" s="1"/>
  <c r="P174" i="5" s="1"/>
  <c r="N173" i="5"/>
  <c r="O173" i="5" s="1"/>
  <c r="N172" i="5"/>
  <c r="O172" i="5" s="1"/>
  <c r="P172" i="5" s="1"/>
  <c r="N171" i="5"/>
  <c r="N170" i="5"/>
  <c r="O170" i="5" s="1"/>
  <c r="P170" i="5" s="1"/>
  <c r="N169" i="5"/>
  <c r="N168" i="5"/>
  <c r="O168" i="5" s="1"/>
  <c r="P168" i="5" s="1"/>
  <c r="N167" i="5"/>
  <c r="N166" i="5"/>
  <c r="N165" i="5"/>
  <c r="N164" i="5"/>
  <c r="O164" i="5" s="1"/>
  <c r="P164" i="5" s="1"/>
  <c r="N163" i="5"/>
  <c r="N162" i="5"/>
  <c r="N161" i="5"/>
  <c r="O161" i="5" s="1"/>
  <c r="N130" i="13"/>
  <c r="N129" i="13"/>
  <c r="N128" i="13"/>
  <c r="N127" i="13"/>
  <c r="N126" i="13"/>
  <c r="N125" i="13"/>
  <c r="N124" i="13"/>
  <c r="N123" i="13"/>
  <c r="O123" i="13" s="1"/>
  <c r="N122" i="13"/>
  <c r="N121" i="13"/>
  <c r="N120" i="13"/>
  <c r="N119" i="13"/>
  <c r="O119" i="13" s="1"/>
  <c r="N118" i="13"/>
  <c r="N117" i="13"/>
  <c r="N116" i="13"/>
  <c r="N115" i="13"/>
  <c r="O1872" i="2"/>
  <c r="P1872" i="2" s="1"/>
  <c r="Q1872" i="2" s="1"/>
  <c r="V1872" i="2" s="1"/>
  <c r="O1871" i="2"/>
  <c r="O1870" i="2"/>
  <c r="O1869" i="2"/>
  <c r="O1868" i="2"/>
  <c r="P1868" i="2" s="1"/>
  <c r="Q1868" i="2" s="1"/>
  <c r="V1868" i="2" s="1"/>
  <c r="O1867" i="2"/>
  <c r="P1867" i="2" s="1"/>
  <c r="O1866" i="2"/>
  <c r="P1866" i="2" s="1"/>
  <c r="O1865" i="2"/>
  <c r="P1865" i="2" s="1"/>
  <c r="O1864" i="2"/>
  <c r="P1864" i="2" s="1"/>
  <c r="Q1864" i="2" s="1"/>
  <c r="V1864" i="2" s="1"/>
  <c r="O1863" i="2"/>
  <c r="P1863" i="2" s="1"/>
  <c r="Q1863" i="2" s="1"/>
  <c r="V1863" i="2" s="1"/>
  <c r="O1862" i="2"/>
  <c r="P1862" i="2" s="1"/>
  <c r="Q1862" i="2" s="1"/>
  <c r="V1862" i="2" s="1"/>
  <c r="O1861" i="2"/>
  <c r="P1861" i="2" s="1"/>
  <c r="Q1861" i="2" s="1"/>
  <c r="V1861" i="2" s="1"/>
  <c r="O1860" i="2"/>
  <c r="P1860" i="2" s="1"/>
  <c r="Q1860" i="2" s="1"/>
  <c r="V1860" i="2" s="1"/>
  <c r="O1859" i="2"/>
  <c r="O1858" i="2"/>
  <c r="O1857" i="2"/>
  <c r="P1857" i="2" s="1"/>
  <c r="O1856" i="2"/>
  <c r="P1856" i="2" l="1"/>
  <c r="Q1856" i="2" s="1"/>
  <c r="O169" i="5"/>
  <c r="P169" i="5" s="1"/>
  <c r="P173" i="5"/>
  <c r="O162" i="5"/>
  <c r="P162" i="5" s="1"/>
  <c r="O166" i="5"/>
  <c r="P166" i="5" s="1"/>
  <c r="P161" i="5"/>
  <c r="O163" i="5"/>
  <c r="P163" i="5" s="1"/>
  <c r="O171" i="5"/>
  <c r="P171" i="5" s="1"/>
  <c r="O177" i="5"/>
  <c r="P177" i="5" s="1"/>
  <c r="O167" i="5"/>
  <c r="P167" i="5" s="1"/>
  <c r="O175" i="5"/>
  <c r="P175" i="5" s="1"/>
  <c r="O165" i="5"/>
  <c r="P165" i="5" s="1"/>
  <c r="O115" i="13"/>
  <c r="P115" i="13" s="1"/>
  <c r="O127" i="13"/>
  <c r="P127" i="13" s="1"/>
  <c r="P119" i="13"/>
  <c r="P123" i="13"/>
  <c r="O116" i="13"/>
  <c r="P116" i="13" s="1"/>
  <c r="O120" i="13"/>
  <c r="P120" i="13" s="1"/>
  <c r="O124" i="13"/>
  <c r="P124" i="13" s="1"/>
  <c r="O128" i="13"/>
  <c r="P128" i="13" s="1"/>
  <c r="O117" i="13"/>
  <c r="P117" i="13" s="1"/>
  <c r="O121" i="13"/>
  <c r="P121" i="13" s="1"/>
  <c r="O125" i="13"/>
  <c r="P125" i="13" s="1"/>
  <c r="O129" i="13"/>
  <c r="P129" i="13" s="1"/>
  <c r="O118" i="13"/>
  <c r="P118" i="13" s="1"/>
  <c r="O122" i="13"/>
  <c r="P122" i="13" s="1"/>
  <c r="O126" i="13"/>
  <c r="P126" i="13" s="1"/>
  <c r="O130" i="13"/>
  <c r="P130" i="13" s="1"/>
  <c r="Q1857" i="2"/>
  <c r="V1857" i="2" s="1"/>
  <c r="Q1865" i="2"/>
  <c r="V1865" i="2" s="1"/>
  <c r="Q1866" i="2"/>
  <c r="V1866" i="2" s="1"/>
  <c r="Q1867" i="2"/>
  <c r="V1867" i="2" s="1"/>
  <c r="P1869" i="2"/>
  <c r="Q1869" i="2" s="1"/>
  <c r="V1869" i="2" s="1"/>
  <c r="P1858" i="2"/>
  <c r="Q1858" i="2" s="1"/>
  <c r="V1858" i="2" s="1"/>
  <c r="P1870" i="2"/>
  <c r="Q1870" i="2" s="1"/>
  <c r="V1870" i="2" s="1"/>
  <c r="P1859" i="2"/>
  <c r="P1871" i="2"/>
  <c r="Q1871" i="2" s="1"/>
  <c r="V1871" i="2" s="1"/>
  <c r="Q1859" i="2" l="1"/>
  <c r="V1859" i="2" s="1"/>
  <c r="V1856" i="2"/>
  <c r="O1855" i="2"/>
  <c r="P1855" i="2" s="1"/>
  <c r="Q1855" i="2" s="1"/>
  <c r="V1855" i="2" s="1"/>
  <c r="O1854" i="2"/>
  <c r="P1854" i="2" s="1"/>
  <c r="Q1854" i="2" s="1"/>
  <c r="V1854" i="2" s="1"/>
  <c r="O1853" i="2"/>
  <c r="O1852" i="2"/>
  <c r="O1851" i="2"/>
  <c r="O1850" i="2"/>
  <c r="O1849" i="2"/>
  <c r="P1849" i="2" s="1"/>
  <c r="Q1849" i="2" s="1"/>
  <c r="V1849" i="2" s="1"/>
  <c r="O1848" i="2"/>
  <c r="P1848" i="2" s="1"/>
  <c r="O1847" i="2"/>
  <c r="P1847" i="2" s="1"/>
  <c r="O1846" i="2"/>
  <c r="P1846" i="2" s="1"/>
  <c r="Q1846" i="2" s="1"/>
  <c r="V1846" i="2" s="1"/>
  <c r="O1845" i="2"/>
  <c r="P1845" i="2" s="1"/>
  <c r="Q1845" i="2" s="1"/>
  <c r="V1845" i="2" s="1"/>
  <c r="O1844" i="2"/>
  <c r="P1844" i="2" s="1"/>
  <c r="Q1844" i="2" s="1"/>
  <c r="V1844" i="2" s="1"/>
  <c r="O1843" i="2"/>
  <c r="O1842" i="2"/>
  <c r="P1842" i="2" s="1"/>
  <c r="Q1842" i="2" s="1"/>
  <c r="V1842" i="2" s="1"/>
  <c r="O1841" i="2"/>
  <c r="O1840" i="2"/>
  <c r="P1843" i="2" l="1"/>
  <c r="Q1843" i="2" s="1"/>
  <c r="V1843" i="2" s="1"/>
  <c r="Q1847" i="2"/>
  <c r="V1847" i="2" s="1"/>
  <c r="Q1848" i="2"/>
  <c r="V1848" i="2" s="1"/>
  <c r="P1850" i="2"/>
  <c r="Q1850" i="2" s="1"/>
  <c r="V1850" i="2" s="1"/>
  <c r="P1851" i="2"/>
  <c r="Q1851" i="2" s="1"/>
  <c r="V1851" i="2" s="1"/>
  <c r="P1840" i="2"/>
  <c r="Q1840" i="2" s="1"/>
  <c r="V1840" i="2" s="1"/>
  <c r="P1852" i="2"/>
  <c r="Q1852" i="2" s="1"/>
  <c r="V1852" i="2" s="1"/>
  <c r="P1841" i="2"/>
  <c r="Q1841" i="2" s="1"/>
  <c r="V1841" i="2" s="1"/>
  <c r="P1853" i="2"/>
  <c r="Q1853" i="2" s="1"/>
  <c r="V1853" i="2" s="1"/>
  <c r="V1839" i="2" l="1"/>
  <c r="Q1827" i="2"/>
  <c r="O1838" i="2"/>
  <c r="O1837" i="2"/>
  <c r="P1838" i="2" l="1"/>
  <c r="P1837" i="2"/>
  <c r="Q1837" i="2" s="1"/>
  <c r="V1837" i="2" s="1"/>
  <c r="O1836" i="2"/>
  <c r="O1835" i="2"/>
  <c r="O1834" i="2"/>
  <c r="P1834" i="2" s="1"/>
  <c r="O1833" i="2"/>
  <c r="O1832" i="2"/>
  <c r="Q1838" i="2" l="1"/>
  <c r="V1838" i="2" s="1"/>
  <c r="P1835" i="2"/>
  <c r="Q1835" i="2" s="1"/>
  <c r="P1832" i="2"/>
  <c r="Q1832" i="2" s="1"/>
  <c r="P1836" i="2"/>
  <c r="Q1836" i="2" s="1"/>
  <c r="P1833" i="2"/>
  <c r="Q1834" i="2"/>
  <c r="V1834" i="2" s="1"/>
  <c r="V1582" i="2"/>
  <c r="I159" i="34"/>
  <c r="O1831" i="2"/>
  <c r="V1832" i="2" l="1"/>
  <c r="V1836" i="2"/>
  <c r="V1835" i="2"/>
  <c r="Q1833" i="2"/>
  <c r="V1833" i="2" s="1"/>
  <c r="I160" i="34"/>
  <c r="P1831" i="2"/>
  <c r="Q1831" i="2" s="1"/>
  <c r="V1831" i="2" l="1"/>
  <c r="O1830" i="2"/>
  <c r="O1829" i="2"/>
  <c r="O1828" i="2"/>
  <c r="P1828" i="2" l="1"/>
  <c r="Q1828" i="2" s="1"/>
  <c r="V1828" i="2" s="1"/>
  <c r="P1829" i="2"/>
  <c r="Q1829" i="2" s="1"/>
  <c r="V1829" i="2" s="1"/>
  <c r="P1830" i="2"/>
  <c r="Q1830" i="2" l="1"/>
  <c r="V1830" i="2" s="1"/>
  <c r="P78" i="16"/>
  <c r="V240" i="2" l="1"/>
  <c r="K177" i="31"/>
  <c r="K176" i="31"/>
  <c r="K175" i="31"/>
  <c r="N5" i="31"/>
  <c r="O5" i="31" l="1"/>
  <c r="N75" i="12"/>
  <c r="P75" i="12" s="1"/>
  <c r="O75" i="12"/>
  <c r="Q75" i="12"/>
  <c r="R75" i="12"/>
  <c r="S75" i="12"/>
  <c r="I33" i="29"/>
  <c r="R27" i="29"/>
  <c r="P27" i="29"/>
  <c r="O24" i="29"/>
  <c r="P24" i="29" s="1"/>
  <c r="N24" i="29"/>
  <c r="O23" i="29"/>
  <c r="N23" i="29"/>
  <c r="P23" i="29" s="1"/>
  <c r="V1827" i="2"/>
  <c r="K174" i="31" l="1"/>
  <c r="K178" i="31" s="1"/>
  <c r="K179" i="31" s="1"/>
  <c r="P5" i="31"/>
  <c r="O1826" i="2" l="1"/>
  <c r="P1826" i="2" s="1"/>
  <c r="Q1826" i="2" s="1"/>
  <c r="V1826" i="2" s="1"/>
  <c r="O1825" i="2" l="1"/>
  <c r="P1825" i="2" l="1"/>
  <c r="Q1825" i="2" s="1"/>
  <c r="V1825" i="2" s="1"/>
  <c r="P97" i="11"/>
  <c r="R97" i="11"/>
  <c r="Q97" i="11"/>
  <c r="O97" i="11"/>
  <c r="N97" i="11"/>
  <c r="N94" i="11"/>
  <c r="N93" i="11"/>
  <c r="N92" i="11"/>
  <c r="N91" i="11"/>
  <c r="O91" i="11" s="1"/>
  <c r="N90" i="11"/>
  <c r="O93" i="11" l="1"/>
  <c r="P93" i="11" s="1"/>
  <c r="O90" i="11"/>
  <c r="P90" i="11" s="1"/>
  <c r="P91" i="11"/>
  <c r="O92" i="11"/>
  <c r="P92" i="11" s="1"/>
  <c r="O94" i="11"/>
  <c r="P94" i="11" s="1"/>
  <c r="P1823" i="2"/>
  <c r="Q1823" i="2" s="1"/>
  <c r="V1823" i="2" s="1"/>
  <c r="P1824" i="2" l="1"/>
  <c r="Q1824" i="2" s="1"/>
  <c r="V1824" i="2" s="1"/>
  <c r="O1822" i="2"/>
  <c r="P1822" i="2" l="1"/>
  <c r="Q1822" i="2" s="1"/>
  <c r="V1822" i="2" s="1"/>
  <c r="O1821" i="2" l="1"/>
  <c r="P1821" i="2" s="1"/>
  <c r="Q1821" i="2" s="1"/>
  <c r="V1821" i="2" s="1"/>
  <c r="O1820" i="2" l="1"/>
  <c r="O1819" i="2"/>
  <c r="P1819" i="2" s="1"/>
  <c r="O1818" i="2"/>
  <c r="P1818" i="2" s="1"/>
  <c r="Q1818" i="2" s="1"/>
  <c r="V1818" i="2" s="1"/>
  <c r="O1817" i="2"/>
  <c r="P1817" i="2" s="1"/>
  <c r="Q1817" i="2" s="1"/>
  <c r="V1817" i="2" s="1"/>
  <c r="O1816" i="2"/>
  <c r="P1816" i="2" s="1"/>
  <c r="O1815" i="2"/>
  <c r="O1814" i="2"/>
  <c r="O1813" i="2"/>
  <c r="O1812" i="2"/>
  <c r="P1812" i="2" s="1"/>
  <c r="O1811" i="2"/>
  <c r="O1810" i="2"/>
  <c r="P1810" i="2" s="1"/>
  <c r="Q1810" i="2" s="1"/>
  <c r="V1810" i="2" s="1"/>
  <c r="P1813" i="2" l="1"/>
  <c r="Q1813" i="2" s="1"/>
  <c r="V1813" i="2" s="1"/>
  <c r="Q1812" i="2"/>
  <c r="V1812" i="2" s="1"/>
  <c r="P1820" i="2"/>
  <c r="Q1820" i="2" s="1"/>
  <c r="V1820" i="2" s="1"/>
  <c r="P1811" i="2"/>
  <c r="Q1811" i="2" s="1"/>
  <c r="V1811" i="2" s="1"/>
  <c r="Q1819" i="2"/>
  <c r="V1819" i="2" s="1"/>
  <c r="P1814" i="2"/>
  <c r="Q1814" i="2" s="1"/>
  <c r="V1814" i="2" s="1"/>
  <c r="Q1816" i="2"/>
  <c r="V1816" i="2" s="1"/>
  <c r="P1815" i="2"/>
  <c r="Q1815" i="2" s="1"/>
  <c r="V1815" i="2" s="1"/>
  <c r="O1808" i="2" l="1"/>
  <c r="O1807" i="2"/>
  <c r="P1807" i="2" s="1"/>
  <c r="Q1807" i="2" s="1"/>
  <c r="V1807" i="2" s="1"/>
  <c r="O1806" i="2"/>
  <c r="P1806" i="2" s="1"/>
  <c r="Q1806" i="2" s="1"/>
  <c r="V1806" i="2" s="1"/>
  <c r="O1805" i="2"/>
  <c r="P1805" i="2" s="1"/>
  <c r="Q1805" i="2" s="1"/>
  <c r="V1805" i="2" s="1"/>
  <c r="O1804" i="2"/>
  <c r="P1804" i="2" s="1"/>
  <c r="Q1804" i="2" s="1"/>
  <c r="V1804" i="2" s="1"/>
  <c r="P1808" i="2" l="1"/>
  <c r="Q1808" i="2" s="1"/>
  <c r="V1808" i="2" s="1"/>
  <c r="O1803" i="2" l="1"/>
  <c r="O1802" i="2"/>
  <c r="O1801" i="2"/>
  <c r="P1801" i="2" s="1"/>
  <c r="O1800" i="2"/>
  <c r="P1800" i="2" s="1"/>
  <c r="O1799" i="2"/>
  <c r="P1799" i="2" s="1"/>
  <c r="O1798" i="2"/>
  <c r="P1798" i="2" s="1"/>
  <c r="O1797" i="2"/>
  <c r="P1797" i="2" s="1"/>
  <c r="Q1797" i="2" s="1"/>
  <c r="V1797" i="2" s="1"/>
  <c r="O1796" i="2"/>
  <c r="P1796" i="2" s="1"/>
  <c r="Q1796" i="2" s="1"/>
  <c r="V1796" i="2" s="1"/>
  <c r="O1795" i="2"/>
  <c r="P1795" i="2" s="1"/>
  <c r="O1794" i="2"/>
  <c r="P1794" i="2" s="1"/>
  <c r="Q1794" i="2" l="1"/>
  <c r="V1794" i="2" s="1"/>
  <c r="P1802" i="2"/>
  <c r="Q1802" i="2" s="1"/>
  <c r="V1802" i="2" s="1"/>
  <c r="P1803" i="2"/>
  <c r="Q1803" i="2" s="1"/>
  <c r="V1803" i="2" s="1"/>
  <c r="Q1795" i="2"/>
  <c r="V1795" i="2" s="1"/>
  <c r="Q1798" i="2"/>
  <c r="V1798" i="2" s="1"/>
  <c r="Q1799" i="2"/>
  <c r="V1799" i="2" s="1"/>
  <c r="Q1800" i="2"/>
  <c r="V1800" i="2" s="1"/>
  <c r="Q1801" i="2"/>
  <c r="V1801" i="2" s="1"/>
  <c r="O1793" i="2"/>
  <c r="O1792" i="2"/>
  <c r="P1792" i="2" l="1"/>
  <c r="Q1792" i="2" s="1"/>
  <c r="V1792" i="2" s="1"/>
  <c r="P1793" i="2"/>
  <c r="Q1793" i="2" s="1"/>
  <c r="V1793" i="2" s="1"/>
  <c r="N114" i="13" l="1"/>
  <c r="N113" i="13"/>
  <c r="N112" i="13"/>
  <c r="O112" i="13" s="1"/>
  <c r="P112" i="13" s="1"/>
  <c r="N111" i="13"/>
  <c r="N110" i="13"/>
  <c r="N109" i="13"/>
  <c r="N108" i="13"/>
  <c r="O108" i="13" s="1"/>
  <c r="P108" i="13" s="1"/>
  <c r="N107" i="13"/>
  <c r="N106" i="13"/>
  <c r="P105" i="13"/>
  <c r="P104" i="13"/>
  <c r="N103" i="13"/>
  <c r="O103" i="13" s="1"/>
  <c r="N102" i="13"/>
  <c r="O102" i="13" s="1"/>
  <c r="N101" i="13"/>
  <c r="O101" i="13" s="1"/>
  <c r="P101" i="13" s="1"/>
  <c r="P100" i="13"/>
  <c r="N99" i="13"/>
  <c r="N98" i="13"/>
  <c r="N97" i="13"/>
  <c r="O97" i="13" s="1"/>
  <c r="N160" i="5"/>
  <c r="N159" i="5"/>
  <c r="O1791" i="2"/>
  <c r="P1791" i="2" s="1"/>
  <c r="Q1791" i="2" s="1"/>
  <c r="V1791" i="2" s="1"/>
  <c r="O1790" i="2"/>
  <c r="P1790" i="2" s="1"/>
  <c r="O1789" i="2"/>
  <c r="P1789" i="2" s="1"/>
  <c r="O1788" i="2"/>
  <c r="P1788" i="2" s="1"/>
  <c r="O1787" i="2"/>
  <c r="P1787" i="2" s="1"/>
  <c r="Q1787" i="2" s="1"/>
  <c r="V1787" i="2" s="1"/>
  <c r="O1786" i="2"/>
  <c r="P1786" i="2" s="1"/>
  <c r="Q1786" i="2" s="1"/>
  <c r="V1786" i="2" s="1"/>
  <c r="O1785" i="2"/>
  <c r="O1784" i="2"/>
  <c r="O1783" i="2"/>
  <c r="P1783" i="2" s="1"/>
  <c r="Q1783" i="2" s="1"/>
  <c r="V1783" i="2" s="1"/>
  <c r="O1782" i="2"/>
  <c r="P1782" i="2" s="1"/>
  <c r="Q1782" i="2" s="1"/>
  <c r="V1782" i="2" s="1"/>
  <c r="O1781" i="2"/>
  <c r="P1781" i="2" s="1"/>
  <c r="O1780" i="2"/>
  <c r="O1779" i="2"/>
  <c r="P1779" i="2" s="1"/>
  <c r="O1778" i="2"/>
  <c r="P1778" i="2" s="1"/>
  <c r="Q1790" i="2" l="1"/>
  <c r="V1790" i="2" s="1"/>
  <c r="O111" i="13"/>
  <c r="P111" i="13" s="1"/>
  <c r="P97" i="13"/>
  <c r="P102" i="13"/>
  <c r="O98" i="13"/>
  <c r="P98" i="13" s="1"/>
  <c r="P103" i="13"/>
  <c r="O107" i="13"/>
  <c r="P107" i="13" s="1"/>
  <c r="O99" i="13"/>
  <c r="P99" i="13" s="1"/>
  <c r="O109" i="13"/>
  <c r="P109" i="13" s="1"/>
  <c r="O113" i="13"/>
  <c r="P113" i="13" s="1"/>
  <c r="O106" i="13"/>
  <c r="P106" i="13" s="1"/>
  <c r="O110" i="13"/>
  <c r="P110" i="13" s="1"/>
  <c r="O114" i="13"/>
  <c r="P114" i="13" s="1"/>
  <c r="O159" i="5"/>
  <c r="P159" i="5" s="1"/>
  <c r="O160" i="5"/>
  <c r="P160" i="5" s="1"/>
  <c r="I184" i="5" s="1"/>
  <c r="Q1778" i="2"/>
  <c r="V1778" i="2" s="1"/>
  <c r="Q1781" i="2"/>
  <c r="V1781" i="2" s="1"/>
  <c r="P1780" i="2"/>
  <c r="Q1780" i="2" s="1"/>
  <c r="V1780" i="2" s="1"/>
  <c r="Q1788" i="2"/>
  <c r="V1788" i="2" s="1"/>
  <c r="Q1779" i="2"/>
  <c r="V1779" i="2" s="1"/>
  <c r="Q1789" i="2"/>
  <c r="V1789" i="2" s="1"/>
  <c r="P1784" i="2"/>
  <c r="Q1784" i="2" s="1"/>
  <c r="V1784" i="2" s="1"/>
  <c r="P1785" i="2"/>
  <c r="Q1785" i="2" s="1"/>
  <c r="V1785" i="2" s="1"/>
  <c r="I148" i="13" l="1"/>
  <c r="P1760" i="2"/>
  <c r="Q1760" i="2" s="1"/>
  <c r="V1760" i="2" s="1"/>
  <c r="O1769" i="2"/>
  <c r="P1769" i="2" s="1"/>
  <c r="O1767" i="2"/>
  <c r="P1767" i="2" s="1"/>
  <c r="O1766" i="2"/>
  <c r="O1765" i="2"/>
  <c r="P1765" i="2" s="1"/>
  <c r="O1764" i="2"/>
  <c r="P1764" i="2" s="1"/>
  <c r="P1766" i="2" l="1"/>
  <c r="Q1766" i="2" s="1"/>
  <c r="V1766" i="2" s="1"/>
  <c r="Q1767" i="2"/>
  <c r="V1767" i="2" s="1"/>
  <c r="Q1769" i="2"/>
  <c r="V1769" i="2" s="1"/>
  <c r="Q1764" i="2"/>
  <c r="V1764" i="2" s="1"/>
  <c r="Q1765" i="2"/>
  <c r="V1765" i="2" s="1"/>
  <c r="O1763" i="2" l="1"/>
  <c r="P1763" i="2" s="1"/>
  <c r="Q1763" i="2" l="1"/>
  <c r="V1763" i="2" s="1"/>
  <c r="O1762" i="2" l="1"/>
  <c r="P1762" i="2" l="1"/>
  <c r="Q1762" i="2" s="1"/>
  <c r="V1762" i="2" s="1"/>
  <c r="O1761" i="2" l="1"/>
  <c r="O1691" i="2"/>
  <c r="P1761" i="2" l="1"/>
  <c r="Q1761" i="2" s="1"/>
  <c r="V1761" i="2" s="1"/>
  <c r="P1691" i="2"/>
  <c r="Q1691" i="2" s="1"/>
  <c r="O1759" i="2" l="1"/>
  <c r="O1758" i="2"/>
  <c r="P1758" i="2" s="1"/>
  <c r="Q1758" i="2" s="1"/>
  <c r="V1758" i="2" s="1"/>
  <c r="O1757" i="2"/>
  <c r="P1757" i="2" s="1"/>
  <c r="Q1757" i="2" s="1"/>
  <c r="V1757" i="2" s="1"/>
  <c r="P1759" i="2" l="1"/>
  <c r="Q1759" i="2" s="1"/>
  <c r="P1742" i="2"/>
  <c r="Q1742" i="2" s="1"/>
  <c r="V1742" i="2" s="1"/>
  <c r="P1743" i="2"/>
  <c r="Q1743" i="2" s="1"/>
  <c r="V1743" i="2" s="1"/>
  <c r="O1756" i="2"/>
  <c r="O1755" i="2"/>
  <c r="P1755" i="2" s="1"/>
  <c r="O1754" i="2"/>
  <c r="P1754" i="2" s="1"/>
  <c r="O1753" i="2"/>
  <c r="P1753" i="2" s="1"/>
  <c r="Q1753" i="2" s="1"/>
  <c r="V1753" i="2" s="1"/>
  <c r="O1752" i="2"/>
  <c r="P1752" i="2" s="1"/>
  <c r="O1751" i="2"/>
  <c r="P1751" i="2" s="1"/>
  <c r="O1750" i="2"/>
  <c r="P1750" i="2" s="1"/>
  <c r="O1749" i="2"/>
  <c r="O1748" i="2"/>
  <c r="O1747" i="2"/>
  <c r="P1747" i="2" s="1"/>
  <c r="O1746" i="2"/>
  <c r="O1745" i="2"/>
  <c r="P1745" i="2" s="1"/>
  <c r="O1744" i="2"/>
  <c r="P1744" i="2" s="1"/>
  <c r="V1759" i="2" l="1"/>
  <c r="P1746" i="2"/>
  <c r="Q1746" i="2" s="1"/>
  <c r="V1746" i="2" s="1"/>
  <c r="Q1755" i="2"/>
  <c r="V1755" i="2" s="1"/>
  <c r="Q1754" i="2"/>
  <c r="V1754" i="2" s="1"/>
  <c r="Q1747" i="2"/>
  <c r="V1747" i="2" s="1"/>
  <c r="P1749" i="2"/>
  <c r="Q1749" i="2" s="1"/>
  <c r="V1749" i="2" s="1"/>
  <c r="Q1745" i="2"/>
  <c r="V1745" i="2" s="1"/>
  <c r="P1748" i="2"/>
  <c r="Q1748" i="2" s="1"/>
  <c r="V1748" i="2" s="1"/>
  <c r="Q1752" i="2"/>
  <c r="V1752" i="2" s="1"/>
  <c r="Q1744" i="2"/>
  <c r="V1744" i="2" s="1"/>
  <c r="P1756" i="2"/>
  <c r="Q1756" i="2" s="1"/>
  <c r="V1756" i="2" s="1"/>
  <c r="Q1751" i="2"/>
  <c r="V1751" i="2" s="1"/>
  <c r="Q1750" i="2"/>
  <c r="V1750" i="2" s="1"/>
  <c r="P39" i="18" l="1"/>
  <c r="K42" i="18" s="1"/>
  <c r="R39" i="18"/>
  <c r="Q39" i="18"/>
  <c r="O39" i="18"/>
  <c r="N39" i="18"/>
  <c r="O1741" i="2"/>
  <c r="P1741" i="2" s="1"/>
  <c r="O1740" i="2"/>
  <c r="P1740" i="2" s="1"/>
  <c r="Q1740" i="2" s="1"/>
  <c r="V1740" i="2" s="1"/>
  <c r="O1739" i="2"/>
  <c r="P1739" i="2" s="1"/>
  <c r="O1738" i="2"/>
  <c r="P1738" i="2" s="1"/>
  <c r="O1737" i="2"/>
  <c r="P1737" i="2" s="1"/>
  <c r="Q1737" i="2" l="1"/>
  <c r="V1737" i="2" s="1"/>
  <c r="Q1738" i="2"/>
  <c r="V1738" i="2" s="1"/>
  <c r="Q1739" i="2"/>
  <c r="V1739" i="2" s="1"/>
  <c r="Q1741" i="2"/>
  <c r="V1741" i="2" s="1"/>
  <c r="O1736" i="2" l="1"/>
  <c r="P1736" i="2" l="1"/>
  <c r="Q1736" i="2" s="1"/>
  <c r="V1736" i="2" s="1"/>
  <c r="O1623" i="2"/>
  <c r="O1619" i="2"/>
  <c r="O1618" i="2"/>
  <c r="O1616" i="2"/>
  <c r="O1615" i="2"/>
  <c r="O1613" i="2"/>
  <c r="O1597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P1732" i="2"/>
  <c r="Q1732" i="2" s="1"/>
  <c r="V1732" i="2" s="1"/>
  <c r="V1733" i="2"/>
  <c r="O1735" i="2"/>
  <c r="P1735" i="2" s="1"/>
  <c r="O1734" i="2"/>
  <c r="P1734" i="2" s="1"/>
  <c r="Q1734" i="2" l="1"/>
  <c r="V1734" i="2" s="1"/>
  <c r="Q1735" i="2"/>
  <c r="V1735" i="2" s="1"/>
  <c r="N86" i="11" l="1"/>
  <c r="O86" i="11" s="1"/>
  <c r="N87" i="11"/>
  <c r="O87" i="11" s="1"/>
  <c r="N88" i="11"/>
  <c r="O88" i="11" s="1"/>
  <c r="P87" i="11" l="1"/>
  <c r="P86" i="11"/>
  <c r="P88" i="11"/>
  <c r="I79" i="12"/>
  <c r="O1731" i="2" l="1"/>
  <c r="P1717" i="2"/>
  <c r="Q1717" i="2" s="1"/>
  <c r="V1717" i="2" s="1"/>
  <c r="P1718" i="2"/>
  <c r="P1719" i="2"/>
  <c r="Q1719" i="2" s="1"/>
  <c r="V1719" i="2" s="1"/>
  <c r="P1720" i="2"/>
  <c r="Q1720" i="2" s="1"/>
  <c r="V1720" i="2" s="1"/>
  <c r="P1724" i="2"/>
  <c r="Q1724" i="2" s="1"/>
  <c r="V1724" i="2" s="1"/>
  <c r="O1730" i="2"/>
  <c r="O1729" i="2"/>
  <c r="O1728" i="2"/>
  <c r="O1727" i="2"/>
  <c r="O1726" i="2"/>
  <c r="O1725" i="2"/>
  <c r="O1723" i="2"/>
  <c r="O1722" i="2"/>
  <c r="O1721" i="2"/>
  <c r="Q27" i="29"/>
  <c r="I32" i="29" s="1"/>
  <c r="I31" i="29"/>
  <c r="V1691" i="2"/>
  <c r="V1692" i="2"/>
  <c r="I30" i="29"/>
  <c r="Q1631" i="2"/>
  <c r="Q1635" i="2"/>
  <c r="Q1636" i="2"/>
  <c r="Q1474" i="2"/>
  <c r="Q1475" i="2"/>
  <c r="V1475" i="2" s="1"/>
  <c r="Q1718" i="2" l="1"/>
  <c r="V1718" i="2" s="1"/>
  <c r="P1731" i="2"/>
  <c r="Q1731" i="2" s="1"/>
  <c r="P1730" i="2"/>
  <c r="Q1730" i="2" s="1"/>
  <c r="V1730" i="2" s="1"/>
  <c r="P1729" i="2"/>
  <c r="Q1729" i="2" s="1"/>
  <c r="V1729" i="2" s="1"/>
  <c r="P1728" i="2"/>
  <c r="Q1728" i="2" s="1"/>
  <c r="V1728" i="2" s="1"/>
  <c r="P1727" i="2"/>
  <c r="Q1727" i="2" s="1"/>
  <c r="V1727" i="2" s="1"/>
  <c r="P1726" i="2"/>
  <c r="Q1726" i="2" s="1"/>
  <c r="V1726" i="2" s="1"/>
  <c r="P1725" i="2"/>
  <c r="Q1725" i="2" s="1"/>
  <c r="V1725" i="2" s="1"/>
  <c r="P1723" i="2"/>
  <c r="Q1723" i="2" s="1"/>
  <c r="V1723" i="2" s="1"/>
  <c r="P1722" i="2"/>
  <c r="Q1722" i="2" s="1"/>
  <c r="V1722" i="2" s="1"/>
  <c r="P1721" i="2"/>
  <c r="Q1721" i="2" s="1"/>
  <c r="V1721" i="2" s="1"/>
  <c r="L100" i="30"/>
  <c r="M100" i="30"/>
  <c r="K100" i="30"/>
  <c r="V1731" i="2" l="1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P1716" i="2" l="1"/>
  <c r="Q1716" i="2" s="1"/>
  <c r="V1716" i="2" s="1"/>
  <c r="P1703" i="2"/>
  <c r="Q1703" i="2" s="1"/>
  <c r="V1703" i="2" s="1"/>
  <c r="P1711" i="2"/>
  <c r="Q1711" i="2" s="1"/>
  <c r="V1711" i="2" s="1"/>
  <c r="P1704" i="2"/>
  <c r="Q1704" i="2" s="1"/>
  <c r="V1704" i="2" s="1"/>
  <c r="P1712" i="2"/>
  <c r="Q1712" i="2" s="1"/>
  <c r="V1712" i="2" s="1"/>
  <c r="P1713" i="2"/>
  <c r="Q1713" i="2" s="1"/>
  <c r="V1713" i="2" s="1"/>
  <c r="P1714" i="2"/>
  <c r="Q1714" i="2" s="1"/>
  <c r="V1714" i="2" s="1"/>
  <c r="P1715" i="2"/>
  <c r="Q1715" i="2" s="1"/>
  <c r="V1715" i="2" s="1"/>
  <c r="P1710" i="2"/>
  <c r="Q1710" i="2" s="1"/>
  <c r="V1710" i="2" s="1"/>
  <c r="P1705" i="2"/>
  <c r="Q1705" i="2" s="1"/>
  <c r="V1705" i="2" s="1"/>
  <c r="P1706" i="2"/>
  <c r="Q1706" i="2" s="1"/>
  <c r="V1706" i="2" s="1"/>
  <c r="P1707" i="2"/>
  <c r="Q1707" i="2" s="1"/>
  <c r="V1707" i="2" s="1"/>
  <c r="P1708" i="2"/>
  <c r="Q1708" i="2" s="1"/>
  <c r="V1708" i="2" s="1"/>
  <c r="P1709" i="2"/>
  <c r="Q1709" i="2" s="1"/>
  <c r="V1709" i="2" s="1"/>
  <c r="O1702" i="2" l="1"/>
  <c r="O1701" i="2"/>
  <c r="O1700" i="2"/>
  <c r="O1699" i="2"/>
  <c r="O1698" i="2"/>
  <c r="O1697" i="2"/>
  <c r="O1696" i="2"/>
  <c r="O1695" i="2"/>
  <c r="O1694" i="2"/>
  <c r="O1693" i="2"/>
  <c r="P1696" i="2" l="1"/>
  <c r="Q1696" i="2" s="1"/>
  <c r="V1696" i="2" s="1"/>
  <c r="P1697" i="2"/>
  <c r="Q1697" i="2" s="1"/>
  <c r="V1697" i="2" s="1"/>
  <c r="P1698" i="2"/>
  <c r="Q1698" i="2" s="1"/>
  <c r="V1698" i="2" s="1"/>
  <c r="P1699" i="2"/>
  <c r="Q1699" i="2" s="1"/>
  <c r="V1699" i="2" s="1"/>
  <c r="P1700" i="2"/>
  <c r="Q1700" i="2" s="1"/>
  <c r="V1700" i="2" s="1"/>
  <c r="P1701" i="2"/>
  <c r="Q1701" i="2" s="1"/>
  <c r="V1701" i="2" s="1"/>
  <c r="P1702" i="2"/>
  <c r="Q1702" i="2" s="1"/>
  <c r="V1702" i="2" s="1"/>
  <c r="P1693" i="2"/>
  <c r="Q1693" i="2" s="1"/>
  <c r="V1693" i="2" s="1"/>
  <c r="P1694" i="2"/>
  <c r="Q1694" i="2" s="1"/>
  <c r="V1694" i="2" s="1"/>
  <c r="P1695" i="2"/>
  <c r="Q1695" i="2" s="1"/>
  <c r="V1695" i="2" s="1"/>
  <c r="P65" i="10"/>
  <c r="O65" i="10"/>
  <c r="N65" i="10"/>
  <c r="M65" i="10"/>
  <c r="Q65" i="10"/>
  <c r="V1657" i="2" l="1"/>
  <c r="O1690" i="2" l="1"/>
  <c r="O1689" i="2"/>
  <c r="O1688" i="2"/>
  <c r="P1688" i="2" s="1"/>
  <c r="Q1688" i="2" s="1"/>
  <c r="V1688" i="2" s="1"/>
  <c r="O1687" i="2"/>
  <c r="P1687" i="2" s="1"/>
  <c r="Q1687" i="2" s="1"/>
  <c r="V1687" i="2" s="1"/>
  <c r="O1686" i="2"/>
  <c r="O1685" i="2"/>
  <c r="O1684" i="2"/>
  <c r="O1683" i="2"/>
  <c r="P1683" i="2" s="1"/>
  <c r="Q1683" i="2" s="1"/>
  <c r="V1683" i="2" s="1"/>
  <c r="O1682" i="2"/>
  <c r="O1681" i="2"/>
  <c r="O1680" i="2"/>
  <c r="O1679" i="2"/>
  <c r="O1678" i="2"/>
  <c r="O1677" i="2"/>
  <c r="O1676" i="2"/>
  <c r="O1675" i="2"/>
  <c r="O1674" i="2"/>
  <c r="O1673" i="2"/>
  <c r="O1672" i="2"/>
  <c r="O1671" i="2"/>
  <c r="O1670" i="2"/>
  <c r="P1670" i="2" s="1"/>
  <c r="Q1670" i="2" s="1"/>
  <c r="V1670" i="2" s="1"/>
  <c r="O1669" i="2"/>
  <c r="O1668" i="2"/>
  <c r="O1667" i="2"/>
  <c r="O1666" i="2"/>
  <c r="O1665" i="2"/>
  <c r="O1664" i="2"/>
  <c r="O1663" i="2"/>
  <c r="O1662" i="2"/>
  <c r="O1661" i="2"/>
  <c r="O1660" i="2"/>
  <c r="V1653" i="2"/>
  <c r="O1659" i="2"/>
  <c r="O1658" i="2"/>
  <c r="P1689" i="2" l="1"/>
  <c r="Q1689" i="2" s="1"/>
  <c r="V1689" i="2" s="1"/>
  <c r="P1686" i="2"/>
  <c r="Q1686" i="2" s="1"/>
  <c r="V1686" i="2" s="1"/>
  <c r="P1685" i="2"/>
  <c r="Q1685" i="2" s="1"/>
  <c r="V1685" i="2" s="1"/>
  <c r="P1684" i="2"/>
  <c r="Q1684" i="2" s="1"/>
  <c r="V1684" i="2" s="1"/>
  <c r="P1690" i="2"/>
  <c r="Q1690" i="2" s="1"/>
  <c r="V1690" i="2" s="1"/>
  <c r="P1682" i="2"/>
  <c r="Q1682" i="2" s="1"/>
  <c r="V1682" i="2" s="1"/>
  <c r="P1681" i="2"/>
  <c r="Q1681" i="2" s="1"/>
  <c r="V1681" i="2" s="1"/>
  <c r="P1680" i="2"/>
  <c r="Q1680" i="2" s="1"/>
  <c r="V1680" i="2" s="1"/>
  <c r="P1679" i="2"/>
  <c r="Q1679" i="2" s="1"/>
  <c r="V1679" i="2" s="1"/>
  <c r="P1678" i="2"/>
  <c r="Q1678" i="2" s="1"/>
  <c r="V1678" i="2" s="1"/>
  <c r="P1677" i="2"/>
  <c r="Q1677" i="2" s="1"/>
  <c r="V1677" i="2" s="1"/>
  <c r="P1676" i="2"/>
  <c r="Q1676" i="2" s="1"/>
  <c r="V1676" i="2" s="1"/>
  <c r="P1675" i="2"/>
  <c r="Q1675" i="2" s="1"/>
  <c r="V1675" i="2" s="1"/>
  <c r="P1674" i="2"/>
  <c r="Q1674" i="2" s="1"/>
  <c r="V1674" i="2" s="1"/>
  <c r="P1673" i="2"/>
  <c r="Q1673" i="2" s="1"/>
  <c r="V1673" i="2" s="1"/>
  <c r="P1672" i="2"/>
  <c r="Q1672" i="2" s="1"/>
  <c r="V1672" i="2" s="1"/>
  <c r="P1671" i="2"/>
  <c r="Q1671" i="2" s="1"/>
  <c r="V1671" i="2" s="1"/>
  <c r="P1669" i="2"/>
  <c r="Q1669" i="2" s="1"/>
  <c r="V1669" i="2" s="1"/>
  <c r="P1668" i="2"/>
  <c r="Q1668" i="2" s="1"/>
  <c r="V1668" i="2" s="1"/>
  <c r="P1667" i="2"/>
  <c r="Q1667" i="2" s="1"/>
  <c r="V1667" i="2" s="1"/>
  <c r="P1666" i="2"/>
  <c r="Q1666" i="2" s="1"/>
  <c r="V1666" i="2" s="1"/>
  <c r="P1665" i="2"/>
  <c r="Q1665" i="2" s="1"/>
  <c r="V1665" i="2" s="1"/>
  <c r="P1664" i="2"/>
  <c r="Q1664" i="2" s="1"/>
  <c r="V1664" i="2" s="1"/>
  <c r="P1663" i="2"/>
  <c r="Q1663" i="2" s="1"/>
  <c r="V1663" i="2" s="1"/>
  <c r="P1662" i="2"/>
  <c r="Q1662" i="2" s="1"/>
  <c r="V1662" i="2" s="1"/>
  <c r="P1661" i="2"/>
  <c r="Q1661" i="2" s="1"/>
  <c r="V1661" i="2" s="1"/>
  <c r="P1660" i="2"/>
  <c r="Q1660" i="2" s="1"/>
  <c r="V1660" i="2" s="1"/>
  <c r="P1659" i="2"/>
  <c r="Q1659" i="2" s="1"/>
  <c r="V1659" i="2" s="1"/>
  <c r="P1658" i="2"/>
  <c r="Q1658" i="2" s="1"/>
  <c r="V1658" i="2" s="1"/>
  <c r="O1656" i="2" l="1"/>
  <c r="O1655" i="2"/>
  <c r="O1654" i="2"/>
  <c r="Q1652" i="2"/>
  <c r="V1652" i="2" s="1"/>
  <c r="P1656" i="2" l="1"/>
  <c r="Q1656" i="2" s="1"/>
  <c r="V1656" i="2" s="1"/>
  <c r="P1655" i="2"/>
  <c r="Q1655" i="2" s="1"/>
  <c r="V1655" i="2" s="1"/>
  <c r="P1654" i="2"/>
  <c r="Q1654" i="2" s="1"/>
  <c r="V1654" i="2" s="1"/>
  <c r="O1651" i="2" l="1"/>
  <c r="P1651" i="2" s="1"/>
  <c r="O1650" i="2"/>
  <c r="P1650" i="2" s="1"/>
  <c r="O1649" i="2"/>
  <c r="P1649" i="2" s="1"/>
  <c r="O1648" i="2"/>
  <c r="O1647" i="2"/>
  <c r="P1647" i="2" s="1"/>
  <c r="Q1647" i="2" s="1"/>
  <c r="V1647" i="2" s="1"/>
  <c r="Q1649" i="2" l="1"/>
  <c r="V1649" i="2" s="1"/>
  <c r="Q1650" i="2"/>
  <c r="V1650" i="2" s="1"/>
  <c r="P1648" i="2"/>
  <c r="Q1648" i="2" s="1"/>
  <c r="V1648" i="2" s="1"/>
  <c r="Q1651" i="2"/>
  <c r="V1651" i="2" s="1"/>
  <c r="O1646" i="2" l="1"/>
  <c r="P1646" i="2" s="1"/>
  <c r="Q1646" i="2" l="1"/>
  <c r="V1646" i="2" s="1"/>
  <c r="O1645" i="2"/>
  <c r="P1645" i="2" s="1"/>
  <c r="O1644" i="2"/>
  <c r="P1644" i="2" s="1"/>
  <c r="O1643" i="2"/>
  <c r="P1643" i="2" s="1"/>
  <c r="O1642" i="2"/>
  <c r="O1641" i="2"/>
  <c r="P1642" i="2" l="1"/>
  <c r="Q1642" i="2" s="1"/>
  <c r="V1642" i="2" s="1"/>
  <c r="Q1645" i="2"/>
  <c r="V1645" i="2" s="1"/>
  <c r="Q1644" i="2"/>
  <c r="V1644" i="2" s="1"/>
  <c r="P1641" i="2"/>
  <c r="Q1641" i="2" s="1"/>
  <c r="V1641" i="2" s="1"/>
  <c r="Q1643" i="2"/>
  <c r="V1643" i="2" s="1"/>
  <c r="O1638" i="2" l="1"/>
  <c r="O1639" i="2"/>
  <c r="P1639" i="2" s="1"/>
  <c r="Q1639" i="2" s="1"/>
  <c r="V1639" i="2" s="1"/>
  <c r="O1640" i="2"/>
  <c r="P1640" i="2" s="1"/>
  <c r="Q1640" i="2" s="1"/>
  <c r="V1640" i="2" s="1"/>
  <c r="P1638" i="2" l="1"/>
  <c r="O1637" i="2"/>
  <c r="O1634" i="2"/>
  <c r="P1634" i="2" s="1"/>
  <c r="Q1634" i="2" s="1"/>
  <c r="V1634" i="2" s="1"/>
  <c r="O1633" i="2"/>
  <c r="P1633" i="2" s="1"/>
  <c r="Q1633" i="2" s="1"/>
  <c r="V1633" i="2" s="1"/>
  <c r="O1632" i="2"/>
  <c r="O1630" i="2"/>
  <c r="O1629" i="2"/>
  <c r="O1628" i="2"/>
  <c r="P1628" i="2" s="1"/>
  <c r="Q1628" i="2" s="1"/>
  <c r="V1628" i="2" s="1"/>
  <c r="O1627" i="2"/>
  <c r="P1627" i="2" s="1"/>
  <c r="N81" i="11"/>
  <c r="Q1638" i="2" l="1"/>
  <c r="V1638" i="2" s="1"/>
  <c r="O81" i="11"/>
  <c r="P1629" i="2"/>
  <c r="Q1629" i="2" s="1"/>
  <c r="V1629" i="2" s="1"/>
  <c r="Q1627" i="2"/>
  <c r="V1635" i="2"/>
  <c r="P1637" i="2"/>
  <c r="V1636" i="2"/>
  <c r="P1630" i="2"/>
  <c r="Q1630" i="2" s="1"/>
  <c r="V1630" i="2" s="1"/>
  <c r="V1631" i="2"/>
  <c r="P1632" i="2"/>
  <c r="Q1632" i="2" s="1"/>
  <c r="V1632" i="2" s="1"/>
  <c r="Q1637" i="2" l="1"/>
  <c r="V1637" i="2" s="1"/>
  <c r="P81" i="11"/>
  <c r="K75" i="28" l="1"/>
  <c r="K74" i="28" s="1"/>
  <c r="K76" i="28"/>
  <c r="K77" i="28" l="1"/>
  <c r="V1627" i="2" l="1"/>
  <c r="P1623" i="2"/>
  <c r="O1624" i="2"/>
  <c r="P1624" i="2" s="1"/>
  <c r="Q1624" i="2" s="1"/>
  <c r="V1624" i="2" s="1"/>
  <c r="O1625" i="2"/>
  <c r="O1626" i="2"/>
  <c r="O1617" i="2"/>
  <c r="O1620" i="2"/>
  <c r="O1621" i="2"/>
  <c r="O1622" i="2"/>
  <c r="P1615" i="2"/>
  <c r="Q1615" i="2" s="1"/>
  <c r="V1615" i="2" s="1"/>
  <c r="P1616" i="2"/>
  <c r="Q1616" i="2" s="1"/>
  <c r="V1616" i="2" s="1"/>
  <c r="O1614" i="2"/>
  <c r="P1614" i="2" s="1"/>
  <c r="P1613" i="2"/>
  <c r="O1612" i="2"/>
  <c r="O1439" i="2"/>
  <c r="P1622" i="2" l="1"/>
  <c r="Q1622" i="2" s="1"/>
  <c r="V1622" i="2" s="1"/>
  <c r="P1619" i="2"/>
  <c r="Q1619" i="2" s="1"/>
  <c r="V1619" i="2" s="1"/>
  <c r="P1621" i="2"/>
  <c r="Q1621" i="2" s="1"/>
  <c r="V1621" i="2" s="1"/>
  <c r="Q1623" i="2"/>
  <c r="V1623" i="2" s="1"/>
  <c r="P1620" i="2"/>
  <c r="Q1620" i="2" s="1"/>
  <c r="V1620" i="2" s="1"/>
  <c r="P1626" i="2"/>
  <c r="Q1626" i="2" s="1"/>
  <c r="V1626" i="2" s="1"/>
  <c r="P1618" i="2"/>
  <c r="Q1618" i="2" s="1"/>
  <c r="V1618" i="2" s="1"/>
  <c r="P1625" i="2"/>
  <c r="Q1625" i="2" s="1"/>
  <c r="V1625" i="2" s="1"/>
  <c r="P1617" i="2"/>
  <c r="Q1617" i="2" s="1"/>
  <c r="V1617" i="2" s="1"/>
  <c r="Q1614" i="2"/>
  <c r="V1614" i="2" s="1"/>
  <c r="Q1613" i="2"/>
  <c r="V1613" i="2" s="1"/>
  <c r="P1439" i="2"/>
  <c r="Q1439" i="2" s="1"/>
  <c r="P1612" i="2"/>
  <c r="Q1612" i="2" s="1"/>
  <c r="V1612" i="2" s="1"/>
  <c r="V1611" i="2" l="1"/>
  <c r="O1455" i="2"/>
  <c r="O1388" i="2"/>
  <c r="P1388" i="2" s="1"/>
  <c r="P1455" i="2" l="1"/>
  <c r="Q1455" i="2" s="1"/>
  <c r="V1455" i="2" s="1"/>
  <c r="Q1388" i="2"/>
  <c r="V1597" i="2"/>
  <c r="V1598" i="2"/>
  <c r="V1599" i="2"/>
  <c r="O1610" i="2"/>
  <c r="O1609" i="2"/>
  <c r="P1609" i="2" s="1"/>
  <c r="O1608" i="2"/>
  <c r="P1608" i="2" s="1"/>
  <c r="Q1608" i="2" l="1"/>
  <c r="V1608" i="2" s="1"/>
  <c r="Q1609" i="2"/>
  <c r="V1609" i="2" s="1"/>
  <c r="P1610" i="2"/>
  <c r="Q1610" i="2" s="1"/>
  <c r="V1610" i="2" s="1"/>
  <c r="O1607" i="2" l="1"/>
  <c r="P1607" i="2" s="1"/>
  <c r="Q1607" i="2" s="1"/>
  <c r="V1607" i="2" s="1"/>
  <c r="O1606" i="2"/>
  <c r="O1605" i="2"/>
  <c r="O1604" i="2"/>
  <c r="O1603" i="2"/>
  <c r="P1603" i="2" l="1"/>
  <c r="Q1603" i="2" s="1"/>
  <c r="V1603" i="2" s="1"/>
  <c r="P1604" i="2"/>
  <c r="Q1604" i="2" s="1"/>
  <c r="V1604" i="2" s="1"/>
  <c r="P1605" i="2"/>
  <c r="Q1605" i="2" s="1"/>
  <c r="V1605" i="2" s="1"/>
  <c r="P1606" i="2"/>
  <c r="Q1606" i="2" s="1"/>
  <c r="V1606" i="2" s="1"/>
  <c r="O1602" i="2" l="1"/>
  <c r="O1601" i="2"/>
  <c r="O1600" i="2"/>
  <c r="O515" i="2"/>
  <c r="P515" i="2" s="1"/>
  <c r="Q515" i="2" s="1"/>
  <c r="V515" i="2" s="1"/>
  <c r="P1601" i="2" l="1"/>
  <c r="Q1601" i="2" s="1"/>
  <c r="V1601" i="2" s="1"/>
  <c r="P1600" i="2"/>
  <c r="Q1600" i="2" s="1"/>
  <c r="V1600" i="2" s="1"/>
  <c r="P1602" i="2"/>
  <c r="Q1602" i="2" s="1"/>
  <c r="V1602" i="2" s="1"/>
  <c r="V1474" i="2"/>
  <c r="V1552" i="2"/>
  <c r="I146" i="13"/>
  <c r="N95" i="13"/>
  <c r="N94" i="13"/>
  <c r="N93" i="13"/>
  <c r="N92" i="13"/>
  <c r="N91" i="13"/>
  <c r="N90" i="13"/>
  <c r="O90" i="13" s="1"/>
  <c r="P90" i="13" s="1"/>
  <c r="N89" i="13"/>
  <c r="N88" i="13"/>
  <c r="N87" i="13"/>
  <c r="N142" i="13" l="1"/>
  <c r="O93" i="13"/>
  <c r="P93" i="13" s="1"/>
  <c r="O88" i="13"/>
  <c r="P88" i="13" s="1"/>
  <c r="O91" i="13"/>
  <c r="P91" i="13" s="1"/>
  <c r="O94" i="13"/>
  <c r="P94" i="13" s="1"/>
  <c r="O89" i="13"/>
  <c r="P89" i="13" s="1"/>
  <c r="O92" i="13"/>
  <c r="P92" i="13" s="1"/>
  <c r="O87" i="13"/>
  <c r="O142" i="13" s="1"/>
  <c r="O95" i="13"/>
  <c r="P95" i="13" s="1"/>
  <c r="P87" i="13" l="1"/>
  <c r="P142" i="13" s="1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96" i="2" l="1"/>
  <c r="O1595" i="2"/>
  <c r="O1594" i="2"/>
  <c r="P1594" i="2" s="1"/>
  <c r="O1593" i="2"/>
  <c r="P1593" i="2" l="1"/>
  <c r="Q1593" i="2" s="1"/>
  <c r="V1593" i="2" s="1"/>
  <c r="Q1594" i="2"/>
  <c r="V1594" i="2" s="1"/>
  <c r="P1596" i="2"/>
  <c r="Q1596" i="2" s="1"/>
  <c r="V1596" i="2" s="1"/>
  <c r="P1595" i="2"/>
  <c r="Q1595" i="2" s="1"/>
  <c r="V1595" i="2" s="1"/>
  <c r="O1592" i="2" l="1"/>
  <c r="O1591" i="2"/>
  <c r="O1590" i="2"/>
  <c r="O1589" i="2"/>
  <c r="O1588" i="2"/>
  <c r="O1587" i="2"/>
  <c r="O1586" i="2"/>
  <c r="P1587" i="2" l="1"/>
  <c r="Q1587" i="2" s="1"/>
  <c r="V1587" i="2" s="1"/>
  <c r="P1590" i="2"/>
  <c r="Q1590" i="2" s="1"/>
  <c r="V1590" i="2" s="1"/>
  <c r="P1588" i="2"/>
  <c r="Q1588" i="2" s="1"/>
  <c r="V1588" i="2" s="1"/>
  <c r="P1592" i="2"/>
  <c r="P1589" i="2"/>
  <c r="Q1589" i="2" s="1"/>
  <c r="V1589" i="2" s="1"/>
  <c r="P1591" i="2"/>
  <c r="Q1591" i="2" s="1"/>
  <c r="V1591" i="2" s="1"/>
  <c r="P1586" i="2"/>
  <c r="Q1586" i="2" s="1"/>
  <c r="V1586" i="2" s="1"/>
  <c r="O1585" i="2"/>
  <c r="P1585" i="2" s="1"/>
  <c r="Q1592" i="2" l="1"/>
  <c r="V1592" i="2" s="1"/>
  <c r="Q1585" i="2"/>
  <c r="V1585" i="2" s="1"/>
  <c r="O1584" i="2" l="1"/>
  <c r="P1584" i="2" l="1"/>
  <c r="Q1584" i="2" s="1"/>
  <c r="V1584" i="2" s="1"/>
  <c r="O1583" i="2" l="1"/>
  <c r="P1583" i="2" s="1"/>
  <c r="Q1583" i="2" s="1"/>
  <c r="V1583" i="2" s="1"/>
  <c r="O1581" i="2"/>
  <c r="P1581" i="2" s="1"/>
  <c r="Q1581" i="2" s="1"/>
  <c r="V1581" i="2" s="1"/>
  <c r="O1580" i="2"/>
  <c r="O1579" i="2"/>
  <c r="P1579" i="2" s="1"/>
  <c r="O1578" i="2"/>
  <c r="O1577" i="2"/>
  <c r="O1576" i="2"/>
  <c r="O1575" i="2"/>
  <c r="P1575" i="2" s="1"/>
  <c r="Q1575" i="2" s="1"/>
  <c r="V1575" i="2" s="1"/>
  <c r="O1574" i="2"/>
  <c r="P1574" i="2" s="1"/>
  <c r="O1573" i="2"/>
  <c r="P1573" i="2" s="1"/>
  <c r="O1572" i="2"/>
  <c r="P1572" i="2" s="1"/>
  <c r="O1571" i="2"/>
  <c r="O1570" i="2"/>
  <c r="O1569" i="2"/>
  <c r="O1568" i="2"/>
  <c r="P1568" i="2" s="1"/>
  <c r="Q1568" i="2" s="1"/>
  <c r="V1568" i="2" s="1"/>
  <c r="O1567" i="2"/>
  <c r="P1567" i="2" s="1"/>
  <c r="O1566" i="2"/>
  <c r="P1566" i="2" s="1"/>
  <c r="O1565" i="2"/>
  <c r="P1565" i="2" s="1"/>
  <c r="O1564" i="2"/>
  <c r="O1563" i="2"/>
  <c r="P1563" i="2" s="1"/>
  <c r="O1562" i="2"/>
  <c r="Q1567" i="2" l="1"/>
  <c r="V1567" i="2" s="1"/>
  <c r="Q1574" i="2"/>
  <c r="V1574" i="2" s="1"/>
  <c r="P1580" i="2"/>
  <c r="Q1580" i="2" s="1"/>
  <c r="V1580" i="2" s="1"/>
  <c r="Q1563" i="2"/>
  <c r="V1563" i="2" s="1"/>
  <c r="P1576" i="2"/>
  <c r="Q1576" i="2" s="1"/>
  <c r="V1576" i="2" s="1"/>
  <c r="P1570" i="2"/>
  <c r="Q1570" i="2" s="1"/>
  <c r="V1570" i="2" s="1"/>
  <c r="P1578" i="2"/>
  <c r="Q1578" i="2" s="1"/>
  <c r="V1578" i="2" s="1"/>
  <c r="P1571" i="2"/>
  <c r="Q1571" i="2" s="1"/>
  <c r="V1571" i="2" s="1"/>
  <c r="P1564" i="2"/>
  <c r="Q1564" i="2" s="1"/>
  <c r="V1564" i="2" s="1"/>
  <c r="Q1573" i="2"/>
  <c r="V1573" i="2" s="1"/>
  <c r="P1569" i="2"/>
  <c r="Q1569" i="2" s="1"/>
  <c r="V1569" i="2" s="1"/>
  <c r="Q1579" i="2"/>
  <c r="V1579" i="2" s="1"/>
  <c r="Q1572" i="2"/>
  <c r="V1572" i="2" s="1"/>
  <c r="Q1565" i="2"/>
  <c r="V1565" i="2" s="1"/>
  <c r="P1562" i="2"/>
  <c r="Q1562" i="2" s="1"/>
  <c r="V1562" i="2" s="1"/>
  <c r="Q1566" i="2"/>
  <c r="V1566" i="2" s="1"/>
  <c r="P1577" i="2"/>
  <c r="Q1577" i="2" s="1"/>
  <c r="V1577" i="2" s="1"/>
  <c r="O1561" i="2"/>
  <c r="O1560" i="2"/>
  <c r="P1560" i="2" s="1"/>
  <c r="O1559" i="2"/>
  <c r="P1559" i="2" s="1"/>
  <c r="O1558" i="2"/>
  <c r="O1557" i="2"/>
  <c r="P1557" i="2" s="1"/>
  <c r="Q1557" i="2" s="1"/>
  <c r="V1557" i="2" s="1"/>
  <c r="O1556" i="2"/>
  <c r="P1556" i="2" s="1"/>
  <c r="Q1556" i="2" s="1"/>
  <c r="V1556" i="2" s="1"/>
  <c r="O1555" i="2"/>
  <c r="P1555" i="2" s="1"/>
  <c r="Q1555" i="2" s="1"/>
  <c r="V1555" i="2" s="1"/>
  <c r="O1554" i="2"/>
  <c r="O1553" i="2"/>
  <c r="P1554" i="2" l="1"/>
  <c r="Q1554" i="2" s="1"/>
  <c r="V1554" i="2" s="1"/>
  <c r="P1553" i="2"/>
  <c r="Q1553" i="2" s="1"/>
  <c r="V1553" i="2" s="1"/>
  <c r="Q1560" i="2"/>
  <c r="V1560" i="2" s="1"/>
  <c r="Q1559" i="2"/>
  <c r="V1559" i="2" s="1"/>
  <c r="P1561" i="2"/>
  <c r="Q1561" i="2" s="1"/>
  <c r="V1561" i="2" s="1"/>
  <c r="P1558" i="2"/>
  <c r="Q1558" i="2" s="1"/>
  <c r="V1558" i="2" s="1"/>
  <c r="P1543" i="2"/>
  <c r="Q1543" i="2" s="1"/>
  <c r="V1543" i="2" s="1"/>
  <c r="P1542" i="2"/>
  <c r="Q1542" i="2" s="1"/>
  <c r="V1542" i="2" s="1"/>
  <c r="P1541" i="2"/>
  <c r="Q1541" i="2" s="1"/>
  <c r="V1541" i="2" s="1"/>
  <c r="P1540" i="2"/>
  <c r="Q1540" i="2" s="1"/>
  <c r="V1540" i="2" s="1"/>
  <c r="P1539" i="2"/>
  <c r="Q1539" i="2" s="1"/>
  <c r="V1539" i="2" s="1"/>
  <c r="P1538" i="2"/>
  <c r="Q1538" i="2" s="1"/>
  <c r="V1538" i="2" s="1"/>
  <c r="P1537" i="2"/>
  <c r="Q1537" i="2" s="1"/>
  <c r="V1537" i="2" s="1"/>
  <c r="P1536" i="2"/>
  <c r="Q1536" i="2" s="1"/>
  <c r="V1536" i="2" s="1"/>
  <c r="P1535" i="2"/>
  <c r="Q1535" i="2" s="1"/>
  <c r="V1535" i="2" s="1"/>
  <c r="P1534" i="2"/>
  <c r="Q1534" i="2" s="1"/>
  <c r="V1534" i="2" s="1"/>
  <c r="P1533" i="2"/>
  <c r="Q1533" i="2" s="1"/>
  <c r="V1533" i="2" s="1"/>
  <c r="P1532" i="2"/>
  <c r="Q1532" i="2" s="1"/>
  <c r="V1532" i="2" s="1"/>
  <c r="P1531" i="2"/>
  <c r="Q1531" i="2" s="1"/>
  <c r="V1531" i="2" s="1"/>
  <c r="P1530" i="2"/>
  <c r="Q1530" i="2" s="1"/>
  <c r="V1530" i="2" s="1"/>
  <c r="P1529" i="2"/>
  <c r="Q1529" i="2" s="1"/>
  <c r="V1529" i="2" s="1"/>
  <c r="P1528" i="2"/>
  <c r="Q1528" i="2" s="1"/>
  <c r="V1528" i="2" s="1"/>
  <c r="P1527" i="2"/>
  <c r="Q1527" i="2" s="1"/>
  <c r="V1527" i="2" s="1"/>
  <c r="P1526" i="2"/>
  <c r="Q1526" i="2" s="1"/>
  <c r="V1526" i="2" s="1"/>
  <c r="P1525" i="2"/>
  <c r="Q1525" i="2" s="1"/>
  <c r="V1525" i="2" s="1"/>
  <c r="P1524" i="2"/>
  <c r="Q1524" i="2" s="1"/>
  <c r="V1524" i="2" s="1"/>
  <c r="P1523" i="2"/>
  <c r="Q1523" i="2" s="1"/>
  <c r="V1523" i="2" s="1"/>
  <c r="P1522" i="2"/>
  <c r="Q1522" i="2" s="1"/>
  <c r="V1522" i="2" s="1"/>
  <c r="P1521" i="2"/>
  <c r="Q1521" i="2" s="1"/>
  <c r="V1521" i="2" s="1"/>
  <c r="P1520" i="2"/>
  <c r="Q1520" i="2" s="1"/>
  <c r="V1520" i="2" s="1"/>
  <c r="P1519" i="2"/>
  <c r="Q1519" i="2" s="1"/>
  <c r="V1519" i="2" s="1"/>
  <c r="P1518" i="2"/>
  <c r="Q1518" i="2" s="1"/>
  <c r="V1518" i="2" s="1"/>
  <c r="P1517" i="2"/>
  <c r="Q1517" i="2" s="1"/>
  <c r="V1517" i="2" s="1"/>
  <c r="P1516" i="2"/>
  <c r="Q1516" i="2" s="1"/>
  <c r="V1516" i="2" s="1"/>
  <c r="P1515" i="2"/>
  <c r="Q1515" i="2" s="1"/>
  <c r="V1515" i="2" s="1"/>
  <c r="P1514" i="2"/>
  <c r="Q1514" i="2" s="1"/>
  <c r="V1514" i="2" s="1"/>
  <c r="P1513" i="2"/>
  <c r="Q1513" i="2" s="1"/>
  <c r="V1513" i="2" s="1"/>
  <c r="P1512" i="2"/>
  <c r="Q1512" i="2" s="1"/>
  <c r="V1512" i="2" s="1"/>
  <c r="P1511" i="2"/>
  <c r="Q1511" i="2" s="1"/>
  <c r="V1511" i="2" s="1"/>
  <c r="P1510" i="2"/>
  <c r="Q1510" i="2" s="1"/>
  <c r="V1510" i="2" s="1"/>
  <c r="P1509" i="2"/>
  <c r="Q1509" i="2" s="1"/>
  <c r="V1509" i="2" s="1"/>
  <c r="P1508" i="2"/>
  <c r="Q1508" i="2" s="1"/>
  <c r="V1508" i="2" s="1"/>
  <c r="P1507" i="2"/>
  <c r="Q1507" i="2" s="1"/>
  <c r="V1507" i="2" s="1"/>
  <c r="P1506" i="2"/>
  <c r="Q1506" i="2" s="1"/>
  <c r="V1506" i="2" s="1"/>
  <c r="P1505" i="2"/>
  <c r="Q1505" i="2" s="1"/>
  <c r="V1505" i="2" s="1"/>
  <c r="P1504" i="2"/>
  <c r="Q1504" i="2" s="1"/>
  <c r="V1504" i="2" s="1"/>
  <c r="P1503" i="2"/>
  <c r="Q1503" i="2" s="1"/>
  <c r="V1503" i="2" s="1"/>
  <c r="P1502" i="2"/>
  <c r="Q1502" i="2" s="1"/>
  <c r="V1502" i="2" s="1"/>
  <c r="P1501" i="2"/>
  <c r="Q1501" i="2" s="1"/>
  <c r="V1501" i="2" s="1"/>
  <c r="P1500" i="2"/>
  <c r="Q1500" i="2" s="1"/>
  <c r="V1500" i="2" s="1"/>
  <c r="P1499" i="2"/>
  <c r="Q1499" i="2" s="1"/>
  <c r="V1499" i="2" s="1"/>
  <c r="P1498" i="2"/>
  <c r="Q1498" i="2" s="1"/>
  <c r="V1498" i="2" s="1"/>
  <c r="P1497" i="2"/>
  <c r="Q1497" i="2" s="1"/>
  <c r="V1497" i="2" s="1"/>
  <c r="P1496" i="2"/>
  <c r="Q1496" i="2" s="1"/>
  <c r="V1496" i="2" s="1"/>
  <c r="P1495" i="2"/>
  <c r="Q1495" i="2" s="1"/>
  <c r="V1495" i="2" s="1"/>
  <c r="P1494" i="2"/>
  <c r="Q1494" i="2" s="1"/>
  <c r="V1494" i="2" s="1"/>
  <c r="P1493" i="2"/>
  <c r="Q1493" i="2" s="1"/>
  <c r="V1493" i="2" s="1"/>
  <c r="P1492" i="2"/>
  <c r="Q1492" i="2" s="1"/>
  <c r="V1492" i="2" s="1"/>
  <c r="P1491" i="2"/>
  <c r="Q1491" i="2" s="1"/>
  <c r="V1491" i="2" s="1"/>
  <c r="P1490" i="2"/>
  <c r="Q1490" i="2" s="1"/>
  <c r="V1490" i="2" s="1"/>
  <c r="P1489" i="2"/>
  <c r="Q1489" i="2" s="1"/>
  <c r="V1489" i="2" s="1"/>
  <c r="P1488" i="2"/>
  <c r="Q1488" i="2" s="1"/>
  <c r="V1488" i="2" s="1"/>
  <c r="P1487" i="2"/>
  <c r="Q1487" i="2" s="1"/>
  <c r="V1487" i="2" s="1"/>
  <c r="P1486" i="2"/>
  <c r="Q1486" i="2" s="1"/>
  <c r="V1486" i="2" s="1"/>
  <c r="P1485" i="2"/>
  <c r="Q1485" i="2" s="1"/>
  <c r="V1485" i="2" s="1"/>
  <c r="P1484" i="2"/>
  <c r="Q1484" i="2" s="1"/>
  <c r="V1484" i="2" s="1"/>
  <c r="P1483" i="2"/>
  <c r="Q1483" i="2" s="1"/>
  <c r="V1483" i="2" s="1"/>
  <c r="P1482" i="2"/>
  <c r="Q1482" i="2" s="1"/>
  <c r="V1482" i="2" s="1"/>
  <c r="P1481" i="2"/>
  <c r="Q1481" i="2" s="1"/>
  <c r="V1481" i="2" s="1"/>
  <c r="P1480" i="2"/>
  <c r="Q1480" i="2" s="1"/>
  <c r="V1480" i="2" s="1"/>
  <c r="P1479" i="2"/>
  <c r="Q1479" i="2" s="1"/>
  <c r="V1479" i="2" s="1"/>
  <c r="P1478" i="2"/>
  <c r="Q1478" i="2" s="1"/>
  <c r="V1478" i="2" s="1"/>
  <c r="O1551" i="2"/>
  <c r="O1550" i="2"/>
  <c r="O1549" i="2"/>
  <c r="O1548" i="2"/>
  <c r="O1547" i="2"/>
  <c r="O1546" i="2"/>
  <c r="O1545" i="2"/>
  <c r="O1544" i="2"/>
  <c r="P1545" i="2" l="1"/>
  <c r="Q1545" i="2" s="1"/>
  <c r="V1545" i="2" s="1"/>
  <c r="P1549" i="2"/>
  <c r="Q1549" i="2" s="1"/>
  <c r="V1549" i="2" s="1"/>
  <c r="P1550" i="2"/>
  <c r="Q1550" i="2" s="1"/>
  <c r="V1550" i="2" s="1"/>
  <c r="P1546" i="2"/>
  <c r="P1547" i="2"/>
  <c r="Q1547" i="2" s="1"/>
  <c r="V1547" i="2" s="1"/>
  <c r="P1548" i="2"/>
  <c r="P1551" i="2"/>
  <c r="Q1551" i="2" s="1"/>
  <c r="V1551" i="2" s="1"/>
  <c r="P1544" i="2"/>
  <c r="Q1544" i="2" s="1"/>
  <c r="V1544" i="2" s="1"/>
  <c r="O1473" i="2"/>
  <c r="Q1546" i="2" l="1"/>
  <c r="V1546" i="2" s="1"/>
  <c r="Q1548" i="2"/>
  <c r="V1548" i="2" s="1"/>
  <c r="P1473" i="2"/>
  <c r="Q1473" i="2" l="1"/>
  <c r="V1473" i="2" s="1"/>
  <c r="O1462" i="2"/>
  <c r="O1463" i="2"/>
  <c r="P1463" i="2" s="1"/>
  <c r="O1464" i="2"/>
  <c r="P1464" i="2" s="1"/>
  <c r="O1465" i="2"/>
  <c r="P1465" i="2" s="1"/>
  <c r="O1466" i="2"/>
  <c r="P1466" i="2" s="1"/>
  <c r="O1467" i="2"/>
  <c r="P1467" i="2" s="1"/>
  <c r="Q1467" i="2" s="1"/>
  <c r="O1468" i="2"/>
  <c r="O1469" i="2"/>
  <c r="O1470" i="2"/>
  <c r="O1471" i="2"/>
  <c r="O1472" i="2"/>
  <c r="O1461" i="2"/>
  <c r="P1461" i="2" s="1"/>
  <c r="O1460" i="2"/>
  <c r="P1460" i="2" s="1"/>
  <c r="O1459" i="2"/>
  <c r="P1459" i="2" s="1"/>
  <c r="O1458" i="2"/>
  <c r="P1458" i="2" s="1"/>
  <c r="Q1458" i="2" s="1"/>
  <c r="O1457" i="2"/>
  <c r="P1457" i="2" s="1"/>
  <c r="O1456" i="2"/>
  <c r="O1454" i="2"/>
  <c r="Q1463" i="2" l="1"/>
  <c r="P1471" i="2"/>
  <c r="Q1471" i="2" s="1"/>
  <c r="P1470" i="2"/>
  <c r="Q1470" i="2" s="1"/>
  <c r="P1462" i="2"/>
  <c r="Q1462" i="2" s="1"/>
  <c r="Q1466" i="2"/>
  <c r="P1469" i="2"/>
  <c r="Q1469" i="2" s="1"/>
  <c r="P1472" i="2"/>
  <c r="Q1472" i="2" s="1"/>
  <c r="Q1465" i="2"/>
  <c r="P1468" i="2"/>
  <c r="Q1468" i="2" s="1"/>
  <c r="Q1464" i="2"/>
  <c r="Q1461" i="2"/>
  <c r="P1454" i="2"/>
  <c r="Q1454" i="2" s="1"/>
  <c r="P1456" i="2"/>
  <c r="Q1456" i="2" s="1"/>
  <c r="Q1460" i="2"/>
  <c r="Q1459" i="2"/>
  <c r="Q1457" i="2"/>
  <c r="P1318" i="2"/>
  <c r="Q1318" i="2" s="1"/>
  <c r="V1318" i="2" s="1"/>
  <c r="O1453" i="2"/>
  <c r="O1452" i="2"/>
  <c r="P1452" i="2" s="1"/>
  <c r="O1451" i="2"/>
  <c r="O1450" i="2"/>
  <c r="O1449" i="2"/>
  <c r="O1448" i="2"/>
  <c r="O1447" i="2"/>
  <c r="P1448" i="2" l="1"/>
  <c r="Q1448" i="2" s="1"/>
  <c r="V1448" i="2" s="1"/>
  <c r="P1449" i="2"/>
  <c r="Q1449" i="2" s="1"/>
  <c r="V1449" i="2" s="1"/>
  <c r="P1447" i="2"/>
  <c r="Q1447" i="2" s="1"/>
  <c r="V1447" i="2" s="1"/>
  <c r="P1450" i="2"/>
  <c r="Q1450" i="2" s="1"/>
  <c r="V1450" i="2" s="1"/>
  <c r="P1451" i="2"/>
  <c r="Q1451" i="2" s="1"/>
  <c r="V1451" i="2" s="1"/>
  <c r="Q1452" i="2"/>
  <c r="V1452" i="2" s="1"/>
  <c r="P1453" i="2"/>
  <c r="Q1453" i="2" s="1"/>
  <c r="V1453" i="2" s="1"/>
  <c r="V1062" i="2" l="1"/>
  <c r="V545" i="2"/>
  <c r="V541" i="2"/>
  <c r="V536" i="2"/>
  <c r="V522" i="2"/>
  <c r="V521" i="2"/>
  <c r="V520" i="2"/>
  <c r="V512" i="2"/>
  <c r="V511" i="2"/>
  <c r="O1446" i="2"/>
  <c r="O1445" i="2"/>
  <c r="O1444" i="2"/>
  <c r="O1443" i="2"/>
  <c r="O1442" i="2"/>
  <c r="P1445" i="2" l="1"/>
  <c r="Q1445" i="2" s="1"/>
  <c r="P1444" i="2"/>
  <c r="Q1444" i="2" s="1"/>
  <c r="P1443" i="2"/>
  <c r="Q1443" i="2" s="1"/>
  <c r="P1446" i="2"/>
  <c r="Q1446" i="2" s="1"/>
  <c r="P1438" i="2" l="1"/>
  <c r="Q1438" i="2" s="1"/>
  <c r="P1442" i="2"/>
  <c r="Q1442" i="2" s="1"/>
  <c r="O1441" i="2"/>
  <c r="O1440" i="2"/>
  <c r="P1440" i="2" s="1"/>
  <c r="P1441" i="2" l="1"/>
  <c r="Q1441" i="2" s="1"/>
  <c r="Q1440" i="2"/>
  <c r="O1437" i="2" l="1"/>
  <c r="O1436" i="2"/>
  <c r="P1436" i="2" s="1"/>
  <c r="Q1436" i="2" s="1"/>
  <c r="O1435" i="2"/>
  <c r="O1434" i="2"/>
  <c r="P1434" i="2" s="1"/>
  <c r="Q1434" i="2" s="1"/>
  <c r="O1433" i="2"/>
  <c r="O1432" i="2"/>
  <c r="P1432" i="2" s="1"/>
  <c r="Q1432" i="2" s="1"/>
  <c r="O1431" i="2"/>
  <c r="O1430" i="2"/>
  <c r="O1429" i="2"/>
  <c r="O1428" i="2"/>
  <c r="P1428" i="2" s="1"/>
  <c r="Q1428" i="2" s="1"/>
  <c r="O1427" i="2"/>
  <c r="O1426" i="2"/>
  <c r="P1426" i="2" s="1"/>
  <c r="Q1426" i="2" s="1"/>
  <c r="O1425" i="2"/>
  <c r="P1425" i="2" s="1"/>
  <c r="O1424" i="2"/>
  <c r="P1424" i="2" s="1"/>
  <c r="Q1424" i="2" s="1"/>
  <c r="O1423" i="2"/>
  <c r="O1422" i="2"/>
  <c r="O1421" i="2"/>
  <c r="O1420" i="2"/>
  <c r="P1420" i="2" s="1"/>
  <c r="Q1420" i="2" s="1"/>
  <c r="O1419" i="2"/>
  <c r="O1418" i="2"/>
  <c r="P1418" i="2" s="1"/>
  <c r="O1417" i="2"/>
  <c r="Q1418" i="2" l="1"/>
  <c r="P1433" i="2"/>
  <c r="Q1433" i="2" s="1"/>
  <c r="P1431" i="2"/>
  <c r="Q1431" i="2" s="1"/>
  <c r="P1423" i="2"/>
  <c r="Q1423" i="2" s="1"/>
  <c r="P1417" i="2"/>
  <c r="Q1417" i="2" s="1"/>
  <c r="Q1425" i="2"/>
  <c r="P1430" i="2"/>
  <c r="Q1430" i="2" s="1"/>
  <c r="P1422" i="2"/>
  <c r="Q1422" i="2" s="1"/>
  <c r="P1437" i="2"/>
  <c r="Q1437" i="2" s="1"/>
  <c r="P1429" i="2"/>
  <c r="Q1429" i="2" s="1"/>
  <c r="P1421" i="2"/>
  <c r="Q1421" i="2" s="1"/>
  <c r="P1435" i="2"/>
  <c r="Q1435" i="2" s="1"/>
  <c r="P1427" i="2"/>
  <c r="Q1427" i="2" s="1"/>
  <c r="P1419" i="2"/>
  <c r="Q1419" i="2" s="1"/>
  <c r="O1397" i="2"/>
  <c r="O1398" i="2"/>
  <c r="P1398" i="2" s="1"/>
  <c r="Q1398" i="2" s="1"/>
  <c r="V1398" i="2" s="1"/>
  <c r="O1399" i="2"/>
  <c r="O1400" i="2"/>
  <c r="O1401" i="2"/>
  <c r="P1401" i="2" s="1"/>
  <c r="O1402" i="2"/>
  <c r="P1402" i="2" s="1"/>
  <c r="Q1402" i="2" s="1"/>
  <c r="O1403" i="2"/>
  <c r="P1403" i="2" s="1"/>
  <c r="Q1403" i="2" s="1"/>
  <c r="O1404" i="2"/>
  <c r="P1404" i="2" s="1"/>
  <c r="O1405" i="2"/>
  <c r="O1406" i="2"/>
  <c r="P1406" i="2" s="1"/>
  <c r="Q1406" i="2" s="1"/>
  <c r="O1407" i="2"/>
  <c r="P1407" i="2" s="1"/>
  <c r="O1408" i="2"/>
  <c r="P1408" i="2" s="1"/>
  <c r="O1409" i="2"/>
  <c r="P1409" i="2" s="1"/>
  <c r="Q1409" i="2" s="1"/>
  <c r="O1410" i="2"/>
  <c r="P1410" i="2" s="1"/>
  <c r="Q1410" i="2" s="1"/>
  <c r="O1411" i="2"/>
  <c r="P1411" i="2" s="1"/>
  <c r="Q1411" i="2" s="1"/>
  <c r="O1412" i="2"/>
  <c r="P1412" i="2" s="1"/>
  <c r="Q1412" i="2" s="1"/>
  <c r="O1413" i="2"/>
  <c r="O1414" i="2"/>
  <c r="O1415" i="2"/>
  <c r="O1416" i="2"/>
  <c r="P1416" i="2" l="1"/>
  <c r="Q1416" i="2" s="1"/>
  <c r="P1415" i="2"/>
  <c r="Q1415" i="2" s="1"/>
  <c r="P1414" i="2"/>
  <c r="Q1414" i="2" s="1"/>
  <c r="Q1408" i="2"/>
  <c r="Q1401" i="2"/>
  <c r="Q1407" i="2"/>
  <c r="P1400" i="2"/>
  <c r="Q1400" i="2" s="1"/>
  <c r="P1399" i="2"/>
  <c r="Q1399" i="2" s="1"/>
  <c r="P1405" i="2"/>
  <c r="Q1405" i="2" s="1"/>
  <c r="P1397" i="2"/>
  <c r="Q1397" i="2" s="1"/>
  <c r="Q1404" i="2"/>
  <c r="P1413" i="2"/>
  <c r="Q1413" i="2" s="1"/>
  <c r="I101" i="11" l="1"/>
  <c r="V1388" i="2" l="1"/>
  <c r="I24" i="23" l="1"/>
  <c r="V1397" i="2" l="1"/>
  <c r="O1396" i="2"/>
  <c r="P1396" i="2" l="1"/>
  <c r="Q1396" i="2" s="1"/>
  <c r="P1394" i="2" l="1"/>
  <c r="Q1394" i="2" s="1"/>
  <c r="O1395" i="2"/>
  <c r="P1395" i="2" l="1"/>
  <c r="Q1395" i="2" s="1"/>
  <c r="O1389" i="2" l="1"/>
  <c r="P1389" i="2" s="1"/>
  <c r="O1390" i="2"/>
  <c r="P1390" i="2" s="1"/>
  <c r="O1391" i="2"/>
  <c r="P1391" i="2" s="1"/>
  <c r="V1394" i="2"/>
  <c r="O1393" i="2"/>
  <c r="P1393" i="2" l="1"/>
  <c r="Q1393" i="2" s="1"/>
  <c r="O1392" i="2"/>
  <c r="P1392" i="2" s="1"/>
  <c r="Q1389" i="2"/>
  <c r="V1389" i="2" s="1"/>
  <c r="Q1391" i="2" l="1"/>
  <c r="V1391" i="2" s="1"/>
  <c r="Q1390" i="2"/>
  <c r="V1390" i="2" s="1"/>
  <c r="Q1392" i="2"/>
  <c r="V1392" i="2" s="1"/>
  <c r="O1387" i="2" l="1"/>
  <c r="O1386" i="2"/>
  <c r="P1386" i="2" s="1"/>
  <c r="O1385" i="2"/>
  <c r="O1384" i="2"/>
  <c r="O1383" i="2"/>
  <c r="O1382" i="2"/>
  <c r="O1381" i="2"/>
  <c r="P1382" i="2" l="1"/>
  <c r="Q1382" i="2" s="1"/>
  <c r="V1382" i="2" s="1"/>
  <c r="P1384" i="2"/>
  <c r="Q1384" i="2" s="1"/>
  <c r="V1384" i="2" s="1"/>
  <c r="P1383" i="2"/>
  <c r="Q1383" i="2" s="1"/>
  <c r="V1383" i="2" s="1"/>
  <c r="Q1386" i="2"/>
  <c r="V1386" i="2" s="1"/>
  <c r="P1385" i="2"/>
  <c r="Q1385" i="2" s="1"/>
  <c r="V1385" i="2" s="1"/>
  <c r="P1381" i="2"/>
  <c r="Q1381" i="2" s="1"/>
  <c r="V1381" i="2" s="1"/>
  <c r="P1387" i="2"/>
  <c r="Q1387" i="2" s="1"/>
  <c r="V1387" i="2" s="1"/>
  <c r="O163" i="2" l="1"/>
  <c r="K44" i="18" l="1"/>
  <c r="K43" i="18"/>
  <c r="K45" i="18" l="1"/>
  <c r="O78" i="16" l="1"/>
  <c r="K81" i="16"/>
  <c r="Q78" i="16"/>
  <c r="K82" i="16" s="1"/>
  <c r="R78" i="16"/>
  <c r="K83" i="16" s="1"/>
  <c r="N78" i="16"/>
  <c r="K84" i="16" l="1"/>
  <c r="I147" i="13" l="1"/>
  <c r="I145" i="13"/>
  <c r="I102" i="11"/>
  <c r="I149" i="13" l="1"/>
  <c r="I150" i="13" s="1"/>
  <c r="I81" i="12" l="1"/>
  <c r="I80" i="12"/>
  <c r="I78" i="12"/>
  <c r="I77" i="12" l="1"/>
  <c r="I82" i="12" s="1"/>
  <c r="I83" i="12" s="1"/>
  <c r="O1354" i="2" l="1"/>
  <c r="P1354" i="2" s="1"/>
  <c r="Q1354" i="2" s="1"/>
  <c r="O1355" i="2"/>
  <c r="P1355" i="2" s="1"/>
  <c r="O1356" i="2"/>
  <c r="O1357" i="2"/>
  <c r="O1358" i="2"/>
  <c r="O1359" i="2"/>
  <c r="O1360" i="2"/>
  <c r="O1361" i="2"/>
  <c r="P1361" i="2" s="1"/>
  <c r="O1362" i="2"/>
  <c r="P1362" i="2" s="1"/>
  <c r="O1363" i="2"/>
  <c r="P1363" i="2" s="1"/>
  <c r="O1364" i="2"/>
  <c r="O1365" i="2"/>
  <c r="P1365" i="2" s="1"/>
  <c r="O1366" i="2"/>
  <c r="P1366" i="2" s="1"/>
  <c r="O1367" i="2"/>
  <c r="O1368" i="2"/>
  <c r="P1368" i="2" s="1"/>
  <c r="O1369" i="2"/>
  <c r="O1370" i="2"/>
  <c r="P1370" i="2" s="1"/>
  <c r="O1371" i="2"/>
  <c r="P1371" i="2" s="1"/>
  <c r="O1372" i="2"/>
  <c r="P1372" i="2" s="1"/>
  <c r="O1373" i="2"/>
  <c r="O1374" i="2"/>
  <c r="O1375" i="2"/>
  <c r="O1376" i="2"/>
  <c r="O1377" i="2"/>
  <c r="P1377" i="2" s="1"/>
  <c r="O1378" i="2"/>
  <c r="O1379" i="2"/>
  <c r="P1379" i="2" s="1"/>
  <c r="O1380" i="2"/>
  <c r="P1380" i="2" s="1"/>
  <c r="O1345" i="2"/>
  <c r="O1346" i="2"/>
  <c r="P1346" i="2" s="1"/>
  <c r="Q1346" i="2" s="1"/>
  <c r="V1346" i="2" s="1"/>
  <c r="O1347" i="2"/>
  <c r="P1347" i="2" s="1"/>
  <c r="Q1347" i="2" s="1"/>
  <c r="V1347" i="2" s="1"/>
  <c r="O1348" i="2"/>
  <c r="O1349" i="2"/>
  <c r="O1350" i="2"/>
  <c r="P1350" i="2" s="1"/>
  <c r="Q1350" i="2" s="1"/>
  <c r="V1350" i="2" s="1"/>
  <c r="O1351" i="2"/>
  <c r="P1351" i="2" s="1"/>
  <c r="Q1351" i="2" s="1"/>
  <c r="V1351" i="2" s="1"/>
  <c r="O1352" i="2"/>
  <c r="O1353" i="2"/>
  <c r="P1356" i="2" l="1"/>
  <c r="Q1356" i="2" s="1"/>
  <c r="Q1366" i="2"/>
  <c r="P1376" i="2"/>
  <c r="Q1376" i="2" s="1"/>
  <c r="Q1380" i="2"/>
  <c r="Q1365" i="2"/>
  <c r="P1374" i="2"/>
  <c r="Q1374" i="2" s="1"/>
  <c r="P1364" i="2"/>
  <c r="Q1364" i="2" s="1"/>
  <c r="P1373" i="2"/>
  <c r="Q1373" i="2" s="1"/>
  <c r="Q1372" i="2"/>
  <c r="Q1368" i="2"/>
  <c r="Q1362" i="2"/>
  <c r="P1360" i="2"/>
  <c r="Q1360" i="2" s="1"/>
  <c r="Q1377" i="2"/>
  <c r="Q1361" i="2"/>
  <c r="P1369" i="2"/>
  <c r="Q1369" i="2" s="1"/>
  <c r="P1358" i="2"/>
  <c r="Q1358" i="2" s="1"/>
  <c r="Q1370" i="2"/>
  <c r="P1378" i="2"/>
  <c r="Q1378" i="2" s="1"/>
  <c r="P1357" i="2"/>
  <c r="Q1357" i="2" s="1"/>
  <c r="P1353" i="2"/>
  <c r="Q1353" i="2" s="1"/>
  <c r="P1345" i="2"/>
  <c r="Q1345" i="2" s="1"/>
  <c r="Q1379" i="2"/>
  <c r="Q1371" i="2"/>
  <c r="Q1363" i="2"/>
  <c r="Q1355" i="2"/>
  <c r="P1352" i="2"/>
  <c r="Q1352" i="2" s="1"/>
  <c r="P1375" i="2"/>
  <c r="Q1375" i="2" s="1"/>
  <c r="P1367" i="2"/>
  <c r="Q1367" i="2" s="1"/>
  <c r="P1359" i="2"/>
  <c r="Q1359" i="2" s="1"/>
  <c r="P1349" i="2"/>
  <c r="Q1349" i="2" s="1"/>
  <c r="P1348" i="2"/>
  <c r="Q1348" i="2" s="1"/>
  <c r="V1348" i="2" s="1"/>
  <c r="O1293" i="2"/>
  <c r="P1293" i="2" s="1"/>
  <c r="Q1293" i="2" s="1"/>
  <c r="O1294" i="2"/>
  <c r="P1294" i="2" s="1"/>
  <c r="Q1294" i="2" s="1"/>
  <c r="O1295" i="2"/>
  <c r="P1295" i="2" s="1"/>
  <c r="Q1295" i="2" s="1"/>
  <c r="V1295" i="2" s="1"/>
  <c r="O1296" i="2"/>
  <c r="P1296" i="2" s="1"/>
  <c r="O1297" i="2"/>
  <c r="O1292" i="2"/>
  <c r="P1292" i="2" s="1"/>
  <c r="O1291" i="2"/>
  <c r="P1291" i="2" s="1"/>
  <c r="O1329" i="2" l="1"/>
  <c r="P1329" i="2" s="1"/>
  <c r="O1328" i="2"/>
  <c r="P1328" i="2" s="1"/>
  <c r="O1327" i="2"/>
  <c r="P1327" i="2" s="1"/>
  <c r="O1326" i="2"/>
  <c r="P1326" i="2" s="1"/>
  <c r="O1325" i="2"/>
  <c r="P1325" i="2" s="1"/>
  <c r="K69" i="10" l="1"/>
  <c r="K68" i="10"/>
  <c r="K70" i="10" s="1"/>
  <c r="K74" i="9"/>
  <c r="K73" i="9"/>
  <c r="K75" i="9" l="1"/>
  <c r="K93" i="8" l="1"/>
  <c r="K205" i="7" l="1"/>
  <c r="K206" i="7"/>
  <c r="O1337" i="2"/>
  <c r="O1344" i="2"/>
  <c r="O1343" i="2"/>
  <c r="O1342" i="2"/>
  <c r="P1342" i="2" s="1"/>
  <c r="O1341" i="2"/>
  <c r="O1340" i="2"/>
  <c r="O1339" i="2"/>
  <c r="O1338" i="2"/>
  <c r="O1336" i="2"/>
  <c r="P1336" i="2" s="1"/>
  <c r="Q1336" i="2" s="1"/>
  <c r="O1335" i="2"/>
  <c r="P1335" i="2" s="1"/>
  <c r="O1334" i="2"/>
  <c r="P1334" i="2" s="1"/>
  <c r="Q1334" i="2" s="1"/>
  <c r="O1333" i="2"/>
  <c r="P1333" i="2" s="1"/>
  <c r="O1332" i="2"/>
  <c r="P1332" i="2" s="1"/>
  <c r="O1331" i="2"/>
  <c r="P1331" i="2" s="1"/>
  <c r="O1330" i="2"/>
  <c r="P1330" i="2" s="1"/>
  <c r="Q1330" i="2" s="1"/>
  <c r="V1330" i="2" s="1"/>
  <c r="K204" i="7" l="1"/>
  <c r="Q1335" i="2"/>
  <c r="Q1333" i="2"/>
  <c r="Q1331" i="2"/>
  <c r="Q1332" i="2"/>
  <c r="P1344" i="2"/>
  <c r="Q1344" i="2" s="1"/>
  <c r="V1344" i="2" s="1"/>
  <c r="P1343" i="2"/>
  <c r="Q1343" i="2" s="1"/>
  <c r="V1343" i="2" s="1"/>
  <c r="Q1342" i="2"/>
  <c r="V1342" i="2" s="1"/>
  <c r="P1341" i="2"/>
  <c r="Q1341" i="2" s="1"/>
  <c r="V1341" i="2" s="1"/>
  <c r="P1340" i="2"/>
  <c r="Q1340" i="2" s="1"/>
  <c r="V1340" i="2" s="1"/>
  <c r="P1339" i="2"/>
  <c r="Q1339" i="2" s="1"/>
  <c r="V1339" i="2" s="1"/>
  <c r="P1338" i="2"/>
  <c r="Q1338" i="2" s="1"/>
  <c r="V1338" i="2" s="1"/>
  <c r="P1337" i="2"/>
  <c r="Q1337" i="2" s="1"/>
  <c r="V1337" i="2" s="1"/>
  <c r="Q1326" i="2" l="1"/>
  <c r="V1326" i="2" s="1"/>
  <c r="Q1325" i="2"/>
  <c r="V1325" i="2" s="1"/>
  <c r="Q1329" i="2"/>
  <c r="V1329" i="2" s="1"/>
  <c r="Q1328" i="2"/>
  <c r="V1328" i="2" s="1"/>
  <c r="Q1327" i="2"/>
  <c r="V1327" i="2" s="1"/>
  <c r="O1324" i="2" l="1"/>
  <c r="O1323" i="2"/>
  <c r="P1324" i="2" l="1"/>
  <c r="Q1324" i="2" s="1"/>
  <c r="V1324" i="2" s="1"/>
  <c r="P1317" i="2"/>
  <c r="Q1317" i="2" s="1"/>
  <c r="V1317" i="2" s="1"/>
  <c r="P1322" i="2"/>
  <c r="Q1322" i="2" s="1"/>
  <c r="P1323" i="2"/>
  <c r="Q1323" i="2" s="1"/>
  <c r="O1321" i="2"/>
  <c r="P1321" i="2" s="1"/>
  <c r="O1320" i="2"/>
  <c r="O1319" i="2"/>
  <c r="P1319" i="2" s="1"/>
  <c r="Q1321" i="2" l="1"/>
  <c r="P1320" i="2"/>
  <c r="Q1320" i="2" s="1"/>
  <c r="Q1319" i="2"/>
  <c r="I183" i="5" l="1"/>
  <c r="I182" i="5"/>
  <c r="I185" i="5" l="1"/>
  <c r="I186" i="5" s="1"/>
  <c r="O1316" i="2" l="1"/>
  <c r="P1316" i="2" s="1"/>
  <c r="Q1316" i="2" s="1"/>
  <c r="O1315" i="2"/>
  <c r="P1315" i="2" s="1"/>
  <c r="O1314" i="2"/>
  <c r="P1314" i="2" s="1"/>
  <c r="O1313" i="2"/>
  <c r="P1313" i="2" s="1"/>
  <c r="Q1313" i="2" s="1"/>
  <c r="O1312" i="2"/>
  <c r="P1312" i="2" s="1"/>
  <c r="Q1312" i="2" s="1"/>
  <c r="O1311" i="2"/>
  <c r="O1310" i="2"/>
  <c r="O1309" i="2"/>
  <c r="P1309" i="2" s="1"/>
  <c r="O1308" i="2"/>
  <c r="P1308" i="2" s="1"/>
  <c r="Q1308" i="2" s="1"/>
  <c r="O1307" i="2"/>
  <c r="P1307" i="2" s="1"/>
  <c r="O1306" i="2"/>
  <c r="P1306" i="2" s="1"/>
  <c r="O1305" i="2"/>
  <c r="O1304" i="2"/>
  <c r="P1304" i="2" s="1"/>
  <c r="Q1304" i="2" s="1"/>
  <c r="O1303" i="2"/>
  <c r="O1302" i="2"/>
  <c r="O1301" i="2"/>
  <c r="O1300" i="2"/>
  <c r="P1300" i="2" s="1"/>
  <c r="Q1300" i="2" s="1"/>
  <c r="O1299" i="2"/>
  <c r="O1298" i="2"/>
  <c r="P1298" i="2" s="1"/>
  <c r="P1297" i="2"/>
  <c r="Q1297" i="2" s="1"/>
  <c r="Q1309" i="2" l="1"/>
  <c r="V1309" i="2" s="1"/>
  <c r="P1305" i="2"/>
  <c r="Q1305" i="2" s="1"/>
  <c r="V1305" i="2" s="1"/>
  <c r="P1301" i="2"/>
  <c r="Q1301" i="2" s="1"/>
  <c r="V1301" i="2" s="1"/>
  <c r="Q1307" i="2"/>
  <c r="V1307" i="2" s="1"/>
  <c r="Q1315" i="2"/>
  <c r="V1315" i="2" s="1"/>
  <c r="P1299" i="2"/>
  <c r="Q1299" i="2" s="1"/>
  <c r="V1299" i="2" s="1"/>
  <c r="Q1296" i="2"/>
  <c r="V1296" i="2" s="1"/>
  <c r="V1294" i="2"/>
  <c r="P1311" i="2"/>
  <c r="Q1311" i="2" s="1"/>
  <c r="V1311" i="2" s="1"/>
  <c r="P1303" i="2"/>
  <c r="Q1303" i="2" s="1"/>
  <c r="V1303" i="2" s="1"/>
  <c r="P1310" i="2"/>
  <c r="Q1310" i="2" s="1"/>
  <c r="V1310" i="2" s="1"/>
  <c r="P1302" i="2"/>
  <c r="Q1302" i="2" s="1"/>
  <c r="V1302" i="2" s="1"/>
  <c r="Q1314" i="2"/>
  <c r="V1314" i="2" s="1"/>
  <c r="Q1306" i="2"/>
  <c r="V1306" i="2" s="1"/>
  <c r="Q1298" i="2"/>
  <c r="V1298" i="2" s="1"/>
  <c r="V1293" i="2"/>
  <c r="V160" i="2"/>
  <c r="V324" i="2"/>
  <c r="V325" i="2"/>
  <c r="V337" i="2"/>
  <c r="V345" i="2"/>
  <c r="V356" i="2"/>
  <c r="V358" i="2"/>
  <c r="V363" i="2"/>
  <c r="V493" i="2"/>
  <c r="V489" i="2"/>
  <c r="V159" i="2"/>
  <c r="V205" i="2"/>
  <c r="V208" i="2"/>
  <c r="V279" i="2"/>
  <c r="V295" i="2"/>
  <c r="V296" i="2"/>
  <c r="V443" i="2"/>
  <c r="V458" i="2"/>
  <c r="V472" i="2"/>
  <c r="V567" i="2"/>
  <c r="V602" i="2"/>
  <c r="V613" i="2"/>
  <c r="V630" i="2"/>
  <c r="V645" i="2"/>
  <c r="V678" i="2"/>
  <c r="V716" i="2"/>
  <c r="V725" i="2"/>
  <c r="V727" i="2"/>
  <c r="V728" i="2"/>
  <c r="V734" i="2"/>
  <c r="V736" i="2"/>
  <c r="V740" i="2"/>
  <c r="V741" i="2"/>
  <c r="V743" i="2"/>
  <c r="V760" i="2"/>
  <c r="V761" i="2"/>
  <c r="V769" i="2"/>
  <c r="V771" i="2"/>
  <c r="V783" i="2"/>
  <c r="V784" i="2"/>
  <c r="V787" i="2"/>
  <c r="V800" i="2"/>
  <c r="V813" i="2"/>
  <c r="V820" i="2"/>
  <c r="V821" i="2"/>
  <c r="V822" i="2"/>
  <c r="V830" i="2"/>
  <c r="V831" i="2"/>
  <c r="V832" i="2"/>
  <c r="V838" i="2"/>
  <c r="V839" i="2"/>
  <c r="V863" i="2"/>
  <c r="V903" i="2"/>
  <c r="V906" i="2"/>
  <c r="V924" i="2"/>
  <c r="V946" i="2"/>
  <c r="V949" i="2"/>
  <c r="V951" i="2"/>
  <c r="V960" i="2"/>
  <c r="V985" i="2"/>
  <c r="V986" i="2"/>
  <c r="V987" i="2"/>
  <c r="V1149" i="2"/>
  <c r="V1218" i="2"/>
  <c r="V1267" i="2"/>
  <c r="V1269" i="2"/>
  <c r="V1270" i="2"/>
  <c r="V1297" i="2"/>
  <c r="V1300" i="2"/>
  <c r="V1304" i="2"/>
  <c r="V1308" i="2"/>
  <c r="V1312" i="2"/>
  <c r="V1313" i="2"/>
  <c r="V1316" i="2"/>
  <c r="V1322" i="2"/>
  <c r="V1323" i="2"/>
  <c r="V1319" i="2"/>
  <c r="V1320" i="2"/>
  <c r="V1321" i="2"/>
  <c r="V1331" i="2"/>
  <c r="V1332" i="2"/>
  <c r="V1333" i="2"/>
  <c r="V1334" i="2"/>
  <c r="V1335" i="2"/>
  <c r="V1336" i="2"/>
  <c r="V1349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93" i="2"/>
  <c r="V1287" i="2"/>
  <c r="V1288" i="2"/>
  <c r="V1395" i="2"/>
  <c r="V1396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54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O1011" i="2"/>
  <c r="O1010" i="2"/>
  <c r="O1009" i="2"/>
  <c r="O1008" i="2"/>
  <c r="P1008" i="2" s="1"/>
  <c r="Q1008" i="2" s="1"/>
  <c r="V1008" i="2" s="1"/>
  <c r="O1007" i="2"/>
  <c r="O1006" i="2"/>
  <c r="P1006" i="2" s="1"/>
  <c r="O1005" i="2"/>
  <c r="P1005" i="2" s="1"/>
  <c r="Q1005" i="2" s="1"/>
  <c r="V1005" i="2" s="1"/>
  <c r="O1004" i="2"/>
  <c r="O1003" i="2"/>
  <c r="P1003" i="2" s="1"/>
  <c r="O1002" i="2"/>
  <c r="O1001" i="2"/>
  <c r="O1000" i="2"/>
  <c r="P1000" i="2" s="1"/>
  <c r="Q1000" i="2" s="1"/>
  <c r="V1000" i="2" s="1"/>
  <c r="O999" i="2"/>
  <c r="P999" i="2" s="1"/>
  <c r="O998" i="2"/>
  <c r="P998" i="2" s="1"/>
  <c r="O997" i="2"/>
  <c r="O996" i="2"/>
  <c r="O995" i="2"/>
  <c r="O994" i="2"/>
  <c r="O993" i="2"/>
  <c r="O992" i="2"/>
  <c r="P992" i="2" s="1"/>
  <c r="Q992" i="2" s="1"/>
  <c r="V992" i="2" s="1"/>
  <c r="O991" i="2"/>
  <c r="O990" i="2"/>
  <c r="P990" i="2" s="1"/>
  <c r="O989" i="2"/>
  <c r="O988" i="2"/>
  <c r="O984" i="2"/>
  <c r="O983" i="2"/>
  <c r="O982" i="2"/>
  <c r="O981" i="2"/>
  <c r="O980" i="2"/>
  <c r="O979" i="2"/>
  <c r="P979" i="2" s="1"/>
  <c r="O978" i="2"/>
  <c r="P978" i="2" s="1"/>
  <c r="Q978" i="2" s="1"/>
  <c r="V978" i="2" s="1"/>
  <c r="O977" i="2"/>
  <c r="O976" i="2"/>
  <c r="P976" i="2" s="1"/>
  <c r="O975" i="2"/>
  <c r="O974" i="2"/>
  <c r="P974" i="2" s="1"/>
  <c r="O973" i="2"/>
  <c r="O972" i="2"/>
  <c r="P972" i="2" s="1"/>
  <c r="O971" i="2"/>
  <c r="P971" i="2" s="1"/>
  <c r="O970" i="2"/>
  <c r="O959" i="2"/>
  <c r="P959" i="2" s="1"/>
  <c r="Q959" i="2" s="1"/>
  <c r="V959" i="2" s="1"/>
  <c r="O958" i="2"/>
  <c r="O957" i="2"/>
  <c r="O956" i="2"/>
  <c r="O955" i="2"/>
  <c r="O954" i="2"/>
  <c r="O953" i="2"/>
  <c r="O952" i="2"/>
  <c r="O950" i="2"/>
  <c r="P950" i="2" s="1"/>
  <c r="Q950" i="2" s="1"/>
  <c r="V950" i="2" s="1"/>
  <c r="O948" i="2"/>
  <c r="P948" i="2" s="1"/>
  <c r="O947" i="2"/>
  <c r="O945" i="2"/>
  <c r="O944" i="2"/>
  <c r="P944" i="2" s="1"/>
  <c r="O943" i="2"/>
  <c r="O942" i="2"/>
  <c r="O941" i="2"/>
  <c r="O940" i="2"/>
  <c r="P940" i="2" s="1"/>
  <c r="Q940" i="2" s="1"/>
  <c r="V940" i="2" s="1"/>
  <c r="O939" i="2"/>
  <c r="P939" i="2" s="1"/>
  <c r="O938" i="2"/>
  <c r="P938" i="2" s="1"/>
  <c r="O937" i="2"/>
  <c r="O936" i="2"/>
  <c r="P936" i="2" s="1"/>
  <c r="Q936" i="2" s="1"/>
  <c r="V936" i="2" s="1"/>
  <c r="O935" i="2"/>
  <c r="O934" i="2"/>
  <c r="O933" i="2"/>
  <c r="O932" i="2"/>
  <c r="P932" i="2" s="1"/>
  <c r="Q932" i="2" s="1"/>
  <c r="V932" i="2" s="1"/>
  <c r="O931" i="2"/>
  <c r="O930" i="2"/>
  <c r="P930" i="2" s="1"/>
  <c r="O929" i="2"/>
  <c r="P929" i="2" s="1"/>
  <c r="Q929" i="2" s="1"/>
  <c r="V929" i="2" s="1"/>
  <c r="O928" i="2"/>
  <c r="O927" i="2"/>
  <c r="O926" i="2"/>
  <c r="F943" i="2"/>
  <c r="F942" i="2"/>
  <c r="F940" i="2"/>
  <c r="O925" i="2"/>
  <c r="P925" i="2" s="1"/>
  <c r="Q925" i="2" s="1"/>
  <c r="V925" i="2" s="1"/>
  <c r="O923" i="2"/>
  <c r="O922" i="2"/>
  <c r="O921" i="2"/>
  <c r="P921" i="2" s="1"/>
  <c r="Q921" i="2" s="1"/>
  <c r="V921" i="2" s="1"/>
  <c r="O920" i="2"/>
  <c r="P920" i="2" s="1"/>
  <c r="O919" i="2"/>
  <c r="O918" i="2"/>
  <c r="O917" i="2"/>
  <c r="O916" i="2"/>
  <c r="O915" i="2"/>
  <c r="O914" i="2"/>
  <c r="O913" i="2"/>
  <c r="P913" i="2" s="1"/>
  <c r="Q913" i="2" s="1"/>
  <c r="V913" i="2" s="1"/>
  <c r="P912" i="2"/>
  <c r="Q912" i="2" s="1"/>
  <c r="V912" i="2" s="1"/>
  <c r="O911" i="2"/>
  <c r="O910" i="2"/>
  <c r="P910" i="2" s="1"/>
  <c r="Q910" i="2" s="1"/>
  <c r="V910" i="2" s="1"/>
  <c r="O909" i="2"/>
  <c r="P909" i="2" s="1"/>
  <c r="Q909" i="2" s="1"/>
  <c r="V909" i="2" s="1"/>
  <c r="O908" i="2"/>
  <c r="O907" i="2"/>
  <c r="P907" i="2" s="1"/>
  <c r="F912" i="2"/>
  <c r="F911" i="2"/>
  <c r="F910" i="2"/>
  <c r="F909" i="2"/>
  <c r="F908" i="2"/>
  <c r="F907" i="2"/>
  <c r="O905" i="2"/>
  <c r="O904" i="2"/>
  <c r="O902" i="2"/>
  <c r="O901" i="2"/>
  <c r="O900" i="2"/>
  <c r="O899" i="2"/>
  <c r="P899" i="2" s="1"/>
  <c r="O898" i="2"/>
  <c r="O897" i="2"/>
  <c r="O896" i="2"/>
  <c r="P896" i="2" s="1"/>
  <c r="O895" i="2"/>
  <c r="O894" i="2"/>
  <c r="P894" i="2" s="1"/>
  <c r="O893" i="2"/>
  <c r="O892" i="2"/>
  <c r="O891" i="2"/>
  <c r="P891" i="2" s="1"/>
  <c r="O890" i="2"/>
  <c r="P890" i="2" s="1"/>
  <c r="Q890" i="2" s="1"/>
  <c r="V890" i="2" s="1"/>
  <c r="O889" i="2"/>
  <c r="P889" i="2" s="1"/>
  <c r="Q889" i="2" s="1"/>
  <c r="V889" i="2" s="1"/>
  <c r="O888" i="2"/>
  <c r="P888" i="2" s="1"/>
  <c r="O887" i="2"/>
  <c r="O886" i="2"/>
  <c r="P886" i="2" s="1"/>
  <c r="O885" i="2"/>
  <c r="O884" i="2"/>
  <c r="O883" i="2"/>
  <c r="P883" i="2" s="1"/>
  <c r="O882" i="2"/>
  <c r="O881" i="2"/>
  <c r="O880" i="2"/>
  <c r="O879" i="2"/>
  <c r="O878" i="2"/>
  <c r="O877" i="2"/>
  <c r="P877" i="2" s="1"/>
  <c r="Q877" i="2" s="1"/>
  <c r="V877" i="2" s="1"/>
  <c r="O876" i="2"/>
  <c r="O875" i="2"/>
  <c r="P875" i="2" s="1"/>
  <c r="O874" i="2"/>
  <c r="O873" i="2"/>
  <c r="O872" i="2"/>
  <c r="O871" i="2"/>
  <c r="O870" i="2"/>
  <c r="O869" i="2"/>
  <c r="P869" i="2" s="1"/>
  <c r="O868" i="2"/>
  <c r="O867" i="2"/>
  <c r="P867" i="2" s="1"/>
  <c r="O866" i="2"/>
  <c r="P866" i="2" s="1"/>
  <c r="O865" i="2"/>
  <c r="P864" i="2"/>
  <c r="Q864" i="2" s="1"/>
  <c r="V864" i="2" s="1"/>
  <c r="O862" i="2"/>
  <c r="O861" i="2"/>
  <c r="O860" i="2"/>
  <c r="O859" i="2"/>
  <c r="O858" i="2"/>
  <c r="P858" i="2" s="1"/>
  <c r="O857" i="2"/>
  <c r="O856" i="2"/>
  <c r="O855" i="2"/>
  <c r="P855" i="2" s="1"/>
  <c r="O854" i="2"/>
  <c r="O853" i="2"/>
  <c r="O852" i="2"/>
  <c r="O851" i="2"/>
  <c r="O850" i="2"/>
  <c r="P850" i="2" s="1"/>
  <c r="O849" i="2"/>
  <c r="O848" i="2"/>
  <c r="O847" i="2"/>
  <c r="P847" i="2" s="1"/>
  <c r="O846" i="2"/>
  <c r="P846" i="2" s="1"/>
  <c r="Q846" i="2" s="1"/>
  <c r="V846" i="2" s="1"/>
  <c r="O845" i="2"/>
  <c r="O844" i="2"/>
  <c r="P844" i="2" s="1"/>
  <c r="P843" i="2"/>
  <c r="Q843" i="2" s="1"/>
  <c r="V843" i="2" s="1"/>
  <c r="O842" i="2"/>
  <c r="O841" i="2"/>
  <c r="P841" i="2" s="1"/>
  <c r="O840" i="2"/>
  <c r="F879" i="2"/>
  <c r="F878" i="2"/>
  <c r="F877" i="2"/>
  <c r="F876" i="2"/>
  <c r="F875" i="2"/>
  <c r="F874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P997" i="2" l="1"/>
  <c r="Q997" i="2" s="1"/>
  <c r="V997" i="2" s="1"/>
  <c r="P991" i="2"/>
  <c r="Q991" i="2" s="1"/>
  <c r="V991" i="2" s="1"/>
  <c r="P995" i="2"/>
  <c r="Q995" i="2" s="1"/>
  <c r="V995" i="2" s="1"/>
  <c r="P981" i="2"/>
  <c r="Q981" i="2" s="1"/>
  <c r="V981" i="2" s="1"/>
  <c r="Q972" i="2"/>
  <c r="V972" i="2" s="1"/>
  <c r="Q976" i="2"/>
  <c r="V976" i="2" s="1"/>
  <c r="P980" i="2"/>
  <c r="Q980" i="2" s="1"/>
  <c r="V980" i="2" s="1"/>
  <c r="P984" i="2"/>
  <c r="Q984" i="2" s="1"/>
  <c r="V984" i="2" s="1"/>
  <c r="P1009" i="2"/>
  <c r="Q1009" i="2" s="1"/>
  <c r="V1009" i="2" s="1"/>
  <c r="P973" i="2"/>
  <c r="Q973" i="2" s="1"/>
  <c r="V973" i="2" s="1"/>
  <c r="P989" i="2"/>
  <c r="Q989" i="2" s="1"/>
  <c r="V989" i="2" s="1"/>
  <c r="P1001" i="2"/>
  <c r="Q1001" i="2" s="1"/>
  <c r="V1001" i="2" s="1"/>
  <c r="P993" i="2"/>
  <c r="Q993" i="2" s="1"/>
  <c r="V993" i="2" s="1"/>
  <c r="Q974" i="2"/>
  <c r="V974" i="2" s="1"/>
  <c r="P982" i="2"/>
  <c r="Q982" i="2" s="1"/>
  <c r="V982" i="2" s="1"/>
  <c r="Q999" i="2"/>
  <c r="V999" i="2" s="1"/>
  <c r="Q1003" i="2"/>
  <c r="V1003" i="2" s="1"/>
  <c r="P1007" i="2"/>
  <c r="Q1007" i="2" s="1"/>
  <c r="V1007" i="2" s="1"/>
  <c r="P1011" i="2"/>
  <c r="Q1011" i="2" s="1"/>
  <c r="V1011" i="2" s="1"/>
  <c r="P955" i="2"/>
  <c r="Q955" i="2" s="1"/>
  <c r="V955" i="2" s="1"/>
  <c r="Q869" i="2"/>
  <c r="V869" i="2" s="1"/>
  <c r="Q866" i="2"/>
  <c r="V866" i="2" s="1"/>
  <c r="P935" i="2"/>
  <c r="Q935" i="2" s="1"/>
  <c r="V935" i="2" s="1"/>
  <c r="P901" i="2"/>
  <c r="Q901" i="2" s="1"/>
  <c r="V901" i="2" s="1"/>
  <c r="P882" i="2"/>
  <c r="Q882" i="2" s="1"/>
  <c r="V882" i="2" s="1"/>
  <c r="Q920" i="2"/>
  <c r="V920" i="2" s="1"/>
  <c r="Q944" i="2"/>
  <c r="V944" i="2" s="1"/>
  <c r="Q979" i="2"/>
  <c r="V979" i="2" s="1"/>
  <c r="Q990" i="2"/>
  <c r="V990" i="2" s="1"/>
  <c r="Q998" i="2"/>
  <c r="V998" i="2" s="1"/>
  <c r="Q1006" i="2"/>
  <c r="V1006" i="2" s="1"/>
  <c r="P977" i="2"/>
  <c r="Q977" i="2" s="1"/>
  <c r="V977" i="2" s="1"/>
  <c r="P988" i="2"/>
  <c r="Q988" i="2" s="1"/>
  <c r="V988" i="2" s="1"/>
  <c r="P996" i="2"/>
  <c r="Q996" i="2" s="1"/>
  <c r="V996" i="2" s="1"/>
  <c r="P1004" i="2"/>
  <c r="Q1004" i="2" s="1"/>
  <c r="V1004" i="2" s="1"/>
  <c r="Q971" i="2"/>
  <c r="V971" i="2" s="1"/>
  <c r="P975" i="2"/>
  <c r="Q975" i="2" s="1"/>
  <c r="V975" i="2" s="1"/>
  <c r="P983" i="2"/>
  <c r="Q983" i="2" s="1"/>
  <c r="V983" i="2" s="1"/>
  <c r="P994" i="2"/>
  <c r="Q994" i="2" s="1"/>
  <c r="V994" i="2" s="1"/>
  <c r="P1002" i="2"/>
  <c r="Q1002" i="2" s="1"/>
  <c r="V1002" i="2" s="1"/>
  <c r="P1010" i="2"/>
  <c r="Q1010" i="2" s="1"/>
  <c r="V1010" i="2" s="1"/>
  <c r="P970" i="2"/>
  <c r="Q970" i="2" s="1"/>
  <c r="V970" i="2" s="1"/>
  <c r="P874" i="2"/>
  <c r="Q874" i="2" s="1"/>
  <c r="V874" i="2" s="1"/>
  <c r="P856" i="2"/>
  <c r="Q856" i="2" s="1"/>
  <c r="V856" i="2" s="1"/>
  <c r="P860" i="2"/>
  <c r="Q860" i="2" s="1"/>
  <c r="V860" i="2" s="1"/>
  <c r="P878" i="2"/>
  <c r="Q878" i="2" s="1"/>
  <c r="V878" i="2" s="1"/>
  <c r="Q896" i="2"/>
  <c r="V896" i="2" s="1"/>
  <c r="P900" i="2"/>
  <c r="Q900" i="2" s="1"/>
  <c r="V900" i="2" s="1"/>
  <c r="P905" i="2"/>
  <c r="Q905" i="2" s="1"/>
  <c r="V905" i="2" s="1"/>
  <c r="P914" i="2"/>
  <c r="Q914" i="2" s="1"/>
  <c r="V914" i="2" s="1"/>
  <c r="P918" i="2"/>
  <c r="Q918" i="2" s="1"/>
  <c r="V918" i="2" s="1"/>
  <c r="P956" i="2"/>
  <c r="Q956" i="2" s="1"/>
  <c r="V956" i="2" s="1"/>
  <c r="Q930" i="2"/>
  <c r="V930" i="2" s="1"/>
  <c r="Q844" i="2"/>
  <c r="V844" i="2" s="1"/>
  <c r="P848" i="2"/>
  <c r="Q848" i="2" s="1"/>
  <c r="V848" i="2" s="1"/>
  <c r="P852" i="2"/>
  <c r="Q852" i="2" s="1"/>
  <c r="V852" i="2" s="1"/>
  <c r="P870" i="2"/>
  <c r="Q870" i="2" s="1"/>
  <c r="V870" i="2" s="1"/>
  <c r="Q888" i="2"/>
  <c r="V888" i="2" s="1"/>
  <c r="P892" i="2"/>
  <c r="Q892" i="2" s="1"/>
  <c r="V892" i="2" s="1"/>
  <c r="P928" i="2"/>
  <c r="Q928" i="2" s="1"/>
  <c r="V928" i="2" s="1"/>
  <c r="P931" i="2"/>
  <c r="Q931" i="2" s="1"/>
  <c r="V931" i="2" s="1"/>
  <c r="P945" i="2"/>
  <c r="Q945" i="2" s="1"/>
  <c r="V945" i="2" s="1"/>
  <c r="P857" i="2"/>
  <c r="Q857" i="2" s="1"/>
  <c r="V857" i="2" s="1"/>
  <c r="P884" i="2"/>
  <c r="Q884" i="2" s="1"/>
  <c r="V884" i="2" s="1"/>
  <c r="P915" i="2"/>
  <c r="Q915" i="2" s="1"/>
  <c r="V915" i="2" s="1"/>
  <c r="P937" i="2"/>
  <c r="Q937" i="2" s="1"/>
  <c r="V937" i="2" s="1"/>
  <c r="P954" i="2"/>
  <c r="Q954" i="2" s="1"/>
  <c r="V954" i="2" s="1"/>
  <c r="P957" i="2"/>
  <c r="Q957" i="2" s="1"/>
  <c r="V957" i="2" s="1"/>
  <c r="P849" i="2"/>
  <c r="Q849" i="2" s="1"/>
  <c r="V849" i="2" s="1"/>
  <c r="P862" i="2"/>
  <c r="Q862" i="2" s="1"/>
  <c r="V862" i="2" s="1"/>
  <c r="P876" i="2"/>
  <c r="Q876" i="2" s="1"/>
  <c r="V876" i="2" s="1"/>
  <c r="P880" i="2"/>
  <c r="Q880" i="2" s="1"/>
  <c r="V880" i="2" s="1"/>
  <c r="P893" i="2"/>
  <c r="Q893" i="2" s="1"/>
  <c r="V893" i="2" s="1"/>
  <c r="Q938" i="2"/>
  <c r="V938" i="2" s="1"/>
  <c r="P943" i="2"/>
  <c r="Q943" i="2" s="1"/>
  <c r="V943" i="2" s="1"/>
  <c r="P947" i="2"/>
  <c r="Q947" i="2" s="1"/>
  <c r="V947" i="2" s="1"/>
  <c r="P854" i="2"/>
  <c r="Q854" i="2" s="1"/>
  <c r="V854" i="2" s="1"/>
  <c r="Q858" i="2"/>
  <c r="V858" i="2" s="1"/>
  <c r="P868" i="2"/>
  <c r="Q868" i="2" s="1"/>
  <c r="V868" i="2" s="1"/>
  <c r="P872" i="2"/>
  <c r="Q872" i="2" s="1"/>
  <c r="V872" i="2" s="1"/>
  <c r="P885" i="2"/>
  <c r="Q885" i="2" s="1"/>
  <c r="V885" i="2" s="1"/>
  <c r="P898" i="2"/>
  <c r="Q898" i="2" s="1"/>
  <c r="V898" i="2" s="1"/>
  <c r="P911" i="2"/>
  <c r="Q911" i="2" s="1"/>
  <c r="V911" i="2" s="1"/>
  <c r="Q948" i="2"/>
  <c r="V948" i="2" s="1"/>
  <c r="P958" i="2"/>
  <c r="Q958" i="2" s="1"/>
  <c r="V958" i="2" s="1"/>
  <c r="Q886" i="2"/>
  <c r="V886" i="2" s="1"/>
  <c r="Q841" i="2"/>
  <c r="V841" i="2" s="1"/>
  <c r="Q850" i="2"/>
  <c r="V850" i="2" s="1"/>
  <c r="Q894" i="2"/>
  <c r="V894" i="2" s="1"/>
  <c r="P902" i="2"/>
  <c r="Q902" i="2" s="1"/>
  <c r="V902" i="2" s="1"/>
  <c r="Q907" i="2"/>
  <c r="V907" i="2" s="1"/>
  <c r="P916" i="2"/>
  <c r="Q916" i="2" s="1"/>
  <c r="V916" i="2" s="1"/>
  <c r="Q939" i="2"/>
  <c r="V939" i="2" s="1"/>
  <c r="P926" i="2"/>
  <c r="Q926" i="2" s="1"/>
  <c r="V926" i="2" s="1"/>
  <c r="P933" i="2"/>
  <c r="Q933" i="2" s="1"/>
  <c r="V933" i="2" s="1"/>
  <c r="P941" i="2"/>
  <c r="Q941" i="2" s="1"/>
  <c r="V941" i="2" s="1"/>
  <c r="P952" i="2"/>
  <c r="Q952" i="2" s="1"/>
  <c r="V952" i="2" s="1"/>
  <c r="P927" i="2"/>
  <c r="Q927" i="2" s="1"/>
  <c r="V927" i="2" s="1"/>
  <c r="P934" i="2"/>
  <c r="Q934" i="2" s="1"/>
  <c r="V934" i="2" s="1"/>
  <c r="P942" i="2"/>
  <c r="Q942" i="2" s="1"/>
  <c r="V942" i="2" s="1"/>
  <c r="P953" i="2"/>
  <c r="Q953" i="2" s="1"/>
  <c r="V953" i="2" s="1"/>
  <c r="P919" i="2"/>
  <c r="Q919" i="2" s="1"/>
  <c r="V919" i="2" s="1"/>
  <c r="P922" i="2"/>
  <c r="Q922" i="2" s="1"/>
  <c r="V922" i="2" s="1"/>
  <c r="P923" i="2"/>
  <c r="Q923" i="2" s="1"/>
  <c r="V923" i="2" s="1"/>
  <c r="P908" i="2"/>
  <c r="Q908" i="2" s="1"/>
  <c r="V908" i="2" s="1"/>
  <c r="P917" i="2"/>
  <c r="Q917" i="2" s="1"/>
  <c r="V917" i="2" s="1"/>
  <c r="Q847" i="2"/>
  <c r="V847" i="2" s="1"/>
  <c r="Q855" i="2"/>
  <c r="V855" i="2" s="1"/>
  <c r="Q867" i="2"/>
  <c r="V867" i="2" s="1"/>
  <c r="Q875" i="2"/>
  <c r="V875" i="2" s="1"/>
  <c r="Q883" i="2"/>
  <c r="V883" i="2" s="1"/>
  <c r="Q891" i="2"/>
  <c r="V891" i="2" s="1"/>
  <c r="Q899" i="2"/>
  <c r="V899" i="2" s="1"/>
  <c r="P842" i="2"/>
  <c r="Q842" i="2" s="1"/>
  <c r="V842" i="2" s="1"/>
  <c r="P845" i="2"/>
  <c r="Q845" i="2" s="1"/>
  <c r="V845" i="2" s="1"/>
  <c r="P853" i="2"/>
  <c r="Q853" i="2" s="1"/>
  <c r="V853" i="2" s="1"/>
  <c r="P861" i="2"/>
  <c r="Q861" i="2" s="1"/>
  <c r="V861" i="2" s="1"/>
  <c r="P865" i="2"/>
  <c r="Q865" i="2" s="1"/>
  <c r="V865" i="2" s="1"/>
  <c r="P873" i="2"/>
  <c r="Q873" i="2" s="1"/>
  <c r="V873" i="2" s="1"/>
  <c r="P881" i="2"/>
  <c r="Q881" i="2" s="1"/>
  <c r="V881" i="2" s="1"/>
  <c r="P897" i="2"/>
  <c r="Q897" i="2" s="1"/>
  <c r="V897" i="2" s="1"/>
  <c r="P840" i="2"/>
  <c r="Q840" i="2" s="1"/>
  <c r="V840" i="2" s="1"/>
  <c r="P851" i="2"/>
  <c r="Q851" i="2" s="1"/>
  <c r="V851" i="2" s="1"/>
  <c r="P859" i="2"/>
  <c r="Q859" i="2" s="1"/>
  <c r="V859" i="2" s="1"/>
  <c r="P871" i="2"/>
  <c r="Q871" i="2" s="1"/>
  <c r="V871" i="2" s="1"/>
  <c r="P879" i="2"/>
  <c r="Q879" i="2" s="1"/>
  <c r="V879" i="2" s="1"/>
  <c r="P887" i="2"/>
  <c r="Q887" i="2" s="1"/>
  <c r="V887" i="2" s="1"/>
  <c r="P895" i="2"/>
  <c r="Q895" i="2" s="1"/>
  <c r="V895" i="2" s="1"/>
  <c r="P904" i="2"/>
  <c r="Q904" i="2" s="1"/>
  <c r="V904" i="2" s="1"/>
  <c r="Q837" i="2"/>
  <c r="V837" i="2" s="1"/>
  <c r="Q836" i="2"/>
  <c r="V836" i="2" s="1"/>
  <c r="Q835" i="2"/>
  <c r="V835" i="2" s="1"/>
  <c r="Q834" i="2"/>
  <c r="V834" i="2" s="1"/>
  <c r="Q833" i="2"/>
  <c r="V833" i="2" s="1"/>
  <c r="Q829" i="2"/>
  <c r="V829" i="2" s="1"/>
  <c r="Q828" i="2"/>
  <c r="V828" i="2" s="1"/>
  <c r="Q827" i="2"/>
  <c r="V827" i="2" s="1"/>
  <c r="Q826" i="2"/>
  <c r="V826" i="2" s="1"/>
  <c r="Q825" i="2"/>
  <c r="V825" i="2" s="1"/>
  <c r="Q824" i="2"/>
  <c r="V824" i="2" s="1"/>
  <c r="Q823" i="2"/>
  <c r="V823" i="2" s="1"/>
  <c r="Q819" i="2"/>
  <c r="V819" i="2" s="1"/>
  <c r="O818" i="2"/>
  <c r="Q818" i="2" s="1"/>
  <c r="V818" i="2" s="1"/>
  <c r="Q817" i="2"/>
  <c r="V817" i="2" s="1"/>
  <c r="Q816" i="2"/>
  <c r="V816" i="2" s="1"/>
  <c r="Q815" i="2"/>
  <c r="V815" i="2" s="1"/>
  <c r="Q814" i="2"/>
  <c r="V814" i="2" s="1"/>
  <c r="Q812" i="2"/>
  <c r="V812" i="2" s="1"/>
  <c r="Q811" i="2"/>
  <c r="V811" i="2" s="1"/>
  <c r="Q810" i="2"/>
  <c r="V810" i="2" s="1"/>
  <c r="O809" i="2"/>
  <c r="Q809" i="2" s="1"/>
  <c r="V809" i="2" s="1"/>
  <c r="O808" i="2"/>
  <c r="Q808" i="2" s="1"/>
  <c r="V808" i="2" s="1"/>
  <c r="Q807" i="2"/>
  <c r="V807" i="2" s="1"/>
  <c r="F815" i="2"/>
  <c r="F814" i="2"/>
  <c r="F808" i="2"/>
  <c r="F807" i="2"/>
  <c r="O806" i="2"/>
  <c r="O805" i="2"/>
  <c r="O804" i="2"/>
  <c r="P804" i="2" s="1"/>
  <c r="Q804" i="2" s="1"/>
  <c r="V804" i="2" s="1"/>
  <c r="O803" i="2"/>
  <c r="O802" i="2"/>
  <c r="O801" i="2"/>
  <c r="P801" i="2" s="1"/>
  <c r="Q801" i="2" s="1"/>
  <c r="V801" i="2" s="1"/>
  <c r="O799" i="2"/>
  <c r="O798" i="2"/>
  <c r="P798" i="2" s="1"/>
  <c r="O797" i="2"/>
  <c r="O796" i="2"/>
  <c r="O795" i="2"/>
  <c r="P795" i="2" s="1"/>
  <c r="Q795" i="2" s="1"/>
  <c r="V795" i="2" s="1"/>
  <c r="O794" i="2"/>
  <c r="O793" i="2"/>
  <c r="O792" i="2"/>
  <c r="P792" i="2" s="1"/>
  <c r="Q792" i="2" s="1"/>
  <c r="V792" i="2" s="1"/>
  <c r="O791" i="2"/>
  <c r="P791" i="2" s="1"/>
  <c r="O790" i="2"/>
  <c r="O789" i="2"/>
  <c r="O788" i="2"/>
  <c r="O786" i="2"/>
  <c r="P786" i="2" s="1"/>
  <c r="Q786" i="2" s="1"/>
  <c r="V786" i="2" s="1"/>
  <c r="O785" i="2"/>
  <c r="O782" i="2"/>
  <c r="O781" i="2"/>
  <c r="O780" i="2"/>
  <c r="P780" i="2" s="1"/>
  <c r="O779" i="2"/>
  <c r="O778" i="2"/>
  <c r="P778" i="2" s="1"/>
  <c r="O777" i="2"/>
  <c r="O776" i="2"/>
  <c r="P776" i="2" s="1"/>
  <c r="Q776" i="2" s="1"/>
  <c r="V776" i="2" s="1"/>
  <c r="O775" i="2"/>
  <c r="O774" i="2"/>
  <c r="O773" i="2"/>
  <c r="O772" i="2"/>
  <c r="P772" i="2" s="1"/>
  <c r="O770" i="2"/>
  <c r="P770" i="2" s="1"/>
  <c r="O768" i="2"/>
  <c r="P768" i="2" s="1"/>
  <c r="Q768" i="2" s="1"/>
  <c r="V768" i="2" s="1"/>
  <c r="O767" i="2"/>
  <c r="O766" i="2"/>
  <c r="P766" i="2" s="1"/>
  <c r="Q766" i="2" s="1"/>
  <c r="V766" i="2" s="1"/>
  <c r="O765" i="2"/>
  <c r="P765" i="2" s="1"/>
  <c r="Q765" i="2" s="1"/>
  <c r="V765" i="2" s="1"/>
  <c r="O764" i="2"/>
  <c r="P764" i="2" s="1"/>
  <c r="O763" i="2"/>
  <c r="P763" i="2" s="1"/>
  <c r="Q763" i="2" s="1"/>
  <c r="V763" i="2" s="1"/>
  <c r="O762" i="2"/>
  <c r="O759" i="2"/>
  <c r="O758" i="2"/>
  <c r="O757" i="2"/>
  <c r="O756" i="2"/>
  <c r="P756" i="2" s="1"/>
  <c r="Q756" i="2" s="1"/>
  <c r="V756" i="2" s="1"/>
  <c r="O755" i="2"/>
  <c r="O754" i="2"/>
  <c r="P754" i="2" s="1"/>
  <c r="O753" i="2"/>
  <c r="P753" i="2" s="1"/>
  <c r="Q753" i="2" s="1"/>
  <c r="V753" i="2" s="1"/>
  <c r="O752" i="2"/>
  <c r="O751" i="2"/>
  <c r="O750" i="2"/>
  <c r="O749" i="2"/>
  <c r="O748" i="2"/>
  <c r="P748" i="2" s="1"/>
  <c r="Q748" i="2" s="1"/>
  <c r="V748" i="2" s="1"/>
  <c r="O747" i="2"/>
  <c r="O746" i="2"/>
  <c r="O745" i="2"/>
  <c r="P745" i="2" s="1"/>
  <c r="Q745" i="2" s="1"/>
  <c r="V745" i="2" s="1"/>
  <c r="O744" i="2"/>
  <c r="O742" i="2"/>
  <c r="P742" i="2" s="1"/>
  <c r="O739" i="2"/>
  <c r="O738" i="2"/>
  <c r="O737" i="2"/>
  <c r="P737" i="2" s="1"/>
  <c r="Q737" i="2" s="1"/>
  <c r="V737" i="2" s="1"/>
  <c r="O735" i="2"/>
  <c r="O733" i="2"/>
  <c r="P733" i="2" s="1"/>
  <c r="O732" i="2"/>
  <c r="P732" i="2" s="1"/>
  <c r="Q732" i="2" s="1"/>
  <c r="V732" i="2" s="1"/>
  <c r="O731" i="2"/>
  <c r="O730" i="2"/>
  <c r="P730" i="2" s="1"/>
  <c r="O729" i="2"/>
  <c r="O726" i="2"/>
  <c r="O724" i="2"/>
  <c r="P724" i="2" s="1"/>
  <c r="Q724" i="2" s="1"/>
  <c r="V724" i="2" s="1"/>
  <c r="O723" i="2"/>
  <c r="O722" i="2"/>
  <c r="P722" i="2" s="1"/>
  <c r="O721" i="2"/>
  <c r="O720" i="2"/>
  <c r="O719" i="2"/>
  <c r="O718" i="2"/>
  <c r="O717" i="2"/>
  <c r="O715" i="2"/>
  <c r="P715" i="2" s="1"/>
  <c r="Q715" i="2" s="1"/>
  <c r="V715" i="2" s="1"/>
  <c r="O714" i="2"/>
  <c r="O713" i="2"/>
  <c r="O712" i="2"/>
  <c r="P712" i="2" s="1"/>
  <c r="Q712" i="2" s="1"/>
  <c r="V712" i="2" s="1"/>
  <c r="O711" i="2"/>
  <c r="O710" i="2"/>
  <c r="O709" i="2"/>
  <c r="O708" i="2"/>
  <c r="O707" i="2"/>
  <c r="P707" i="2" s="1"/>
  <c r="Q707" i="2" s="1"/>
  <c r="V707" i="2" s="1"/>
  <c r="O706" i="2"/>
  <c r="O705" i="2"/>
  <c r="O704" i="2"/>
  <c r="P704" i="2" s="1"/>
  <c r="Q704" i="2" s="1"/>
  <c r="V704" i="2" s="1"/>
  <c r="O703" i="2"/>
  <c r="P703" i="2" s="1"/>
  <c r="Q703" i="2" s="1"/>
  <c r="V703" i="2" s="1"/>
  <c r="O702" i="2"/>
  <c r="O701" i="2"/>
  <c r="Q701" i="2" s="1"/>
  <c r="V701" i="2" s="1"/>
  <c r="Q778" i="2" l="1"/>
  <c r="V778" i="2" s="1"/>
  <c r="P773" i="2"/>
  <c r="Q773" i="2" s="1"/>
  <c r="V773" i="2" s="1"/>
  <c r="P721" i="2"/>
  <c r="Q721" i="2" s="1"/>
  <c r="V721" i="2" s="1"/>
  <c r="P781" i="2"/>
  <c r="Q781" i="2" s="1"/>
  <c r="V781" i="2" s="1"/>
  <c r="P789" i="2"/>
  <c r="Q789" i="2" s="1"/>
  <c r="V789" i="2" s="1"/>
  <c r="Q772" i="2"/>
  <c r="V772" i="2" s="1"/>
  <c r="Q791" i="2"/>
  <c r="V791" i="2" s="1"/>
  <c r="Q780" i="2"/>
  <c r="V780" i="2" s="1"/>
  <c r="P702" i="2"/>
  <c r="Q702" i="2" s="1"/>
  <c r="V702" i="2" s="1"/>
  <c r="P710" i="2"/>
  <c r="Q710" i="2" s="1"/>
  <c r="V710" i="2" s="1"/>
  <c r="P719" i="2"/>
  <c r="Q719" i="2" s="1"/>
  <c r="V719" i="2" s="1"/>
  <c r="P759" i="2"/>
  <c r="Q759" i="2" s="1"/>
  <c r="V759" i="2" s="1"/>
  <c r="P779" i="2"/>
  <c r="Q779" i="2" s="1"/>
  <c r="V779" i="2" s="1"/>
  <c r="P790" i="2"/>
  <c r="Q790" i="2" s="1"/>
  <c r="V790" i="2" s="1"/>
  <c r="P713" i="2"/>
  <c r="Q713" i="2" s="1"/>
  <c r="V713" i="2" s="1"/>
  <c r="Q742" i="2"/>
  <c r="V742" i="2" s="1"/>
  <c r="P746" i="2"/>
  <c r="Q746" i="2" s="1"/>
  <c r="V746" i="2" s="1"/>
  <c r="Q770" i="2"/>
  <c r="V770" i="2" s="1"/>
  <c r="P774" i="2"/>
  <c r="Q774" i="2" s="1"/>
  <c r="V774" i="2" s="1"/>
  <c r="P782" i="2"/>
  <c r="Q782" i="2" s="1"/>
  <c r="V782" i="2" s="1"/>
  <c r="P793" i="2"/>
  <c r="Q793" i="2" s="1"/>
  <c r="V793" i="2" s="1"/>
  <c r="Q798" i="2"/>
  <c r="V798" i="2" s="1"/>
  <c r="P802" i="2"/>
  <c r="Q802" i="2" s="1"/>
  <c r="V802" i="2" s="1"/>
  <c r="P751" i="2"/>
  <c r="Q751" i="2" s="1"/>
  <c r="V751" i="2" s="1"/>
  <c r="P705" i="2"/>
  <c r="Q705" i="2" s="1"/>
  <c r="V705" i="2" s="1"/>
  <c r="Q730" i="2"/>
  <c r="V730" i="2" s="1"/>
  <c r="P708" i="2"/>
  <c r="Q708" i="2" s="1"/>
  <c r="V708" i="2" s="1"/>
  <c r="P717" i="2"/>
  <c r="Q717" i="2" s="1"/>
  <c r="V717" i="2" s="1"/>
  <c r="Q722" i="2"/>
  <c r="V722" i="2" s="1"/>
  <c r="P726" i="2"/>
  <c r="Q726" i="2" s="1"/>
  <c r="V726" i="2" s="1"/>
  <c r="Q733" i="2"/>
  <c r="V733" i="2" s="1"/>
  <c r="P738" i="2"/>
  <c r="Q738" i="2" s="1"/>
  <c r="V738" i="2" s="1"/>
  <c r="P749" i="2"/>
  <c r="Q749" i="2" s="1"/>
  <c r="V749" i="2" s="1"/>
  <c r="Q754" i="2"/>
  <c r="V754" i="2" s="1"/>
  <c r="P757" i="2"/>
  <c r="Q757" i="2" s="1"/>
  <c r="V757" i="2" s="1"/>
  <c r="Q764" i="2"/>
  <c r="V764" i="2" s="1"/>
  <c r="P767" i="2"/>
  <c r="Q767" i="2" s="1"/>
  <c r="V767" i="2" s="1"/>
  <c r="P777" i="2"/>
  <c r="Q777" i="2" s="1"/>
  <c r="V777" i="2" s="1"/>
  <c r="P788" i="2"/>
  <c r="Q788" i="2" s="1"/>
  <c r="V788" i="2" s="1"/>
  <c r="P796" i="2"/>
  <c r="Q796" i="2" s="1"/>
  <c r="V796" i="2" s="1"/>
  <c r="P805" i="2"/>
  <c r="Q805" i="2" s="1"/>
  <c r="V805" i="2" s="1"/>
  <c r="P711" i="2"/>
  <c r="Q711" i="2" s="1"/>
  <c r="V711" i="2" s="1"/>
  <c r="P720" i="2"/>
  <c r="Q720" i="2" s="1"/>
  <c r="V720" i="2" s="1"/>
  <c r="P731" i="2"/>
  <c r="Q731" i="2" s="1"/>
  <c r="V731" i="2" s="1"/>
  <c r="P744" i="2"/>
  <c r="Q744" i="2" s="1"/>
  <c r="V744" i="2" s="1"/>
  <c r="P752" i="2"/>
  <c r="Q752" i="2" s="1"/>
  <c r="V752" i="2" s="1"/>
  <c r="P762" i="2"/>
  <c r="Q762" i="2" s="1"/>
  <c r="V762" i="2" s="1"/>
  <c r="P799" i="2"/>
  <c r="Q799" i="2" s="1"/>
  <c r="V799" i="2" s="1"/>
  <c r="P706" i="2"/>
  <c r="Q706" i="2" s="1"/>
  <c r="V706" i="2" s="1"/>
  <c r="P714" i="2"/>
  <c r="Q714" i="2" s="1"/>
  <c r="V714" i="2" s="1"/>
  <c r="P723" i="2"/>
  <c r="Q723" i="2" s="1"/>
  <c r="V723" i="2" s="1"/>
  <c r="P735" i="2"/>
  <c r="Q735" i="2" s="1"/>
  <c r="V735" i="2" s="1"/>
  <c r="P747" i="2"/>
  <c r="Q747" i="2" s="1"/>
  <c r="V747" i="2" s="1"/>
  <c r="P755" i="2"/>
  <c r="Q755" i="2" s="1"/>
  <c r="V755" i="2" s="1"/>
  <c r="P775" i="2"/>
  <c r="Q775" i="2" s="1"/>
  <c r="V775" i="2" s="1"/>
  <c r="P785" i="2"/>
  <c r="Q785" i="2" s="1"/>
  <c r="V785" i="2" s="1"/>
  <c r="P794" i="2"/>
  <c r="Q794" i="2" s="1"/>
  <c r="V794" i="2" s="1"/>
  <c r="P803" i="2"/>
  <c r="Q803" i="2" s="1"/>
  <c r="V803" i="2" s="1"/>
  <c r="P709" i="2"/>
  <c r="Q709" i="2" s="1"/>
  <c r="V709" i="2" s="1"/>
  <c r="P718" i="2"/>
  <c r="Q718" i="2" s="1"/>
  <c r="V718" i="2" s="1"/>
  <c r="P729" i="2"/>
  <c r="Q729" i="2" s="1"/>
  <c r="V729" i="2" s="1"/>
  <c r="P739" i="2"/>
  <c r="Q739" i="2" s="1"/>
  <c r="V739" i="2" s="1"/>
  <c r="P750" i="2"/>
  <c r="Q750" i="2" s="1"/>
  <c r="V750" i="2" s="1"/>
  <c r="P758" i="2"/>
  <c r="Q758" i="2" s="1"/>
  <c r="V758" i="2" s="1"/>
  <c r="P797" i="2"/>
  <c r="Q797" i="2" s="1"/>
  <c r="V797" i="2" s="1"/>
  <c r="P806" i="2"/>
  <c r="Q806" i="2" s="1"/>
  <c r="V806" i="2" s="1"/>
  <c r="P1290" i="2" l="1"/>
  <c r="Q1290" i="2" s="1"/>
  <c r="V1290" i="2" s="1"/>
  <c r="Q1291" i="2" l="1"/>
  <c r="V1291" i="2" s="1"/>
  <c r="Q1292" i="2"/>
  <c r="V1292" i="2" s="1"/>
  <c r="O700" i="2" l="1"/>
  <c r="P700" i="2" s="1"/>
  <c r="Q700" i="2" s="1"/>
  <c r="V700" i="2" s="1"/>
  <c r="O699" i="2"/>
  <c r="P699" i="2" s="1"/>
  <c r="Q699" i="2" s="1"/>
  <c r="V699" i="2" s="1"/>
  <c r="O698" i="2"/>
  <c r="O697" i="2"/>
  <c r="O696" i="2"/>
  <c r="P696" i="2" s="1"/>
  <c r="Q696" i="2" s="1"/>
  <c r="V696" i="2" s="1"/>
  <c r="O695" i="2"/>
  <c r="O694" i="2"/>
  <c r="O693" i="2"/>
  <c r="P693" i="2" s="1"/>
  <c r="Q693" i="2" s="1"/>
  <c r="V693" i="2" s="1"/>
  <c r="O692" i="2"/>
  <c r="P692" i="2" s="1"/>
  <c r="Q692" i="2" s="1"/>
  <c r="V692" i="2" s="1"/>
  <c r="O691" i="2"/>
  <c r="O690" i="2"/>
  <c r="O689" i="2"/>
  <c r="O688" i="2"/>
  <c r="P688" i="2" s="1"/>
  <c r="Q688" i="2" s="1"/>
  <c r="V688" i="2" s="1"/>
  <c r="O687" i="2"/>
  <c r="P687" i="2" s="1"/>
  <c r="Q687" i="2" s="1"/>
  <c r="V687" i="2" s="1"/>
  <c r="O686" i="2"/>
  <c r="P686" i="2" s="1"/>
  <c r="O685" i="2"/>
  <c r="P685" i="2" s="1"/>
  <c r="Q685" i="2" s="1"/>
  <c r="V685" i="2" s="1"/>
  <c r="O684" i="2"/>
  <c r="P684" i="2" s="1"/>
  <c r="Q684" i="2" s="1"/>
  <c r="V684" i="2" s="1"/>
  <c r="O683" i="2"/>
  <c r="O682" i="2"/>
  <c r="O681" i="2"/>
  <c r="O680" i="2"/>
  <c r="P680" i="2" s="1"/>
  <c r="Q680" i="2" s="1"/>
  <c r="V680" i="2" s="1"/>
  <c r="O679" i="2"/>
  <c r="O677" i="2"/>
  <c r="P677" i="2" s="1"/>
  <c r="O676" i="2"/>
  <c r="P676" i="2" s="1"/>
  <c r="Q676" i="2" s="1"/>
  <c r="V676" i="2" s="1"/>
  <c r="O675" i="2"/>
  <c r="P675" i="2" s="1"/>
  <c r="Q675" i="2" s="1"/>
  <c r="V675" i="2" s="1"/>
  <c r="O674" i="2"/>
  <c r="O673" i="2"/>
  <c r="O672" i="2"/>
  <c r="O671" i="2"/>
  <c r="P671" i="2" s="1"/>
  <c r="Q671" i="2" s="1"/>
  <c r="V671" i="2" s="1"/>
  <c r="O670" i="2"/>
  <c r="P670" i="2" s="1"/>
  <c r="O669" i="2"/>
  <c r="P669" i="2" s="1"/>
  <c r="O668" i="2"/>
  <c r="P668" i="2" s="1"/>
  <c r="Q668" i="2" s="1"/>
  <c r="V668" i="2" s="1"/>
  <c r="O667" i="2"/>
  <c r="P667" i="2" s="1"/>
  <c r="Q667" i="2" s="1"/>
  <c r="V667" i="2" s="1"/>
  <c r="O666" i="2"/>
  <c r="O665" i="2"/>
  <c r="O664" i="2"/>
  <c r="O663" i="2"/>
  <c r="P663" i="2" s="1"/>
  <c r="Q663" i="2" s="1"/>
  <c r="V663" i="2" s="1"/>
  <c r="O662" i="2"/>
  <c r="O661" i="2"/>
  <c r="O660" i="2"/>
  <c r="P660" i="2" s="1"/>
  <c r="Q660" i="2" s="1"/>
  <c r="V660" i="2" s="1"/>
  <c r="O659" i="2"/>
  <c r="P659" i="2" s="1"/>
  <c r="Q659" i="2" s="1"/>
  <c r="V659" i="2" s="1"/>
  <c r="O658" i="2"/>
  <c r="O657" i="2"/>
  <c r="O656" i="2"/>
  <c r="O655" i="2"/>
  <c r="P655" i="2" s="1"/>
  <c r="Q655" i="2" s="1"/>
  <c r="V655" i="2" s="1"/>
  <c r="O654" i="2"/>
  <c r="P654" i="2" s="1"/>
  <c r="O653" i="2"/>
  <c r="P653" i="2" s="1"/>
  <c r="O652" i="2"/>
  <c r="P652" i="2" s="1"/>
  <c r="Q652" i="2" s="1"/>
  <c r="V652" i="2" s="1"/>
  <c r="O651" i="2"/>
  <c r="P651" i="2" s="1"/>
  <c r="Q651" i="2" s="1"/>
  <c r="V651" i="2" s="1"/>
  <c r="O650" i="2"/>
  <c r="O649" i="2"/>
  <c r="O648" i="2"/>
  <c r="O647" i="2"/>
  <c r="P647" i="2" s="1"/>
  <c r="Q647" i="2" s="1"/>
  <c r="V647" i="2" s="1"/>
  <c r="O646" i="2"/>
  <c r="O644" i="2"/>
  <c r="O643" i="2"/>
  <c r="P643" i="2" s="1"/>
  <c r="Q643" i="2" s="1"/>
  <c r="V643" i="2" s="1"/>
  <c r="O642" i="2"/>
  <c r="P642" i="2" s="1"/>
  <c r="Q642" i="2" s="1"/>
  <c r="V642" i="2" s="1"/>
  <c r="O641" i="2"/>
  <c r="O640" i="2"/>
  <c r="O639" i="2"/>
  <c r="O638" i="2"/>
  <c r="P638" i="2" s="1"/>
  <c r="Q638" i="2" s="1"/>
  <c r="V638" i="2" s="1"/>
  <c r="O637" i="2"/>
  <c r="P637" i="2" s="1"/>
  <c r="O636" i="2"/>
  <c r="P636" i="2" s="1"/>
  <c r="O635" i="2"/>
  <c r="P635" i="2" s="1"/>
  <c r="Q635" i="2" s="1"/>
  <c r="V635" i="2" s="1"/>
  <c r="O634" i="2"/>
  <c r="P634" i="2" s="1"/>
  <c r="Q634" i="2" s="1"/>
  <c r="V634" i="2" s="1"/>
  <c r="O633" i="2"/>
  <c r="O632" i="2"/>
  <c r="O631" i="2"/>
  <c r="O629" i="2"/>
  <c r="P629" i="2" s="1"/>
  <c r="Q629" i="2" s="1"/>
  <c r="V629" i="2" s="1"/>
  <c r="O628" i="2"/>
  <c r="P628" i="2" s="1"/>
  <c r="O627" i="2"/>
  <c r="O626" i="2"/>
  <c r="P626" i="2" s="1"/>
  <c r="Q626" i="2" s="1"/>
  <c r="V626" i="2" s="1"/>
  <c r="O625" i="2"/>
  <c r="P625" i="2" s="1"/>
  <c r="Q625" i="2" s="1"/>
  <c r="V625" i="2" s="1"/>
  <c r="O624" i="2"/>
  <c r="O623" i="2"/>
  <c r="O622" i="2"/>
  <c r="O621" i="2"/>
  <c r="P621" i="2" s="1"/>
  <c r="Q621" i="2" s="1"/>
  <c r="V621" i="2" s="1"/>
  <c r="O620" i="2"/>
  <c r="P620" i="2" s="1"/>
  <c r="O619" i="2"/>
  <c r="P619" i="2" s="1"/>
  <c r="O618" i="2"/>
  <c r="P618" i="2" s="1"/>
  <c r="Q618" i="2" s="1"/>
  <c r="V618" i="2" s="1"/>
  <c r="O617" i="2"/>
  <c r="P617" i="2" s="1"/>
  <c r="Q617" i="2" s="1"/>
  <c r="V617" i="2" s="1"/>
  <c r="O616" i="2"/>
  <c r="O615" i="2"/>
  <c r="O614" i="2"/>
  <c r="O612" i="2"/>
  <c r="P612" i="2" s="1"/>
  <c r="Q612" i="2" s="1"/>
  <c r="V612" i="2" s="1"/>
  <c r="O611" i="2"/>
  <c r="O610" i="2"/>
  <c r="P610" i="2" s="1"/>
  <c r="O609" i="2"/>
  <c r="P609" i="2" s="1"/>
  <c r="Q609" i="2" s="1"/>
  <c r="V609" i="2" s="1"/>
  <c r="O608" i="2"/>
  <c r="P608" i="2" s="1"/>
  <c r="Q608" i="2" s="1"/>
  <c r="V608" i="2" s="1"/>
  <c r="O607" i="2"/>
  <c r="O606" i="2"/>
  <c r="O605" i="2"/>
  <c r="O604" i="2"/>
  <c r="P604" i="2" s="1"/>
  <c r="Q604" i="2" s="1"/>
  <c r="V604" i="2" s="1"/>
  <c r="O603" i="2"/>
  <c r="P603" i="2" s="1"/>
  <c r="O601" i="2"/>
  <c r="P601" i="2" s="1"/>
  <c r="O600" i="2"/>
  <c r="P600" i="2" s="1"/>
  <c r="Q600" i="2" s="1"/>
  <c r="V600" i="2" s="1"/>
  <c r="O599" i="2"/>
  <c r="P599" i="2" s="1"/>
  <c r="Q599" i="2" s="1"/>
  <c r="V599" i="2" s="1"/>
  <c r="O598" i="2"/>
  <c r="O597" i="2"/>
  <c r="O596" i="2"/>
  <c r="O595" i="2"/>
  <c r="P595" i="2" s="1"/>
  <c r="Q595" i="2" s="1"/>
  <c r="V595" i="2" s="1"/>
  <c r="O594" i="2"/>
  <c r="O593" i="2"/>
  <c r="O592" i="2"/>
  <c r="P592" i="2" s="1"/>
  <c r="Q592" i="2" s="1"/>
  <c r="V592" i="2" s="1"/>
  <c r="O591" i="2"/>
  <c r="P591" i="2" s="1"/>
  <c r="Q591" i="2" s="1"/>
  <c r="V591" i="2" s="1"/>
  <c r="O590" i="2"/>
  <c r="O589" i="2"/>
  <c r="O588" i="2"/>
  <c r="O587" i="2"/>
  <c r="P587" i="2" s="1"/>
  <c r="Q587" i="2" s="1"/>
  <c r="V587" i="2" s="1"/>
  <c r="O586" i="2"/>
  <c r="O585" i="2"/>
  <c r="P585" i="2" s="1"/>
  <c r="O584" i="2"/>
  <c r="P584" i="2" s="1"/>
  <c r="Q584" i="2" s="1"/>
  <c r="V584" i="2" s="1"/>
  <c r="O583" i="2"/>
  <c r="P583" i="2" s="1"/>
  <c r="Q583" i="2" s="1"/>
  <c r="V583" i="2" s="1"/>
  <c r="O582" i="2"/>
  <c r="O581" i="2"/>
  <c r="O580" i="2"/>
  <c r="O579" i="2"/>
  <c r="P579" i="2" s="1"/>
  <c r="Q579" i="2" s="1"/>
  <c r="V579" i="2" s="1"/>
  <c r="O578" i="2"/>
  <c r="O577" i="2"/>
  <c r="O576" i="2"/>
  <c r="Q576" i="2" s="1"/>
  <c r="V576" i="2" s="1"/>
  <c r="O575" i="2"/>
  <c r="O574" i="2"/>
  <c r="O573" i="2"/>
  <c r="P573" i="2" s="1"/>
  <c r="O572" i="2"/>
  <c r="O571" i="2"/>
  <c r="O570" i="2"/>
  <c r="O569" i="2"/>
  <c r="O568" i="2"/>
  <c r="P568" i="2" s="1"/>
  <c r="O566" i="2"/>
  <c r="O565" i="2"/>
  <c r="P565" i="2" s="1"/>
  <c r="O564" i="2"/>
  <c r="P564" i="2" s="1"/>
  <c r="Q564" i="2" s="1"/>
  <c r="V564" i="2" s="1"/>
  <c r="O563" i="2"/>
  <c r="O562" i="2"/>
  <c r="O561" i="2"/>
  <c r="O560" i="2"/>
  <c r="O559" i="2"/>
  <c r="O558" i="2"/>
  <c r="O557" i="2"/>
  <c r="O556" i="2"/>
  <c r="P556" i="2" s="1"/>
  <c r="Q556" i="2" s="1"/>
  <c r="V556" i="2" s="1"/>
  <c r="O555" i="2"/>
  <c r="P555" i="2" s="1"/>
  <c r="Q555" i="2" s="1"/>
  <c r="V555" i="2" s="1"/>
  <c r="O554" i="2"/>
  <c r="O553" i="2"/>
  <c r="O552" i="2"/>
  <c r="O551" i="2"/>
  <c r="P551" i="2" s="1"/>
  <c r="O550" i="2"/>
  <c r="P550" i="2" s="1"/>
  <c r="O549" i="2"/>
  <c r="O548" i="2"/>
  <c r="P548" i="2" s="1"/>
  <c r="Q548" i="2" s="1"/>
  <c r="V548" i="2" s="1"/>
  <c r="O547" i="2"/>
  <c r="P547" i="2" s="1"/>
  <c r="Q547" i="2" s="1"/>
  <c r="V547" i="2" s="1"/>
  <c r="O546" i="2"/>
  <c r="O1012" i="2"/>
  <c r="O1013" i="2"/>
  <c r="P1013" i="2" s="1"/>
  <c r="O1014" i="2"/>
  <c r="P1014" i="2" s="1"/>
  <c r="Q1014" i="2" s="1"/>
  <c r="V1014" i="2" s="1"/>
  <c r="O1015" i="2"/>
  <c r="O1016" i="2"/>
  <c r="P1016" i="2" s="1"/>
  <c r="Q1016" i="2" s="1"/>
  <c r="V1016" i="2" s="1"/>
  <c r="O1017" i="2"/>
  <c r="P1017" i="2" s="1"/>
  <c r="O1018" i="2"/>
  <c r="P1018" i="2" s="1"/>
  <c r="Q1018" i="2" s="1"/>
  <c r="V1018" i="2" s="1"/>
  <c r="O1019" i="2"/>
  <c r="P1019" i="2" s="1"/>
  <c r="Q1019" i="2" s="1"/>
  <c r="V1019" i="2" s="1"/>
  <c r="O1020" i="2"/>
  <c r="P1020" i="2" s="1"/>
  <c r="O1021" i="2"/>
  <c r="P1021" i="2" s="1"/>
  <c r="O1022" i="2"/>
  <c r="P1022" i="2" s="1"/>
  <c r="Q1022" i="2" s="1"/>
  <c r="V1022" i="2" s="1"/>
  <c r="O1023" i="2"/>
  <c r="P1023" i="2" s="1"/>
  <c r="Q1023" i="2" s="1"/>
  <c r="V1023" i="2" s="1"/>
  <c r="O1024" i="2"/>
  <c r="P1024" i="2" s="1"/>
  <c r="Q1024" i="2" s="1"/>
  <c r="V1024" i="2" s="1"/>
  <c r="O1025" i="2"/>
  <c r="P1025" i="2" s="1"/>
  <c r="O1026" i="2"/>
  <c r="P1026" i="2" s="1"/>
  <c r="O1027" i="2"/>
  <c r="P1027" i="2" s="1"/>
  <c r="O1028" i="2"/>
  <c r="P1028" i="2" s="1"/>
  <c r="O1029" i="2"/>
  <c r="P1029" i="2" s="1"/>
  <c r="O1030" i="2"/>
  <c r="P1030" i="2" s="1"/>
  <c r="Q1030" i="2" s="1"/>
  <c r="V1030" i="2" s="1"/>
  <c r="O1031" i="2"/>
  <c r="P1031" i="2" s="1"/>
  <c r="Q1031" i="2" s="1"/>
  <c r="V1031" i="2" s="1"/>
  <c r="O1032" i="2"/>
  <c r="P1032" i="2" s="1"/>
  <c r="O1033" i="2"/>
  <c r="P1033" i="2" s="1"/>
  <c r="O1034" i="2"/>
  <c r="P1034" i="2" s="1"/>
  <c r="Q1034" i="2" s="1"/>
  <c r="V1034" i="2" s="1"/>
  <c r="O1035" i="2"/>
  <c r="P1035" i="2" s="1"/>
  <c r="O1036" i="2"/>
  <c r="P1036" i="2" s="1"/>
  <c r="O1037" i="2"/>
  <c r="P1037" i="2" s="1"/>
  <c r="O1038" i="2"/>
  <c r="P1038" i="2" s="1"/>
  <c r="Q1038" i="2" s="1"/>
  <c r="V1038" i="2" s="1"/>
  <c r="O1039" i="2"/>
  <c r="P1039" i="2" s="1"/>
  <c r="O1040" i="2"/>
  <c r="P1040" i="2" s="1"/>
  <c r="O1041" i="2"/>
  <c r="P1041" i="2" s="1"/>
  <c r="O1042" i="2"/>
  <c r="P1042" i="2" s="1"/>
  <c r="O1043" i="2"/>
  <c r="P1043" i="2" s="1"/>
  <c r="O1044" i="2"/>
  <c r="P1044" i="2" s="1"/>
  <c r="O1045" i="2"/>
  <c r="P1045" i="2" s="1"/>
  <c r="O1046" i="2"/>
  <c r="P1046" i="2" s="1"/>
  <c r="Q1046" i="2" s="1"/>
  <c r="V1046" i="2" s="1"/>
  <c r="O1047" i="2"/>
  <c r="P1047" i="2" s="1"/>
  <c r="O1048" i="2"/>
  <c r="P1048" i="2" s="1"/>
  <c r="O1049" i="2"/>
  <c r="P1049" i="2" s="1"/>
  <c r="Q1049" i="2" s="1"/>
  <c r="V1049" i="2" s="1"/>
  <c r="O1050" i="2"/>
  <c r="P1050" i="2" s="1"/>
  <c r="Q1050" i="2" s="1"/>
  <c r="V1050" i="2" s="1"/>
  <c r="O544" i="2"/>
  <c r="O543" i="2"/>
  <c r="O542" i="2"/>
  <c r="P542" i="2" s="1"/>
  <c r="Q542" i="2" s="1"/>
  <c r="V542" i="2" s="1"/>
  <c r="O540" i="2"/>
  <c r="P540" i="2" s="1"/>
  <c r="O539" i="2"/>
  <c r="O538" i="2"/>
  <c r="P538" i="2" s="1"/>
  <c r="O537" i="2"/>
  <c r="P537" i="2" s="1"/>
  <c r="Q537" i="2" s="1"/>
  <c r="V537" i="2" s="1"/>
  <c r="O535" i="2"/>
  <c r="P535" i="2" s="1"/>
  <c r="O534" i="2"/>
  <c r="O533" i="2"/>
  <c r="O532" i="2"/>
  <c r="P532" i="2" s="1"/>
  <c r="Q532" i="2" s="1"/>
  <c r="V532" i="2" s="1"/>
  <c r="O531" i="2"/>
  <c r="O530" i="2"/>
  <c r="O529" i="2"/>
  <c r="P529" i="2" s="1"/>
  <c r="Q529" i="2" s="1"/>
  <c r="V529" i="2" s="1"/>
  <c r="N528" i="2"/>
  <c r="O528" i="2" s="1"/>
  <c r="O527" i="2"/>
  <c r="P527" i="2" s="1"/>
  <c r="Q527" i="2" s="1"/>
  <c r="V527" i="2" s="1"/>
  <c r="O526" i="2"/>
  <c r="P526" i="2" s="1"/>
  <c r="Q526" i="2" s="1"/>
  <c r="V526" i="2" s="1"/>
  <c r="O525" i="2"/>
  <c r="O524" i="2"/>
  <c r="P524" i="2" s="1"/>
  <c r="Q524" i="2" s="1"/>
  <c r="V524" i="2" s="1"/>
  <c r="O523" i="2"/>
  <c r="P523" i="2" s="1"/>
  <c r="Q523" i="2" s="1"/>
  <c r="V523" i="2" s="1"/>
  <c r="O519" i="2"/>
  <c r="P519" i="2" s="1"/>
  <c r="O518" i="2"/>
  <c r="O517" i="2"/>
  <c r="O516" i="2"/>
  <c r="P516" i="2" s="1"/>
  <c r="Q516" i="2" s="1"/>
  <c r="V516" i="2" s="1"/>
  <c r="O514" i="2"/>
  <c r="O513" i="2"/>
  <c r="P513" i="2" s="1"/>
  <c r="Q513" i="2" s="1"/>
  <c r="V513" i="2" s="1"/>
  <c r="O510" i="2"/>
  <c r="P510" i="2" s="1"/>
  <c r="O509" i="2"/>
  <c r="P509" i="2" s="1"/>
  <c r="O508" i="2"/>
  <c r="O507" i="2"/>
  <c r="O506" i="2"/>
  <c r="P506" i="2" s="1"/>
  <c r="Q506" i="2" s="1"/>
  <c r="V506" i="2" s="1"/>
  <c r="O505" i="2"/>
  <c r="P505" i="2" s="1"/>
  <c r="O504" i="2"/>
  <c r="O503" i="2"/>
  <c r="P503" i="2" s="1"/>
  <c r="Q503" i="2" s="1"/>
  <c r="V503" i="2" s="1"/>
  <c r="O502" i="2"/>
  <c r="P502" i="2" s="1"/>
  <c r="Q502" i="2" s="1"/>
  <c r="V502" i="2" s="1"/>
  <c r="O501" i="2"/>
  <c r="O500" i="2"/>
  <c r="O499" i="2"/>
  <c r="O498" i="2"/>
  <c r="P498" i="2" s="1"/>
  <c r="Q498" i="2" s="1"/>
  <c r="V498" i="2" s="1"/>
  <c r="O497" i="2"/>
  <c r="O496" i="2"/>
  <c r="O495" i="2"/>
  <c r="P495" i="2" s="1"/>
  <c r="Q495" i="2" s="1"/>
  <c r="V495" i="2" s="1"/>
  <c r="O494" i="2"/>
  <c r="P494" i="2" s="1"/>
  <c r="Q494" i="2" s="1"/>
  <c r="V494" i="2" s="1"/>
  <c r="P1015" i="2" l="1"/>
  <c r="Q1015" i="2" s="1"/>
  <c r="V1015" i="2" s="1"/>
  <c r="P1012" i="2"/>
  <c r="Q1012" i="2" s="1"/>
  <c r="V1012" i="2" s="1"/>
  <c r="Q573" i="2"/>
  <c r="V573" i="2" s="1"/>
  <c r="P557" i="2"/>
  <c r="Q557" i="2" s="1"/>
  <c r="V557" i="2" s="1"/>
  <c r="P572" i="2"/>
  <c r="Q572" i="2" s="1"/>
  <c r="V572" i="2" s="1"/>
  <c r="P575" i="2"/>
  <c r="Q575" i="2" s="1"/>
  <c r="V575" i="2" s="1"/>
  <c r="Q636" i="2"/>
  <c r="V636" i="2" s="1"/>
  <c r="Q654" i="2"/>
  <c r="V654" i="2" s="1"/>
  <c r="P695" i="2"/>
  <c r="Q695" i="2" s="1"/>
  <c r="V695" i="2" s="1"/>
  <c r="Q610" i="2"/>
  <c r="V610" i="2" s="1"/>
  <c r="Q628" i="2"/>
  <c r="V628" i="2" s="1"/>
  <c r="P549" i="2"/>
  <c r="Q549" i="2" s="1"/>
  <c r="V549" i="2" s="1"/>
  <c r="P563" i="2"/>
  <c r="Q563" i="2" s="1"/>
  <c r="V563" i="2" s="1"/>
  <c r="P566" i="2"/>
  <c r="Q566" i="2" s="1"/>
  <c r="V566" i="2" s="1"/>
  <c r="P586" i="2"/>
  <c r="Q586" i="2" s="1"/>
  <c r="V586" i="2" s="1"/>
  <c r="Q677" i="2"/>
  <c r="V677" i="2" s="1"/>
  <c r="Q550" i="2"/>
  <c r="V550" i="2" s="1"/>
  <c r="P558" i="2"/>
  <c r="Q558" i="2" s="1"/>
  <c r="V558" i="2" s="1"/>
  <c r="Q568" i="2"/>
  <c r="V568" i="2" s="1"/>
  <c r="P593" i="2"/>
  <c r="Q593" i="2" s="1"/>
  <c r="V593" i="2" s="1"/>
  <c r="P611" i="2"/>
  <c r="Q611" i="2" s="1"/>
  <c r="V611" i="2" s="1"/>
  <c r="Q619" i="2"/>
  <c r="V619" i="2" s="1"/>
  <c r="Q637" i="2"/>
  <c r="V637" i="2" s="1"/>
  <c r="P661" i="2"/>
  <c r="Q661" i="2" s="1"/>
  <c r="V661" i="2" s="1"/>
  <c r="P679" i="2"/>
  <c r="Q679" i="2" s="1"/>
  <c r="V679" i="2" s="1"/>
  <c r="Q686" i="2"/>
  <c r="V686" i="2" s="1"/>
  <c r="Q551" i="2"/>
  <c r="V551" i="2" s="1"/>
  <c r="P559" i="2"/>
  <c r="Q559" i="2" s="1"/>
  <c r="V559" i="2" s="1"/>
  <c r="P577" i="2"/>
  <c r="Q577" i="2" s="1"/>
  <c r="V577" i="2" s="1"/>
  <c r="P594" i="2"/>
  <c r="Q594" i="2" s="1"/>
  <c r="V594" i="2" s="1"/>
  <c r="Q601" i="2"/>
  <c r="V601" i="2" s="1"/>
  <c r="Q620" i="2"/>
  <c r="V620" i="2" s="1"/>
  <c r="P644" i="2"/>
  <c r="Q644" i="2" s="1"/>
  <c r="V644" i="2" s="1"/>
  <c r="P662" i="2"/>
  <c r="Q662" i="2" s="1"/>
  <c r="V662" i="2" s="1"/>
  <c r="Q669" i="2"/>
  <c r="V669" i="2" s="1"/>
  <c r="Q565" i="2"/>
  <c r="V565" i="2" s="1"/>
  <c r="P574" i="2"/>
  <c r="Q574" i="2" s="1"/>
  <c r="V574" i="2" s="1"/>
  <c r="P578" i="2"/>
  <c r="Q578" i="2" s="1"/>
  <c r="V578" i="2" s="1"/>
  <c r="Q585" i="2"/>
  <c r="V585" i="2" s="1"/>
  <c r="Q603" i="2"/>
  <c r="V603" i="2" s="1"/>
  <c r="P627" i="2"/>
  <c r="Q627" i="2" s="1"/>
  <c r="V627" i="2" s="1"/>
  <c r="P646" i="2"/>
  <c r="Q646" i="2" s="1"/>
  <c r="V646" i="2" s="1"/>
  <c r="Q653" i="2"/>
  <c r="V653" i="2" s="1"/>
  <c r="Q670" i="2"/>
  <c r="V670" i="2" s="1"/>
  <c r="P694" i="2"/>
  <c r="Q694" i="2" s="1"/>
  <c r="V694" i="2" s="1"/>
  <c r="P553" i="2"/>
  <c r="Q553" i="2" s="1"/>
  <c r="V553" i="2" s="1"/>
  <c r="P561" i="2"/>
  <c r="Q561" i="2" s="1"/>
  <c r="V561" i="2" s="1"/>
  <c r="P570" i="2"/>
  <c r="Q570" i="2" s="1"/>
  <c r="V570" i="2" s="1"/>
  <c r="P581" i="2"/>
  <c r="Q581" i="2" s="1"/>
  <c r="V581" i="2" s="1"/>
  <c r="P589" i="2"/>
  <c r="Q589" i="2" s="1"/>
  <c r="V589" i="2" s="1"/>
  <c r="P597" i="2"/>
  <c r="Q597" i="2" s="1"/>
  <c r="V597" i="2" s="1"/>
  <c r="P606" i="2"/>
  <c r="Q606" i="2" s="1"/>
  <c r="V606" i="2" s="1"/>
  <c r="P615" i="2"/>
  <c r="Q615" i="2" s="1"/>
  <c r="V615" i="2" s="1"/>
  <c r="P623" i="2"/>
  <c r="Q623" i="2" s="1"/>
  <c r="V623" i="2" s="1"/>
  <c r="P632" i="2"/>
  <c r="Q632" i="2" s="1"/>
  <c r="V632" i="2" s="1"/>
  <c r="P640" i="2"/>
  <c r="Q640" i="2" s="1"/>
  <c r="V640" i="2" s="1"/>
  <c r="P649" i="2"/>
  <c r="Q649" i="2" s="1"/>
  <c r="V649" i="2" s="1"/>
  <c r="P657" i="2"/>
  <c r="Q657" i="2" s="1"/>
  <c r="V657" i="2" s="1"/>
  <c r="P665" i="2"/>
  <c r="Q665" i="2" s="1"/>
  <c r="V665" i="2" s="1"/>
  <c r="P673" i="2"/>
  <c r="Q673" i="2" s="1"/>
  <c r="V673" i="2" s="1"/>
  <c r="P682" i="2"/>
  <c r="Q682" i="2" s="1"/>
  <c r="V682" i="2" s="1"/>
  <c r="P690" i="2"/>
  <c r="Q690" i="2" s="1"/>
  <c r="V690" i="2" s="1"/>
  <c r="P698" i="2"/>
  <c r="Q698" i="2" s="1"/>
  <c r="V698" i="2" s="1"/>
  <c r="P546" i="2"/>
  <c r="Q546" i="2" s="1"/>
  <c r="V546" i="2" s="1"/>
  <c r="P554" i="2"/>
  <c r="Q554" i="2" s="1"/>
  <c r="V554" i="2" s="1"/>
  <c r="P562" i="2"/>
  <c r="Q562" i="2" s="1"/>
  <c r="V562" i="2" s="1"/>
  <c r="P571" i="2"/>
  <c r="Q571" i="2" s="1"/>
  <c r="V571" i="2" s="1"/>
  <c r="P582" i="2"/>
  <c r="Q582" i="2" s="1"/>
  <c r="V582" i="2" s="1"/>
  <c r="P590" i="2"/>
  <c r="Q590" i="2" s="1"/>
  <c r="V590" i="2" s="1"/>
  <c r="P598" i="2"/>
  <c r="Q598" i="2" s="1"/>
  <c r="V598" i="2" s="1"/>
  <c r="P607" i="2"/>
  <c r="Q607" i="2" s="1"/>
  <c r="V607" i="2" s="1"/>
  <c r="P616" i="2"/>
  <c r="Q616" i="2" s="1"/>
  <c r="V616" i="2" s="1"/>
  <c r="P624" i="2"/>
  <c r="Q624" i="2" s="1"/>
  <c r="V624" i="2" s="1"/>
  <c r="P633" i="2"/>
  <c r="Q633" i="2" s="1"/>
  <c r="V633" i="2" s="1"/>
  <c r="P641" i="2"/>
  <c r="Q641" i="2" s="1"/>
  <c r="V641" i="2" s="1"/>
  <c r="P650" i="2"/>
  <c r="Q650" i="2" s="1"/>
  <c r="V650" i="2" s="1"/>
  <c r="P658" i="2"/>
  <c r="Q658" i="2" s="1"/>
  <c r="V658" i="2" s="1"/>
  <c r="P666" i="2"/>
  <c r="Q666" i="2" s="1"/>
  <c r="V666" i="2" s="1"/>
  <c r="P674" i="2"/>
  <c r="Q674" i="2" s="1"/>
  <c r="V674" i="2" s="1"/>
  <c r="P683" i="2"/>
  <c r="Q683" i="2" s="1"/>
  <c r="V683" i="2" s="1"/>
  <c r="P691" i="2"/>
  <c r="Q691" i="2" s="1"/>
  <c r="V691" i="2" s="1"/>
  <c r="P552" i="2"/>
  <c r="Q552" i="2" s="1"/>
  <c r="V552" i="2" s="1"/>
  <c r="P560" i="2"/>
  <c r="Q560" i="2" s="1"/>
  <c r="V560" i="2" s="1"/>
  <c r="P569" i="2"/>
  <c r="Q569" i="2" s="1"/>
  <c r="V569" i="2" s="1"/>
  <c r="P580" i="2"/>
  <c r="Q580" i="2" s="1"/>
  <c r="V580" i="2" s="1"/>
  <c r="P588" i="2"/>
  <c r="Q588" i="2" s="1"/>
  <c r="V588" i="2" s="1"/>
  <c r="P596" i="2"/>
  <c r="Q596" i="2" s="1"/>
  <c r="V596" i="2" s="1"/>
  <c r="P605" i="2"/>
  <c r="Q605" i="2" s="1"/>
  <c r="V605" i="2" s="1"/>
  <c r="P614" i="2"/>
  <c r="Q614" i="2" s="1"/>
  <c r="V614" i="2" s="1"/>
  <c r="P622" i="2"/>
  <c r="Q622" i="2" s="1"/>
  <c r="V622" i="2" s="1"/>
  <c r="P631" i="2"/>
  <c r="Q631" i="2" s="1"/>
  <c r="V631" i="2" s="1"/>
  <c r="P639" i="2"/>
  <c r="Q639" i="2" s="1"/>
  <c r="V639" i="2" s="1"/>
  <c r="P648" i="2"/>
  <c r="Q648" i="2" s="1"/>
  <c r="V648" i="2" s="1"/>
  <c r="P656" i="2"/>
  <c r="Q656" i="2" s="1"/>
  <c r="V656" i="2" s="1"/>
  <c r="P664" i="2"/>
  <c r="Q664" i="2" s="1"/>
  <c r="V664" i="2" s="1"/>
  <c r="P672" i="2"/>
  <c r="Q672" i="2" s="1"/>
  <c r="V672" i="2" s="1"/>
  <c r="P681" i="2"/>
  <c r="Q681" i="2" s="1"/>
  <c r="V681" i="2" s="1"/>
  <c r="P689" i="2"/>
  <c r="Q689" i="2" s="1"/>
  <c r="V689" i="2" s="1"/>
  <c r="P697" i="2"/>
  <c r="Q697" i="2" s="1"/>
  <c r="V697" i="2" s="1"/>
  <c r="Q1037" i="2"/>
  <c r="V1037" i="2" s="1"/>
  <c r="Q1025" i="2"/>
  <c r="V1025" i="2" s="1"/>
  <c r="Q1041" i="2"/>
  <c r="V1041" i="2" s="1"/>
  <c r="Q1017" i="2"/>
  <c r="V1017" i="2" s="1"/>
  <c r="Q1027" i="2"/>
  <c r="V1027" i="2" s="1"/>
  <c r="Q1033" i="2"/>
  <c r="V1033" i="2" s="1"/>
  <c r="Q1026" i="2"/>
  <c r="V1026" i="2" s="1"/>
  <c r="Q1043" i="2"/>
  <c r="V1043" i="2" s="1"/>
  <c r="Q1035" i="2"/>
  <c r="V1035" i="2" s="1"/>
  <c r="Q1048" i="2"/>
  <c r="V1048" i="2" s="1"/>
  <c r="Q1040" i="2"/>
  <c r="V1040" i="2" s="1"/>
  <c r="Q1032" i="2"/>
  <c r="V1032" i="2" s="1"/>
  <c r="Q1045" i="2"/>
  <c r="V1045" i="2" s="1"/>
  <c r="Q1029" i="2"/>
  <c r="V1029" i="2" s="1"/>
  <c r="Q1021" i="2"/>
  <c r="V1021" i="2" s="1"/>
  <c r="Q1013" i="2"/>
  <c r="V1013" i="2" s="1"/>
  <c r="Q1042" i="2"/>
  <c r="V1042" i="2" s="1"/>
  <c r="Q1047" i="2"/>
  <c r="V1047" i="2" s="1"/>
  <c r="Q1039" i="2"/>
  <c r="V1039" i="2" s="1"/>
  <c r="Q1044" i="2"/>
  <c r="V1044" i="2" s="1"/>
  <c r="Q1036" i="2"/>
  <c r="V1036" i="2" s="1"/>
  <c r="Q1028" i="2"/>
  <c r="V1028" i="2" s="1"/>
  <c r="Q1020" i="2"/>
  <c r="V1020" i="2" s="1"/>
  <c r="Q510" i="2"/>
  <c r="V510" i="2" s="1"/>
  <c r="P497" i="2"/>
  <c r="Q497" i="2" s="1"/>
  <c r="V497" i="2" s="1"/>
  <c r="Q505" i="2"/>
  <c r="V505" i="2" s="1"/>
  <c r="P531" i="2"/>
  <c r="Q531" i="2" s="1"/>
  <c r="V531" i="2" s="1"/>
  <c r="Q538" i="2"/>
  <c r="V538" i="2" s="1"/>
  <c r="Q540" i="2"/>
  <c r="V540" i="2" s="1"/>
  <c r="P528" i="2"/>
  <c r="Q528" i="2" s="1"/>
  <c r="V528" i="2" s="1"/>
  <c r="P501" i="2"/>
  <c r="Q501" i="2" s="1"/>
  <c r="V501" i="2" s="1"/>
  <c r="P496" i="2"/>
  <c r="Q496" i="2" s="1"/>
  <c r="V496" i="2" s="1"/>
  <c r="P504" i="2"/>
  <c r="Q504" i="2" s="1"/>
  <c r="V504" i="2" s="1"/>
  <c r="Q509" i="2"/>
  <c r="V509" i="2" s="1"/>
  <c r="P514" i="2"/>
  <c r="Q519" i="2"/>
  <c r="V519" i="2" s="1"/>
  <c r="P525" i="2"/>
  <c r="Q525" i="2" s="1"/>
  <c r="V525" i="2" s="1"/>
  <c r="P530" i="2"/>
  <c r="Q530" i="2" s="1"/>
  <c r="V530" i="2" s="1"/>
  <c r="Q535" i="2"/>
  <c r="V535" i="2" s="1"/>
  <c r="P539" i="2"/>
  <c r="Q539" i="2" s="1"/>
  <c r="V539" i="2" s="1"/>
  <c r="P499" i="2"/>
  <c r="Q499" i="2" s="1"/>
  <c r="V499" i="2" s="1"/>
  <c r="P507" i="2"/>
  <c r="Q507" i="2" s="1"/>
  <c r="V507" i="2" s="1"/>
  <c r="P517" i="2"/>
  <c r="Q517" i="2" s="1"/>
  <c r="V517" i="2" s="1"/>
  <c r="P533" i="2"/>
  <c r="Q533" i="2" s="1"/>
  <c r="V533" i="2" s="1"/>
  <c r="P543" i="2"/>
  <c r="Q543" i="2" s="1"/>
  <c r="V543" i="2" s="1"/>
  <c r="P500" i="2"/>
  <c r="Q500" i="2" s="1"/>
  <c r="V500" i="2" s="1"/>
  <c r="P508" i="2"/>
  <c r="Q508" i="2" s="1"/>
  <c r="V508" i="2" s="1"/>
  <c r="P518" i="2"/>
  <c r="Q518" i="2" s="1"/>
  <c r="V518" i="2" s="1"/>
  <c r="P534" i="2"/>
  <c r="Q534" i="2" s="1"/>
  <c r="V534" i="2" s="1"/>
  <c r="P544" i="2"/>
  <c r="Q544" i="2" s="1"/>
  <c r="V544" i="2" s="1"/>
  <c r="Q514" i="2" l="1"/>
  <c r="V514" i="2" s="1"/>
  <c r="O492" i="2"/>
  <c r="O491" i="2"/>
  <c r="O490" i="2"/>
  <c r="O488" i="2"/>
  <c r="O487" i="2"/>
  <c r="O486" i="2"/>
  <c r="O485" i="2"/>
  <c r="P485" i="2" s="1"/>
  <c r="Q485" i="2" s="1"/>
  <c r="V485" i="2" s="1"/>
  <c r="O484" i="2"/>
  <c r="O483" i="2"/>
  <c r="O482" i="2"/>
  <c r="O481" i="2"/>
  <c r="O480" i="2"/>
  <c r="P480" i="2" s="1"/>
  <c r="O479" i="2"/>
  <c r="O478" i="2"/>
  <c r="P478" i="2" s="1"/>
  <c r="Q478" i="2" s="1"/>
  <c r="V478" i="2" s="1"/>
  <c r="O477" i="2"/>
  <c r="P477" i="2" s="1"/>
  <c r="O476" i="2"/>
  <c r="O475" i="2"/>
  <c r="O474" i="2"/>
  <c r="O471" i="2"/>
  <c r="O470" i="2"/>
  <c r="O469" i="2"/>
  <c r="P469" i="2" s="1"/>
  <c r="O468" i="2"/>
  <c r="P468" i="2" s="1"/>
  <c r="Q468" i="2" s="1"/>
  <c r="V468" i="2" s="1"/>
  <c r="O467" i="2"/>
  <c r="O466" i="2"/>
  <c r="O465" i="2"/>
  <c r="O464" i="2"/>
  <c r="O463" i="2"/>
  <c r="P463" i="2" s="1"/>
  <c r="O462" i="2"/>
  <c r="O461" i="2"/>
  <c r="P461" i="2" s="1"/>
  <c r="O460" i="2"/>
  <c r="P460" i="2" s="1"/>
  <c r="Q460" i="2" s="1"/>
  <c r="V460" i="2" s="1"/>
  <c r="O459" i="2"/>
  <c r="O457" i="2"/>
  <c r="O456" i="2"/>
  <c r="O455" i="2"/>
  <c r="O454" i="2"/>
  <c r="O453" i="2"/>
  <c r="P453" i="2" s="1"/>
  <c r="O452" i="2"/>
  <c r="O451" i="2"/>
  <c r="P451" i="2" s="1"/>
  <c r="Q451" i="2" s="1"/>
  <c r="V451" i="2" s="1"/>
  <c r="R450" i="2"/>
  <c r="V450" i="2" s="1"/>
  <c r="O449" i="2"/>
  <c r="O448" i="2"/>
  <c r="P448" i="2" s="1"/>
  <c r="O447" i="2"/>
  <c r="P447" i="2" s="1"/>
  <c r="O446" i="2"/>
  <c r="O445" i="2"/>
  <c r="P445" i="2" s="1"/>
  <c r="Q445" i="2" s="1"/>
  <c r="V445" i="2" s="1"/>
  <c r="O444" i="2"/>
  <c r="O442" i="2"/>
  <c r="O441" i="2"/>
  <c r="O440" i="2"/>
  <c r="O439" i="2"/>
  <c r="O438" i="2"/>
  <c r="O437" i="2"/>
  <c r="O436" i="2"/>
  <c r="P436" i="2" s="1"/>
  <c r="Q436" i="2" s="1"/>
  <c r="V436" i="2" s="1"/>
  <c r="O435" i="2"/>
  <c r="P435" i="2" s="1"/>
  <c r="Q435" i="2" s="1"/>
  <c r="V435" i="2" s="1"/>
  <c r="O434" i="2"/>
  <c r="O433" i="2"/>
  <c r="O432" i="2"/>
  <c r="O431" i="2"/>
  <c r="P431" i="2" s="1"/>
  <c r="O430" i="2"/>
  <c r="P459" i="2" l="1"/>
  <c r="Q459" i="2" s="1"/>
  <c r="V459" i="2" s="1"/>
  <c r="Q477" i="2"/>
  <c r="V477" i="2" s="1"/>
  <c r="P437" i="2"/>
  <c r="Q437" i="2" s="1"/>
  <c r="V437" i="2" s="1"/>
  <c r="Q448" i="2"/>
  <c r="V448" i="2" s="1"/>
  <c r="P487" i="2"/>
  <c r="Q487" i="2" s="1"/>
  <c r="V487" i="2" s="1"/>
  <c r="P444" i="2"/>
  <c r="Q444" i="2" s="1"/>
  <c r="V444" i="2" s="1"/>
  <c r="Q469" i="2"/>
  <c r="V469" i="2" s="1"/>
  <c r="P479" i="2"/>
  <c r="Q479" i="2" s="1"/>
  <c r="V479" i="2" s="1"/>
  <c r="Q431" i="2"/>
  <c r="V431" i="2" s="1"/>
  <c r="P438" i="2"/>
  <c r="Q438" i="2" s="1"/>
  <c r="V438" i="2" s="1"/>
  <c r="P454" i="2"/>
  <c r="Q454" i="2" s="1"/>
  <c r="V454" i="2" s="1"/>
  <c r="Q461" i="2"/>
  <c r="V461" i="2" s="1"/>
  <c r="Q480" i="2"/>
  <c r="V480" i="2" s="1"/>
  <c r="P488" i="2"/>
  <c r="Q488" i="2" s="1"/>
  <c r="V488" i="2" s="1"/>
  <c r="P439" i="2"/>
  <c r="Q439" i="2" s="1"/>
  <c r="V439" i="2" s="1"/>
  <c r="P467" i="2"/>
  <c r="Q467" i="2" s="1"/>
  <c r="V467" i="2" s="1"/>
  <c r="P470" i="2"/>
  <c r="Q470" i="2" s="1"/>
  <c r="V470" i="2" s="1"/>
  <c r="P490" i="2"/>
  <c r="Q490" i="2" s="1"/>
  <c r="V490" i="2" s="1"/>
  <c r="P446" i="2"/>
  <c r="Q446" i="2" s="1"/>
  <c r="V446" i="2" s="1"/>
  <c r="P462" i="2"/>
  <c r="Q462" i="2" s="1"/>
  <c r="V462" i="2" s="1"/>
  <c r="P481" i="2"/>
  <c r="Q481" i="2" s="1"/>
  <c r="V481" i="2" s="1"/>
  <c r="P486" i="2"/>
  <c r="Q486" i="2" s="1"/>
  <c r="V486" i="2" s="1"/>
  <c r="Q453" i="2"/>
  <c r="V453" i="2" s="1"/>
  <c r="Q447" i="2"/>
  <c r="V447" i="2" s="1"/>
  <c r="P452" i="2"/>
  <c r="Q452" i="2" s="1"/>
  <c r="V452" i="2" s="1"/>
  <c r="Q463" i="2"/>
  <c r="V463" i="2" s="1"/>
  <c r="P471" i="2"/>
  <c r="Q471" i="2" s="1"/>
  <c r="V471" i="2" s="1"/>
  <c r="P434" i="2"/>
  <c r="Q434" i="2" s="1"/>
  <c r="V434" i="2" s="1"/>
  <c r="P442" i="2"/>
  <c r="Q442" i="2" s="1"/>
  <c r="V442" i="2" s="1"/>
  <c r="P457" i="2"/>
  <c r="Q457" i="2" s="1"/>
  <c r="V457" i="2" s="1"/>
  <c r="P466" i="2"/>
  <c r="Q466" i="2" s="1"/>
  <c r="V466" i="2" s="1"/>
  <c r="P476" i="2"/>
  <c r="Q476" i="2" s="1"/>
  <c r="V476" i="2" s="1"/>
  <c r="P484" i="2"/>
  <c r="Q484" i="2" s="1"/>
  <c r="V484" i="2" s="1"/>
  <c r="P432" i="2"/>
  <c r="Q432" i="2" s="1"/>
  <c r="V432" i="2" s="1"/>
  <c r="P440" i="2"/>
  <c r="Q440" i="2" s="1"/>
  <c r="V440" i="2" s="1"/>
  <c r="P449" i="2"/>
  <c r="Q449" i="2" s="1"/>
  <c r="V449" i="2" s="1"/>
  <c r="P455" i="2"/>
  <c r="Q455" i="2" s="1"/>
  <c r="V455" i="2" s="1"/>
  <c r="P464" i="2"/>
  <c r="Q464" i="2" s="1"/>
  <c r="P474" i="2"/>
  <c r="Q474" i="2" s="1"/>
  <c r="V474" i="2" s="1"/>
  <c r="P482" i="2"/>
  <c r="Q482" i="2" s="1"/>
  <c r="V482" i="2" s="1"/>
  <c r="P491" i="2"/>
  <c r="Q491" i="2" s="1"/>
  <c r="V491" i="2" s="1"/>
  <c r="P430" i="2"/>
  <c r="Q430" i="2" s="1"/>
  <c r="V430" i="2" s="1"/>
  <c r="P433" i="2"/>
  <c r="Q433" i="2" s="1"/>
  <c r="V433" i="2" s="1"/>
  <c r="P441" i="2"/>
  <c r="Q441" i="2" s="1"/>
  <c r="V441" i="2" s="1"/>
  <c r="P456" i="2"/>
  <c r="Q456" i="2" s="1"/>
  <c r="V456" i="2" s="1"/>
  <c r="P465" i="2"/>
  <c r="Q465" i="2" s="1"/>
  <c r="V465" i="2" s="1"/>
  <c r="P475" i="2"/>
  <c r="Q475" i="2" s="1"/>
  <c r="V475" i="2" s="1"/>
  <c r="P483" i="2"/>
  <c r="Q483" i="2" s="1"/>
  <c r="V483" i="2" s="1"/>
  <c r="P492" i="2"/>
  <c r="Q492" i="2" s="1"/>
  <c r="V492" i="2" s="1"/>
  <c r="V464" i="2" l="1"/>
  <c r="S473" i="2"/>
  <c r="V473" i="2" s="1"/>
  <c r="O428" i="2"/>
  <c r="P428" i="2" s="1"/>
  <c r="Q428" i="2" s="1"/>
  <c r="V428" i="2" s="1"/>
  <c r="O427" i="2"/>
  <c r="P427" i="2" s="1"/>
  <c r="Q427" i="2" s="1"/>
  <c r="V427" i="2" s="1"/>
  <c r="O425" i="2"/>
  <c r="O424" i="2"/>
  <c r="P424" i="2" s="1"/>
  <c r="Q424" i="2" s="1"/>
  <c r="V424" i="2" s="1"/>
  <c r="O423" i="2"/>
  <c r="O422" i="2"/>
  <c r="P422" i="2" s="1"/>
  <c r="O421" i="2"/>
  <c r="O420" i="2"/>
  <c r="O419" i="2"/>
  <c r="P419" i="2" s="1"/>
  <c r="Q419" i="2" s="1"/>
  <c r="V419" i="2" s="1"/>
  <c r="O418" i="2"/>
  <c r="P418" i="2" s="1"/>
  <c r="Q418" i="2" s="1"/>
  <c r="V418" i="2" s="1"/>
  <c r="O417" i="2"/>
  <c r="O416" i="2"/>
  <c r="P416" i="2" s="1"/>
  <c r="Q416" i="2" s="1"/>
  <c r="V416" i="2" s="1"/>
  <c r="O415" i="2"/>
  <c r="O414" i="2"/>
  <c r="P414" i="2" s="1"/>
  <c r="O413" i="2"/>
  <c r="O412" i="2"/>
  <c r="O411" i="2"/>
  <c r="P411" i="2" s="1"/>
  <c r="Q411" i="2" s="1"/>
  <c r="V411" i="2" s="1"/>
  <c r="O410" i="2"/>
  <c r="P410" i="2" s="1"/>
  <c r="Q410" i="2" s="1"/>
  <c r="V410" i="2" s="1"/>
  <c r="O409" i="2"/>
  <c r="O408" i="2"/>
  <c r="P408" i="2" s="1"/>
  <c r="Q408" i="2" s="1"/>
  <c r="V408" i="2" s="1"/>
  <c r="O407" i="2"/>
  <c r="O406" i="2"/>
  <c r="P406" i="2" s="1"/>
  <c r="O405" i="2"/>
  <c r="O404" i="2"/>
  <c r="O403" i="2"/>
  <c r="P403" i="2" s="1"/>
  <c r="Q403" i="2" s="1"/>
  <c r="V403" i="2" s="1"/>
  <c r="O402" i="2"/>
  <c r="P402" i="2" s="1"/>
  <c r="Q402" i="2" s="1"/>
  <c r="V402" i="2" s="1"/>
  <c r="O401" i="2"/>
  <c r="O400" i="2"/>
  <c r="P400" i="2" s="1"/>
  <c r="Q400" i="2" s="1"/>
  <c r="V400" i="2" s="1"/>
  <c r="O399" i="2"/>
  <c r="P399" i="2" s="1"/>
  <c r="O398" i="2"/>
  <c r="P398" i="2" s="1"/>
  <c r="O397" i="2"/>
  <c r="O396" i="2"/>
  <c r="O395" i="2"/>
  <c r="P395" i="2" s="1"/>
  <c r="Q395" i="2" s="1"/>
  <c r="V395" i="2" s="1"/>
  <c r="O394" i="2"/>
  <c r="P394" i="2" s="1"/>
  <c r="Q394" i="2" s="1"/>
  <c r="V394" i="2" s="1"/>
  <c r="O393" i="2"/>
  <c r="O390" i="2"/>
  <c r="P390" i="2" s="1"/>
  <c r="Q390" i="2" s="1"/>
  <c r="V390" i="2" s="1"/>
  <c r="O389" i="2"/>
  <c r="O388" i="2"/>
  <c r="P388" i="2" s="1"/>
  <c r="O387" i="2"/>
  <c r="O386" i="2"/>
  <c r="O385" i="2"/>
  <c r="P385" i="2" s="1"/>
  <c r="Q385" i="2" s="1"/>
  <c r="V385" i="2" s="1"/>
  <c r="O384" i="2"/>
  <c r="P384" i="2" s="1"/>
  <c r="Q384" i="2" s="1"/>
  <c r="V384" i="2" s="1"/>
  <c r="O383" i="2"/>
  <c r="P383" i="2" s="1"/>
  <c r="O382" i="2"/>
  <c r="P382" i="2" s="1"/>
  <c r="Q382" i="2" s="1"/>
  <c r="V382" i="2" s="1"/>
  <c r="O381" i="2"/>
  <c r="O380" i="2"/>
  <c r="P380" i="2" s="1"/>
  <c r="O379" i="2"/>
  <c r="O378" i="2"/>
  <c r="O377" i="2"/>
  <c r="P377" i="2" s="1"/>
  <c r="Q377" i="2" s="1"/>
  <c r="V377" i="2" s="1"/>
  <c r="O376" i="2"/>
  <c r="P376" i="2" s="1"/>
  <c r="Q376" i="2" s="1"/>
  <c r="V376" i="2" s="1"/>
  <c r="O375" i="2"/>
  <c r="O374" i="2"/>
  <c r="P374" i="2" s="1"/>
  <c r="Q374" i="2" s="1"/>
  <c r="V374" i="2" s="1"/>
  <c r="O373" i="2"/>
  <c r="O372" i="2"/>
  <c r="O371" i="2"/>
  <c r="O370" i="2"/>
  <c r="O369" i="2"/>
  <c r="O368" i="2"/>
  <c r="P368" i="2" s="1"/>
  <c r="O367" i="2"/>
  <c r="O366" i="2"/>
  <c r="O365" i="2"/>
  <c r="O364" i="2"/>
  <c r="O362" i="2"/>
  <c r="O361" i="2"/>
  <c r="O360" i="2"/>
  <c r="O359" i="2"/>
  <c r="P359" i="2" s="1"/>
  <c r="O357" i="2"/>
  <c r="P357" i="2" s="1"/>
  <c r="Q357" i="2" s="1"/>
  <c r="V357" i="2" s="1"/>
  <c r="O354" i="2"/>
  <c r="P354" i="2" s="1"/>
  <c r="Q354" i="2" s="1"/>
  <c r="V354" i="2" s="1"/>
  <c r="O353" i="2"/>
  <c r="O352" i="2"/>
  <c r="O351" i="2"/>
  <c r="O350" i="2"/>
  <c r="P350" i="2" s="1"/>
  <c r="O349" i="2"/>
  <c r="P349" i="2" s="1"/>
  <c r="O348" i="2"/>
  <c r="O347" i="2"/>
  <c r="P347" i="2" s="1"/>
  <c r="Q347" i="2" s="1"/>
  <c r="V347" i="2" s="1"/>
  <c r="O346" i="2"/>
  <c r="O344" i="2"/>
  <c r="O343" i="2"/>
  <c r="O342" i="2"/>
  <c r="O341" i="2"/>
  <c r="P341" i="2" s="1"/>
  <c r="O340" i="2"/>
  <c r="O339" i="2"/>
  <c r="O338" i="2"/>
  <c r="P338" i="2" s="1"/>
  <c r="Q338" i="2" s="1"/>
  <c r="V338" i="2" s="1"/>
  <c r="O336" i="2"/>
  <c r="P336" i="2" s="1"/>
  <c r="Q336" i="2" s="1"/>
  <c r="V336" i="2" s="1"/>
  <c r="O335" i="2"/>
  <c r="O334" i="2"/>
  <c r="O333" i="2"/>
  <c r="O332" i="2"/>
  <c r="O331" i="2"/>
  <c r="O330" i="2"/>
  <c r="O329" i="2"/>
  <c r="P329" i="2" s="1"/>
  <c r="Q329" i="2" s="1"/>
  <c r="V329" i="2" s="1"/>
  <c r="O328" i="2"/>
  <c r="P328" i="2" s="1"/>
  <c r="Q328" i="2" s="1"/>
  <c r="O327" i="2"/>
  <c r="O326" i="2"/>
  <c r="O323" i="2"/>
  <c r="O322" i="2"/>
  <c r="O321" i="2"/>
  <c r="O320" i="2"/>
  <c r="O319" i="2"/>
  <c r="P319" i="2" s="1"/>
  <c r="Q319" i="2" s="1"/>
  <c r="V319" i="2" s="1"/>
  <c r="O318" i="2"/>
  <c r="P318" i="2" s="1"/>
  <c r="Q318" i="2" s="1"/>
  <c r="V318" i="2" s="1"/>
  <c r="O317" i="2"/>
  <c r="O316" i="2"/>
  <c r="V328" i="2" l="1"/>
  <c r="P423" i="2"/>
  <c r="Q423" i="2" s="1"/>
  <c r="V423" i="2" s="1"/>
  <c r="P407" i="2"/>
  <c r="Q407" i="2" s="1"/>
  <c r="V407" i="2" s="1"/>
  <c r="P415" i="2"/>
  <c r="Q415" i="2" s="1"/>
  <c r="V415" i="2" s="1"/>
  <c r="Q399" i="2"/>
  <c r="V399" i="2" s="1"/>
  <c r="P373" i="2"/>
  <c r="Q373" i="2" s="1"/>
  <c r="V373" i="2" s="1"/>
  <c r="Q383" i="2"/>
  <c r="V383" i="2" s="1"/>
  <c r="P409" i="2"/>
  <c r="Q409" i="2" s="1"/>
  <c r="V409" i="2" s="1"/>
  <c r="P389" i="2"/>
  <c r="Q389" i="2" s="1"/>
  <c r="V389" i="2" s="1"/>
  <c r="P425" i="2"/>
  <c r="Q425" i="2" s="1"/>
  <c r="V425" i="2" s="1"/>
  <c r="P401" i="2"/>
  <c r="Q401" i="2" s="1"/>
  <c r="V401" i="2" s="1"/>
  <c r="P375" i="2"/>
  <c r="Q375" i="2" s="1"/>
  <c r="V375" i="2" s="1"/>
  <c r="P381" i="2"/>
  <c r="Q381" i="2" s="1"/>
  <c r="V381" i="2" s="1"/>
  <c r="P417" i="2"/>
  <c r="Q417" i="2" s="1"/>
  <c r="V417" i="2" s="1"/>
  <c r="P393" i="2"/>
  <c r="Q393" i="2" s="1"/>
  <c r="V393" i="2" s="1"/>
  <c r="Q388" i="2"/>
  <c r="V388" i="2" s="1"/>
  <c r="Q398" i="2"/>
  <c r="V398" i="2" s="1"/>
  <c r="P378" i="2"/>
  <c r="Q378" i="2" s="1"/>
  <c r="V378" i="2" s="1"/>
  <c r="P386" i="2"/>
  <c r="Q386" i="2" s="1"/>
  <c r="V386" i="2" s="1"/>
  <c r="P396" i="2"/>
  <c r="Q396" i="2" s="1"/>
  <c r="V396" i="2" s="1"/>
  <c r="P404" i="2"/>
  <c r="Q404" i="2" s="1"/>
  <c r="V404" i="2" s="1"/>
  <c r="P412" i="2"/>
  <c r="Q412" i="2" s="1"/>
  <c r="V412" i="2" s="1"/>
  <c r="P420" i="2"/>
  <c r="Q420" i="2" s="1"/>
  <c r="V420" i="2" s="1"/>
  <c r="Q380" i="2"/>
  <c r="V380" i="2" s="1"/>
  <c r="Q406" i="2"/>
  <c r="V406" i="2" s="1"/>
  <c r="Q414" i="2"/>
  <c r="V414" i="2" s="1"/>
  <c r="Q422" i="2"/>
  <c r="V422" i="2" s="1"/>
  <c r="P379" i="2"/>
  <c r="Q379" i="2" s="1"/>
  <c r="V379" i="2" s="1"/>
  <c r="P387" i="2"/>
  <c r="Q387" i="2" s="1"/>
  <c r="V387" i="2" s="1"/>
  <c r="P397" i="2"/>
  <c r="Q397" i="2" s="1"/>
  <c r="V397" i="2" s="1"/>
  <c r="P405" i="2"/>
  <c r="Q405" i="2" s="1"/>
  <c r="V405" i="2" s="1"/>
  <c r="P421" i="2"/>
  <c r="Q421" i="2" s="1"/>
  <c r="V421" i="2" s="1"/>
  <c r="P413" i="2"/>
  <c r="Q413" i="2" s="1"/>
  <c r="V413" i="2" s="1"/>
  <c r="P346" i="2"/>
  <c r="Q346" i="2" s="1"/>
  <c r="V346" i="2" s="1"/>
  <c r="P322" i="2"/>
  <c r="Q322" i="2" s="1"/>
  <c r="V322" i="2" s="1"/>
  <c r="P331" i="2"/>
  <c r="Q331" i="2" s="1"/>
  <c r="V331" i="2" s="1"/>
  <c r="P348" i="2"/>
  <c r="Q348" i="2" s="1"/>
  <c r="V348" i="2" s="1"/>
  <c r="P366" i="2"/>
  <c r="Q366" i="2" s="1"/>
  <c r="V366" i="2" s="1"/>
  <c r="P369" i="2"/>
  <c r="Q369" i="2" s="1"/>
  <c r="V369" i="2" s="1"/>
  <c r="Q359" i="2"/>
  <c r="V359" i="2" s="1"/>
  <c r="P339" i="2"/>
  <c r="Q339" i="2" s="1"/>
  <c r="V339" i="2" s="1"/>
  <c r="Q349" i="2"/>
  <c r="V349" i="2" s="1"/>
  <c r="P360" i="2"/>
  <c r="Q360" i="2" s="1"/>
  <c r="V360" i="2" s="1"/>
  <c r="P321" i="2"/>
  <c r="Q321" i="2" s="1"/>
  <c r="V321" i="2" s="1"/>
  <c r="P332" i="2"/>
  <c r="Q332" i="2" s="1"/>
  <c r="V332" i="2" s="1"/>
  <c r="P370" i="2"/>
  <c r="Q370" i="2" s="1"/>
  <c r="V370" i="2" s="1"/>
  <c r="P340" i="2"/>
  <c r="Q340" i="2" s="1"/>
  <c r="V340" i="2" s="1"/>
  <c r="Q350" i="2"/>
  <c r="V350" i="2" s="1"/>
  <c r="P361" i="2"/>
  <c r="Q361" i="2" s="1"/>
  <c r="V361" i="2" s="1"/>
  <c r="P367" i="2"/>
  <c r="Q367" i="2" s="1"/>
  <c r="V367" i="2" s="1"/>
  <c r="Q368" i="2"/>
  <c r="V368" i="2" s="1"/>
  <c r="Q341" i="2"/>
  <c r="V341" i="2" s="1"/>
  <c r="P317" i="2"/>
  <c r="Q317" i="2" s="1"/>
  <c r="V317" i="2" s="1"/>
  <c r="P327" i="2"/>
  <c r="Q327" i="2" s="1"/>
  <c r="V327" i="2" s="1"/>
  <c r="P335" i="2"/>
  <c r="Q335" i="2" s="1"/>
  <c r="V335" i="2" s="1"/>
  <c r="P344" i="2"/>
  <c r="Q344" i="2" s="1"/>
  <c r="V344" i="2" s="1"/>
  <c r="P353" i="2"/>
  <c r="Q353" i="2" s="1"/>
  <c r="V353" i="2" s="1"/>
  <c r="P365" i="2"/>
  <c r="Q365" i="2" s="1"/>
  <c r="V365" i="2" s="1"/>
  <c r="P320" i="2"/>
  <c r="Q320" i="2" s="1"/>
  <c r="V320" i="2" s="1"/>
  <c r="P330" i="2"/>
  <c r="Q330" i="2" s="1"/>
  <c r="V330" i="2" s="1"/>
  <c r="P323" i="2"/>
  <c r="Q323" i="2" s="1"/>
  <c r="V323" i="2" s="1"/>
  <c r="P333" i="2"/>
  <c r="Q333" i="2" s="1"/>
  <c r="V333" i="2" s="1"/>
  <c r="P342" i="2"/>
  <c r="Q342" i="2" s="1"/>
  <c r="V342" i="2" s="1"/>
  <c r="P351" i="2"/>
  <c r="Q351" i="2" s="1"/>
  <c r="V351" i="2" s="1"/>
  <c r="P362" i="2"/>
  <c r="Q362" i="2" s="1"/>
  <c r="V362" i="2" s="1"/>
  <c r="P371" i="2"/>
  <c r="Q371" i="2" s="1"/>
  <c r="V371" i="2" s="1"/>
  <c r="P316" i="2"/>
  <c r="Q316" i="2" s="1"/>
  <c r="V316" i="2" s="1"/>
  <c r="P326" i="2"/>
  <c r="Q326" i="2" s="1"/>
  <c r="V326" i="2" s="1"/>
  <c r="P334" i="2"/>
  <c r="Q334" i="2" s="1"/>
  <c r="V334" i="2" s="1"/>
  <c r="P343" i="2"/>
  <c r="Q343" i="2" s="1"/>
  <c r="V343" i="2" s="1"/>
  <c r="P352" i="2"/>
  <c r="Q352" i="2" s="1"/>
  <c r="V352" i="2" s="1"/>
  <c r="P364" i="2"/>
  <c r="Q364" i="2" s="1"/>
  <c r="V364" i="2" s="1"/>
  <c r="P372" i="2"/>
  <c r="Q372" i="2" s="1"/>
  <c r="V372" i="2" s="1"/>
  <c r="S392" i="2" l="1"/>
  <c r="V392" i="2" s="1"/>
  <c r="T355" i="2"/>
  <c r="V355" i="2" s="1"/>
  <c r="O315" i="2"/>
  <c r="O314" i="2"/>
  <c r="O313" i="2"/>
  <c r="P313" i="2" s="1"/>
  <c r="Q313" i="2" s="1"/>
  <c r="V313" i="2" s="1"/>
  <c r="O312" i="2"/>
  <c r="O311" i="2"/>
  <c r="P311" i="2" s="1"/>
  <c r="Q311" i="2" s="1"/>
  <c r="V311" i="2" s="1"/>
  <c r="O310" i="2"/>
  <c r="P310" i="2" s="1"/>
  <c r="Q310" i="2" s="1"/>
  <c r="V310" i="2" s="1"/>
  <c r="O309" i="2"/>
  <c r="Q308" i="2"/>
  <c r="V308" i="2" s="1"/>
  <c r="Q307" i="2"/>
  <c r="V307" i="2" s="1"/>
  <c r="Q306" i="2"/>
  <c r="V306" i="2" s="1"/>
  <c r="Q305" i="2"/>
  <c r="V305" i="2" s="1"/>
  <c r="Q304" i="2"/>
  <c r="V304" i="2" s="1"/>
  <c r="Q303" i="2"/>
  <c r="V303" i="2" s="1"/>
  <c r="Q302" i="2"/>
  <c r="V302" i="2" s="1"/>
  <c r="Q301" i="2"/>
  <c r="V301" i="2" s="1"/>
  <c r="Q300" i="2"/>
  <c r="V300" i="2" s="1"/>
  <c r="Q299" i="2"/>
  <c r="V299" i="2" s="1"/>
  <c r="Q298" i="2"/>
  <c r="V298" i="2" s="1"/>
  <c r="Q297" i="2"/>
  <c r="V297" i="2" s="1"/>
  <c r="Q294" i="2"/>
  <c r="V294" i="2" s="1"/>
  <c r="Q293" i="2"/>
  <c r="V293" i="2" s="1"/>
  <c r="Q292" i="2"/>
  <c r="V292" i="2" s="1"/>
  <c r="Q291" i="2"/>
  <c r="V291" i="2" s="1"/>
  <c r="Q290" i="2"/>
  <c r="V290" i="2" s="1"/>
  <c r="Q289" i="2"/>
  <c r="V289" i="2" s="1"/>
  <c r="Q288" i="2"/>
  <c r="V288" i="2" s="1"/>
  <c r="Q287" i="2"/>
  <c r="V287" i="2" s="1"/>
  <c r="Q286" i="2"/>
  <c r="V286" i="2" s="1"/>
  <c r="Q285" i="2"/>
  <c r="V285" i="2" s="1"/>
  <c r="Q284" i="2"/>
  <c r="V284" i="2" s="1"/>
  <c r="Q283" i="2"/>
  <c r="V283" i="2" s="1"/>
  <c r="Q282" i="2"/>
  <c r="V282" i="2" s="1"/>
  <c r="Q281" i="2"/>
  <c r="V281" i="2" s="1"/>
  <c r="Q280" i="2"/>
  <c r="V280" i="2" s="1"/>
  <c r="Q278" i="2"/>
  <c r="V278" i="2" s="1"/>
  <c r="Q277" i="2"/>
  <c r="V277" i="2" s="1"/>
  <c r="Q276" i="2"/>
  <c r="V276" i="2" s="1"/>
  <c r="Q275" i="2"/>
  <c r="V275" i="2" s="1"/>
  <c r="Q274" i="2"/>
  <c r="V274" i="2" s="1"/>
  <c r="Q273" i="2"/>
  <c r="V273" i="2" s="1"/>
  <c r="Q272" i="2"/>
  <c r="V272" i="2" s="1"/>
  <c r="Q271" i="2"/>
  <c r="V271" i="2" s="1"/>
  <c r="Q270" i="2"/>
  <c r="V270" i="2" s="1"/>
  <c r="Q269" i="2"/>
  <c r="V269" i="2" s="1"/>
  <c r="Q268" i="2"/>
  <c r="V268" i="2" s="1"/>
  <c r="Q267" i="2"/>
  <c r="V267" i="2" s="1"/>
  <c r="Q266" i="2"/>
  <c r="V266" i="2" s="1"/>
  <c r="Q265" i="2"/>
  <c r="V265" i="2" s="1"/>
  <c r="Q264" i="2"/>
  <c r="V264" i="2" s="1"/>
  <c r="Q263" i="2"/>
  <c r="V263" i="2" s="1"/>
  <c r="Q262" i="2"/>
  <c r="V262" i="2" s="1"/>
  <c r="Q261" i="2"/>
  <c r="V261" i="2" s="1"/>
  <c r="Q260" i="2"/>
  <c r="V260" i="2" s="1"/>
  <c r="Q259" i="2"/>
  <c r="V259" i="2" s="1"/>
  <c r="Q258" i="2"/>
  <c r="V258" i="2" s="1"/>
  <c r="Q257" i="2"/>
  <c r="V257" i="2" s="1"/>
  <c r="Q256" i="2"/>
  <c r="V256" i="2" s="1"/>
  <c r="O255" i="2"/>
  <c r="Q255" i="2" s="1"/>
  <c r="V255" i="2" s="1"/>
  <c r="Q254" i="2"/>
  <c r="V254" i="2" s="1"/>
  <c r="Q253" i="2"/>
  <c r="V253" i="2" s="1"/>
  <c r="Q252" i="2"/>
  <c r="V252" i="2" s="1"/>
  <c r="Q251" i="2"/>
  <c r="V251" i="2" s="1"/>
  <c r="Q250" i="2"/>
  <c r="V250" i="2" s="1"/>
  <c r="Q249" i="2"/>
  <c r="V249" i="2" s="1"/>
  <c r="Q248" i="2"/>
  <c r="V248" i="2" s="1"/>
  <c r="Q247" i="2"/>
  <c r="V247" i="2" s="1"/>
  <c r="Q246" i="2"/>
  <c r="V246" i="2" s="1"/>
  <c r="Q245" i="2"/>
  <c r="V245" i="2" s="1"/>
  <c r="Q244" i="2"/>
  <c r="V244" i="2" s="1"/>
  <c r="O243" i="2"/>
  <c r="O242" i="2"/>
  <c r="O241" i="2"/>
  <c r="P241" i="2" s="1"/>
  <c r="O239" i="2"/>
  <c r="O238" i="2"/>
  <c r="O237" i="2"/>
  <c r="P237" i="2" s="1"/>
  <c r="Q237" i="2" s="1"/>
  <c r="V237" i="2" s="1"/>
  <c r="O236" i="2"/>
  <c r="P236" i="2" s="1"/>
  <c r="Q236" i="2" s="1"/>
  <c r="V236" i="2" s="1"/>
  <c r="O235" i="2"/>
  <c r="O234" i="2"/>
  <c r="O233" i="2"/>
  <c r="O232" i="2"/>
  <c r="P232" i="2" s="1"/>
  <c r="O231" i="2"/>
  <c r="O230" i="2"/>
  <c r="O229" i="2"/>
  <c r="P229" i="2" s="1"/>
  <c r="Q229" i="2" s="1"/>
  <c r="V229" i="2" s="1"/>
  <c r="O228" i="2"/>
  <c r="O227" i="2"/>
  <c r="O226" i="2"/>
  <c r="O225" i="2"/>
  <c r="O224" i="2"/>
  <c r="P224" i="2" s="1"/>
  <c r="O223" i="2"/>
  <c r="P223" i="2" s="1"/>
  <c r="Q223" i="2" s="1"/>
  <c r="V223" i="2" s="1"/>
  <c r="O222" i="2"/>
  <c r="P222" i="2" s="1"/>
  <c r="O221" i="2"/>
  <c r="P221" i="2" s="1"/>
  <c r="Q221" i="2" s="1"/>
  <c r="V221" i="2" s="1"/>
  <c r="O220" i="2"/>
  <c r="P220" i="2" s="1"/>
  <c r="O219" i="2"/>
  <c r="O218" i="2"/>
  <c r="O217" i="2"/>
  <c r="O216" i="2"/>
  <c r="O215" i="2"/>
  <c r="O214" i="2"/>
  <c r="P214" i="2" s="1"/>
  <c r="O213" i="2"/>
  <c r="P213" i="2" s="1"/>
  <c r="Q213" i="2" s="1"/>
  <c r="V213" i="2" s="1"/>
  <c r="O212" i="2"/>
  <c r="P212" i="2" s="1"/>
  <c r="Q212" i="2" s="1"/>
  <c r="V212" i="2" s="1"/>
  <c r="O211" i="2"/>
  <c r="O210" i="2"/>
  <c r="P210" i="2" s="1"/>
  <c r="O209" i="2"/>
  <c r="O207" i="2"/>
  <c r="P207" i="2" s="1"/>
  <c r="O206" i="2"/>
  <c r="O204" i="2"/>
  <c r="P204" i="2" s="1"/>
  <c r="O203" i="2"/>
  <c r="P203" i="2" s="1"/>
  <c r="Q203" i="2" s="1"/>
  <c r="V203" i="2" s="1"/>
  <c r="O202" i="2"/>
  <c r="P202" i="2" s="1"/>
  <c r="Q202" i="2" s="1"/>
  <c r="V202" i="2" s="1"/>
  <c r="O201" i="2"/>
  <c r="O200" i="2"/>
  <c r="O199" i="2"/>
  <c r="O198" i="2"/>
  <c r="P198" i="2" s="1"/>
  <c r="O197" i="2"/>
  <c r="O196" i="2"/>
  <c r="O195" i="2"/>
  <c r="P195" i="2" s="1"/>
  <c r="Q195" i="2" s="1"/>
  <c r="V195" i="2" s="1"/>
  <c r="O194" i="2"/>
  <c r="P194" i="2" s="1"/>
  <c r="Q194" i="2" s="1"/>
  <c r="V194" i="2" s="1"/>
  <c r="O193" i="2"/>
  <c r="O192" i="2"/>
  <c r="O191" i="2"/>
  <c r="O190" i="2"/>
  <c r="O189" i="2"/>
  <c r="P189" i="2" s="1"/>
  <c r="Q189" i="2" s="1"/>
  <c r="V189" i="2" s="1"/>
  <c r="O188" i="2"/>
  <c r="O187" i="2"/>
  <c r="P187" i="2" s="1"/>
  <c r="Q187" i="2" s="1"/>
  <c r="V187" i="2" s="1"/>
  <c r="O186" i="2"/>
  <c r="P186" i="2" s="1"/>
  <c r="Q186" i="2" s="1"/>
  <c r="V186" i="2" s="1"/>
  <c r="O185" i="2"/>
  <c r="O184" i="2"/>
  <c r="P184" i="2" s="1"/>
  <c r="O183" i="2"/>
  <c r="O182" i="2"/>
  <c r="O181" i="2"/>
  <c r="O180" i="2"/>
  <c r="P180" i="2" s="1"/>
  <c r="O179" i="2"/>
  <c r="P179" i="2" s="1"/>
  <c r="Q179" i="2" s="1"/>
  <c r="V179" i="2" s="1"/>
  <c r="O178" i="2"/>
  <c r="P178" i="2" s="1"/>
  <c r="Q178" i="2" s="1"/>
  <c r="V178" i="2" s="1"/>
  <c r="O177" i="2"/>
  <c r="O176" i="2"/>
  <c r="O175" i="2"/>
  <c r="O174" i="2"/>
  <c r="P174" i="2" s="1"/>
  <c r="O173" i="2"/>
  <c r="P173" i="2" s="1"/>
  <c r="Q173" i="2" s="1"/>
  <c r="V173" i="2" s="1"/>
  <c r="O172" i="2"/>
  <c r="P172" i="2" s="1"/>
  <c r="O171" i="2"/>
  <c r="P171" i="2" s="1"/>
  <c r="Q171" i="2" s="1"/>
  <c r="V171" i="2" s="1"/>
  <c r="O170" i="2"/>
  <c r="O169" i="2"/>
  <c r="O168" i="2"/>
  <c r="P168" i="2" s="1"/>
  <c r="O167" i="2"/>
  <c r="O166" i="2"/>
  <c r="O165" i="2"/>
  <c r="P165" i="2" s="1"/>
  <c r="Q165" i="2" s="1"/>
  <c r="V165" i="2" s="1"/>
  <c r="O164" i="2"/>
  <c r="P163" i="2"/>
  <c r="Q163" i="2" s="1"/>
  <c r="V163" i="2" s="1"/>
  <c r="O162" i="2"/>
  <c r="O161" i="2"/>
  <c r="P153" i="2"/>
  <c r="Q153" i="2" s="1"/>
  <c r="P154" i="2"/>
  <c r="Q154" i="2" s="1"/>
  <c r="V154" i="2" s="1"/>
  <c r="O158" i="2"/>
  <c r="O157" i="2"/>
  <c r="O156" i="2"/>
  <c r="O155" i="2"/>
  <c r="P155" i="2" s="1"/>
  <c r="Q155" i="2" s="1"/>
  <c r="V155" i="2" s="1"/>
  <c r="O152" i="2"/>
  <c r="P152" i="2" s="1"/>
  <c r="Q152" i="2" s="1"/>
  <c r="V152" i="2" s="1"/>
  <c r="O151" i="2"/>
  <c r="P151" i="2" s="1"/>
  <c r="O150" i="2"/>
  <c r="P150" i="2" s="1"/>
  <c r="O149" i="2"/>
  <c r="P149" i="2" s="1"/>
  <c r="O148" i="2"/>
  <c r="P148" i="2" s="1"/>
  <c r="O147" i="2"/>
  <c r="P147" i="2" s="1"/>
  <c r="O146" i="2"/>
  <c r="P146" i="2" s="1"/>
  <c r="Q146" i="2" s="1"/>
  <c r="V146" i="2" s="1"/>
  <c r="O145" i="2"/>
  <c r="P145" i="2" s="1"/>
  <c r="Q145" i="2" s="1"/>
  <c r="V145" i="2" s="1"/>
  <c r="O144" i="2"/>
  <c r="P144" i="2" s="1"/>
  <c r="Q144" i="2" s="1"/>
  <c r="V144" i="2" s="1"/>
  <c r="O143" i="2"/>
  <c r="O142" i="2"/>
  <c r="O141" i="2"/>
  <c r="P141" i="2" s="1"/>
  <c r="Q141" i="2" s="1"/>
  <c r="V141" i="2" s="1"/>
  <c r="O140" i="2"/>
  <c r="P140" i="2" s="1"/>
  <c r="O139" i="2"/>
  <c r="P139" i="2" s="1"/>
  <c r="O138" i="2"/>
  <c r="P138" i="2" s="1"/>
  <c r="Q138" i="2" s="1"/>
  <c r="V138" i="2" s="1"/>
  <c r="O137" i="2"/>
  <c r="P137" i="2" s="1"/>
  <c r="Q137" i="2" s="1"/>
  <c r="V137" i="2" s="1"/>
  <c r="O136" i="2"/>
  <c r="P136" i="2" s="1"/>
  <c r="Q136" i="2" s="1"/>
  <c r="V136" i="2" s="1"/>
  <c r="O135" i="2"/>
  <c r="P135" i="2" s="1"/>
  <c r="O134" i="2"/>
  <c r="P134" i="2" s="1"/>
  <c r="O133" i="2"/>
  <c r="P133" i="2" s="1"/>
  <c r="O132" i="2"/>
  <c r="P132" i="2" s="1"/>
  <c r="O131" i="2"/>
  <c r="P131" i="2" s="1"/>
  <c r="O130" i="2"/>
  <c r="P130" i="2" s="1"/>
  <c r="Q130" i="2" s="1"/>
  <c r="V130" i="2" s="1"/>
  <c r="O129" i="2"/>
  <c r="P129" i="2" s="1"/>
  <c r="Q129" i="2" s="1"/>
  <c r="V129" i="2" s="1"/>
  <c r="O128" i="2"/>
  <c r="P128" i="2" s="1"/>
  <c r="Q128" i="2" s="1"/>
  <c r="V128" i="2" s="1"/>
  <c r="O127" i="2"/>
  <c r="P127" i="2" s="1"/>
  <c r="Q127" i="2" s="1"/>
  <c r="V127" i="2" s="1"/>
  <c r="O125" i="2"/>
  <c r="P125" i="2" s="1"/>
  <c r="O124" i="2"/>
  <c r="P124" i="2" s="1"/>
  <c r="O123" i="2"/>
  <c r="P123" i="2" s="1"/>
  <c r="O122" i="2"/>
  <c r="P122" i="2" s="1"/>
  <c r="O120" i="2"/>
  <c r="O119" i="2"/>
  <c r="O117" i="2"/>
  <c r="O115" i="2"/>
  <c r="P115" i="2" s="1"/>
  <c r="Q115" i="2" s="1"/>
  <c r="V115" i="2" s="1"/>
  <c r="O113" i="2"/>
  <c r="O112" i="2"/>
  <c r="P112" i="2" s="1"/>
  <c r="Q112" i="2" s="1"/>
  <c r="V112" i="2" s="1"/>
  <c r="O111" i="2"/>
  <c r="P111" i="2" s="1"/>
  <c r="Q111" i="2" s="1"/>
  <c r="V111" i="2" s="1"/>
  <c r="O110" i="2"/>
  <c r="O109" i="2"/>
  <c r="O108" i="2"/>
  <c r="P108" i="2" s="1"/>
  <c r="O107" i="2"/>
  <c r="P107" i="2" s="1"/>
  <c r="Q107" i="2" s="1"/>
  <c r="V107" i="2" s="1"/>
  <c r="O106" i="2"/>
  <c r="O105" i="2"/>
  <c r="O104" i="2"/>
  <c r="O103" i="2"/>
  <c r="P103" i="2" s="1"/>
  <c r="Q103" i="2" s="1"/>
  <c r="V103" i="2" s="1"/>
  <c r="O102" i="2"/>
  <c r="P102" i="2" s="1"/>
  <c r="O101" i="2"/>
  <c r="O100" i="2"/>
  <c r="P100" i="2" s="1"/>
  <c r="O99" i="2"/>
  <c r="P99" i="2" s="1"/>
  <c r="Q99" i="2" s="1"/>
  <c r="V99" i="2" s="1"/>
  <c r="O98" i="2"/>
  <c r="P98" i="2" s="1"/>
  <c r="O97" i="2"/>
  <c r="O96" i="2"/>
  <c r="P96" i="2" s="1"/>
  <c r="Q96" i="2" s="1"/>
  <c r="V96" i="2" s="1"/>
  <c r="O95" i="2"/>
  <c r="P95" i="2" s="1"/>
  <c r="Q95" i="2" s="1"/>
  <c r="V95" i="2" s="1"/>
  <c r="O94" i="2"/>
  <c r="P94" i="2" s="1"/>
  <c r="O93" i="2"/>
  <c r="O92" i="2"/>
  <c r="P92" i="2" s="1"/>
  <c r="Q92" i="2" s="1"/>
  <c r="V92" i="2" s="1"/>
  <c r="O91" i="2"/>
  <c r="P91" i="2" s="1"/>
  <c r="O90" i="2"/>
  <c r="O89" i="2"/>
  <c r="O88" i="2"/>
  <c r="P88" i="2" s="1"/>
  <c r="Q88" i="2" s="1"/>
  <c r="V88" i="2" s="1"/>
  <c r="O87" i="2"/>
  <c r="P87" i="2" s="1"/>
  <c r="Q87" i="2" s="1"/>
  <c r="V87" i="2" s="1"/>
  <c r="O86" i="2"/>
  <c r="O85" i="2"/>
  <c r="O84" i="2"/>
  <c r="O83" i="2"/>
  <c r="P83" i="2" s="1"/>
  <c r="O82" i="2"/>
  <c r="O81" i="2"/>
  <c r="O80" i="2"/>
  <c r="P80" i="2" s="1"/>
  <c r="Q80" i="2" s="1"/>
  <c r="V80" i="2" s="1"/>
  <c r="O79" i="2"/>
  <c r="P79" i="2" s="1"/>
  <c r="Q79" i="2" s="1"/>
  <c r="V79" i="2" s="1"/>
  <c r="O78" i="2"/>
  <c r="O77" i="2"/>
  <c r="O76" i="2"/>
  <c r="O75" i="2"/>
  <c r="O74" i="2"/>
  <c r="P74" i="2" s="1"/>
  <c r="O73" i="2"/>
  <c r="O72" i="2"/>
  <c r="P72" i="2" s="1"/>
  <c r="Q72" i="2" s="1"/>
  <c r="V72" i="2" s="1"/>
  <c r="O71" i="2"/>
  <c r="P71" i="2" s="1"/>
  <c r="Q71" i="2" s="1"/>
  <c r="V71" i="2" s="1"/>
  <c r="O70" i="2"/>
  <c r="P70" i="2" s="1"/>
  <c r="O69" i="2"/>
  <c r="O68" i="2"/>
  <c r="O67" i="2"/>
  <c r="O66" i="2"/>
  <c r="P66" i="2" s="1"/>
  <c r="O65" i="2"/>
  <c r="O64" i="2"/>
  <c r="P64" i="2" s="1"/>
  <c r="Q64" i="2" s="1"/>
  <c r="V64" i="2" s="1"/>
  <c r="O63" i="2"/>
  <c r="P63" i="2" s="1"/>
  <c r="Q63" i="2" s="1"/>
  <c r="V63" i="2" s="1"/>
  <c r="O62" i="2"/>
  <c r="O61" i="2"/>
  <c r="O60" i="2"/>
  <c r="O59" i="2"/>
  <c r="O58" i="2"/>
  <c r="P58" i="2" s="1"/>
  <c r="O57" i="2"/>
  <c r="O56" i="2"/>
  <c r="P56" i="2" s="1"/>
  <c r="Q56" i="2" s="1"/>
  <c r="V56" i="2" s="1"/>
  <c r="O55" i="2"/>
  <c r="O54" i="2"/>
  <c r="P54" i="2" s="1"/>
  <c r="O53" i="2"/>
  <c r="O52" i="2"/>
  <c r="P52" i="2" s="1"/>
  <c r="Q52" i="2" s="1"/>
  <c r="V52" i="2" s="1"/>
  <c r="O51" i="2"/>
  <c r="P51" i="2" s="1"/>
  <c r="Q51" i="2" s="1"/>
  <c r="V51" i="2" s="1"/>
  <c r="O50" i="2"/>
  <c r="P50" i="2" s="1"/>
  <c r="O49" i="2"/>
  <c r="O48" i="2"/>
  <c r="P48" i="2" s="1"/>
  <c r="Q48" i="2" s="1"/>
  <c r="V48" i="2" s="1"/>
  <c r="O47" i="2"/>
  <c r="O46" i="2"/>
  <c r="O45" i="2"/>
  <c r="O44" i="2"/>
  <c r="P44" i="2" s="1"/>
  <c r="Q44" i="2" s="1"/>
  <c r="V44" i="2" s="1"/>
  <c r="O43" i="2"/>
  <c r="O42" i="2"/>
  <c r="O41" i="2"/>
  <c r="O40" i="2"/>
  <c r="P40" i="2" s="1"/>
  <c r="Q40" i="2" s="1"/>
  <c r="V40" i="2" s="1"/>
  <c r="O39" i="2"/>
  <c r="P39" i="2" s="1"/>
  <c r="Q39" i="2" s="1"/>
  <c r="V39" i="2" s="1"/>
  <c r="O38" i="2"/>
  <c r="P38" i="2" s="1"/>
  <c r="O37" i="2"/>
  <c r="O36" i="2"/>
  <c r="O35" i="2"/>
  <c r="P35" i="2" s="1"/>
  <c r="O34" i="2"/>
  <c r="P34" i="2" s="1"/>
  <c r="O33" i="2"/>
  <c r="O32" i="2"/>
  <c r="P32" i="2" s="1"/>
  <c r="Q32" i="2" s="1"/>
  <c r="V32" i="2" s="1"/>
  <c r="O31" i="2"/>
  <c r="P31" i="2" s="1"/>
  <c r="Q31" i="2" s="1"/>
  <c r="V31" i="2" s="1"/>
  <c r="O30" i="2"/>
  <c r="P30" i="2" s="1"/>
  <c r="O29" i="2"/>
  <c r="O28" i="2"/>
  <c r="O27" i="2"/>
  <c r="O26" i="2"/>
  <c r="P26" i="2" s="1"/>
  <c r="O25" i="2"/>
  <c r="O24" i="2"/>
  <c r="P24" i="2" s="1"/>
  <c r="Q24" i="2" s="1"/>
  <c r="V24" i="2" s="1"/>
  <c r="O23" i="2"/>
  <c r="P23" i="2" s="1"/>
  <c r="Q23" i="2" s="1"/>
  <c r="V23" i="2" s="1"/>
  <c r="O22" i="2"/>
  <c r="O21" i="2"/>
  <c r="O20" i="2"/>
  <c r="O19" i="2"/>
  <c r="P19" i="2" s="1"/>
  <c r="Q19" i="2" s="1"/>
  <c r="V19" i="2" s="1"/>
  <c r="O18" i="2"/>
  <c r="P18" i="2" s="1"/>
  <c r="O17" i="2"/>
  <c r="O16" i="2"/>
  <c r="P16" i="2" s="1"/>
  <c r="Q16" i="2" s="1"/>
  <c r="V16" i="2" s="1"/>
  <c r="O15" i="2"/>
  <c r="P15" i="2" s="1"/>
  <c r="Q15" i="2" s="1"/>
  <c r="V15" i="2" s="1"/>
  <c r="O14" i="2"/>
  <c r="P14" i="2" s="1"/>
  <c r="O13" i="2"/>
  <c r="P13" i="2" s="1"/>
  <c r="O12" i="2"/>
  <c r="P12" i="2" s="1"/>
  <c r="O11" i="2"/>
  <c r="P11" i="2" s="1"/>
  <c r="O10" i="2"/>
  <c r="P10" i="2" s="1"/>
  <c r="O9" i="2"/>
  <c r="O8" i="2"/>
  <c r="P8" i="2" s="1"/>
  <c r="Q8" i="2" s="1"/>
  <c r="V8" i="2" s="1"/>
  <c r="O7" i="2"/>
  <c r="P7" i="2" s="1"/>
  <c r="Q7" i="2" s="1"/>
  <c r="V7" i="2" s="1"/>
  <c r="O6" i="2"/>
  <c r="P6" i="2" s="1"/>
  <c r="O5" i="2"/>
  <c r="P5" i="2" s="1"/>
  <c r="O4" i="2"/>
  <c r="P4" i="2" s="1"/>
  <c r="O3" i="2"/>
  <c r="P3" i="2" s="1"/>
  <c r="O2" i="2"/>
  <c r="P315" i="2" l="1"/>
  <c r="Q315" i="2" s="1"/>
  <c r="V315" i="2" s="1"/>
  <c r="P314" i="2"/>
  <c r="Q314" i="2" s="1"/>
  <c r="V314" i="2" s="1"/>
  <c r="P309" i="2"/>
  <c r="Q309" i="2" s="1"/>
  <c r="V309" i="2" s="1"/>
  <c r="P312" i="2"/>
  <c r="Q312" i="2" s="1"/>
  <c r="V312" i="2" s="1"/>
  <c r="Q172" i="2"/>
  <c r="V172" i="2" s="1"/>
  <c r="P215" i="2"/>
  <c r="Q215" i="2" s="1"/>
  <c r="V215" i="2" s="1"/>
  <c r="Q220" i="2"/>
  <c r="V220" i="2" s="1"/>
  <c r="P228" i="2"/>
  <c r="Q228" i="2" s="1"/>
  <c r="V228" i="2" s="1"/>
  <c r="P206" i="2"/>
  <c r="Q206" i="2" s="1"/>
  <c r="V206" i="2" s="1"/>
  <c r="P238" i="2"/>
  <c r="Q238" i="2" s="1"/>
  <c r="V238" i="2" s="1"/>
  <c r="P216" i="2"/>
  <c r="Q216" i="2" s="1"/>
  <c r="V216" i="2" s="1"/>
  <c r="P243" i="2"/>
  <c r="Q243" i="2" s="1"/>
  <c r="V243" i="2" s="1"/>
  <c r="P164" i="2"/>
  <c r="Q164" i="2" s="1"/>
  <c r="V164" i="2" s="1"/>
  <c r="P181" i="2"/>
  <c r="Q181" i="2" s="1"/>
  <c r="V181" i="2" s="1"/>
  <c r="P190" i="2"/>
  <c r="Q190" i="2" s="1"/>
  <c r="V190" i="2" s="1"/>
  <c r="P200" i="2"/>
  <c r="Q200" i="2" s="1"/>
  <c r="V200" i="2" s="1"/>
  <c r="P230" i="2"/>
  <c r="Q230" i="2" s="1"/>
  <c r="V230" i="2" s="1"/>
  <c r="P234" i="2"/>
  <c r="Q234" i="2" s="1"/>
  <c r="V234" i="2" s="1"/>
  <c r="P176" i="2"/>
  <c r="Q176" i="2" s="1"/>
  <c r="V176" i="2" s="1"/>
  <c r="P239" i="2"/>
  <c r="Q239" i="2" s="1"/>
  <c r="V239" i="2" s="1"/>
  <c r="P197" i="2"/>
  <c r="Q197" i="2" s="1"/>
  <c r="V197" i="2" s="1"/>
  <c r="P218" i="2"/>
  <c r="Q218" i="2" s="1"/>
  <c r="V218" i="2" s="1"/>
  <c r="P231" i="2"/>
  <c r="Q231" i="2" s="1"/>
  <c r="V231" i="2" s="1"/>
  <c r="Q207" i="2"/>
  <c r="V207" i="2" s="1"/>
  <c r="P166" i="2"/>
  <c r="Q166" i="2" s="1"/>
  <c r="V166" i="2" s="1"/>
  <c r="P182" i="2"/>
  <c r="Q182" i="2" s="1"/>
  <c r="V182" i="2" s="1"/>
  <c r="P188" i="2"/>
  <c r="Q188" i="2" s="1"/>
  <c r="V188" i="2" s="1"/>
  <c r="P192" i="2"/>
  <c r="Q192" i="2" s="1"/>
  <c r="V192" i="2" s="1"/>
  <c r="Q241" i="2"/>
  <c r="V241" i="2" s="1"/>
  <c r="P196" i="2"/>
  <c r="Q196" i="2" s="1"/>
  <c r="V196" i="2" s="1"/>
  <c r="Q222" i="2"/>
  <c r="V222" i="2" s="1"/>
  <c r="Q214" i="2"/>
  <c r="V214" i="2" s="1"/>
  <c r="P226" i="2"/>
  <c r="Q226" i="2" s="1"/>
  <c r="V226" i="2" s="1"/>
  <c r="P22" i="2"/>
  <c r="Q22" i="2" s="1"/>
  <c r="V22" i="2" s="1"/>
  <c r="Q198" i="2"/>
  <c r="V198" i="2" s="1"/>
  <c r="Q204" i="2"/>
  <c r="V204" i="2" s="1"/>
  <c r="Q210" i="2"/>
  <c r="V210" i="2" s="1"/>
  <c r="Q232" i="2"/>
  <c r="V232" i="2" s="1"/>
  <c r="Q168" i="2"/>
  <c r="V168" i="2" s="1"/>
  <c r="Q174" i="2"/>
  <c r="V174" i="2" s="1"/>
  <c r="Q180" i="2"/>
  <c r="V180" i="2" s="1"/>
  <c r="Q184" i="2"/>
  <c r="V184" i="2" s="1"/>
  <c r="Q224" i="2"/>
  <c r="V224" i="2" s="1"/>
  <c r="P161" i="2"/>
  <c r="Q161" i="2" s="1"/>
  <c r="V161" i="2" s="1"/>
  <c r="P169" i="2"/>
  <c r="Q169" i="2" s="1"/>
  <c r="V169" i="2" s="1"/>
  <c r="P177" i="2"/>
  <c r="Q177" i="2" s="1"/>
  <c r="V177" i="2" s="1"/>
  <c r="P185" i="2"/>
  <c r="Q185" i="2" s="1"/>
  <c r="V185" i="2" s="1"/>
  <c r="P193" i="2"/>
  <c r="Q193" i="2" s="1"/>
  <c r="V193" i="2" s="1"/>
  <c r="P201" i="2"/>
  <c r="Q201" i="2" s="1"/>
  <c r="V201" i="2" s="1"/>
  <c r="P211" i="2"/>
  <c r="Q211" i="2" s="1"/>
  <c r="V211" i="2" s="1"/>
  <c r="P219" i="2"/>
  <c r="Q219" i="2" s="1"/>
  <c r="V219" i="2" s="1"/>
  <c r="P227" i="2"/>
  <c r="Q227" i="2" s="1"/>
  <c r="V227" i="2" s="1"/>
  <c r="P235" i="2"/>
  <c r="Q235" i="2" s="1"/>
  <c r="V235" i="2" s="1"/>
  <c r="P167" i="2"/>
  <c r="Q167" i="2" s="1"/>
  <c r="V167" i="2" s="1"/>
  <c r="P175" i="2"/>
  <c r="Q175" i="2" s="1"/>
  <c r="V175" i="2" s="1"/>
  <c r="P183" i="2"/>
  <c r="Q183" i="2" s="1"/>
  <c r="V183" i="2" s="1"/>
  <c r="P191" i="2"/>
  <c r="Q191" i="2" s="1"/>
  <c r="V191" i="2" s="1"/>
  <c r="P199" i="2"/>
  <c r="Q199" i="2" s="1"/>
  <c r="V199" i="2" s="1"/>
  <c r="P209" i="2"/>
  <c r="Q209" i="2" s="1"/>
  <c r="V209" i="2" s="1"/>
  <c r="P217" i="2"/>
  <c r="Q217" i="2" s="1"/>
  <c r="V217" i="2" s="1"/>
  <c r="P225" i="2"/>
  <c r="Q225" i="2" s="1"/>
  <c r="V225" i="2" s="1"/>
  <c r="P233" i="2"/>
  <c r="Q233" i="2" s="1"/>
  <c r="V233" i="2" s="1"/>
  <c r="P242" i="2"/>
  <c r="Q242" i="2" s="1"/>
  <c r="V242" i="2" s="1"/>
  <c r="P162" i="2"/>
  <c r="Q162" i="2" s="1"/>
  <c r="V162" i="2" s="1"/>
  <c r="P170" i="2"/>
  <c r="Q170" i="2" s="1"/>
  <c r="V170" i="2" s="1"/>
  <c r="P47" i="2"/>
  <c r="Q47" i="2" s="1"/>
  <c r="V47" i="2" s="1"/>
  <c r="P27" i="2"/>
  <c r="Q27" i="2" s="1"/>
  <c r="V27" i="2" s="1"/>
  <c r="P67" i="2"/>
  <c r="Q67" i="2" s="1"/>
  <c r="V67" i="2" s="1"/>
  <c r="Q83" i="2"/>
  <c r="V83" i="2" s="1"/>
  <c r="P117" i="2"/>
  <c r="Q117" i="2" s="1"/>
  <c r="V117" i="2" s="1"/>
  <c r="P43" i="2"/>
  <c r="Q43" i="2" s="1"/>
  <c r="V43" i="2" s="1"/>
  <c r="Q18" i="2"/>
  <c r="V18" i="2" s="1"/>
  <c r="Q151" i="2"/>
  <c r="V151" i="2" s="1"/>
  <c r="Q140" i="2"/>
  <c r="V140" i="2" s="1"/>
  <c r="Q125" i="2"/>
  <c r="V125" i="2" s="1"/>
  <c r="Q150" i="2"/>
  <c r="V150" i="2" s="1"/>
  <c r="Q139" i="2"/>
  <c r="V139" i="2" s="1"/>
  <c r="Q124" i="2"/>
  <c r="V124" i="2" s="1"/>
  <c r="Q149" i="2"/>
  <c r="V149" i="2" s="1"/>
  <c r="Q135" i="2"/>
  <c r="V135" i="2" s="1"/>
  <c r="Q123" i="2"/>
  <c r="V123" i="2" s="1"/>
  <c r="P143" i="2"/>
  <c r="Q143" i="2" s="1"/>
  <c r="V143" i="2" s="1"/>
  <c r="Q148" i="2"/>
  <c r="V148" i="2" s="1"/>
  <c r="Q134" i="2"/>
  <c r="P158" i="2"/>
  <c r="Q158" i="2" s="1"/>
  <c r="V158" i="2" s="1"/>
  <c r="P142" i="2"/>
  <c r="Q142" i="2" s="1"/>
  <c r="V142" i="2" s="1"/>
  <c r="Q147" i="2"/>
  <c r="V147" i="2" s="1"/>
  <c r="Q133" i="2"/>
  <c r="V133" i="2" s="1"/>
  <c r="P157" i="2"/>
  <c r="Q157" i="2" s="1"/>
  <c r="V157" i="2" s="1"/>
  <c r="Q132" i="2"/>
  <c r="V132" i="2" s="1"/>
  <c r="P156" i="2"/>
  <c r="Q156" i="2" s="1"/>
  <c r="V156" i="2" s="1"/>
  <c r="Q131" i="2"/>
  <c r="V131" i="2" s="1"/>
  <c r="P59" i="2"/>
  <c r="Q59" i="2" s="1"/>
  <c r="V59" i="2" s="1"/>
  <c r="P75" i="2"/>
  <c r="Q75" i="2" s="1"/>
  <c r="V75" i="2" s="1"/>
  <c r="Q26" i="2"/>
  <c r="V26" i="2" s="1"/>
  <c r="Q35" i="2"/>
  <c r="V35" i="2" s="1"/>
  <c r="P46" i="2"/>
  <c r="Q46" i="2" s="1"/>
  <c r="V46" i="2" s="1"/>
  <c r="P55" i="2"/>
  <c r="Q55" i="2" s="1"/>
  <c r="V55" i="2" s="1"/>
  <c r="Q66" i="2"/>
  <c r="V66" i="2" s="1"/>
  <c r="P86" i="2"/>
  <c r="Q86" i="2" s="1"/>
  <c r="V86" i="2" s="1"/>
  <c r="Q91" i="2"/>
  <c r="V91" i="2" s="1"/>
  <c r="P106" i="2"/>
  <c r="Q106" i="2" s="1"/>
  <c r="V106" i="2" s="1"/>
  <c r="Q30" i="2"/>
  <c r="V30" i="2" s="1"/>
  <c r="P42" i="2"/>
  <c r="Q42" i="2" s="1"/>
  <c r="V42" i="2" s="1"/>
  <c r="P82" i="2"/>
  <c r="Q82" i="2" s="1"/>
  <c r="V82" i="2" s="1"/>
  <c r="Q70" i="2"/>
  <c r="V70" i="2" s="1"/>
  <c r="Q34" i="2"/>
  <c r="V34" i="2" s="1"/>
  <c r="Q58" i="2"/>
  <c r="V58" i="2" s="1"/>
  <c r="P62" i="2"/>
  <c r="Q62" i="2" s="1"/>
  <c r="V62" i="2" s="1"/>
  <c r="Q74" i="2"/>
  <c r="V74" i="2" s="1"/>
  <c r="P78" i="2"/>
  <c r="Q78" i="2" s="1"/>
  <c r="V78" i="2" s="1"/>
  <c r="Q94" i="2"/>
  <c r="V94" i="2" s="1"/>
  <c r="P104" i="2"/>
  <c r="Q104" i="2" s="1"/>
  <c r="V104" i="2" s="1"/>
  <c r="Q38" i="2"/>
  <c r="V38" i="2" s="1"/>
  <c r="Q54" i="2"/>
  <c r="V54" i="2" s="1"/>
  <c r="P90" i="2"/>
  <c r="Q90" i="2" s="1"/>
  <c r="V90" i="2" s="1"/>
  <c r="Q100" i="2"/>
  <c r="V100" i="2" s="1"/>
  <c r="Q50" i="2"/>
  <c r="V50" i="2" s="1"/>
  <c r="P119" i="2"/>
  <c r="Q119" i="2" s="1"/>
  <c r="V119" i="2" s="1"/>
  <c r="Q108" i="2"/>
  <c r="V108" i="2" s="1"/>
  <c r="Q122" i="2"/>
  <c r="V122" i="2" s="1"/>
  <c r="Q98" i="2"/>
  <c r="V98" i="2" s="1"/>
  <c r="Q102" i="2"/>
  <c r="V102" i="2" s="1"/>
  <c r="P110" i="2"/>
  <c r="Q110" i="2" s="1"/>
  <c r="V110" i="2" s="1"/>
  <c r="P17" i="2"/>
  <c r="Q17" i="2" s="1"/>
  <c r="V17" i="2" s="1"/>
  <c r="P25" i="2"/>
  <c r="Q25" i="2" s="1"/>
  <c r="V25" i="2" s="1"/>
  <c r="P33" i="2"/>
  <c r="Q33" i="2" s="1"/>
  <c r="V33" i="2" s="1"/>
  <c r="P41" i="2"/>
  <c r="Q41" i="2" s="1"/>
  <c r="V41" i="2" s="1"/>
  <c r="P49" i="2"/>
  <c r="Q49" i="2" s="1"/>
  <c r="V49" i="2" s="1"/>
  <c r="P57" i="2"/>
  <c r="Q57" i="2" s="1"/>
  <c r="V57" i="2" s="1"/>
  <c r="P65" i="2"/>
  <c r="Q65" i="2" s="1"/>
  <c r="V65" i="2" s="1"/>
  <c r="P73" i="2"/>
  <c r="Q73" i="2" s="1"/>
  <c r="V73" i="2" s="1"/>
  <c r="P81" i="2"/>
  <c r="Q81" i="2" s="1"/>
  <c r="V81" i="2" s="1"/>
  <c r="P89" i="2"/>
  <c r="Q89" i="2" s="1"/>
  <c r="V89" i="2" s="1"/>
  <c r="P97" i="2"/>
  <c r="Q97" i="2" s="1"/>
  <c r="V97" i="2" s="1"/>
  <c r="P105" i="2"/>
  <c r="Q105" i="2" s="1"/>
  <c r="V105" i="2" s="1"/>
  <c r="P113" i="2"/>
  <c r="Q113" i="2" s="1"/>
  <c r="V113" i="2" s="1"/>
  <c r="P20" i="2"/>
  <c r="Q20" i="2" s="1"/>
  <c r="V20" i="2" s="1"/>
  <c r="P28" i="2"/>
  <c r="Q28" i="2" s="1"/>
  <c r="V28" i="2" s="1"/>
  <c r="P36" i="2"/>
  <c r="Q36" i="2" s="1"/>
  <c r="V36" i="2" s="1"/>
  <c r="P60" i="2"/>
  <c r="Q60" i="2" s="1"/>
  <c r="V60" i="2" s="1"/>
  <c r="P68" i="2"/>
  <c r="Q68" i="2" s="1"/>
  <c r="V68" i="2" s="1"/>
  <c r="P76" i="2"/>
  <c r="Q76" i="2" s="1"/>
  <c r="V76" i="2" s="1"/>
  <c r="P84" i="2"/>
  <c r="Q84" i="2" s="1"/>
  <c r="V84" i="2" s="1"/>
  <c r="P21" i="2"/>
  <c r="Q21" i="2" s="1"/>
  <c r="V21" i="2" s="1"/>
  <c r="P29" i="2"/>
  <c r="Q29" i="2" s="1"/>
  <c r="V29" i="2" s="1"/>
  <c r="P37" i="2"/>
  <c r="Q37" i="2" s="1"/>
  <c r="V37" i="2" s="1"/>
  <c r="P45" i="2"/>
  <c r="Q45" i="2" s="1"/>
  <c r="V45" i="2" s="1"/>
  <c r="P53" i="2"/>
  <c r="Q53" i="2" s="1"/>
  <c r="V53" i="2" s="1"/>
  <c r="P61" i="2"/>
  <c r="Q61" i="2" s="1"/>
  <c r="V61" i="2" s="1"/>
  <c r="P69" i="2"/>
  <c r="Q69" i="2" s="1"/>
  <c r="V69" i="2" s="1"/>
  <c r="P77" i="2"/>
  <c r="Q77" i="2" s="1"/>
  <c r="V77" i="2" s="1"/>
  <c r="P85" i="2"/>
  <c r="Q85" i="2" s="1"/>
  <c r="V85" i="2" s="1"/>
  <c r="P93" i="2"/>
  <c r="Q93" i="2" s="1"/>
  <c r="V93" i="2" s="1"/>
  <c r="P101" i="2"/>
  <c r="Q101" i="2" s="1"/>
  <c r="V101" i="2" s="1"/>
  <c r="P109" i="2"/>
  <c r="Q109" i="2" s="1"/>
  <c r="V109" i="2" s="1"/>
  <c r="P120" i="2"/>
  <c r="Q120" i="2" s="1"/>
  <c r="V120" i="2" s="1"/>
  <c r="P9" i="2"/>
  <c r="Q9" i="2" s="1"/>
  <c r="V9" i="2" s="1"/>
  <c r="Q11" i="2"/>
  <c r="V11" i="2" s="1"/>
  <c r="P2" i="2"/>
  <c r="Q2" i="2" s="1"/>
  <c r="V2" i="2" s="1"/>
  <c r="Q10" i="2"/>
  <c r="V10" i="2" s="1"/>
  <c r="Q3" i="2"/>
  <c r="V3" i="2" s="1"/>
  <c r="Q14" i="2"/>
  <c r="V14" i="2" s="1"/>
  <c r="Q6" i="2"/>
  <c r="V6" i="2" s="1"/>
  <c r="Q5" i="2"/>
  <c r="V5" i="2" s="1"/>
  <c r="Q12" i="2"/>
  <c r="V12" i="2" s="1"/>
  <c r="Q4" i="2"/>
  <c r="V4" i="2" s="1"/>
  <c r="Q13" i="2"/>
  <c r="V13" i="2" s="1"/>
  <c r="V134" i="2" l="1"/>
  <c r="S153" i="2"/>
  <c r="V153" i="2" s="1"/>
  <c r="O1289" i="2"/>
  <c r="P1289" i="2" l="1"/>
  <c r="Q1289" i="2" s="1"/>
  <c r="V1289" i="2" s="1"/>
  <c r="O1286" i="2" l="1"/>
  <c r="P1286" i="2" s="1"/>
  <c r="Q1286" i="2" l="1"/>
  <c r="V1286" i="2" s="1"/>
  <c r="O1285" i="2" l="1"/>
  <c r="P1285" i="2" s="1"/>
  <c r="Q1285" i="2" s="1"/>
  <c r="V1285" i="2" s="1"/>
  <c r="O1284" i="2"/>
  <c r="P1284" i="2" s="1"/>
  <c r="O1283" i="2"/>
  <c r="P1283" i="2" s="1"/>
  <c r="Q1283" i="2" s="1"/>
  <c r="V1283" i="2" s="1"/>
  <c r="O1282" i="2"/>
  <c r="P1282" i="2" s="1"/>
  <c r="Q1282" i="2" s="1"/>
  <c r="V1282" i="2" s="1"/>
  <c r="O1281" i="2"/>
  <c r="P1281" i="2" s="1"/>
  <c r="O1280" i="2"/>
  <c r="P1280" i="2" s="1"/>
  <c r="Q1280" i="2" l="1"/>
  <c r="V1280" i="2" s="1"/>
  <c r="Q1284" i="2"/>
  <c r="V1284" i="2" s="1"/>
  <c r="Q1281" i="2"/>
  <c r="V1281" i="2" s="1"/>
  <c r="O1279" i="2" l="1"/>
  <c r="O1278" i="2"/>
  <c r="P1278" i="2" s="1"/>
  <c r="Q1278" i="2" s="1"/>
  <c r="V1278" i="2" s="1"/>
  <c r="O1277" i="2"/>
  <c r="P1277" i="2" s="1"/>
  <c r="Q1277" i="2" s="1"/>
  <c r="V1277" i="2" s="1"/>
  <c r="O1276" i="2"/>
  <c r="O1275" i="2"/>
  <c r="P1275" i="2" s="1"/>
  <c r="Q1275" i="2" s="1"/>
  <c r="V1275" i="2" s="1"/>
  <c r="O1274" i="2"/>
  <c r="P1274" i="2" s="1"/>
  <c r="Q1274" i="2" s="1"/>
  <c r="V1274" i="2" s="1"/>
  <c r="O1273" i="2"/>
  <c r="P1279" i="2" l="1"/>
  <c r="Q1279" i="2" s="1"/>
  <c r="V1279" i="2" s="1"/>
  <c r="P1276" i="2"/>
  <c r="Q1276" i="2" s="1"/>
  <c r="V1276" i="2" s="1"/>
  <c r="P1268" i="2" l="1"/>
  <c r="Q1268" i="2" s="1"/>
  <c r="V1268" i="2" s="1"/>
  <c r="P1273" i="2"/>
  <c r="Q1273" i="2" s="1"/>
  <c r="V1273" i="2" s="1"/>
  <c r="O1272" i="2"/>
  <c r="P1272" i="2" s="1"/>
  <c r="O1271" i="2"/>
  <c r="P1271" i="2" l="1"/>
  <c r="Q1271" i="2" s="1"/>
  <c r="V1271" i="2" s="1"/>
  <c r="Q1272" i="2"/>
  <c r="V1272" i="2" s="1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P1264" i="2" l="1"/>
  <c r="P1262" i="2"/>
  <c r="Q1262" i="2" s="1"/>
  <c r="V1262" i="2" s="1"/>
  <c r="P1260" i="2"/>
  <c r="P1255" i="2"/>
  <c r="P1254" i="2"/>
  <c r="Q1254" i="2" s="1"/>
  <c r="V1254" i="2" s="1"/>
  <c r="P1263" i="2" l="1"/>
  <c r="Q1263" i="2" s="1"/>
  <c r="V1263" i="2" s="1"/>
  <c r="P1261" i="2"/>
  <c r="Q1261" i="2" s="1"/>
  <c r="V1261" i="2" s="1"/>
  <c r="P1259" i="2"/>
  <c r="Q1259" i="2" s="1"/>
  <c r="V1259" i="2" s="1"/>
  <c r="P1258" i="2"/>
  <c r="Q1258" i="2" s="1"/>
  <c r="V1258" i="2" s="1"/>
  <c r="Q1255" i="2"/>
  <c r="V1255" i="2" s="1"/>
  <c r="P1253" i="2"/>
  <c r="Q1253" i="2" s="1"/>
  <c r="V1253" i="2" s="1"/>
  <c r="P1265" i="2"/>
  <c r="Q1265" i="2" s="1"/>
  <c r="V1265" i="2" s="1"/>
  <c r="Q1260" i="2"/>
  <c r="V1260" i="2" s="1"/>
  <c r="Q1264" i="2"/>
  <c r="V1264" i="2" s="1"/>
  <c r="P1257" i="2"/>
  <c r="Q1257" i="2" s="1"/>
  <c r="V1257" i="2" s="1"/>
  <c r="P1256" i="2"/>
  <c r="Q1256" i="2" s="1"/>
  <c r="V1256" i="2" s="1"/>
  <c r="O1246" i="2" l="1"/>
  <c r="O1245" i="2"/>
  <c r="O1244" i="2"/>
  <c r="O1243" i="2"/>
  <c r="O1242" i="2"/>
  <c r="O1241" i="2"/>
  <c r="O1234" i="2" l="1"/>
  <c r="P1234" i="2" s="1"/>
  <c r="O1235" i="2"/>
  <c r="P1235" i="2" s="1"/>
  <c r="O1236" i="2"/>
  <c r="P1236" i="2" s="1"/>
  <c r="O1237" i="2"/>
  <c r="P1237" i="2" s="1"/>
  <c r="O1238" i="2"/>
  <c r="P1238" i="2" s="1"/>
  <c r="O1239" i="2"/>
  <c r="P1239" i="2" s="1"/>
  <c r="O1240" i="2"/>
  <c r="P1241" i="2"/>
  <c r="P1242" i="2"/>
  <c r="P1243" i="2"/>
  <c r="P1244" i="2"/>
  <c r="P1245" i="2"/>
  <c r="P1250" i="2"/>
  <c r="P1251" i="2"/>
  <c r="P1246" i="2"/>
  <c r="P1252" i="2"/>
  <c r="Q1252" i="2" s="1"/>
  <c r="V1252" i="2" s="1"/>
  <c r="Q1251" i="2" l="1"/>
  <c r="V1251" i="2" s="1"/>
  <c r="Q1246" i="2"/>
  <c r="V1246" i="2" s="1"/>
  <c r="Q1250" i="2"/>
  <c r="V1250" i="2" s="1"/>
  <c r="Q1245" i="2"/>
  <c r="V1245" i="2" s="1"/>
  <c r="Q1244" i="2"/>
  <c r="V1244" i="2" s="1"/>
  <c r="Q1243" i="2"/>
  <c r="V1243" i="2" s="1"/>
  <c r="Q1242" i="2"/>
  <c r="V1242" i="2" s="1"/>
  <c r="P1240" i="2"/>
  <c r="Q1240" i="2" s="1"/>
  <c r="V1240" i="2" s="1"/>
  <c r="Q1241" i="2"/>
  <c r="V1241" i="2" s="1"/>
  <c r="Q1235" i="2"/>
  <c r="V1235" i="2" s="1"/>
  <c r="Q1236" i="2"/>
  <c r="V1236" i="2" s="1"/>
  <c r="P1223" i="2"/>
  <c r="Q1223" i="2" s="1"/>
  <c r="V1223" i="2" s="1"/>
  <c r="P1224" i="2"/>
  <c r="Q1224" i="2" s="1"/>
  <c r="V1224" i="2" s="1"/>
  <c r="P1225" i="2"/>
  <c r="Q1225" i="2" s="1"/>
  <c r="V1225" i="2" s="1"/>
  <c r="Q1234" i="2"/>
  <c r="V1234" i="2" s="1"/>
  <c r="Q1237" i="2"/>
  <c r="V1237" i="2" s="1"/>
  <c r="Q1238" i="2"/>
  <c r="V1238" i="2" s="1"/>
  <c r="Q1239" i="2"/>
  <c r="V1239" i="2" s="1"/>
  <c r="O1233" i="2"/>
  <c r="P1233" i="2" s="1"/>
  <c r="Q1233" i="2" s="1"/>
  <c r="V1233" i="2" s="1"/>
  <c r="O1232" i="2"/>
  <c r="P1232" i="2" s="1"/>
  <c r="Q1232" i="2" s="1"/>
  <c r="V1232" i="2" s="1"/>
  <c r="O1231" i="2"/>
  <c r="P1231" i="2" s="1"/>
  <c r="Q1231" i="2" s="1"/>
  <c r="V1231" i="2" s="1"/>
  <c r="O1230" i="2"/>
  <c r="P1230" i="2" s="1"/>
  <c r="Q1230" i="2" s="1"/>
  <c r="V1230" i="2" s="1"/>
  <c r="O1229" i="2"/>
  <c r="P1229" i="2" s="1"/>
  <c r="Q1229" i="2" s="1"/>
  <c r="V1229" i="2" s="1"/>
  <c r="O1228" i="2"/>
  <c r="P1228" i="2" s="1"/>
  <c r="Q1228" i="2" s="1"/>
  <c r="V1228" i="2" s="1"/>
  <c r="O1227" i="2"/>
  <c r="O1226" i="2"/>
  <c r="P1226" i="2" s="1"/>
  <c r="Q1226" i="2" s="1"/>
  <c r="V1226" i="2" s="1"/>
  <c r="P1227" i="2" l="1"/>
  <c r="Q1227" i="2" s="1"/>
  <c r="V1227" i="2" s="1"/>
  <c r="O1222" i="2"/>
  <c r="P1222" i="2" s="1"/>
  <c r="Q1222" i="2" s="1"/>
  <c r="V1222" i="2" s="1"/>
  <c r="O1221" i="2"/>
  <c r="O1220" i="2"/>
  <c r="P1220" i="2" s="1"/>
  <c r="P1221" i="2" l="1"/>
  <c r="Q1221" i="2" s="1"/>
  <c r="V1221" i="2" s="1"/>
  <c r="Q1220" i="2"/>
  <c r="V1220" i="2" s="1"/>
  <c r="V1219" i="2"/>
  <c r="O1217" i="2" l="1"/>
  <c r="P1217" i="2" s="1"/>
  <c r="O1216" i="2"/>
  <c r="O1215" i="2"/>
  <c r="O1214" i="2"/>
  <c r="O1213" i="2"/>
  <c r="O1212" i="2"/>
  <c r="O1211" i="2"/>
  <c r="O1210" i="2"/>
  <c r="O1209" i="2"/>
  <c r="P1209" i="2" s="1"/>
  <c r="Q1209" i="2" s="1"/>
  <c r="V1209" i="2" s="1"/>
  <c r="Q1217" i="2" l="1"/>
  <c r="V1217" i="2" s="1"/>
  <c r="P1210" i="2"/>
  <c r="Q1210" i="2" s="1"/>
  <c r="V1210" i="2" s="1"/>
  <c r="P1211" i="2"/>
  <c r="Q1211" i="2" s="1"/>
  <c r="V1211" i="2" s="1"/>
  <c r="P1212" i="2"/>
  <c r="Q1212" i="2" s="1"/>
  <c r="V1212" i="2" s="1"/>
  <c r="P1213" i="2"/>
  <c r="Q1213" i="2" s="1"/>
  <c r="V1213" i="2" s="1"/>
  <c r="P1214" i="2"/>
  <c r="Q1214" i="2" s="1"/>
  <c r="V1214" i="2" s="1"/>
  <c r="P1215" i="2"/>
  <c r="Q1215" i="2" s="1"/>
  <c r="V1215" i="2" s="1"/>
  <c r="P1216" i="2"/>
  <c r="Q1216" i="2" s="1"/>
  <c r="V1216" i="2" s="1"/>
  <c r="O1194" i="2"/>
  <c r="O1195" i="2"/>
  <c r="P1195" i="2" s="1"/>
  <c r="O1196" i="2"/>
  <c r="O1197" i="2"/>
  <c r="O1198" i="2"/>
  <c r="O1199" i="2"/>
  <c r="O1200" i="2"/>
  <c r="O1201" i="2"/>
  <c r="P1201" i="2" s="1"/>
  <c r="Q1201" i="2" s="1"/>
  <c r="V1201" i="2" s="1"/>
  <c r="O1202" i="2"/>
  <c r="P1202" i="2" s="1"/>
  <c r="O1203" i="2"/>
  <c r="P1203" i="2" s="1"/>
  <c r="Q1203" i="2" s="1"/>
  <c r="V1203" i="2" s="1"/>
  <c r="O1204" i="2"/>
  <c r="P1204" i="2" s="1"/>
  <c r="Q1204" i="2" s="1"/>
  <c r="V1204" i="2" s="1"/>
  <c r="O1205" i="2"/>
  <c r="P1205" i="2" s="1"/>
  <c r="Q1205" i="2" s="1"/>
  <c r="V1205" i="2" s="1"/>
  <c r="O1206" i="2"/>
  <c r="O1207" i="2"/>
  <c r="P1207" i="2" s="1"/>
  <c r="Q1207" i="2" s="1"/>
  <c r="V1207" i="2" s="1"/>
  <c r="O1208" i="2"/>
  <c r="O1193" i="2"/>
  <c r="P1193" i="2" s="1"/>
  <c r="O1192" i="2"/>
  <c r="P1192" i="2" s="1"/>
  <c r="O1191" i="2"/>
  <c r="P1191" i="2" s="1"/>
  <c r="O1167" i="2"/>
  <c r="P1167" i="2" s="1"/>
  <c r="Q1167" i="2" s="1"/>
  <c r="V1167" i="2" s="1"/>
  <c r="O1168" i="2"/>
  <c r="O1169" i="2"/>
  <c r="O1170" i="2"/>
  <c r="O1171" i="2"/>
  <c r="O1172" i="2"/>
  <c r="O1173" i="2"/>
  <c r="O1174" i="2"/>
  <c r="P1174" i="2" s="1"/>
  <c r="O1175" i="2"/>
  <c r="O1176" i="2"/>
  <c r="O1177" i="2"/>
  <c r="P1177" i="2" s="1"/>
  <c r="O1178" i="2"/>
  <c r="P1178" i="2" s="1"/>
  <c r="O1179" i="2"/>
  <c r="P1179" i="2" s="1"/>
  <c r="O1180" i="2"/>
  <c r="P1180" i="2" s="1"/>
  <c r="Q1180" i="2" s="1"/>
  <c r="V1180" i="2" s="1"/>
  <c r="O1181" i="2"/>
  <c r="O1182" i="2"/>
  <c r="O1183" i="2"/>
  <c r="O1184" i="2"/>
  <c r="O1185" i="2"/>
  <c r="O1186" i="2"/>
  <c r="P1186" i="2" s="1"/>
  <c r="O1187" i="2"/>
  <c r="P1187" i="2" s="1"/>
  <c r="O1188" i="2"/>
  <c r="P1188" i="2" s="1"/>
  <c r="O1189" i="2"/>
  <c r="O1190" i="2"/>
  <c r="O1166" i="2"/>
  <c r="P1166" i="2" s="1"/>
  <c r="Q1166" i="2" s="1"/>
  <c r="V1166" i="2" s="1"/>
  <c r="O1165" i="2"/>
  <c r="P1165" i="2" s="1"/>
  <c r="O1164" i="2"/>
  <c r="P1164" i="2" s="1"/>
  <c r="O1163" i="2"/>
  <c r="P1163" i="2" s="1"/>
  <c r="O1162" i="2"/>
  <c r="O1161" i="2"/>
  <c r="P1161" i="2" s="1"/>
  <c r="O1160" i="2"/>
  <c r="P1160" i="2" s="1"/>
  <c r="O1159" i="2"/>
  <c r="P1159" i="2" s="1"/>
  <c r="O1158" i="2"/>
  <c r="P1158" i="2" s="1"/>
  <c r="O1157" i="2"/>
  <c r="O1156" i="2"/>
  <c r="P1156" i="2" s="1"/>
  <c r="O1155" i="2"/>
  <c r="P1155" i="2" s="1"/>
  <c r="O1154" i="2"/>
  <c r="P1154" i="2" s="1"/>
  <c r="O1153" i="2"/>
  <c r="O1152" i="2"/>
  <c r="P1152" i="2" s="1"/>
  <c r="Q1152" i="2" s="1"/>
  <c r="V1152" i="2" s="1"/>
  <c r="O1151" i="2"/>
  <c r="P1151" i="2" s="1"/>
  <c r="O1150" i="2"/>
  <c r="O1148" i="2"/>
  <c r="O1147" i="2"/>
  <c r="O1146" i="2"/>
  <c r="O1145" i="2"/>
  <c r="P1145" i="2" s="1"/>
  <c r="Q1145" i="2" s="1"/>
  <c r="V1145" i="2" s="1"/>
  <c r="O1144" i="2"/>
  <c r="P1144" i="2" s="1"/>
  <c r="O1143" i="2"/>
  <c r="O1142" i="2"/>
  <c r="P1142" i="2" s="1"/>
  <c r="O1141" i="2"/>
  <c r="P1141" i="2" s="1"/>
  <c r="O1140" i="2"/>
  <c r="P1140" i="2" s="1"/>
  <c r="O1139" i="2"/>
  <c r="P1139" i="2" s="1"/>
  <c r="O1138" i="2"/>
  <c r="P1138" i="2" s="1"/>
  <c r="O1137" i="2"/>
  <c r="O1136" i="2"/>
  <c r="P1136" i="2" s="1"/>
  <c r="O1135" i="2"/>
  <c r="P1135" i="2" s="1"/>
  <c r="O1101" i="2"/>
  <c r="P1101" i="2" s="1"/>
  <c r="O1102" i="2"/>
  <c r="P1102" i="2" s="1"/>
  <c r="O1103" i="2"/>
  <c r="P1103" i="2" s="1"/>
  <c r="O1104" i="2"/>
  <c r="O1105" i="2"/>
  <c r="O1106" i="2"/>
  <c r="O1107" i="2"/>
  <c r="P1107" i="2" s="1"/>
  <c r="O1108" i="2"/>
  <c r="P1108" i="2" s="1"/>
  <c r="O1109" i="2"/>
  <c r="P1109" i="2" s="1"/>
  <c r="O1110" i="2"/>
  <c r="O1111" i="2"/>
  <c r="O1112" i="2"/>
  <c r="O1113" i="2"/>
  <c r="O1114" i="2"/>
  <c r="O1115" i="2"/>
  <c r="P1115" i="2" s="1"/>
  <c r="O1116" i="2"/>
  <c r="P1116" i="2" s="1"/>
  <c r="O1117" i="2"/>
  <c r="P1117" i="2" s="1"/>
  <c r="O1118" i="2"/>
  <c r="O1119" i="2"/>
  <c r="O1120" i="2"/>
  <c r="P1120" i="2" s="1"/>
  <c r="O1121" i="2"/>
  <c r="O1122" i="2"/>
  <c r="P1122" i="2" s="1"/>
  <c r="O1123" i="2"/>
  <c r="O1124" i="2"/>
  <c r="O1125" i="2"/>
  <c r="P1125" i="2" s="1"/>
  <c r="O1126" i="2"/>
  <c r="P1126" i="2" s="1"/>
  <c r="O1127" i="2"/>
  <c r="O1128" i="2"/>
  <c r="O1129" i="2"/>
  <c r="P1129" i="2" s="1"/>
  <c r="Q1129" i="2" s="1"/>
  <c r="V1129" i="2" s="1"/>
  <c r="O1130" i="2"/>
  <c r="P1130" i="2" s="1"/>
  <c r="O1131" i="2"/>
  <c r="P1131" i="2" s="1"/>
  <c r="O1132" i="2"/>
  <c r="P1132" i="2" s="1"/>
  <c r="Q1132" i="2" s="1"/>
  <c r="V1132" i="2" s="1"/>
  <c r="O1133" i="2"/>
  <c r="P1133" i="2" s="1"/>
  <c r="Q1133" i="2" s="1"/>
  <c r="V1133" i="2" s="1"/>
  <c r="O1134" i="2"/>
  <c r="P1197" i="2" l="1"/>
  <c r="Q1197" i="2" s="1"/>
  <c r="V1197" i="2" s="1"/>
  <c r="Q1163" i="2"/>
  <c r="V1163" i="2" s="1"/>
  <c r="Q1191" i="2"/>
  <c r="V1191" i="2" s="1"/>
  <c r="Q1202" i="2"/>
  <c r="V1202" i="2" s="1"/>
  <c r="P1206" i="2"/>
  <c r="Q1206" i="2" s="1"/>
  <c r="V1206" i="2" s="1"/>
  <c r="P1194" i="2"/>
  <c r="Q1194" i="2" s="1"/>
  <c r="V1194" i="2" s="1"/>
  <c r="P1208" i="2"/>
  <c r="Q1208" i="2" s="1"/>
  <c r="V1208" i="2" s="1"/>
  <c r="P1200" i="2"/>
  <c r="Q1200" i="2" s="1"/>
  <c r="V1200" i="2" s="1"/>
  <c r="P1199" i="2"/>
  <c r="Q1199" i="2" s="1"/>
  <c r="V1199" i="2" s="1"/>
  <c r="P1198" i="2"/>
  <c r="Q1198" i="2" s="1"/>
  <c r="V1198" i="2" s="1"/>
  <c r="P1196" i="2"/>
  <c r="Q1196" i="2" s="1"/>
  <c r="V1196" i="2" s="1"/>
  <c r="Q1195" i="2"/>
  <c r="V1195" i="2" s="1"/>
  <c r="Q1193" i="2"/>
  <c r="V1193" i="2" s="1"/>
  <c r="Q1192" i="2"/>
  <c r="V1192" i="2" s="1"/>
  <c r="Q1179" i="2"/>
  <c r="V1179" i="2" s="1"/>
  <c r="P1176" i="2"/>
  <c r="Q1176" i="2" s="1"/>
  <c r="V1176" i="2" s="1"/>
  <c r="Q1186" i="2"/>
  <c r="V1186" i="2" s="1"/>
  <c r="P1175" i="2"/>
  <c r="Q1175" i="2" s="1"/>
  <c r="V1175" i="2" s="1"/>
  <c r="Q1177" i="2"/>
  <c r="V1177" i="2" s="1"/>
  <c r="P1169" i="2"/>
  <c r="Q1169" i="2" s="1"/>
  <c r="V1169" i="2" s="1"/>
  <c r="P1190" i="2"/>
  <c r="Q1190" i="2" s="1"/>
  <c r="V1190" i="2" s="1"/>
  <c r="P1189" i="2"/>
  <c r="Q1189" i="2" s="1"/>
  <c r="V1189" i="2" s="1"/>
  <c r="Q1188" i="2"/>
  <c r="V1188" i="2" s="1"/>
  <c r="Q1187" i="2"/>
  <c r="V1187" i="2" s="1"/>
  <c r="P1185" i="2"/>
  <c r="Q1185" i="2" s="1"/>
  <c r="V1185" i="2" s="1"/>
  <c r="P1184" i="2"/>
  <c r="Q1184" i="2" s="1"/>
  <c r="V1184" i="2" s="1"/>
  <c r="P1183" i="2"/>
  <c r="Q1183" i="2" s="1"/>
  <c r="V1183" i="2" s="1"/>
  <c r="P1182" i="2"/>
  <c r="Q1182" i="2" s="1"/>
  <c r="V1182" i="2" s="1"/>
  <c r="P1181" i="2"/>
  <c r="Q1181" i="2" s="1"/>
  <c r="V1181" i="2" s="1"/>
  <c r="Q1178" i="2"/>
  <c r="V1178" i="2" s="1"/>
  <c r="Q1174" i="2"/>
  <c r="V1174" i="2" s="1"/>
  <c r="P1173" i="2"/>
  <c r="Q1173" i="2" s="1"/>
  <c r="V1173" i="2" s="1"/>
  <c r="P1172" i="2"/>
  <c r="Q1172" i="2" s="1"/>
  <c r="V1172" i="2" s="1"/>
  <c r="P1171" i="2"/>
  <c r="Q1171" i="2" s="1"/>
  <c r="V1171" i="2" s="1"/>
  <c r="P1170" i="2"/>
  <c r="Q1170" i="2" s="1"/>
  <c r="V1170" i="2" s="1"/>
  <c r="P1168" i="2"/>
  <c r="Q1168" i="2" s="1"/>
  <c r="V1168" i="2" s="1"/>
  <c r="Q1165" i="2"/>
  <c r="V1165" i="2" s="1"/>
  <c r="Q1164" i="2"/>
  <c r="V1164" i="2" s="1"/>
  <c r="P1162" i="2"/>
  <c r="Q1162" i="2" s="1"/>
  <c r="V1162" i="2" s="1"/>
  <c r="Q1161" i="2"/>
  <c r="V1161" i="2" s="1"/>
  <c r="Q1160" i="2"/>
  <c r="V1160" i="2" s="1"/>
  <c r="Q1159" i="2"/>
  <c r="V1159" i="2" s="1"/>
  <c r="Q1158" i="2"/>
  <c r="V1158" i="2" s="1"/>
  <c r="P1157" i="2"/>
  <c r="Q1157" i="2" s="1"/>
  <c r="V1157" i="2" s="1"/>
  <c r="Q1156" i="2"/>
  <c r="V1156" i="2" s="1"/>
  <c r="Q1155" i="2"/>
  <c r="V1155" i="2" s="1"/>
  <c r="Q1154" i="2"/>
  <c r="V1154" i="2" s="1"/>
  <c r="P1153" i="2"/>
  <c r="Q1153" i="2" s="1"/>
  <c r="V1153" i="2" s="1"/>
  <c r="Q1151" i="2"/>
  <c r="V1151" i="2" s="1"/>
  <c r="P1150" i="2"/>
  <c r="Q1150" i="2" s="1"/>
  <c r="V1150" i="2" s="1"/>
  <c r="P1148" i="2"/>
  <c r="Q1148" i="2" s="1"/>
  <c r="V1148" i="2" s="1"/>
  <c r="P1147" i="2"/>
  <c r="Q1147" i="2" s="1"/>
  <c r="V1147" i="2" s="1"/>
  <c r="P1146" i="2"/>
  <c r="Q1146" i="2" s="1"/>
  <c r="V1146" i="2" s="1"/>
  <c r="Q1140" i="2"/>
  <c r="V1140" i="2" s="1"/>
  <c r="Q1102" i="2"/>
  <c r="V1102" i="2" s="1"/>
  <c r="Q1101" i="2"/>
  <c r="V1101" i="2" s="1"/>
  <c r="Q1138" i="2"/>
  <c r="V1138" i="2" s="1"/>
  <c r="Q1135" i="2"/>
  <c r="V1135" i="2" s="1"/>
  <c r="Q1144" i="2"/>
  <c r="V1144" i="2" s="1"/>
  <c r="Q1141" i="2"/>
  <c r="V1141" i="2" s="1"/>
  <c r="Q1103" i="2"/>
  <c r="V1103" i="2" s="1"/>
  <c r="Q1130" i="2"/>
  <c r="V1130" i="2" s="1"/>
  <c r="Q1136" i="2"/>
  <c r="V1136" i="2" s="1"/>
  <c r="Q1142" i="2"/>
  <c r="V1142" i="2" s="1"/>
  <c r="P1143" i="2"/>
  <c r="Q1143" i="2" s="1"/>
  <c r="V1143" i="2" s="1"/>
  <c r="Q1139" i="2"/>
  <c r="V1139" i="2" s="1"/>
  <c r="P1137" i="2"/>
  <c r="Q1137" i="2" s="1"/>
  <c r="V1137" i="2" s="1"/>
  <c r="Q1131" i="2"/>
  <c r="V1131" i="2" s="1"/>
  <c r="P1128" i="2"/>
  <c r="Q1128" i="2" s="1"/>
  <c r="V1128" i="2" s="1"/>
  <c r="P1134" i="2"/>
  <c r="Q1134" i="2" s="1"/>
  <c r="V1134" i="2" s="1"/>
  <c r="P1127" i="2"/>
  <c r="Q1127" i="2" s="1"/>
  <c r="V1127" i="2" s="1"/>
  <c r="Q1126" i="2"/>
  <c r="V1126" i="2" s="1"/>
  <c r="Q1125" i="2"/>
  <c r="V1125" i="2" s="1"/>
  <c r="P1124" i="2"/>
  <c r="Q1124" i="2" s="1"/>
  <c r="V1124" i="2" s="1"/>
  <c r="P1123" i="2"/>
  <c r="Q1123" i="2" s="1"/>
  <c r="V1123" i="2" s="1"/>
  <c r="Q1122" i="2"/>
  <c r="V1122" i="2" s="1"/>
  <c r="P1121" i="2"/>
  <c r="Q1121" i="2" s="1"/>
  <c r="V1121" i="2" s="1"/>
  <c r="Q1120" i="2"/>
  <c r="V1120" i="2" s="1"/>
  <c r="P1119" i="2"/>
  <c r="Q1119" i="2" s="1"/>
  <c r="V1119" i="2" s="1"/>
  <c r="P1118" i="2"/>
  <c r="Q1118" i="2" s="1"/>
  <c r="V1118" i="2" s="1"/>
  <c r="Q1117" i="2"/>
  <c r="V1117" i="2" s="1"/>
  <c r="Q1116" i="2"/>
  <c r="V1116" i="2" s="1"/>
  <c r="Q1115" i="2"/>
  <c r="V1115" i="2" s="1"/>
  <c r="P1114" i="2"/>
  <c r="Q1114" i="2" s="1"/>
  <c r="V1114" i="2" s="1"/>
  <c r="P1113" i="2"/>
  <c r="Q1113" i="2" s="1"/>
  <c r="V1113" i="2" s="1"/>
  <c r="P1112" i="2"/>
  <c r="Q1112" i="2" s="1"/>
  <c r="V1112" i="2" s="1"/>
  <c r="P1111" i="2"/>
  <c r="Q1111" i="2" s="1"/>
  <c r="V1111" i="2" s="1"/>
  <c r="P1110" i="2"/>
  <c r="Q1110" i="2" s="1"/>
  <c r="V1110" i="2" s="1"/>
  <c r="Q1109" i="2"/>
  <c r="V1109" i="2" s="1"/>
  <c r="Q1108" i="2"/>
  <c r="V1108" i="2" s="1"/>
  <c r="Q1107" i="2"/>
  <c r="V1107" i="2" s="1"/>
  <c r="P1106" i="2"/>
  <c r="Q1106" i="2" s="1"/>
  <c r="V1106" i="2" s="1"/>
  <c r="P1105" i="2"/>
  <c r="Q1105" i="2" s="1"/>
  <c r="V1105" i="2" s="1"/>
  <c r="P1104" i="2"/>
  <c r="Q1104" i="2" s="1"/>
  <c r="V1104" i="2" s="1"/>
  <c r="O1099" i="2" l="1"/>
  <c r="O1100" i="2"/>
  <c r="P1100" i="2" s="1"/>
  <c r="O1098" i="2"/>
  <c r="O1097" i="2"/>
  <c r="O1096" i="2"/>
  <c r="O1095" i="2"/>
  <c r="O1094" i="2"/>
  <c r="P1094" i="2" s="1"/>
  <c r="Q1094" i="2" s="1"/>
  <c r="V1094" i="2" s="1"/>
  <c r="O1093" i="2"/>
  <c r="P1093" i="2" s="1"/>
  <c r="Q1093" i="2" s="1"/>
  <c r="V1093" i="2" s="1"/>
  <c r="O1092" i="2"/>
  <c r="P1092" i="2" s="1"/>
  <c r="Q1092" i="2" s="1"/>
  <c r="V1092" i="2" s="1"/>
  <c r="O1091" i="2"/>
  <c r="P1091" i="2" s="1"/>
  <c r="Q1091" i="2" s="1"/>
  <c r="V1091" i="2" s="1"/>
  <c r="O1090" i="2"/>
  <c r="O1089" i="2"/>
  <c r="O1088" i="2"/>
  <c r="O1087" i="2"/>
  <c r="O1086" i="2"/>
  <c r="P1086" i="2" s="1"/>
  <c r="Q1086" i="2" s="1"/>
  <c r="V1086" i="2" s="1"/>
  <c r="O1085" i="2"/>
  <c r="P1085" i="2" s="1"/>
  <c r="Q1085" i="2" s="1"/>
  <c r="V1085" i="2" s="1"/>
  <c r="O1084" i="2"/>
  <c r="P1084" i="2" s="1"/>
  <c r="Q1084" i="2" s="1"/>
  <c r="V1084" i="2" s="1"/>
  <c r="O1083" i="2"/>
  <c r="P1083" i="2" s="1"/>
  <c r="Q1083" i="2" s="1"/>
  <c r="V1083" i="2" s="1"/>
  <c r="O1082" i="2"/>
  <c r="O1072" i="2"/>
  <c r="O1073" i="2"/>
  <c r="O1074" i="2"/>
  <c r="P1074" i="2" s="1"/>
  <c r="O1075" i="2"/>
  <c r="P1075" i="2" s="1"/>
  <c r="O1076" i="2"/>
  <c r="P1076" i="2" s="1"/>
  <c r="O1077" i="2"/>
  <c r="P1077" i="2" s="1"/>
  <c r="O1078" i="2"/>
  <c r="O1079" i="2"/>
  <c r="P1079" i="2" s="1"/>
  <c r="O1080" i="2"/>
  <c r="O1081" i="2"/>
  <c r="Q1100" i="2" l="1"/>
  <c r="V1100" i="2" s="1"/>
  <c r="P1099" i="2"/>
  <c r="Q1099" i="2" s="1"/>
  <c r="V1099" i="2" s="1"/>
  <c r="P1087" i="2"/>
  <c r="Q1087" i="2" s="1"/>
  <c r="V1087" i="2" s="1"/>
  <c r="P1095" i="2"/>
  <c r="Q1095" i="2" s="1"/>
  <c r="V1095" i="2" s="1"/>
  <c r="P1088" i="2"/>
  <c r="Q1088" i="2" s="1"/>
  <c r="V1088" i="2" s="1"/>
  <c r="P1096" i="2"/>
  <c r="Q1096" i="2" s="1"/>
  <c r="V1096" i="2" s="1"/>
  <c r="P1089" i="2"/>
  <c r="Q1089" i="2" s="1"/>
  <c r="V1089" i="2" s="1"/>
  <c r="P1097" i="2"/>
  <c r="Q1097" i="2" s="1"/>
  <c r="V1097" i="2" s="1"/>
  <c r="P1082" i="2"/>
  <c r="Q1082" i="2" s="1"/>
  <c r="V1082" i="2" s="1"/>
  <c r="P1090" i="2"/>
  <c r="Q1090" i="2" s="1"/>
  <c r="V1090" i="2" s="1"/>
  <c r="P1098" i="2"/>
  <c r="Q1098" i="2" s="1"/>
  <c r="V1098" i="2" s="1"/>
  <c r="Q1076" i="2"/>
  <c r="V1076" i="2" s="1"/>
  <c r="Q1074" i="2"/>
  <c r="V1074" i="2" s="1"/>
  <c r="P1081" i="2"/>
  <c r="Q1081" i="2" s="1"/>
  <c r="V1081" i="2" s="1"/>
  <c r="P1080" i="2"/>
  <c r="Q1080" i="2" s="1"/>
  <c r="V1080" i="2" s="1"/>
  <c r="Q1079" i="2"/>
  <c r="V1079" i="2" s="1"/>
  <c r="P1078" i="2"/>
  <c r="Q1078" i="2" s="1"/>
  <c r="V1078" i="2" s="1"/>
  <c r="Q1077" i="2"/>
  <c r="V1077" i="2" s="1"/>
  <c r="Q1075" i="2"/>
  <c r="V1075" i="2" s="1"/>
  <c r="P1073" i="2"/>
  <c r="Q1073" i="2" s="1"/>
  <c r="V1073" i="2" s="1"/>
  <c r="P1072" i="2"/>
  <c r="Q1072" i="2" s="1"/>
  <c r="V1072" i="2" s="1"/>
  <c r="O1059" i="2" l="1"/>
  <c r="O1060" i="2"/>
  <c r="P1060" i="2" s="1"/>
  <c r="Q1060" i="2" s="1"/>
  <c r="V1060" i="2" s="1"/>
  <c r="O1061" i="2"/>
  <c r="O1063" i="2"/>
  <c r="P1063" i="2" s="1"/>
  <c r="O1064" i="2"/>
  <c r="O1065" i="2"/>
  <c r="P1065" i="2" s="1"/>
  <c r="O1066" i="2"/>
  <c r="P1066" i="2" s="1"/>
  <c r="Q1066" i="2" s="1"/>
  <c r="V1066" i="2" s="1"/>
  <c r="O1067" i="2"/>
  <c r="P1067" i="2" s="1"/>
  <c r="O1068" i="2"/>
  <c r="O1069" i="2"/>
  <c r="P1069" i="2" s="1"/>
  <c r="Q1069" i="2" s="1"/>
  <c r="V1069" i="2" s="1"/>
  <c r="O1070" i="2"/>
  <c r="O1071" i="2"/>
  <c r="P1071" i="2" l="1"/>
  <c r="Q1071" i="2" s="1"/>
  <c r="V1071" i="2" s="1"/>
  <c r="P1070" i="2"/>
  <c r="Q1070" i="2" s="1"/>
  <c r="V1070" i="2" s="1"/>
  <c r="Q1067" i="2"/>
  <c r="V1067" i="2" s="1"/>
  <c r="Q1063" i="2"/>
  <c r="V1063" i="2" s="1"/>
  <c r="P1061" i="2"/>
  <c r="Q1061" i="2" s="1"/>
  <c r="V1061" i="2" s="1"/>
  <c r="P1064" i="2"/>
  <c r="Q1064" i="2" s="1"/>
  <c r="V1064" i="2" s="1"/>
  <c r="Q1065" i="2"/>
  <c r="V1065" i="2" s="1"/>
  <c r="P1068" i="2"/>
  <c r="Q1068" i="2" s="1"/>
  <c r="V1068" i="2" s="1"/>
  <c r="P1059" i="2"/>
  <c r="Q1059" i="2" s="1"/>
  <c r="V1059" i="2" s="1"/>
  <c r="O1051" i="2" l="1"/>
  <c r="P1051" i="2" s="1"/>
  <c r="Q1051" i="2" s="1"/>
  <c r="V1051" i="2" s="1"/>
  <c r="O1052" i="2"/>
  <c r="P1052" i="2" s="1"/>
  <c r="Q1052" i="2" s="1"/>
  <c r="V1052" i="2" s="1"/>
  <c r="O1053" i="2"/>
  <c r="P1053" i="2" s="1"/>
  <c r="Q1053" i="2" s="1"/>
  <c r="V1053" i="2" s="1"/>
  <c r="O1054" i="2"/>
  <c r="P1054" i="2" s="1"/>
  <c r="Q1054" i="2" s="1"/>
  <c r="V1054" i="2" s="1"/>
  <c r="O1055" i="2"/>
  <c r="P1055" i="2" s="1"/>
  <c r="Q1055" i="2" s="1"/>
  <c r="V1055" i="2" s="1"/>
  <c r="O1056" i="2"/>
  <c r="P1056" i="2" s="1"/>
  <c r="Q1056" i="2" s="1"/>
  <c r="V1056" i="2" s="1"/>
  <c r="O1057" i="2"/>
  <c r="P1057" i="2" s="1"/>
  <c r="Q1057" i="2" s="1"/>
  <c r="V1057" i="2" s="1"/>
  <c r="O1058" i="2"/>
  <c r="P1058" i="2" l="1"/>
  <c r="Q1058" i="2" l="1"/>
  <c r="V1058" i="2" s="1"/>
  <c r="Q26" i="1" l="1"/>
  <c r="Q27" i="1"/>
  <c r="Q43" i="1"/>
  <c r="Q51" i="1"/>
  <c r="Q52" i="1"/>
  <c r="Q66" i="1"/>
  <c r="Q69" i="1"/>
  <c r="Q76" i="1"/>
  <c r="Q81" i="1"/>
  <c r="Q86" i="1"/>
  <c r="Q91" i="1"/>
  <c r="Q94" i="1"/>
  <c r="Q96" i="1"/>
  <c r="Q105" i="1"/>
  <c r="Q121" i="1"/>
  <c r="Q130" i="1"/>
  <c r="Q132" i="1"/>
  <c r="Q133" i="1"/>
  <c r="Q139" i="1"/>
  <c r="Q141" i="1"/>
  <c r="Q145" i="1"/>
  <c r="Q146" i="1"/>
  <c r="Q148" i="1"/>
  <c r="Q165" i="1"/>
  <c r="Q166" i="1"/>
  <c r="Q174" i="1"/>
  <c r="Q176" i="1"/>
  <c r="Q188" i="1"/>
  <c r="Q189" i="1"/>
  <c r="Q192" i="1"/>
  <c r="Q205" i="1"/>
  <c r="Q233" i="1"/>
  <c r="Q247" i="1"/>
  <c r="Q263" i="1"/>
  <c r="Q264" i="1"/>
  <c r="Q292" i="1"/>
  <c r="Q293" i="1"/>
  <c r="Q295" i="1"/>
  <c r="Q305" i="1"/>
  <c r="Q313" i="1"/>
  <c r="Q324" i="1"/>
  <c r="Q326" i="1"/>
  <c r="Q327" i="1"/>
  <c r="Q349" i="1"/>
  <c r="Q350" i="1"/>
  <c r="Q358" i="1"/>
  <c r="Q359" i="1"/>
  <c r="Q360" i="1"/>
  <c r="Q367" i="1"/>
  <c r="Q368" i="1"/>
  <c r="Q374" i="1"/>
  <c r="Q378" i="1"/>
  <c r="Q382" i="1"/>
  <c r="Q383" i="1"/>
  <c r="Q428" i="1"/>
  <c r="Q431" i="1"/>
  <c r="Q439" i="1"/>
  <c r="Q444" i="1"/>
  <c r="Q447" i="1"/>
  <c r="Q448" i="1"/>
  <c r="Q450" i="1"/>
  <c r="Q453" i="1"/>
  <c r="Q454" i="1"/>
  <c r="Q460" i="1"/>
  <c r="Q479" i="1"/>
  <c r="Q494" i="1"/>
  <c r="Q509" i="1"/>
  <c r="Q523" i="1"/>
  <c r="Q524" i="1"/>
  <c r="Q547" i="1"/>
  <c r="Q548" i="1"/>
  <c r="Q553" i="1"/>
  <c r="Q604" i="1"/>
  <c r="Q611" i="1"/>
  <c r="Q618" i="1"/>
  <c r="Q619" i="1"/>
  <c r="Q620" i="1"/>
  <c r="Q628" i="1"/>
  <c r="Q629" i="1"/>
  <c r="Q630" i="1"/>
  <c r="Q636" i="1"/>
  <c r="Q637" i="1"/>
  <c r="Q659" i="1"/>
  <c r="Q668" i="1"/>
  <c r="Q694" i="1"/>
  <c r="Q705" i="1"/>
  <c r="Q722" i="1"/>
  <c r="Q737" i="1"/>
  <c r="Q770" i="1"/>
  <c r="Q789" i="1"/>
  <c r="Q791" i="1"/>
  <c r="Q797" i="1"/>
  <c r="Q799" i="1"/>
  <c r="Q818" i="1"/>
  <c r="Q824" i="1"/>
  <c r="Q827" i="1"/>
  <c r="Q881" i="1"/>
  <c r="Q939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P323" i="1"/>
  <c r="Q323" i="1" s="1"/>
  <c r="K323" i="1"/>
  <c r="K940" i="1" l="1"/>
  <c r="K938" i="1"/>
  <c r="K937" i="1"/>
  <c r="K936" i="1"/>
  <c r="K935" i="1"/>
  <c r="L935" i="1" s="1"/>
  <c r="M935" i="1" s="1"/>
  <c r="Q935" i="1" s="1"/>
  <c r="D935" i="1"/>
  <c r="K934" i="1"/>
  <c r="D934" i="1"/>
  <c r="K933" i="1"/>
  <c r="K932" i="1"/>
  <c r="K931" i="1"/>
  <c r="K930" i="1"/>
  <c r="K929" i="1"/>
  <c r="K928" i="1"/>
  <c r="L927" i="1"/>
  <c r="M927" i="1" s="1"/>
  <c r="Q927" i="1" s="1"/>
  <c r="D927" i="1"/>
  <c r="K926" i="1"/>
  <c r="D926" i="1"/>
  <c r="K925" i="1"/>
  <c r="D925" i="1"/>
  <c r="K924" i="1"/>
  <c r="D924" i="1"/>
  <c r="K923" i="1"/>
  <c r="D923" i="1"/>
  <c r="K922" i="1"/>
  <c r="D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L883" i="1" s="1"/>
  <c r="M883" i="1" s="1"/>
  <c r="Q883" i="1" s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L844" i="1" s="1"/>
  <c r="M844" i="1" s="1"/>
  <c r="Q844" i="1" s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L830" i="1" s="1"/>
  <c r="M830" i="1" s="1"/>
  <c r="Q830" i="1" s="1"/>
  <c r="K829" i="1"/>
  <c r="K828" i="1"/>
  <c r="K826" i="1"/>
  <c r="K825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D789" i="1"/>
  <c r="K788" i="1"/>
  <c r="K787" i="1"/>
  <c r="K786" i="1"/>
  <c r="K785" i="1"/>
  <c r="K784" i="1"/>
  <c r="K783" i="1"/>
  <c r="D783" i="1"/>
  <c r="K782" i="1"/>
  <c r="D782" i="1"/>
  <c r="K781" i="1"/>
  <c r="D781" i="1"/>
  <c r="K780" i="1"/>
  <c r="D780" i="1"/>
  <c r="K779" i="1"/>
  <c r="D779" i="1"/>
  <c r="K778" i="1"/>
  <c r="D778" i="1"/>
  <c r="K777" i="1"/>
  <c r="D777" i="1"/>
  <c r="K776" i="1"/>
  <c r="D776" i="1"/>
  <c r="K775" i="1"/>
  <c r="D775" i="1"/>
  <c r="K774" i="1"/>
  <c r="D774" i="1"/>
  <c r="K773" i="1"/>
  <c r="D773" i="1"/>
  <c r="K772" i="1"/>
  <c r="D772" i="1"/>
  <c r="K771" i="1"/>
  <c r="D771" i="1"/>
  <c r="K769" i="1"/>
  <c r="K768" i="1"/>
  <c r="K767" i="1"/>
  <c r="K766" i="1"/>
  <c r="K765" i="1"/>
  <c r="L765" i="1" s="1"/>
  <c r="M765" i="1" s="1"/>
  <c r="Q765" i="1" s="1"/>
  <c r="K764" i="1"/>
  <c r="K763" i="1"/>
  <c r="K762" i="1"/>
  <c r="K761" i="1"/>
  <c r="K760" i="1"/>
  <c r="K759" i="1"/>
  <c r="K758" i="1"/>
  <c r="L758" i="1" s="1"/>
  <c r="M758" i="1" s="1"/>
  <c r="Q758" i="1" s="1"/>
  <c r="K757" i="1"/>
  <c r="K756" i="1"/>
  <c r="K755" i="1"/>
  <c r="K754" i="1"/>
  <c r="K753" i="1"/>
  <c r="K752" i="1"/>
  <c r="K751" i="1"/>
  <c r="K750" i="1"/>
  <c r="K749" i="1"/>
  <c r="L749" i="1" s="1"/>
  <c r="M749" i="1" s="1"/>
  <c r="Q749" i="1" s="1"/>
  <c r="K748" i="1"/>
  <c r="K747" i="1"/>
  <c r="K746" i="1"/>
  <c r="K745" i="1"/>
  <c r="K744" i="1"/>
  <c r="K743" i="1"/>
  <c r="K742" i="1"/>
  <c r="K741" i="1"/>
  <c r="K740" i="1"/>
  <c r="K739" i="1"/>
  <c r="K738" i="1"/>
  <c r="K736" i="1"/>
  <c r="K735" i="1"/>
  <c r="K734" i="1"/>
  <c r="K733" i="1"/>
  <c r="L733" i="1" s="1"/>
  <c r="M733" i="1" s="1"/>
  <c r="Q733" i="1" s="1"/>
  <c r="K732" i="1"/>
  <c r="K731" i="1"/>
  <c r="K730" i="1"/>
  <c r="K729" i="1"/>
  <c r="K728" i="1"/>
  <c r="K727" i="1"/>
  <c r="K726" i="1"/>
  <c r="K725" i="1"/>
  <c r="K724" i="1"/>
  <c r="K723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4" i="1"/>
  <c r="K703" i="1"/>
  <c r="K702" i="1"/>
  <c r="K701" i="1"/>
  <c r="K700" i="1"/>
  <c r="K699" i="1"/>
  <c r="K698" i="1"/>
  <c r="K697" i="1"/>
  <c r="K696" i="1"/>
  <c r="K695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7" i="1"/>
  <c r="K666" i="1"/>
  <c r="K665" i="1"/>
  <c r="K664" i="1"/>
  <c r="K663" i="1"/>
  <c r="K662" i="1"/>
  <c r="K661" i="1"/>
  <c r="K660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M635" i="1"/>
  <c r="Q635" i="1" s="1"/>
  <c r="M634" i="1"/>
  <c r="Q634" i="1" s="1"/>
  <c r="M633" i="1"/>
  <c r="Q633" i="1" s="1"/>
  <c r="M632" i="1"/>
  <c r="Q632" i="1" s="1"/>
  <c r="M631" i="1"/>
  <c r="Q631" i="1" s="1"/>
  <c r="M627" i="1"/>
  <c r="Q627" i="1" s="1"/>
  <c r="M626" i="1"/>
  <c r="Q626" i="1" s="1"/>
  <c r="M625" i="1"/>
  <c r="Q625" i="1" s="1"/>
  <c r="M624" i="1"/>
  <c r="Q624" i="1" s="1"/>
  <c r="M623" i="1"/>
  <c r="Q623" i="1" s="1"/>
  <c r="M622" i="1"/>
  <c r="Q622" i="1" s="1"/>
  <c r="M621" i="1"/>
  <c r="Q621" i="1" s="1"/>
  <c r="M617" i="1"/>
  <c r="Q617" i="1" s="1"/>
  <c r="K616" i="1"/>
  <c r="M616" i="1" s="1"/>
  <c r="Q616" i="1" s="1"/>
  <c r="M615" i="1"/>
  <c r="Q615" i="1" s="1"/>
  <c r="M614" i="1"/>
  <c r="Q614" i="1" s="1"/>
  <c r="M613" i="1"/>
  <c r="Q613" i="1" s="1"/>
  <c r="D613" i="1"/>
  <c r="M612" i="1"/>
  <c r="Q612" i="1" s="1"/>
  <c r="D612" i="1"/>
  <c r="M610" i="1"/>
  <c r="Q610" i="1" s="1"/>
  <c r="M609" i="1"/>
  <c r="Q609" i="1" s="1"/>
  <c r="M608" i="1"/>
  <c r="Q608" i="1" s="1"/>
  <c r="K607" i="1"/>
  <c r="M607" i="1" s="1"/>
  <c r="Q607" i="1" s="1"/>
  <c r="K606" i="1"/>
  <c r="M606" i="1" s="1"/>
  <c r="Q606" i="1" s="1"/>
  <c r="D606" i="1"/>
  <c r="M605" i="1"/>
  <c r="Q605" i="1" s="1"/>
  <c r="D605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L577" i="1" s="1"/>
  <c r="M577" i="1" s="1"/>
  <c r="Q577" i="1" s="1"/>
  <c r="K576" i="1"/>
  <c r="K575" i="1"/>
  <c r="K574" i="1"/>
  <c r="K573" i="1"/>
  <c r="K572" i="1"/>
  <c r="K571" i="1"/>
  <c r="K570" i="1"/>
  <c r="K569" i="1"/>
  <c r="K568" i="1"/>
  <c r="K567" i="1"/>
  <c r="K566" i="1"/>
  <c r="K565" i="1"/>
  <c r="L565" i="1" s="1"/>
  <c r="M565" i="1" s="1"/>
  <c r="Q565" i="1" s="1"/>
  <c r="K564" i="1"/>
  <c r="K563" i="1"/>
  <c r="K562" i="1"/>
  <c r="K561" i="1"/>
  <c r="K560" i="1"/>
  <c r="K559" i="1"/>
  <c r="K558" i="1"/>
  <c r="K557" i="1"/>
  <c r="K556" i="1"/>
  <c r="K555" i="1"/>
  <c r="K554" i="1"/>
  <c r="K552" i="1"/>
  <c r="K551" i="1"/>
  <c r="K550" i="1"/>
  <c r="K549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L533" i="1" s="1"/>
  <c r="M533" i="1" s="1"/>
  <c r="Q533" i="1" s="1"/>
  <c r="K532" i="1"/>
  <c r="K531" i="1"/>
  <c r="K530" i="1"/>
  <c r="K529" i="1"/>
  <c r="K528" i="1"/>
  <c r="K527" i="1"/>
  <c r="K526" i="1"/>
  <c r="K525" i="1"/>
  <c r="K522" i="1"/>
  <c r="K521" i="1"/>
  <c r="L521" i="1" s="1"/>
  <c r="M521" i="1" s="1"/>
  <c r="Q521" i="1" s="1"/>
  <c r="K520" i="1"/>
  <c r="K519" i="1"/>
  <c r="K518" i="1"/>
  <c r="K517" i="1"/>
  <c r="K516" i="1"/>
  <c r="K515" i="1"/>
  <c r="K514" i="1"/>
  <c r="K513" i="1"/>
  <c r="K512" i="1"/>
  <c r="K511" i="1"/>
  <c r="K510" i="1"/>
  <c r="K507" i="1"/>
  <c r="K506" i="1"/>
  <c r="K505" i="1"/>
  <c r="K504" i="1"/>
  <c r="K503" i="1"/>
  <c r="K502" i="1"/>
  <c r="K501" i="1"/>
  <c r="L501" i="1" s="1"/>
  <c r="M501" i="1" s="1"/>
  <c r="Q501" i="1" s="1"/>
  <c r="K500" i="1"/>
  <c r="K499" i="1"/>
  <c r="K498" i="1"/>
  <c r="K497" i="1"/>
  <c r="K496" i="1"/>
  <c r="L496" i="1" s="1"/>
  <c r="M496" i="1" s="1"/>
  <c r="Q496" i="1" s="1"/>
  <c r="K495" i="1"/>
  <c r="K493" i="1"/>
  <c r="K492" i="1"/>
  <c r="L492" i="1" s="1"/>
  <c r="M492" i="1" s="1"/>
  <c r="Q492" i="1" s="1"/>
  <c r="K491" i="1"/>
  <c r="K490" i="1"/>
  <c r="K489" i="1"/>
  <c r="L489" i="1" s="1"/>
  <c r="M489" i="1" s="1"/>
  <c r="Q489" i="1" s="1"/>
  <c r="K488" i="1"/>
  <c r="K487" i="1"/>
  <c r="N486" i="1"/>
  <c r="Q486" i="1" s="1"/>
  <c r="K485" i="1"/>
  <c r="K484" i="1"/>
  <c r="K483" i="1"/>
  <c r="K482" i="1"/>
  <c r="K481" i="1"/>
  <c r="K480" i="1"/>
  <c r="L480" i="1" s="1"/>
  <c r="M480" i="1" s="1"/>
  <c r="Q480" i="1" s="1"/>
  <c r="K478" i="1"/>
  <c r="K477" i="1"/>
  <c r="L477" i="1" s="1"/>
  <c r="M477" i="1" s="1"/>
  <c r="Q477" i="1" s="1"/>
  <c r="K476" i="1"/>
  <c r="K475" i="1"/>
  <c r="K474" i="1"/>
  <c r="K473" i="1"/>
  <c r="K472" i="1"/>
  <c r="K471" i="1"/>
  <c r="K470" i="1"/>
  <c r="K469" i="1"/>
  <c r="L469" i="1" s="1"/>
  <c r="M469" i="1" s="1"/>
  <c r="Q469" i="1" s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L441" i="1" s="1"/>
  <c r="M441" i="1" s="1"/>
  <c r="Q441" i="1" s="1"/>
  <c r="K440" i="1"/>
  <c r="K439" i="1"/>
  <c r="K438" i="1"/>
  <c r="K437" i="1"/>
  <c r="K436" i="1"/>
  <c r="K435" i="1"/>
  <c r="K434" i="1"/>
  <c r="K433" i="1"/>
  <c r="K432" i="1"/>
  <c r="K430" i="1"/>
  <c r="D430" i="1"/>
  <c r="K429" i="1"/>
  <c r="D429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D405" i="1"/>
  <c r="K404" i="1"/>
  <c r="D404" i="1"/>
  <c r="K403" i="1"/>
  <c r="D403" i="1"/>
  <c r="K402" i="1"/>
  <c r="D402" i="1"/>
  <c r="K401" i="1"/>
  <c r="D401" i="1"/>
  <c r="K400" i="1"/>
  <c r="D400" i="1"/>
  <c r="K399" i="1"/>
  <c r="D399" i="1"/>
  <c r="K398" i="1"/>
  <c r="D398" i="1"/>
  <c r="K397" i="1"/>
  <c r="D397" i="1"/>
  <c r="K396" i="1"/>
  <c r="D396" i="1"/>
  <c r="K395" i="1"/>
  <c r="D395" i="1"/>
  <c r="K394" i="1"/>
  <c r="D394" i="1"/>
  <c r="K393" i="1"/>
  <c r="D393" i="1"/>
  <c r="K392" i="1"/>
  <c r="D392" i="1"/>
  <c r="K391" i="1"/>
  <c r="D391" i="1"/>
  <c r="K390" i="1"/>
  <c r="D390" i="1"/>
  <c r="K389" i="1"/>
  <c r="K388" i="1"/>
  <c r="K387" i="1"/>
  <c r="D387" i="1"/>
  <c r="K386" i="1"/>
  <c r="D386" i="1"/>
  <c r="K385" i="1"/>
  <c r="D385" i="1"/>
  <c r="K384" i="1"/>
  <c r="D384" i="1"/>
  <c r="K381" i="1"/>
  <c r="K380" i="1"/>
  <c r="K379" i="1"/>
  <c r="K377" i="1"/>
  <c r="K376" i="1"/>
  <c r="K375" i="1"/>
  <c r="K374" i="1"/>
  <c r="K373" i="1"/>
  <c r="K372" i="1"/>
  <c r="K371" i="1"/>
  <c r="K370" i="1"/>
  <c r="K369" i="1"/>
  <c r="K368" i="1"/>
  <c r="K367" i="1"/>
  <c r="J366" i="1"/>
  <c r="K366" i="1" s="1"/>
  <c r="K365" i="1"/>
  <c r="K364" i="1"/>
  <c r="K363" i="1"/>
  <c r="K362" i="1"/>
  <c r="K361" i="1"/>
  <c r="K357" i="1"/>
  <c r="K356" i="1"/>
  <c r="K355" i="1"/>
  <c r="K354" i="1"/>
  <c r="K353" i="1"/>
  <c r="K352" i="1"/>
  <c r="K351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L337" i="1" s="1"/>
  <c r="M337" i="1" s="1"/>
  <c r="Q337" i="1" s="1"/>
  <c r="K336" i="1"/>
  <c r="K335" i="1"/>
  <c r="K334" i="1"/>
  <c r="K333" i="1"/>
  <c r="K332" i="1"/>
  <c r="K331" i="1"/>
  <c r="K330" i="1"/>
  <c r="K329" i="1"/>
  <c r="K328" i="1"/>
  <c r="K325" i="1"/>
  <c r="K322" i="1"/>
  <c r="K321" i="1"/>
  <c r="K320" i="1"/>
  <c r="K319" i="1"/>
  <c r="K318" i="1"/>
  <c r="K317" i="1"/>
  <c r="K316" i="1"/>
  <c r="K315" i="1"/>
  <c r="K314" i="1"/>
  <c r="K312" i="1"/>
  <c r="K311" i="1"/>
  <c r="K310" i="1"/>
  <c r="K309" i="1"/>
  <c r="L309" i="1" s="1"/>
  <c r="M309" i="1" s="1"/>
  <c r="Q309" i="1" s="1"/>
  <c r="K308" i="1"/>
  <c r="K307" i="1"/>
  <c r="K306" i="1"/>
  <c r="K304" i="1"/>
  <c r="K303" i="1"/>
  <c r="K302" i="1"/>
  <c r="K301" i="1"/>
  <c r="K300" i="1"/>
  <c r="K299" i="1"/>
  <c r="K298" i="1"/>
  <c r="K297" i="1"/>
  <c r="K296" i="1"/>
  <c r="K295" i="1"/>
  <c r="K294" i="1"/>
  <c r="K291" i="1"/>
  <c r="K290" i="1"/>
  <c r="K289" i="1"/>
  <c r="K288" i="1"/>
  <c r="K287" i="1"/>
  <c r="K286" i="1"/>
  <c r="K285" i="1"/>
  <c r="K284" i="1"/>
  <c r="K283" i="1"/>
  <c r="L283" i="1" s="1"/>
  <c r="M283" i="1" s="1"/>
  <c r="Q283" i="1" s="1"/>
  <c r="K282" i="1"/>
  <c r="K281" i="1"/>
  <c r="K280" i="1"/>
  <c r="K279" i="1"/>
  <c r="K278" i="1"/>
  <c r="K277" i="1"/>
  <c r="M276" i="1"/>
  <c r="Q276" i="1" s="1"/>
  <c r="M275" i="1"/>
  <c r="Q275" i="1" s="1"/>
  <c r="M274" i="1"/>
  <c r="Q274" i="1" s="1"/>
  <c r="M273" i="1"/>
  <c r="Q273" i="1" s="1"/>
  <c r="M272" i="1"/>
  <c r="Q272" i="1" s="1"/>
  <c r="M271" i="1"/>
  <c r="Q271" i="1" s="1"/>
  <c r="M270" i="1"/>
  <c r="Q270" i="1" s="1"/>
  <c r="M269" i="1"/>
  <c r="Q269" i="1" s="1"/>
  <c r="M268" i="1"/>
  <c r="Q268" i="1" s="1"/>
  <c r="M267" i="1"/>
  <c r="Q267" i="1" s="1"/>
  <c r="M266" i="1"/>
  <c r="Q266" i="1" s="1"/>
  <c r="M265" i="1"/>
  <c r="Q265" i="1" s="1"/>
  <c r="M262" i="1"/>
  <c r="Q262" i="1" s="1"/>
  <c r="M261" i="1"/>
  <c r="Q261" i="1" s="1"/>
  <c r="M260" i="1"/>
  <c r="Q260" i="1" s="1"/>
  <c r="M259" i="1"/>
  <c r="Q259" i="1" s="1"/>
  <c r="M258" i="1"/>
  <c r="Q258" i="1" s="1"/>
  <c r="M257" i="1"/>
  <c r="Q257" i="1" s="1"/>
  <c r="M256" i="1"/>
  <c r="Q256" i="1" s="1"/>
  <c r="M255" i="1"/>
  <c r="Q255" i="1" s="1"/>
  <c r="M254" i="1"/>
  <c r="Q254" i="1" s="1"/>
  <c r="M253" i="1"/>
  <c r="Q253" i="1" s="1"/>
  <c r="M252" i="1"/>
  <c r="Q252" i="1" s="1"/>
  <c r="M251" i="1"/>
  <c r="Q251" i="1" s="1"/>
  <c r="M250" i="1"/>
  <c r="Q250" i="1" s="1"/>
  <c r="M249" i="1"/>
  <c r="Q249" i="1" s="1"/>
  <c r="M248" i="1"/>
  <c r="Q248" i="1" s="1"/>
  <c r="M246" i="1"/>
  <c r="Q246" i="1" s="1"/>
  <c r="M245" i="1"/>
  <c r="Q245" i="1" s="1"/>
  <c r="M244" i="1"/>
  <c r="Q244" i="1" s="1"/>
  <c r="M243" i="1"/>
  <c r="Q243" i="1" s="1"/>
  <c r="M242" i="1"/>
  <c r="Q242" i="1" s="1"/>
  <c r="M241" i="1"/>
  <c r="Q241" i="1" s="1"/>
  <c r="M240" i="1"/>
  <c r="Q240" i="1" s="1"/>
  <c r="M239" i="1"/>
  <c r="Q239" i="1" s="1"/>
  <c r="M238" i="1"/>
  <c r="Q238" i="1" s="1"/>
  <c r="M237" i="1"/>
  <c r="Q237" i="1" s="1"/>
  <c r="M236" i="1"/>
  <c r="Q236" i="1" s="1"/>
  <c r="M235" i="1"/>
  <c r="Q235" i="1" s="1"/>
  <c r="M234" i="1"/>
  <c r="Q234" i="1" s="1"/>
  <c r="M232" i="1"/>
  <c r="Q232" i="1" s="1"/>
  <c r="M231" i="1"/>
  <c r="Q231" i="1" s="1"/>
  <c r="M230" i="1"/>
  <c r="Q230" i="1" s="1"/>
  <c r="M229" i="1"/>
  <c r="Q229" i="1" s="1"/>
  <c r="M228" i="1"/>
  <c r="Q228" i="1" s="1"/>
  <c r="M227" i="1"/>
  <c r="Q227" i="1" s="1"/>
  <c r="M226" i="1"/>
  <c r="Q226" i="1" s="1"/>
  <c r="M225" i="1"/>
  <c r="Q225" i="1" s="1"/>
  <c r="M224" i="1"/>
  <c r="Q224" i="1" s="1"/>
  <c r="K223" i="1"/>
  <c r="M223" i="1" s="1"/>
  <c r="Q223" i="1" s="1"/>
  <c r="M222" i="1"/>
  <c r="Q222" i="1" s="1"/>
  <c r="M221" i="1"/>
  <c r="Q221" i="1" s="1"/>
  <c r="M220" i="1"/>
  <c r="Q220" i="1" s="1"/>
  <c r="M219" i="1"/>
  <c r="Q219" i="1" s="1"/>
  <c r="M218" i="1"/>
  <c r="Q218" i="1" s="1"/>
  <c r="M217" i="1"/>
  <c r="Q217" i="1" s="1"/>
  <c r="M216" i="1"/>
  <c r="Q216" i="1" s="1"/>
  <c r="M215" i="1"/>
  <c r="Q215" i="1" s="1"/>
  <c r="M214" i="1"/>
  <c r="Q214" i="1" s="1"/>
  <c r="M213" i="1"/>
  <c r="Q213" i="1" s="1"/>
  <c r="M212" i="1"/>
  <c r="Q212" i="1" s="1"/>
  <c r="K211" i="1"/>
  <c r="K210" i="1"/>
  <c r="K209" i="1"/>
  <c r="K208" i="1"/>
  <c r="K207" i="1"/>
  <c r="K206" i="1"/>
  <c r="K204" i="1"/>
  <c r="K203" i="1"/>
  <c r="K202" i="1"/>
  <c r="K201" i="1"/>
  <c r="K200" i="1"/>
  <c r="K199" i="1"/>
  <c r="L199" i="1" s="1"/>
  <c r="K198" i="1"/>
  <c r="L198" i="1" s="1"/>
  <c r="M198" i="1" s="1"/>
  <c r="Q198" i="1" s="1"/>
  <c r="K197" i="1"/>
  <c r="K196" i="1"/>
  <c r="K195" i="1"/>
  <c r="K194" i="1"/>
  <c r="K193" i="1"/>
  <c r="K191" i="1"/>
  <c r="K190" i="1"/>
  <c r="K187" i="1"/>
  <c r="K186" i="1"/>
  <c r="K185" i="1"/>
  <c r="K184" i="1"/>
  <c r="K183" i="1"/>
  <c r="L183" i="1" s="1"/>
  <c r="K182" i="1"/>
  <c r="K181" i="1"/>
  <c r="K180" i="1"/>
  <c r="K179" i="1"/>
  <c r="L179" i="1" s="1"/>
  <c r="K178" i="1"/>
  <c r="K177" i="1"/>
  <c r="K175" i="1"/>
  <c r="K173" i="1"/>
  <c r="K172" i="1"/>
  <c r="K171" i="1"/>
  <c r="L171" i="1" s="1"/>
  <c r="M171" i="1" s="1"/>
  <c r="Q171" i="1" s="1"/>
  <c r="K170" i="1"/>
  <c r="K169" i="1"/>
  <c r="K168" i="1"/>
  <c r="K167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L152" i="1" s="1"/>
  <c r="M152" i="1" s="1"/>
  <c r="Q152" i="1" s="1"/>
  <c r="K151" i="1"/>
  <c r="K150" i="1"/>
  <c r="K149" i="1"/>
  <c r="K147" i="1"/>
  <c r="K144" i="1"/>
  <c r="K143" i="1"/>
  <c r="K142" i="1"/>
  <c r="K140" i="1"/>
  <c r="K138" i="1"/>
  <c r="K137" i="1"/>
  <c r="K136" i="1"/>
  <c r="K135" i="1"/>
  <c r="K134" i="1"/>
  <c r="K131" i="1"/>
  <c r="K129" i="1"/>
  <c r="K128" i="1"/>
  <c r="K127" i="1"/>
  <c r="K126" i="1"/>
  <c r="K125" i="1"/>
  <c r="K124" i="1"/>
  <c r="K123" i="1"/>
  <c r="K122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M106" i="1" s="1"/>
  <c r="Q106" i="1" s="1"/>
  <c r="K104" i="1"/>
  <c r="K103" i="1"/>
  <c r="K102" i="1"/>
  <c r="K101" i="1"/>
  <c r="K100" i="1"/>
  <c r="K99" i="1"/>
  <c r="K98" i="1"/>
  <c r="K97" i="1"/>
  <c r="K95" i="1"/>
  <c r="K93" i="1"/>
  <c r="L93" i="1" s="1"/>
  <c r="M93" i="1" s="1"/>
  <c r="Q93" i="1" s="1"/>
  <c r="K92" i="1"/>
  <c r="K90" i="1"/>
  <c r="L90" i="1" s="1"/>
  <c r="M90" i="1" s="1"/>
  <c r="Q90" i="1" s="1"/>
  <c r="K89" i="1"/>
  <c r="K88" i="1"/>
  <c r="D88" i="1"/>
  <c r="K87" i="1"/>
  <c r="D87" i="1"/>
  <c r="K86" i="1"/>
  <c r="K85" i="1"/>
  <c r="D85" i="1"/>
  <c r="K84" i="1"/>
  <c r="K83" i="1"/>
  <c r="K82" i="1"/>
  <c r="K81" i="1"/>
  <c r="K80" i="1"/>
  <c r="L80" i="1" s="1"/>
  <c r="M80" i="1" s="1"/>
  <c r="Q80" i="1" s="1"/>
  <c r="K79" i="1"/>
  <c r="K78" i="1"/>
  <c r="K77" i="1"/>
  <c r="K76" i="1"/>
  <c r="K75" i="1"/>
  <c r="K74" i="1"/>
  <c r="K73" i="1"/>
  <c r="K72" i="1"/>
  <c r="K71" i="1"/>
  <c r="K70" i="1"/>
  <c r="K25" i="1"/>
  <c r="K3" i="1"/>
  <c r="K6" i="1"/>
  <c r="L6" i="1" s="1"/>
  <c r="M6" i="1" s="1"/>
  <c r="Q6" i="1" s="1"/>
  <c r="K68" i="1"/>
  <c r="K67" i="1"/>
  <c r="K65" i="1"/>
  <c r="K64" i="1"/>
  <c r="K63" i="1"/>
  <c r="K62" i="1"/>
  <c r="K61" i="1"/>
  <c r="K60" i="1"/>
  <c r="L60" i="1" s="1"/>
  <c r="M60" i="1" s="1"/>
  <c r="Q60" i="1" s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D42" i="1"/>
  <c r="K41" i="1"/>
  <c r="D41" i="1"/>
  <c r="K40" i="1"/>
  <c r="D40" i="1"/>
  <c r="K39" i="1"/>
  <c r="D39" i="1"/>
  <c r="K38" i="1"/>
  <c r="D38" i="1"/>
  <c r="K37" i="1"/>
  <c r="D37" i="1"/>
  <c r="K36" i="1"/>
  <c r="K35" i="1"/>
  <c r="K34" i="1"/>
  <c r="K33" i="1"/>
  <c r="K32" i="1"/>
  <c r="K31" i="1"/>
  <c r="K30" i="1"/>
  <c r="K29" i="1"/>
  <c r="K28" i="1"/>
  <c r="L27" i="1"/>
  <c r="D27" i="1"/>
  <c r="D25" i="1"/>
  <c r="K24" i="1"/>
  <c r="D24" i="1"/>
  <c r="K23" i="1"/>
  <c r="D23" i="1"/>
  <c r="K22" i="1"/>
  <c r="D22" i="1"/>
  <c r="K21" i="1"/>
  <c r="D21" i="1"/>
  <c r="K20" i="1"/>
  <c r="D20" i="1"/>
  <c r="K19" i="1"/>
  <c r="D19" i="1"/>
  <c r="K18" i="1"/>
  <c r="D18" i="1"/>
  <c r="K17" i="1"/>
  <c r="D17" i="1"/>
  <c r="K16" i="1"/>
  <c r="L16" i="1" s="1"/>
  <c r="D16" i="1"/>
  <c r="K15" i="1"/>
  <c r="L15" i="1" s="1"/>
  <c r="M15" i="1" s="1"/>
  <c r="Q15" i="1" s="1"/>
  <c r="D15" i="1"/>
  <c r="K14" i="1"/>
  <c r="D14" i="1"/>
  <c r="K13" i="1"/>
  <c r="D13" i="1"/>
  <c r="K12" i="1"/>
  <c r="D12" i="1"/>
  <c r="K11" i="1"/>
  <c r="D11" i="1"/>
  <c r="K10" i="1"/>
  <c r="D10" i="1"/>
  <c r="K9" i="1"/>
  <c r="D9" i="1"/>
  <c r="K8" i="1"/>
  <c r="D8" i="1"/>
  <c r="K7" i="1"/>
  <c r="D7" i="1"/>
  <c r="D6" i="1"/>
  <c r="K5" i="1"/>
  <c r="D5" i="1"/>
  <c r="K4" i="1"/>
  <c r="D4" i="1"/>
  <c r="L3" i="1" l="1"/>
  <c r="M3" i="1" s="1"/>
  <c r="Q3" i="1" s="1"/>
  <c r="L940" i="1"/>
  <c r="M940" i="1" s="1"/>
  <c r="Q940" i="1" s="1"/>
  <c r="L938" i="1"/>
  <c r="M938" i="1" s="1"/>
  <c r="Q938" i="1" s="1"/>
  <c r="L937" i="1"/>
  <c r="M937" i="1" s="1"/>
  <c r="Q937" i="1" s="1"/>
  <c r="L936" i="1"/>
  <c r="M936" i="1" s="1"/>
  <c r="Q936" i="1" s="1"/>
  <c r="L934" i="1"/>
  <c r="M934" i="1" s="1"/>
  <c r="Q934" i="1" s="1"/>
  <c r="L933" i="1"/>
  <c r="M933" i="1" s="1"/>
  <c r="Q933" i="1" s="1"/>
  <c r="L932" i="1"/>
  <c r="M932" i="1" s="1"/>
  <c r="Q932" i="1" s="1"/>
  <c r="L931" i="1"/>
  <c r="M931" i="1" s="1"/>
  <c r="Q931" i="1" s="1"/>
  <c r="L930" i="1"/>
  <c r="M930" i="1" s="1"/>
  <c r="Q930" i="1" s="1"/>
  <c r="L929" i="1"/>
  <c r="M929" i="1" s="1"/>
  <c r="Q929" i="1" s="1"/>
  <c r="L928" i="1"/>
  <c r="M928" i="1" s="1"/>
  <c r="Q928" i="1" s="1"/>
  <c r="L926" i="1"/>
  <c r="M926" i="1" s="1"/>
  <c r="Q926" i="1" s="1"/>
  <c r="L925" i="1"/>
  <c r="M925" i="1" s="1"/>
  <c r="Q925" i="1" s="1"/>
  <c r="L924" i="1"/>
  <c r="M924" i="1" s="1"/>
  <c r="Q924" i="1" s="1"/>
  <c r="L923" i="1"/>
  <c r="M923" i="1" s="1"/>
  <c r="Q923" i="1" s="1"/>
  <c r="L922" i="1"/>
  <c r="M922" i="1" s="1"/>
  <c r="Q922" i="1" s="1"/>
  <c r="L921" i="1"/>
  <c r="M921" i="1" s="1"/>
  <c r="Q921" i="1" s="1"/>
  <c r="L920" i="1"/>
  <c r="M920" i="1" s="1"/>
  <c r="Q920" i="1" s="1"/>
  <c r="L919" i="1"/>
  <c r="M919" i="1" s="1"/>
  <c r="Q919" i="1" s="1"/>
  <c r="L918" i="1"/>
  <c r="M918" i="1" s="1"/>
  <c r="Q918" i="1" s="1"/>
  <c r="L917" i="1"/>
  <c r="M917" i="1" s="1"/>
  <c r="Q917" i="1" s="1"/>
  <c r="L916" i="1"/>
  <c r="M916" i="1" s="1"/>
  <c r="Q916" i="1" s="1"/>
  <c r="L915" i="1"/>
  <c r="M915" i="1" s="1"/>
  <c r="Q915" i="1" s="1"/>
  <c r="L914" i="1"/>
  <c r="M914" i="1" s="1"/>
  <c r="Q914" i="1" s="1"/>
  <c r="L913" i="1"/>
  <c r="M913" i="1" s="1"/>
  <c r="Q913" i="1" s="1"/>
  <c r="L912" i="1"/>
  <c r="M912" i="1" s="1"/>
  <c r="Q912" i="1" s="1"/>
  <c r="L911" i="1"/>
  <c r="M911" i="1" s="1"/>
  <c r="Q911" i="1" s="1"/>
  <c r="L910" i="1"/>
  <c r="M910" i="1" s="1"/>
  <c r="Q910" i="1" s="1"/>
  <c r="L909" i="1"/>
  <c r="M909" i="1" s="1"/>
  <c r="Q909" i="1" s="1"/>
  <c r="L908" i="1"/>
  <c r="M908" i="1" s="1"/>
  <c r="Q908" i="1" s="1"/>
  <c r="L907" i="1"/>
  <c r="M907" i="1" s="1"/>
  <c r="Q907" i="1" s="1"/>
  <c r="L906" i="1"/>
  <c r="M906" i="1" s="1"/>
  <c r="Q906" i="1" s="1"/>
  <c r="L905" i="1"/>
  <c r="M905" i="1" s="1"/>
  <c r="Q905" i="1" s="1"/>
  <c r="L904" i="1"/>
  <c r="M904" i="1" s="1"/>
  <c r="Q904" i="1" s="1"/>
  <c r="L903" i="1"/>
  <c r="M903" i="1" s="1"/>
  <c r="Q903" i="1" s="1"/>
  <c r="L902" i="1"/>
  <c r="M902" i="1" s="1"/>
  <c r="Q902" i="1" s="1"/>
  <c r="L901" i="1"/>
  <c r="M901" i="1" s="1"/>
  <c r="Q901" i="1" s="1"/>
  <c r="L900" i="1"/>
  <c r="M900" i="1" s="1"/>
  <c r="Q900" i="1" s="1"/>
  <c r="L899" i="1"/>
  <c r="M899" i="1" s="1"/>
  <c r="Q899" i="1" s="1"/>
  <c r="L898" i="1"/>
  <c r="M898" i="1" s="1"/>
  <c r="Q898" i="1" s="1"/>
  <c r="L897" i="1"/>
  <c r="M897" i="1" s="1"/>
  <c r="Q897" i="1" s="1"/>
  <c r="L896" i="1"/>
  <c r="M896" i="1" s="1"/>
  <c r="Q896" i="1" s="1"/>
  <c r="L895" i="1"/>
  <c r="M895" i="1" s="1"/>
  <c r="Q895" i="1" s="1"/>
  <c r="L894" i="1"/>
  <c r="M894" i="1" s="1"/>
  <c r="Q894" i="1" s="1"/>
  <c r="L893" i="1"/>
  <c r="M893" i="1" s="1"/>
  <c r="Q893" i="1" s="1"/>
  <c r="L892" i="1"/>
  <c r="M892" i="1" s="1"/>
  <c r="Q892" i="1" s="1"/>
  <c r="L891" i="1"/>
  <c r="M891" i="1" s="1"/>
  <c r="Q891" i="1" s="1"/>
  <c r="L890" i="1"/>
  <c r="M890" i="1" s="1"/>
  <c r="Q890" i="1" s="1"/>
  <c r="L889" i="1"/>
  <c r="M889" i="1" s="1"/>
  <c r="Q889" i="1" s="1"/>
  <c r="L888" i="1"/>
  <c r="M888" i="1" s="1"/>
  <c r="Q888" i="1" s="1"/>
  <c r="L887" i="1"/>
  <c r="M887" i="1" s="1"/>
  <c r="Q887" i="1" s="1"/>
  <c r="L886" i="1"/>
  <c r="M886" i="1" s="1"/>
  <c r="Q886" i="1" s="1"/>
  <c r="L885" i="1"/>
  <c r="M885" i="1" s="1"/>
  <c r="Q885" i="1" s="1"/>
  <c r="L884" i="1"/>
  <c r="M884" i="1" s="1"/>
  <c r="Q884" i="1" s="1"/>
  <c r="L882" i="1"/>
  <c r="M882" i="1" s="1"/>
  <c r="Q882" i="1" s="1"/>
  <c r="L881" i="1"/>
  <c r="L880" i="1"/>
  <c r="M880" i="1" s="1"/>
  <c r="Q880" i="1" s="1"/>
  <c r="L879" i="1"/>
  <c r="M879" i="1" s="1"/>
  <c r="Q879" i="1" s="1"/>
  <c r="L878" i="1"/>
  <c r="M878" i="1" s="1"/>
  <c r="Q878" i="1" s="1"/>
  <c r="L877" i="1"/>
  <c r="M877" i="1" s="1"/>
  <c r="Q877" i="1" s="1"/>
  <c r="L876" i="1"/>
  <c r="M876" i="1" s="1"/>
  <c r="Q876" i="1" s="1"/>
  <c r="L875" i="1"/>
  <c r="M875" i="1" s="1"/>
  <c r="Q875" i="1" s="1"/>
  <c r="L874" i="1"/>
  <c r="M874" i="1" s="1"/>
  <c r="Q874" i="1" s="1"/>
  <c r="L873" i="1"/>
  <c r="M873" i="1" s="1"/>
  <c r="Q873" i="1" s="1"/>
  <c r="L872" i="1"/>
  <c r="M872" i="1" s="1"/>
  <c r="Q872" i="1" s="1"/>
  <c r="L871" i="1"/>
  <c r="M871" i="1" s="1"/>
  <c r="Q871" i="1" s="1"/>
  <c r="L870" i="1"/>
  <c r="M870" i="1" s="1"/>
  <c r="Q870" i="1" s="1"/>
  <c r="L869" i="1"/>
  <c r="M869" i="1" s="1"/>
  <c r="Q869" i="1" s="1"/>
  <c r="L868" i="1"/>
  <c r="M868" i="1" s="1"/>
  <c r="Q868" i="1" s="1"/>
  <c r="L867" i="1"/>
  <c r="M867" i="1" s="1"/>
  <c r="Q867" i="1" s="1"/>
  <c r="L866" i="1"/>
  <c r="M866" i="1" s="1"/>
  <c r="Q866" i="1" s="1"/>
  <c r="L865" i="1"/>
  <c r="M865" i="1" s="1"/>
  <c r="Q865" i="1" s="1"/>
  <c r="L864" i="1"/>
  <c r="M864" i="1" s="1"/>
  <c r="Q864" i="1" s="1"/>
  <c r="L863" i="1"/>
  <c r="M863" i="1" s="1"/>
  <c r="Q863" i="1" s="1"/>
  <c r="L862" i="1"/>
  <c r="M862" i="1" s="1"/>
  <c r="Q862" i="1" s="1"/>
  <c r="L861" i="1"/>
  <c r="M861" i="1" s="1"/>
  <c r="Q861" i="1" s="1"/>
  <c r="L860" i="1"/>
  <c r="M860" i="1" s="1"/>
  <c r="Q860" i="1" s="1"/>
  <c r="L859" i="1"/>
  <c r="M859" i="1" s="1"/>
  <c r="Q859" i="1" s="1"/>
  <c r="L858" i="1"/>
  <c r="M858" i="1" s="1"/>
  <c r="Q858" i="1" s="1"/>
  <c r="L857" i="1"/>
  <c r="M857" i="1" s="1"/>
  <c r="Q857" i="1" s="1"/>
  <c r="L856" i="1"/>
  <c r="M856" i="1" s="1"/>
  <c r="Q856" i="1" s="1"/>
  <c r="L855" i="1"/>
  <c r="M855" i="1" s="1"/>
  <c r="Q855" i="1" s="1"/>
  <c r="L854" i="1"/>
  <c r="M854" i="1" s="1"/>
  <c r="Q854" i="1" s="1"/>
  <c r="L853" i="1"/>
  <c r="M853" i="1" s="1"/>
  <c r="Q853" i="1" s="1"/>
  <c r="L852" i="1"/>
  <c r="M852" i="1" s="1"/>
  <c r="Q852" i="1" s="1"/>
  <c r="L851" i="1"/>
  <c r="M851" i="1" s="1"/>
  <c r="Q851" i="1" s="1"/>
  <c r="L850" i="1"/>
  <c r="M850" i="1" s="1"/>
  <c r="Q850" i="1" s="1"/>
  <c r="L849" i="1"/>
  <c r="M849" i="1" s="1"/>
  <c r="Q849" i="1" s="1"/>
  <c r="L848" i="1"/>
  <c r="M848" i="1" s="1"/>
  <c r="Q848" i="1" s="1"/>
  <c r="L847" i="1"/>
  <c r="M847" i="1" s="1"/>
  <c r="Q847" i="1" s="1"/>
  <c r="L846" i="1"/>
  <c r="M846" i="1" s="1"/>
  <c r="Q846" i="1" s="1"/>
  <c r="L845" i="1"/>
  <c r="M845" i="1" s="1"/>
  <c r="Q845" i="1" s="1"/>
  <c r="L843" i="1"/>
  <c r="M843" i="1" s="1"/>
  <c r="Q843" i="1" s="1"/>
  <c r="L842" i="1"/>
  <c r="M842" i="1" s="1"/>
  <c r="Q842" i="1" s="1"/>
  <c r="L841" i="1"/>
  <c r="M841" i="1" s="1"/>
  <c r="Q841" i="1" s="1"/>
  <c r="L840" i="1"/>
  <c r="M840" i="1" s="1"/>
  <c r="Q840" i="1" s="1"/>
  <c r="L839" i="1"/>
  <c r="M839" i="1" s="1"/>
  <c r="Q839" i="1" s="1"/>
  <c r="L838" i="1"/>
  <c r="M838" i="1" s="1"/>
  <c r="Q838" i="1" s="1"/>
  <c r="L837" i="1"/>
  <c r="M837" i="1" s="1"/>
  <c r="Q837" i="1" s="1"/>
  <c r="L836" i="1"/>
  <c r="M836" i="1" s="1"/>
  <c r="Q836" i="1" s="1"/>
  <c r="L835" i="1"/>
  <c r="M835" i="1" s="1"/>
  <c r="Q835" i="1" s="1"/>
  <c r="L834" i="1"/>
  <c r="M834" i="1" s="1"/>
  <c r="Q834" i="1" s="1"/>
  <c r="L833" i="1"/>
  <c r="M833" i="1" s="1"/>
  <c r="Q833" i="1" s="1"/>
  <c r="L832" i="1"/>
  <c r="M832" i="1" s="1"/>
  <c r="Q832" i="1" s="1"/>
  <c r="L831" i="1"/>
  <c r="M831" i="1" s="1"/>
  <c r="Q831" i="1" s="1"/>
  <c r="L829" i="1"/>
  <c r="M829" i="1" s="1"/>
  <c r="Q829" i="1" s="1"/>
  <c r="L828" i="1"/>
  <c r="M828" i="1" s="1"/>
  <c r="Q828" i="1" s="1"/>
  <c r="L826" i="1"/>
  <c r="M826" i="1" s="1"/>
  <c r="Q826" i="1" s="1"/>
  <c r="L825" i="1"/>
  <c r="M825" i="1" s="1"/>
  <c r="Q825" i="1" s="1"/>
  <c r="L823" i="1"/>
  <c r="M823" i="1" s="1"/>
  <c r="Q823" i="1" s="1"/>
  <c r="L822" i="1"/>
  <c r="M822" i="1" s="1"/>
  <c r="Q822" i="1" s="1"/>
  <c r="L821" i="1"/>
  <c r="M821" i="1" s="1"/>
  <c r="Q821" i="1" s="1"/>
  <c r="L820" i="1"/>
  <c r="M820" i="1" s="1"/>
  <c r="Q820" i="1" s="1"/>
  <c r="L819" i="1"/>
  <c r="M819" i="1" s="1"/>
  <c r="Q819" i="1" s="1"/>
  <c r="L818" i="1"/>
  <c r="L817" i="1"/>
  <c r="M817" i="1" s="1"/>
  <c r="Q817" i="1" s="1"/>
  <c r="L816" i="1"/>
  <c r="M816" i="1" s="1"/>
  <c r="Q816" i="1" s="1"/>
  <c r="L815" i="1"/>
  <c r="M815" i="1" s="1"/>
  <c r="Q815" i="1" s="1"/>
  <c r="L814" i="1"/>
  <c r="M814" i="1" s="1"/>
  <c r="Q814" i="1" s="1"/>
  <c r="L813" i="1"/>
  <c r="M813" i="1" s="1"/>
  <c r="Q813" i="1" s="1"/>
  <c r="L812" i="1"/>
  <c r="M812" i="1" s="1"/>
  <c r="Q812" i="1" s="1"/>
  <c r="L811" i="1"/>
  <c r="M811" i="1" s="1"/>
  <c r="Q811" i="1" s="1"/>
  <c r="L810" i="1"/>
  <c r="M810" i="1" s="1"/>
  <c r="Q810" i="1" s="1"/>
  <c r="L809" i="1"/>
  <c r="M809" i="1" s="1"/>
  <c r="Q809" i="1" s="1"/>
  <c r="L808" i="1"/>
  <c r="M808" i="1" s="1"/>
  <c r="Q808" i="1" s="1"/>
  <c r="L807" i="1"/>
  <c r="M807" i="1" s="1"/>
  <c r="Q807" i="1" s="1"/>
  <c r="L806" i="1"/>
  <c r="M806" i="1" s="1"/>
  <c r="Q806" i="1" s="1"/>
  <c r="L805" i="1"/>
  <c r="M805" i="1" s="1"/>
  <c r="Q805" i="1" s="1"/>
  <c r="L804" i="1"/>
  <c r="M804" i="1" s="1"/>
  <c r="Q804" i="1" s="1"/>
  <c r="L803" i="1"/>
  <c r="M803" i="1" s="1"/>
  <c r="Q803" i="1" s="1"/>
  <c r="L802" i="1"/>
  <c r="M802" i="1" s="1"/>
  <c r="Q802" i="1" s="1"/>
  <c r="L801" i="1"/>
  <c r="M801" i="1" s="1"/>
  <c r="Q801" i="1" s="1"/>
  <c r="L800" i="1"/>
  <c r="M800" i="1" s="1"/>
  <c r="Q800" i="1" s="1"/>
  <c r="L799" i="1"/>
  <c r="L798" i="1"/>
  <c r="M798" i="1" s="1"/>
  <c r="Q798" i="1" s="1"/>
  <c r="L797" i="1"/>
  <c r="L796" i="1"/>
  <c r="M796" i="1" s="1"/>
  <c r="Q796" i="1" s="1"/>
  <c r="L795" i="1"/>
  <c r="M795" i="1" s="1"/>
  <c r="Q795" i="1" s="1"/>
  <c r="L794" i="1"/>
  <c r="M794" i="1" s="1"/>
  <c r="Q794" i="1" s="1"/>
  <c r="L793" i="1"/>
  <c r="M793" i="1" s="1"/>
  <c r="Q793" i="1" s="1"/>
  <c r="L792" i="1"/>
  <c r="M792" i="1" s="1"/>
  <c r="Q792" i="1" s="1"/>
  <c r="L791" i="1"/>
  <c r="L788" i="1"/>
  <c r="M788" i="1" s="1"/>
  <c r="Q788" i="1" s="1"/>
  <c r="L787" i="1"/>
  <c r="M787" i="1" s="1"/>
  <c r="Q787" i="1" s="1"/>
  <c r="L786" i="1"/>
  <c r="M786" i="1" s="1"/>
  <c r="Q786" i="1" s="1"/>
  <c r="L785" i="1"/>
  <c r="M785" i="1" s="1"/>
  <c r="Q785" i="1" s="1"/>
  <c r="L784" i="1"/>
  <c r="M784" i="1" s="1"/>
  <c r="Q784" i="1" s="1"/>
  <c r="L783" i="1"/>
  <c r="M783" i="1" s="1"/>
  <c r="Q783" i="1" s="1"/>
  <c r="L782" i="1"/>
  <c r="M782" i="1" s="1"/>
  <c r="Q782" i="1" s="1"/>
  <c r="L781" i="1"/>
  <c r="M781" i="1" s="1"/>
  <c r="Q781" i="1" s="1"/>
  <c r="L780" i="1"/>
  <c r="M780" i="1" s="1"/>
  <c r="Q780" i="1" s="1"/>
  <c r="L779" i="1"/>
  <c r="M779" i="1" s="1"/>
  <c r="Q779" i="1" s="1"/>
  <c r="L778" i="1"/>
  <c r="M778" i="1" s="1"/>
  <c r="Q778" i="1" s="1"/>
  <c r="L777" i="1"/>
  <c r="M777" i="1" s="1"/>
  <c r="Q777" i="1" s="1"/>
  <c r="L776" i="1"/>
  <c r="M776" i="1" s="1"/>
  <c r="Q776" i="1" s="1"/>
  <c r="L775" i="1"/>
  <c r="M775" i="1" s="1"/>
  <c r="Q775" i="1" s="1"/>
  <c r="L774" i="1"/>
  <c r="M774" i="1" s="1"/>
  <c r="Q774" i="1" s="1"/>
  <c r="L773" i="1"/>
  <c r="M773" i="1" s="1"/>
  <c r="Q773" i="1" s="1"/>
  <c r="L772" i="1"/>
  <c r="M772" i="1" s="1"/>
  <c r="Q772" i="1" s="1"/>
  <c r="L771" i="1"/>
  <c r="M771" i="1" s="1"/>
  <c r="Q771" i="1" s="1"/>
  <c r="L769" i="1"/>
  <c r="M769" i="1" s="1"/>
  <c r="Q769" i="1" s="1"/>
  <c r="L768" i="1"/>
  <c r="M768" i="1" s="1"/>
  <c r="Q768" i="1" s="1"/>
  <c r="L767" i="1"/>
  <c r="M767" i="1" s="1"/>
  <c r="Q767" i="1" s="1"/>
  <c r="L766" i="1"/>
  <c r="M766" i="1" s="1"/>
  <c r="Q766" i="1" s="1"/>
  <c r="L764" i="1"/>
  <c r="M764" i="1" s="1"/>
  <c r="Q764" i="1" s="1"/>
  <c r="L763" i="1"/>
  <c r="M763" i="1" s="1"/>
  <c r="Q763" i="1" s="1"/>
  <c r="L762" i="1"/>
  <c r="M762" i="1" s="1"/>
  <c r="Q762" i="1" s="1"/>
  <c r="L761" i="1"/>
  <c r="M761" i="1" s="1"/>
  <c r="Q761" i="1" s="1"/>
  <c r="L760" i="1"/>
  <c r="M760" i="1" s="1"/>
  <c r="Q760" i="1" s="1"/>
  <c r="L759" i="1"/>
  <c r="M759" i="1" s="1"/>
  <c r="Q759" i="1" s="1"/>
  <c r="L757" i="1"/>
  <c r="M757" i="1" s="1"/>
  <c r="Q757" i="1" s="1"/>
  <c r="L756" i="1"/>
  <c r="M756" i="1" s="1"/>
  <c r="Q756" i="1" s="1"/>
  <c r="L755" i="1"/>
  <c r="M755" i="1" s="1"/>
  <c r="Q755" i="1" s="1"/>
  <c r="L754" i="1"/>
  <c r="M754" i="1" s="1"/>
  <c r="Q754" i="1" s="1"/>
  <c r="L753" i="1"/>
  <c r="M753" i="1" s="1"/>
  <c r="Q753" i="1" s="1"/>
  <c r="L752" i="1"/>
  <c r="M752" i="1" s="1"/>
  <c r="Q752" i="1" s="1"/>
  <c r="L751" i="1"/>
  <c r="M751" i="1" s="1"/>
  <c r="Q751" i="1" s="1"/>
  <c r="L750" i="1"/>
  <c r="M750" i="1" s="1"/>
  <c r="Q750" i="1" s="1"/>
  <c r="L748" i="1"/>
  <c r="M748" i="1" s="1"/>
  <c r="Q748" i="1" s="1"/>
  <c r="L747" i="1"/>
  <c r="M747" i="1" s="1"/>
  <c r="Q747" i="1" s="1"/>
  <c r="L746" i="1"/>
  <c r="M746" i="1" s="1"/>
  <c r="Q746" i="1" s="1"/>
  <c r="L745" i="1"/>
  <c r="M745" i="1" s="1"/>
  <c r="Q745" i="1" s="1"/>
  <c r="L744" i="1"/>
  <c r="M744" i="1" s="1"/>
  <c r="Q744" i="1" s="1"/>
  <c r="L743" i="1"/>
  <c r="M743" i="1" s="1"/>
  <c r="Q743" i="1" s="1"/>
  <c r="L742" i="1"/>
  <c r="M742" i="1" s="1"/>
  <c r="Q742" i="1" s="1"/>
  <c r="L741" i="1"/>
  <c r="M741" i="1" s="1"/>
  <c r="Q741" i="1" s="1"/>
  <c r="L740" i="1"/>
  <c r="M740" i="1" s="1"/>
  <c r="Q740" i="1" s="1"/>
  <c r="L739" i="1"/>
  <c r="M739" i="1" s="1"/>
  <c r="Q739" i="1" s="1"/>
  <c r="L738" i="1"/>
  <c r="M738" i="1" s="1"/>
  <c r="Q738" i="1" s="1"/>
  <c r="L736" i="1"/>
  <c r="M736" i="1" s="1"/>
  <c r="Q736" i="1" s="1"/>
  <c r="L735" i="1"/>
  <c r="M735" i="1" s="1"/>
  <c r="Q735" i="1" s="1"/>
  <c r="L734" i="1"/>
  <c r="M734" i="1" s="1"/>
  <c r="Q734" i="1" s="1"/>
  <c r="L732" i="1"/>
  <c r="M732" i="1" s="1"/>
  <c r="Q732" i="1" s="1"/>
  <c r="L731" i="1"/>
  <c r="M731" i="1" s="1"/>
  <c r="Q731" i="1" s="1"/>
  <c r="L730" i="1"/>
  <c r="M730" i="1" s="1"/>
  <c r="Q730" i="1" s="1"/>
  <c r="L729" i="1"/>
  <c r="M729" i="1" s="1"/>
  <c r="Q729" i="1" s="1"/>
  <c r="L728" i="1"/>
  <c r="M728" i="1" s="1"/>
  <c r="Q728" i="1" s="1"/>
  <c r="L727" i="1"/>
  <c r="M727" i="1" s="1"/>
  <c r="Q727" i="1" s="1"/>
  <c r="L726" i="1"/>
  <c r="M726" i="1" s="1"/>
  <c r="Q726" i="1" s="1"/>
  <c r="L725" i="1"/>
  <c r="M725" i="1" s="1"/>
  <c r="Q725" i="1" s="1"/>
  <c r="L724" i="1"/>
  <c r="M724" i="1" s="1"/>
  <c r="Q724" i="1" s="1"/>
  <c r="L723" i="1"/>
  <c r="M723" i="1" s="1"/>
  <c r="Q723" i="1" s="1"/>
  <c r="L721" i="1"/>
  <c r="M721" i="1" s="1"/>
  <c r="Q721" i="1" s="1"/>
  <c r="L720" i="1"/>
  <c r="M720" i="1" s="1"/>
  <c r="Q720" i="1" s="1"/>
  <c r="L719" i="1"/>
  <c r="M719" i="1" s="1"/>
  <c r="Q719" i="1" s="1"/>
  <c r="L718" i="1"/>
  <c r="M718" i="1" s="1"/>
  <c r="Q718" i="1" s="1"/>
  <c r="L717" i="1"/>
  <c r="M717" i="1" s="1"/>
  <c r="Q717" i="1" s="1"/>
  <c r="L716" i="1"/>
  <c r="M716" i="1" s="1"/>
  <c r="Q716" i="1" s="1"/>
  <c r="L715" i="1"/>
  <c r="M715" i="1" s="1"/>
  <c r="Q715" i="1" s="1"/>
  <c r="L714" i="1"/>
  <c r="M714" i="1" s="1"/>
  <c r="Q714" i="1" s="1"/>
  <c r="L713" i="1"/>
  <c r="M713" i="1" s="1"/>
  <c r="Q713" i="1" s="1"/>
  <c r="L712" i="1"/>
  <c r="M712" i="1" s="1"/>
  <c r="Q712" i="1" s="1"/>
  <c r="L711" i="1"/>
  <c r="M711" i="1" s="1"/>
  <c r="Q711" i="1" s="1"/>
  <c r="L710" i="1"/>
  <c r="M710" i="1" s="1"/>
  <c r="Q710" i="1" s="1"/>
  <c r="L709" i="1"/>
  <c r="M709" i="1" s="1"/>
  <c r="Q709" i="1" s="1"/>
  <c r="L708" i="1"/>
  <c r="M708" i="1" s="1"/>
  <c r="Q708" i="1" s="1"/>
  <c r="L707" i="1"/>
  <c r="M707" i="1" s="1"/>
  <c r="Q707" i="1" s="1"/>
  <c r="L706" i="1"/>
  <c r="M706" i="1" s="1"/>
  <c r="Q706" i="1" s="1"/>
  <c r="L704" i="1"/>
  <c r="M704" i="1" s="1"/>
  <c r="Q704" i="1" s="1"/>
  <c r="L703" i="1"/>
  <c r="M703" i="1" s="1"/>
  <c r="Q703" i="1" s="1"/>
  <c r="L702" i="1"/>
  <c r="M702" i="1" s="1"/>
  <c r="Q702" i="1" s="1"/>
  <c r="L701" i="1"/>
  <c r="M701" i="1" s="1"/>
  <c r="Q701" i="1" s="1"/>
  <c r="L700" i="1"/>
  <c r="M700" i="1" s="1"/>
  <c r="Q700" i="1" s="1"/>
  <c r="L699" i="1"/>
  <c r="M699" i="1" s="1"/>
  <c r="Q699" i="1" s="1"/>
  <c r="L698" i="1"/>
  <c r="M698" i="1" s="1"/>
  <c r="Q698" i="1" s="1"/>
  <c r="L697" i="1"/>
  <c r="M697" i="1" s="1"/>
  <c r="Q697" i="1" s="1"/>
  <c r="L696" i="1"/>
  <c r="M696" i="1" s="1"/>
  <c r="Q696" i="1" s="1"/>
  <c r="L695" i="1"/>
  <c r="M695" i="1" s="1"/>
  <c r="Q695" i="1" s="1"/>
  <c r="L693" i="1"/>
  <c r="M693" i="1" s="1"/>
  <c r="Q693" i="1" s="1"/>
  <c r="L692" i="1"/>
  <c r="M692" i="1" s="1"/>
  <c r="Q692" i="1" s="1"/>
  <c r="L691" i="1"/>
  <c r="M691" i="1" s="1"/>
  <c r="Q691" i="1" s="1"/>
  <c r="L690" i="1"/>
  <c r="M690" i="1" s="1"/>
  <c r="Q690" i="1" s="1"/>
  <c r="L689" i="1"/>
  <c r="M689" i="1" s="1"/>
  <c r="Q689" i="1" s="1"/>
  <c r="L688" i="1"/>
  <c r="M688" i="1" s="1"/>
  <c r="Q688" i="1" s="1"/>
  <c r="L687" i="1"/>
  <c r="M687" i="1" s="1"/>
  <c r="Q687" i="1" s="1"/>
  <c r="L686" i="1"/>
  <c r="M686" i="1" s="1"/>
  <c r="Q686" i="1" s="1"/>
  <c r="L685" i="1"/>
  <c r="M685" i="1" s="1"/>
  <c r="Q685" i="1" s="1"/>
  <c r="L684" i="1"/>
  <c r="M684" i="1" s="1"/>
  <c r="Q684" i="1" s="1"/>
  <c r="L683" i="1"/>
  <c r="M683" i="1" s="1"/>
  <c r="Q683" i="1" s="1"/>
  <c r="L682" i="1"/>
  <c r="M682" i="1" s="1"/>
  <c r="Q682" i="1" s="1"/>
  <c r="L681" i="1"/>
  <c r="M681" i="1" s="1"/>
  <c r="Q681" i="1" s="1"/>
  <c r="L680" i="1"/>
  <c r="M680" i="1" s="1"/>
  <c r="Q680" i="1" s="1"/>
  <c r="L679" i="1"/>
  <c r="M679" i="1" s="1"/>
  <c r="Q679" i="1" s="1"/>
  <c r="L678" i="1"/>
  <c r="M678" i="1" s="1"/>
  <c r="Q678" i="1" s="1"/>
  <c r="L677" i="1"/>
  <c r="M677" i="1" s="1"/>
  <c r="Q677" i="1" s="1"/>
  <c r="L676" i="1"/>
  <c r="M676" i="1" s="1"/>
  <c r="Q676" i="1" s="1"/>
  <c r="L675" i="1"/>
  <c r="M675" i="1" s="1"/>
  <c r="Q675" i="1" s="1"/>
  <c r="L674" i="1"/>
  <c r="M674" i="1" s="1"/>
  <c r="Q674" i="1" s="1"/>
  <c r="L673" i="1"/>
  <c r="M673" i="1" s="1"/>
  <c r="Q673" i="1" s="1"/>
  <c r="L672" i="1"/>
  <c r="M672" i="1" s="1"/>
  <c r="Q672" i="1" s="1"/>
  <c r="L671" i="1"/>
  <c r="M671" i="1" s="1"/>
  <c r="Q671" i="1" s="1"/>
  <c r="L670" i="1"/>
  <c r="M670" i="1" s="1"/>
  <c r="Q670" i="1" s="1"/>
  <c r="L669" i="1"/>
  <c r="M669" i="1" s="1"/>
  <c r="Q669" i="1" s="1"/>
  <c r="L667" i="1"/>
  <c r="M667" i="1" s="1"/>
  <c r="Q667" i="1" s="1"/>
  <c r="L666" i="1"/>
  <c r="M666" i="1" s="1"/>
  <c r="Q666" i="1" s="1"/>
  <c r="L665" i="1"/>
  <c r="M665" i="1" s="1"/>
  <c r="Q665" i="1" s="1"/>
  <c r="L664" i="1"/>
  <c r="M664" i="1" s="1"/>
  <c r="Q664" i="1" s="1"/>
  <c r="L663" i="1"/>
  <c r="M663" i="1" s="1"/>
  <c r="Q663" i="1" s="1"/>
  <c r="L662" i="1"/>
  <c r="M662" i="1" s="1"/>
  <c r="Q662" i="1" s="1"/>
  <c r="L661" i="1"/>
  <c r="M661" i="1" s="1"/>
  <c r="Q661" i="1" s="1"/>
  <c r="L660" i="1"/>
  <c r="M660" i="1" s="1"/>
  <c r="Q660" i="1" s="1"/>
  <c r="L658" i="1"/>
  <c r="M658" i="1" s="1"/>
  <c r="Q658" i="1" s="1"/>
  <c r="L657" i="1"/>
  <c r="M657" i="1" s="1"/>
  <c r="Q657" i="1" s="1"/>
  <c r="L656" i="1"/>
  <c r="M656" i="1" s="1"/>
  <c r="Q656" i="1" s="1"/>
  <c r="L655" i="1"/>
  <c r="M655" i="1" s="1"/>
  <c r="Q655" i="1" s="1"/>
  <c r="L654" i="1"/>
  <c r="M654" i="1" s="1"/>
  <c r="Q654" i="1" s="1"/>
  <c r="L653" i="1"/>
  <c r="M653" i="1" s="1"/>
  <c r="Q653" i="1" s="1"/>
  <c r="L652" i="1"/>
  <c r="M652" i="1" s="1"/>
  <c r="Q652" i="1" s="1"/>
  <c r="L651" i="1"/>
  <c r="M651" i="1" s="1"/>
  <c r="Q651" i="1" s="1"/>
  <c r="L650" i="1"/>
  <c r="M650" i="1" s="1"/>
  <c r="Q650" i="1" s="1"/>
  <c r="L649" i="1"/>
  <c r="M649" i="1" s="1"/>
  <c r="Q649" i="1" s="1"/>
  <c r="L648" i="1"/>
  <c r="M648" i="1" s="1"/>
  <c r="Q648" i="1" s="1"/>
  <c r="L647" i="1"/>
  <c r="M647" i="1" s="1"/>
  <c r="Q647" i="1" s="1"/>
  <c r="L646" i="1"/>
  <c r="M646" i="1" s="1"/>
  <c r="Q646" i="1" s="1"/>
  <c r="L645" i="1"/>
  <c r="M645" i="1" s="1"/>
  <c r="Q645" i="1" s="1"/>
  <c r="L644" i="1"/>
  <c r="M644" i="1" s="1"/>
  <c r="Q644" i="1" s="1"/>
  <c r="L643" i="1"/>
  <c r="M643" i="1" s="1"/>
  <c r="Q643" i="1" s="1"/>
  <c r="L642" i="1"/>
  <c r="M642" i="1" s="1"/>
  <c r="Q642" i="1" s="1"/>
  <c r="L641" i="1"/>
  <c r="M641" i="1" s="1"/>
  <c r="Q641" i="1" s="1"/>
  <c r="L640" i="1"/>
  <c r="M640" i="1" s="1"/>
  <c r="Q640" i="1" s="1"/>
  <c r="L639" i="1"/>
  <c r="M639" i="1" s="1"/>
  <c r="Q639" i="1" s="1"/>
  <c r="L638" i="1"/>
  <c r="M638" i="1" s="1"/>
  <c r="Q638" i="1" s="1"/>
  <c r="L603" i="1"/>
  <c r="M603" i="1" s="1"/>
  <c r="Q603" i="1" s="1"/>
  <c r="L602" i="1"/>
  <c r="M602" i="1" s="1"/>
  <c r="Q602" i="1" s="1"/>
  <c r="L601" i="1"/>
  <c r="M601" i="1" s="1"/>
  <c r="Q601" i="1" s="1"/>
  <c r="L600" i="1"/>
  <c r="M600" i="1" s="1"/>
  <c r="Q600" i="1" s="1"/>
  <c r="L599" i="1"/>
  <c r="M599" i="1" s="1"/>
  <c r="Q599" i="1" s="1"/>
  <c r="L598" i="1"/>
  <c r="M598" i="1" s="1"/>
  <c r="Q598" i="1" s="1"/>
  <c r="L597" i="1"/>
  <c r="M597" i="1" s="1"/>
  <c r="Q597" i="1" s="1"/>
  <c r="L596" i="1"/>
  <c r="M596" i="1" s="1"/>
  <c r="Q596" i="1" s="1"/>
  <c r="L595" i="1"/>
  <c r="M595" i="1" s="1"/>
  <c r="Q595" i="1" s="1"/>
  <c r="L594" i="1"/>
  <c r="M594" i="1" s="1"/>
  <c r="Q594" i="1" s="1"/>
  <c r="L593" i="1"/>
  <c r="M593" i="1" s="1"/>
  <c r="Q593" i="1" s="1"/>
  <c r="L592" i="1"/>
  <c r="M592" i="1" s="1"/>
  <c r="Q592" i="1" s="1"/>
  <c r="L591" i="1"/>
  <c r="M591" i="1" s="1"/>
  <c r="Q591" i="1" s="1"/>
  <c r="L590" i="1"/>
  <c r="M590" i="1" s="1"/>
  <c r="Q590" i="1" s="1"/>
  <c r="L589" i="1"/>
  <c r="M589" i="1" s="1"/>
  <c r="Q589" i="1" s="1"/>
  <c r="L588" i="1"/>
  <c r="M588" i="1" s="1"/>
  <c r="Q588" i="1" s="1"/>
  <c r="L587" i="1"/>
  <c r="M587" i="1" s="1"/>
  <c r="Q587" i="1" s="1"/>
  <c r="L586" i="1"/>
  <c r="M586" i="1" s="1"/>
  <c r="Q586" i="1" s="1"/>
  <c r="L585" i="1"/>
  <c r="M585" i="1" s="1"/>
  <c r="Q585" i="1" s="1"/>
  <c r="L584" i="1"/>
  <c r="M584" i="1" s="1"/>
  <c r="Q584" i="1" s="1"/>
  <c r="L583" i="1"/>
  <c r="M583" i="1" s="1"/>
  <c r="Q583" i="1" s="1"/>
  <c r="L582" i="1"/>
  <c r="M582" i="1" s="1"/>
  <c r="Q582" i="1" s="1"/>
  <c r="L581" i="1"/>
  <c r="M581" i="1" s="1"/>
  <c r="Q581" i="1" s="1"/>
  <c r="L580" i="1"/>
  <c r="M580" i="1" s="1"/>
  <c r="Q580" i="1" s="1"/>
  <c r="L579" i="1"/>
  <c r="M579" i="1" s="1"/>
  <c r="Q579" i="1" s="1"/>
  <c r="L578" i="1"/>
  <c r="M578" i="1" s="1"/>
  <c r="Q578" i="1" s="1"/>
  <c r="L576" i="1"/>
  <c r="M576" i="1" s="1"/>
  <c r="Q576" i="1" s="1"/>
  <c r="L575" i="1"/>
  <c r="M575" i="1" s="1"/>
  <c r="Q575" i="1" s="1"/>
  <c r="L574" i="1"/>
  <c r="M574" i="1" s="1"/>
  <c r="Q574" i="1" s="1"/>
  <c r="L573" i="1"/>
  <c r="M573" i="1" s="1"/>
  <c r="Q573" i="1" s="1"/>
  <c r="L572" i="1"/>
  <c r="M572" i="1" s="1"/>
  <c r="Q572" i="1" s="1"/>
  <c r="L571" i="1"/>
  <c r="M571" i="1" s="1"/>
  <c r="Q571" i="1" s="1"/>
  <c r="L570" i="1"/>
  <c r="M570" i="1" s="1"/>
  <c r="Q570" i="1" s="1"/>
  <c r="L569" i="1"/>
  <c r="M569" i="1" s="1"/>
  <c r="Q569" i="1" s="1"/>
  <c r="L568" i="1"/>
  <c r="M568" i="1" s="1"/>
  <c r="Q568" i="1" s="1"/>
  <c r="L567" i="1"/>
  <c r="M567" i="1" s="1"/>
  <c r="Q567" i="1" s="1"/>
  <c r="L566" i="1"/>
  <c r="M566" i="1" s="1"/>
  <c r="Q566" i="1" s="1"/>
  <c r="L564" i="1"/>
  <c r="M564" i="1" s="1"/>
  <c r="Q564" i="1" s="1"/>
  <c r="L563" i="1"/>
  <c r="M563" i="1" s="1"/>
  <c r="Q563" i="1" s="1"/>
  <c r="L562" i="1"/>
  <c r="M562" i="1" s="1"/>
  <c r="Q562" i="1" s="1"/>
  <c r="L561" i="1"/>
  <c r="M561" i="1" s="1"/>
  <c r="Q561" i="1" s="1"/>
  <c r="L560" i="1"/>
  <c r="M560" i="1" s="1"/>
  <c r="Q560" i="1" s="1"/>
  <c r="L559" i="1"/>
  <c r="M559" i="1" s="1"/>
  <c r="Q559" i="1" s="1"/>
  <c r="L558" i="1"/>
  <c r="M558" i="1" s="1"/>
  <c r="Q558" i="1" s="1"/>
  <c r="L557" i="1"/>
  <c r="M557" i="1" s="1"/>
  <c r="Q557" i="1" s="1"/>
  <c r="L556" i="1"/>
  <c r="M556" i="1" s="1"/>
  <c r="Q556" i="1" s="1"/>
  <c r="L555" i="1"/>
  <c r="M555" i="1" s="1"/>
  <c r="Q555" i="1" s="1"/>
  <c r="L554" i="1"/>
  <c r="M554" i="1" s="1"/>
  <c r="Q554" i="1" s="1"/>
  <c r="L552" i="1"/>
  <c r="M552" i="1" s="1"/>
  <c r="Q552" i="1" s="1"/>
  <c r="L551" i="1"/>
  <c r="M551" i="1" s="1"/>
  <c r="Q551" i="1" s="1"/>
  <c r="L550" i="1"/>
  <c r="M550" i="1" s="1"/>
  <c r="Q550" i="1" s="1"/>
  <c r="L549" i="1"/>
  <c r="M549" i="1" s="1"/>
  <c r="Q549" i="1" s="1"/>
  <c r="L546" i="1"/>
  <c r="M546" i="1" s="1"/>
  <c r="Q546" i="1" s="1"/>
  <c r="L545" i="1"/>
  <c r="M545" i="1" s="1"/>
  <c r="Q545" i="1" s="1"/>
  <c r="L544" i="1"/>
  <c r="M544" i="1" s="1"/>
  <c r="Q544" i="1" s="1"/>
  <c r="L543" i="1"/>
  <c r="M543" i="1" s="1"/>
  <c r="Q543" i="1" s="1"/>
  <c r="L542" i="1"/>
  <c r="M542" i="1" s="1"/>
  <c r="Q542" i="1" s="1"/>
  <c r="L541" i="1"/>
  <c r="M541" i="1" s="1"/>
  <c r="Q541" i="1" s="1"/>
  <c r="L540" i="1"/>
  <c r="M540" i="1" s="1"/>
  <c r="Q540" i="1" s="1"/>
  <c r="L539" i="1"/>
  <c r="M539" i="1" s="1"/>
  <c r="Q539" i="1" s="1"/>
  <c r="L538" i="1"/>
  <c r="M538" i="1" s="1"/>
  <c r="Q538" i="1" s="1"/>
  <c r="L537" i="1"/>
  <c r="M537" i="1" s="1"/>
  <c r="Q537" i="1" s="1"/>
  <c r="L536" i="1"/>
  <c r="M536" i="1" s="1"/>
  <c r="Q536" i="1" s="1"/>
  <c r="L535" i="1"/>
  <c r="M535" i="1" s="1"/>
  <c r="Q535" i="1" s="1"/>
  <c r="L534" i="1"/>
  <c r="M534" i="1" s="1"/>
  <c r="Q534" i="1" s="1"/>
  <c r="L532" i="1"/>
  <c r="M532" i="1" s="1"/>
  <c r="Q532" i="1" s="1"/>
  <c r="L531" i="1"/>
  <c r="M531" i="1" s="1"/>
  <c r="Q531" i="1" s="1"/>
  <c r="L530" i="1"/>
  <c r="M530" i="1" s="1"/>
  <c r="Q530" i="1" s="1"/>
  <c r="L529" i="1"/>
  <c r="M529" i="1" s="1"/>
  <c r="Q529" i="1" s="1"/>
  <c r="L528" i="1"/>
  <c r="M528" i="1" s="1"/>
  <c r="Q528" i="1" s="1"/>
  <c r="L527" i="1"/>
  <c r="M527" i="1" s="1"/>
  <c r="Q527" i="1" s="1"/>
  <c r="L526" i="1"/>
  <c r="M526" i="1" s="1"/>
  <c r="Q526" i="1" s="1"/>
  <c r="L525" i="1"/>
  <c r="M525" i="1" s="1"/>
  <c r="Q525" i="1" s="1"/>
  <c r="L522" i="1"/>
  <c r="M522" i="1" s="1"/>
  <c r="Q522" i="1" s="1"/>
  <c r="L520" i="1"/>
  <c r="M520" i="1" s="1"/>
  <c r="Q520" i="1" s="1"/>
  <c r="L519" i="1"/>
  <c r="M519" i="1" s="1"/>
  <c r="Q519" i="1" s="1"/>
  <c r="L518" i="1"/>
  <c r="M518" i="1" s="1"/>
  <c r="Q518" i="1" s="1"/>
  <c r="L517" i="1"/>
  <c r="M517" i="1" s="1"/>
  <c r="Q517" i="1" s="1"/>
  <c r="L516" i="1"/>
  <c r="M516" i="1" s="1"/>
  <c r="Q516" i="1" s="1"/>
  <c r="L515" i="1"/>
  <c r="M515" i="1" s="1"/>
  <c r="Q515" i="1" s="1"/>
  <c r="L514" i="1"/>
  <c r="M514" i="1" s="1"/>
  <c r="Q514" i="1" s="1"/>
  <c r="L513" i="1"/>
  <c r="M513" i="1" s="1"/>
  <c r="Q513" i="1" s="1"/>
  <c r="L512" i="1"/>
  <c r="M512" i="1" s="1"/>
  <c r="Q512" i="1" s="1"/>
  <c r="L511" i="1"/>
  <c r="M511" i="1" s="1"/>
  <c r="Q511" i="1" s="1"/>
  <c r="L510" i="1"/>
  <c r="M510" i="1" s="1"/>
  <c r="Q510" i="1" s="1"/>
  <c r="L507" i="1"/>
  <c r="M507" i="1" s="1"/>
  <c r="Q507" i="1" s="1"/>
  <c r="L506" i="1"/>
  <c r="M506" i="1" s="1"/>
  <c r="Q506" i="1" s="1"/>
  <c r="L505" i="1"/>
  <c r="M505" i="1" s="1"/>
  <c r="Q505" i="1" s="1"/>
  <c r="L504" i="1"/>
  <c r="M504" i="1" s="1"/>
  <c r="Q504" i="1" s="1"/>
  <c r="L503" i="1"/>
  <c r="M503" i="1" s="1"/>
  <c r="Q503" i="1" s="1"/>
  <c r="L502" i="1"/>
  <c r="M502" i="1" s="1"/>
  <c r="Q502" i="1" s="1"/>
  <c r="L500" i="1"/>
  <c r="M500" i="1" s="1"/>
  <c r="Q500" i="1" s="1"/>
  <c r="L499" i="1"/>
  <c r="M499" i="1" s="1"/>
  <c r="Q499" i="1" s="1"/>
  <c r="L498" i="1"/>
  <c r="M498" i="1" s="1"/>
  <c r="Q498" i="1" s="1"/>
  <c r="L497" i="1"/>
  <c r="M497" i="1" s="1"/>
  <c r="Q497" i="1" s="1"/>
  <c r="L495" i="1"/>
  <c r="M495" i="1" s="1"/>
  <c r="Q495" i="1" s="1"/>
  <c r="L493" i="1"/>
  <c r="M493" i="1" s="1"/>
  <c r="Q493" i="1" s="1"/>
  <c r="L491" i="1"/>
  <c r="M491" i="1" s="1"/>
  <c r="Q491" i="1" s="1"/>
  <c r="L490" i="1"/>
  <c r="M490" i="1" s="1"/>
  <c r="Q490" i="1" s="1"/>
  <c r="L488" i="1"/>
  <c r="M488" i="1" s="1"/>
  <c r="Q488" i="1" s="1"/>
  <c r="L487" i="1"/>
  <c r="M487" i="1" s="1"/>
  <c r="Q487" i="1" s="1"/>
  <c r="L485" i="1"/>
  <c r="M485" i="1" s="1"/>
  <c r="Q485" i="1" s="1"/>
  <c r="L484" i="1"/>
  <c r="M484" i="1" s="1"/>
  <c r="Q484" i="1" s="1"/>
  <c r="L483" i="1"/>
  <c r="M483" i="1" s="1"/>
  <c r="Q483" i="1" s="1"/>
  <c r="L482" i="1"/>
  <c r="M482" i="1" s="1"/>
  <c r="Q482" i="1" s="1"/>
  <c r="L481" i="1"/>
  <c r="M481" i="1" s="1"/>
  <c r="Q481" i="1" s="1"/>
  <c r="L478" i="1"/>
  <c r="M478" i="1" s="1"/>
  <c r="Q478" i="1" s="1"/>
  <c r="L476" i="1"/>
  <c r="M476" i="1" s="1"/>
  <c r="Q476" i="1" s="1"/>
  <c r="L475" i="1"/>
  <c r="M475" i="1" s="1"/>
  <c r="Q475" i="1" s="1"/>
  <c r="L474" i="1"/>
  <c r="M474" i="1" s="1"/>
  <c r="Q474" i="1" s="1"/>
  <c r="L473" i="1"/>
  <c r="M473" i="1" s="1"/>
  <c r="Q473" i="1" s="1"/>
  <c r="L472" i="1"/>
  <c r="M472" i="1" s="1"/>
  <c r="Q472" i="1" s="1"/>
  <c r="L471" i="1"/>
  <c r="M471" i="1" s="1"/>
  <c r="Q471" i="1" s="1"/>
  <c r="L470" i="1"/>
  <c r="M470" i="1" s="1"/>
  <c r="Q470" i="1" s="1"/>
  <c r="L468" i="1"/>
  <c r="M468" i="1" s="1"/>
  <c r="Q468" i="1" s="1"/>
  <c r="L467" i="1"/>
  <c r="M467" i="1" s="1"/>
  <c r="Q467" i="1" s="1"/>
  <c r="L466" i="1"/>
  <c r="M466" i="1" s="1"/>
  <c r="Q466" i="1" s="1"/>
  <c r="L465" i="1"/>
  <c r="M465" i="1" s="1"/>
  <c r="Q465" i="1" s="1"/>
  <c r="L464" i="1"/>
  <c r="M464" i="1" s="1"/>
  <c r="Q464" i="1" s="1"/>
  <c r="L463" i="1"/>
  <c r="M463" i="1" s="1"/>
  <c r="Q463" i="1" s="1"/>
  <c r="L462" i="1"/>
  <c r="M462" i="1" s="1"/>
  <c r="Q462" i="1" s="1"/>
  <c r="L461" i="1"/>
  <c r="M461" i="1" s="1"/>
  <c r="Q461" i="1" s="1"/>
  <c r="L460" i="1"/>
  <c r="L459" i="1"/>
  <c r="M459" i="1" s="1"/>
  <c r="Q459" i="1" s="1"/>
  <c r="L458" i="1"/>
  <c r="M458" i="1" s="1"/>
  <c r="Q458" i="1" s="1"/>
  <c r="L457" i="1"/>
  <c r="M457" i="1" s="1"/>
  <c r="Q457" i="1" s="1"/>
  <c r="L456" i="1"/>
  <c r="M456" i="1" s="1"/>
  <c r="Q456" i="1" s="1"/>
  <c r="L455" i="1"/>
  <c r="M455" i="1" s="1"/>
  <c r="Q455" i="1" s="1"/>
  <c r="L454" i="1"/>
  <c r="L453" i="1"/>
  <c r="L452" i="1"/>
  <c r="M452" i="1" s="1"/>
  <c r="Q452" i="1" s="1"/>
  <c r="L451" i="1"/>
  <c r="M451" i="1" s="1"/>
  <c r="Q451" i="1" s="1"/>
  <c r="L450" i="1"/>
  <c r="L449" i="1"/>
  <c r="M449" i="1" s="1"/>
  <c r="Q449" i="1" s="1"/>
  <c r="L448" i="1"/>
  <c r="L447" i="1"/>
  <c r="L446" i="1"/>
  <c r="M446" i="1" s="1"/>
  <c r="Q446" i="1" s="1"/>
  <c r="L445" i="1"/>
  <c r="M445" i="1" s="1"/>
  <c r="Q445" i="1" s="1"/>
  <c r="L444" i="1"/>
  <c r="L443" i="1"/>
  <c r="M443" i="1" s="1"/>
  <c r="Q443" i="1" s="1"/>
  <c r="L442" i="1"/>
  <c r="M442" i="1" s="1"/>
  <c r="Q442" i="1" s="1"/>
  <c r="L440" i="1"/>
  <c r="M440" i="1" s="1"/>
  <c r="Q440" i="1" s="1"/>
  <c r="L439" i="1"/>
  <c r="L438" i="1"/>
  <c r="M438" i="1" s="1"/>
  <c r="Q438" i="1" s="1"/>
  <c r="L437" i="1"/>
  <c r="M437" i="1" s="1"/>
  <c r="Q437" i="1" s="1"/>
  <c r="L436" i="1"/>
  <c r="M436" i="1" s="1"/>
  <c r="Q436" i="1" s="1"/>
  <c r="L435" i="1"/>
  <c r="M435" i="1" s="1"/>
  <c r="Q435" i="1" s="1"/>
  <c r="L434" i="1"/>
  <c r="M434" i="1" s="1"/>
  <c r="Q434" i="1" s="1"/>
  <c r="L433" i="1"/>
  <c r="M433" i="1" s="1"/>
  <c r="Q433" i="1" s="1"/>
  <c r="L432" i="1"/>
  <c r="M432" i="1" s="1"/>
  <c r="Q432" i="1" s="1"/>
  <c r="L430" i="1"/>
  <c r="M430" i="1" s="1"/>
  <c r="Q430" i="1" s="1"/>
  <c r="L429" i="1"/>
  <c r="M429" i="1" s="1"/>
  <c r="Q429" i="1" s="1"/>
  <c r="L427" i="1"/>
  <c r="M427" i="1" s="1"/>
  <c r="Q427" i="1" s="1"/>
  <c r="L426" i="1"/>
  <c r="M426" i="1" s="1"/>
  <c r="Q426" i="1" s="1"/>
  <c r="L425" i="1"/>
  <c r="M425" i="1" s="1"/>
  <c r="Q425" i="1" s="1"/>
  <c r="L424" i="1"/>
  <c r="M424" i="1" s="1"/>
  <c r="Q424" i="1" s="1"/>
  <c r="L423" i="1"/>
  <c r="M423" i="1" s="1"/>
  <c r="Q423" i="1" s="1"/>
  <c r="L422" i="1"/>
  <c r="M422" i="1" s="1"/>
  <c r="Q422" i="1" s="1"/>
  <c r="L421" i="1"/>
  <c r="M421" i="1" s="1"/>
  <c r="Q421" i="1" s="1"/>
  <c r="L420" i="1"/>
  <c r="M420" i="1" s="1"/>
  <c r="Q420" i="1" s="1"/>
  <c r="L419" i="1"/>
  <c r="M419" i="1" s="1"/>
  <c r="Q419" i="1" s="1"/>
  <c r="L418" i="1"/>
  <c r="M418" i="1" s="1"/>
  <c r="Q418" i="1" s="1"/>
  <c r="L417" i="1"/>
  <c r="M417" i="1" s="1"/>
  <c r="Q417" i="1" s="1"/>
  <c r="L416" i="1"/>
  <c r="M416" i="1" s="1"/>
  <c r="Q416" i="1" s="1"/>
  <c r="L415" i="1"/>
  <c r="M415" i="1" s="1"/>
  <c r="Q415" i="1" s="1"/>
  <c r="L414" i="1"/>
  <c r="M414" i="1" s="1"/>
  <c r="Q414" i="1" s="1"/>
  <c r="L413" i="1"/>
  <c r="M413" i="1" s="1"/>
  <c r="Q413" i="1" s="1"/>
  <c r="L412" i="1"/>
  <c r="M412" i="1" s="1"/>
  <c r="Q412" i="1" s="1"/>
  <c r="L411" i="1"/>
  <c r="M411" i="1" s="1"/>
  <c r="Q411" i="1" s="1"/>
  <c r="L410" i="1"/>
  <c r="M410" i="1" s="1"/>
  <c r="Q410" i="1" s="1"/>
  <c r="L409" i="1"/>
  <c r="M409" i="1" s="1"/>
  <c r="Q409" i="1" s="1"/>
  <c r="L408" i="1"/>
  <c r="M408" i="1" s="1"/>
  <c r="Q408" i="1" s="1"/>
  <c r="L407" i="1"/>
  <c r="M407" i="1" s="1"/>
  <c r="Q407" i="1" s="1"/>
  <c r="L406" i="1"/>
  <c r="M406" i="1" s="1"/>
  <c r="Q406" i="1" s="1"/>
  <c r="L405" i="1"/>
  <c r="M405" i="1" s="1"/>
  <c r="Q405" i="1" s="1"/>
  <c r="L404" i="1"/>
  <c r="M404" i="1" s="1"/>
  <c r="Q404" i="1" s="1"/>
  <c r="L403" i="1"/>
  <c r="M403" i="1" s="1"/>
  <c r="Q403" i="1" s="1"/>
  <c r="L402" i="1"/>
  <c r="M402" i="1" s="1"/>
  <c r="Q402" i="1" s="1"/>
  <c r="L401" i="1"/>
  <c r="M401" i="1" s="1"/>
  <c r="Q401" i="1" s="1"/>
  <c r="L400" i="1"/>
  <c r="M400" i="1" s="1"/>
  <c r="Q400" i="1" s="1"/>
  <c r="L399" i="1"/>
  <c r="M399" i="1" s="1"/>
  <c r="Q399" i="1" s="1"/>
  <c r="L398" i="1"/>
  <c r="M398" i="1" s="1"/>
  <c r="Q398" i="1" s="1"/>
  <c r="L397" i="1"/>
  <c r="M397" i="1" s="1"/>
  <c r="Q397" i="1" s="1"/>
  <c r="L396" i="1"/>
  <c r="M396" i="1" s="1"/>
  <c r="Q396" i="1" s="1"/>
  <c r="L395" i="1"/>
  <c r="M395" i="1" s="1"/>
  <c r="Q395" i="1" s="1"/>
  <c r="L394" i="1"/>
  <c r="M394" i="1" s="1"/>
  <c r="Q394" i="1" s="1"/>
  <c r="L393" i="1"/>
  <c r="M393" i="1" s="1"/>
  <c r="Q393" i="1" s="1"/>
  <c r="L392" i="1"/>
  <c r="M392" i="1" s="1"/>
  <c r="Q392" i="1" s="1"/>
  <c r="L391" i="1"/>
  <c r="M391" i="1" s="1"/>
  <c r="Q391" i="1" s="1"/>
  <c r="L390" i="1"/>
  <c r="M390" i="1" s="1"/>
  <c r="Q390" i="1" s="1"/>
  <c r="L389" i="1"/>
  <c r="M389" i="1" s="1"/>
  <c r="Q389" i="1" s="1"/>
  <c r="L388" i="1"/>
  <c r="M388" i="1" s="1"/>
  <c r="Q388" i="1" s="1"/>
  <c r="L387" i="1"/>
  <c r="M387" i="1" s="1"/>
  <c r="Q387" i="1" s="1"/>
  <c r="L386" i="1"/>
  <c r="M386" i="1" s="1"/>
  <c r="Q386" i="1" s="1"/>
  <c r="L385" i="1"/>
  <c r="M385" i="1" s="1"/>
  <c r="Q385" i="1" s="1"/>
  <c r="L384" i="1"/>
  <c r="M384" i="1" s="1"/>
  <c r="Q384" i="1" s="1"/>
  <c r="L381" i="1"/>
  <c r="M381" i="1" s="1"/>
  <c r="Q381" i="1" s="1"/>
  <c r="L380" i="1"/>
  <c r="M380" i="1" s="1"/>
  <c r="Q380" i="1" s="1"/>
  <c r="L379" i="1"/>
  <c r="M379" i="1" s="1"/>
  <c r="Q379" i="1" s="1"/>
  <c r="L377" i="1"/>
  <c r="M377" i="1" s="1"/>
  <c r="Q377" i="1" s="1"/>
  <c r="L376" i="1"/>
  <c r="M376" i="1" s="1"/>
  <c r="Q376" i="1" s="1"/>
  <c r="L375" i="1"/>
  <c r="M375" i="1" s="1"/>
  <c r="Q375" i="1" s="1"/>
  <c r="L374" i="1"/>
  <c r="L373" i="1"/>
  <c r="M373" i="1" s="1"/>
  <c r="Q373" i="1" s="1"/>
  <c r="L372" i="1"/>
  <c r="M372" i="1" s="1"/>
  <c r="Q372" i="1" s="1"/>
  <c r="L371" i="1"/>
  <c r="M371" i="1" s="1"/>
  <c r="Q371" i="1" s="1"/>
  <c r="L370" i="1"/>
  <c r="M370" i="1" s="1"/>
  <c r="Q370" i="1" s="1"/>
  <c r="L369" i="1"/>
  <c r="M369" i="1" s="1"/>
  <c r="Q369" i="1" s="1"/>
  <c r="L368" i="1"/>
  <c r="L367" i="1"/>
  <c r="L366" i="1"/>
  <c r="M366" i="1" s="1"/>
  <c r="Q366" i="1" s="1"/>
  <c r="L365" i="1"/>
  <c r="M365" i="1" s="1"/>
  <c r="Q365" i="1" s="1"/>
  <c r="L364" i="1"/>
  <c r="M364" i="1" s="1"/>
  <c r="Q364" i="1" s="1"/>
  <c r="L363" i="1"/>
  <c r="M363" i="1" s="1"/>
  <c r="Q363" i="1" s="1"/>
  <c r="L362" i="1"/>
  <c r="M362" i="1" s="1"/>
  <c r="Q362" i="1" s="1"/>
  <c r="L361" i="1"/>
  <c r="M361" i="1" s="1"/>
  <c r="Q361" i="1" s="1"/>
  <c r="L357" i="1"/>
  <c r="M357" i="1" s="1"/>
  <c r="Q357" i="1" s="1"/>
  <c r="L356" i="1"/>
  <c r="M356" i="1" s="1"/>
  <c r="Q356" i="1" s="1"/>
  <c r="L355" i="1"/>
  <c r="M355" i="1" s="1"/>
  <c r="Q355" i="1" s="1"/>
  <c r="L354" i="1"/>
  <c r="M354" i="1" s="1"/>
  <c r="Q354" i="1" s="1"/>
  <c r="L353" i="1"/>
  <c r="M353" i="1" s="1"/>
  <c r="Q353" i="1" s="1"/>
  <c r="L352" i="1"/>
  <c r="M352" i="1" s="1"/>
  <c r="Q352" i="1" s="1"/>
  <c r="L351" i="1"/>
  <c r="M351" i="1" s="1"/>
  <c r="Q351" i="1" s="1"/>
  <c r="L348" i="1"/>
  <c r="M348" i="1" s="1"/>
  <c r="Q348" i="1" s="1"/>
  <c r="L347" i="1"/>
  <c r="M347" i="1" s="1"/>
  <c r="Q347" i="1" s="1"/>
  <c r="L346" i="1"/>
  <c r="M346" i="1" s="1"/>
  <c r="Q346" i="1" s="1"/>
  <c r="L345" i="1"/>
  <c r="M345" i="1" s="1"/>
  <c r="Q345" i="1" s="1"/>
  <c r="L344" i="1"/>
  <c r="M344" i="1" s="1"/>
  <c r="Q344" i="1" s="1"/>
  <c r="L343" i="1"/>
  <c r="M343" i="1" s="1"/>
  <c r="Q343" i="1" s="1"/>
  <c r="L342" i="1"/>
  <c r="M342" i="1" s="1"/>
  <c r="Q342" i="1" s="1"/>
  <c r="L341" i="1"/>
  <c r="M341" i="1" s="1"/>
  <c r="Q341" i="1" s="1"/>
  <c r="L340" i="1"/>
  <c r="M340" i="1" s="1"/>
  <c r="Q340" i="1" s="1"/>
  <c r="L339" i="1"/>
  <c r="M339" i="1" s="1"/>
  <c r="Q339" i="1" s="1"/>
  <c r="L338" i="1"/>
  <c r="M338" i="1" s="1"/>
  <c r="Q338" i="1" s="1"/>
  <c r="L336" i="1"/>
  <c r="M336" i="1" s="1"/>
  <c r="Q336" i="1" s="1"/>
  <c r="L335" i="1"/>
  <c r="M335" i="1" s="1"/>
  <c r="Q335" i="1" s="1"/>
  <c r="L334" i="1"/>
  <c r="M334" i="1" s="1"/>
  <c r="Q334" i="1" s="1"/>
  <c r="L333" i="1"/>
  <c r="M333" i="1" s="1"/>
  <c r="Q333" i="1" s="1"/>
  <c r="L332" i="1"/>
  <c r="M332" i="1" s="1"/>
  <c r="Q332" i="1" s="1"/>
  <c r="L331" i="1"/>
  <c r="M331" i="1" s="1"/>
  <c r="Q331" i="1" s="1"/>
  <c r="L330" i="1"/>
  <c r="M330" i="1" s="1"/>
  <c r="Q330" i="1" s="1"/>
  <c r="L329" i="1"/>
  <c r="M329" i="1" s="1"/>
  <c r="Q329" i="1" s="1"/>
  <c r="L328" i="1"/>
  <c r="M328" i="1" s="1"/>
  <c r="Q328" i="1" s="1"/>
  <c r="L325" i="1"/>
  <c r="M325" i="1" s="1"/>
  <c r="Q325" i="1" s="1"/>
  <c r="L322" i="1"/>
  <c r="M322" i="1" s="1"/>
  <c r="Q322" i="1" s="1"/>
  <c r="L321" i="1"/>
  <c r="M321" i="1" s="1"/>
  <c r="Q321" i="1" s="1"/>
  <c r="L320" i="1"/>
  <c r="M320" i="1" s="1"/>
  <c r="Q320" i="1" s="1"/>
  <c r="L319" i="1"/>
  <c r="M319" i="1" s="1"/>
  <c r="Q319" i="1" s="1"/>
  <c r="L318" i="1"/>
  <c r="M318" i="1" s="1"/>
  <c r="Q318" i="1" s="1"/>
  <c r="L317" i="1"/>
  <c r="M317" i="1" s="1"/>
  <c r="Q317" i="1" s="1"/>
  <c r="L316" i="1"/>
  <c r="M316" i="1" s="1"/>
  <c r="Q316" i="1" s="1"/>
  <c r="L315" i="1"/>
  <c r="M315" i="1" s="1"/>
  <c r="Q315" i="1" s="1"/>
  <c r="L314" i="1"/>
  <c r="M314" i="1" s="1"/>
  <c r="Q314" i="1" s="1"/>
  <c r="L312" i="1"/>
  <c r="M312" i="1" s="1"/>
  <c r="Q312" i="1" s="1"/>
  <c r="L311" i="1"/>
  <c r="M311" i="1" s="1"/>
  <c r="Q311" i="1" s="1"/>
  <c r="L310" i="1"/>
  <c r="M310" i="1" s="1"/>
  <c r="Q310" i="1" s="1"/>
  <c r="L308" i="1"/>
  <c r="M308" i="1" s="1"/>
  <c r="Q308" i="1" s="1"/>
  <c r="L307" i="1"/>
  <c r="M307" i="1" s="1"/>
  <c r="Q307" i="1" s="1"/>
  <c r="L306" i="1"/>
  <c r="M306" i="1" s="1"/>
  <c r="Q306" i="1" s="1"/>
  <c r="L304" i="1"/>
  <c r="M304" i="1" s="1"/>
  <c r="Q304" i="1" s="1"/>
  <c r="L303" i="1"/>
  <c r="M303" i="1" s="1"/>
  <c r="Q303" i="1" s="1"/>
  <c r="L302" i="1"/>
  <c r="M302" i="1" s="1"/>
  <c r="Q302" i="1" s="1"/>
  <c r="L301" i="1"/>
  <c r="M301" i="1" s="1"/>
  <c r="Q301" i="1" s="1"/>
  <c r="L300" i="1"/>
  <c r="M300" i="1" s="1"/>
  <c r="Q300" i="1" s="1"/>
  <c r="L299" i="1"/>
  <c r="M299" i="1" s="1"/>
  <c r="Q299" i="1" s="1"/>
  <c r="L298" i="1"/>
  <c r="M298" i="1" s="1"/>
  <c r="Q298" i="1" s="1"/>
  <c r="L297" i="1"/>
  <c r="M297" i="1" s="1"/>
  <c r="Q297" i="1" s="1"/>
  <c r="L296" i="1"/>
  <c r="M296" i="1" s="1"/>
  <c r="Q296" i="1" s="1"/>
  <c r="L295" i="1"/>
  <c r="L294" i="1"/>
  <c r="M294" i="1" s="1"/>
  <c r="Q294" i="1" s="1"/>
  <c r="L291" i="1"/>
  <c r="M291" i="1" s="1"/>
  <c r="Q291" i="1" s="1"/>
  <c r="L290" i="1"/>
  <c r="M290" i="1" s="1"/>
  <c r="Q290" i="1" s="1"/>
  <c r="L289" i="1"/>
  <c r="M289" i="1" s="1"/>
  <c r="Q289" i="1" s="1"/>
  <c r="L288" i="1"/>
  <c r="M288" i="1" s="1"/>
  <c r="Q288" i="1" s="1"/>
  <c r="L287" i="1"/>
  <c r="M287" i="1" s="1"/>
  <c r="Q287" i="1" s="1"/>
  <c r="L286" i="1"/>
  <c r="M286" i="1" s="1"/>
  <c r="Q286" i="1" s="1"/>
  <c r="L285" i="1"/>
  <c r="M285" i="1" s="1"/>
  <c r="Q285" i="1" s="1"/>
  <c r="L284" i="1"/>
  <c r="M284" i="1" s="1"/>
  <c r="Q284" i="1" s="1"/>
  <c r="L282" i="1"/>
  <c r="M282" i="1" s="1"/>
  <c r="Q282" i="1" s="1"/>
  <c r="L281" i="1"/>
  <c r="M281" i="1" s="1"/>
  <c r="Q281" i="1" s="1"/>
  <c r="L280" i="1"/>
  <c r="M280" i="1" s="1"/>
  <c r="Q280" i="1" s="1"/>
  <c r="L279" i="1"/>
  <c r="M279" i="1" s="1"/>
  <c r="Q279" i="1" s="1"/>
  <c r="L278" i="1"/>
  <c r="M278" i="1" s="1"/>
  <c r="Q278" i="1" s="1"/>
  <c r="L277" i="1"/>
  <c r="M277" i="1" s="1"/>
  <c r="Q277" i="1" s="1"/>
  <c r="M199" i="1"/>
  <c r="Q199" i="1" s="1"/>
  <c r="M183" i="1"/>
  <c r="Q183" i="1" s="1"/>
  <c r="M179" i="1"/>
  <c r="Q179" i="1" s="1"/>
  <c r="L211" i="1"/>
  <c r="M211" i="1" s="1"/>
  <c r="Q211" i="1" s="1"/>
  <c r="L210" i="1"/>
  <c r="M210" i="1" s="1"/>
  <c r="Q210" i="1" s="1"/>
  <c r="L209" i="1"/>
  <c r="M209" i="1" s="1"/>
  <c r="Q209" i="1" s="1"/>
  <c r="L208" i="1"/>
  <c r="M208" i="1" s="1"/>
  <c r="Q208" i="1" s="1"/>
  <c r="L207" i="1"/>
  <c r="M207" i="1" s="1"/>
  <c r="Q207" i="1" s="1"/>
  <c r="L206" i="1"/>
  <c r="M206" i="1" s="1"/>
  <c r="Q206" i="1" s="1"/>
  <c r="L204" i="1"/>
  <c r="M204" i="1" s="1"/>
  <c r="Q204" i="1" s="1"/>
  <c r="L203" i="1"/>
  <c r="M203" i="1" s="1"/>
  <c r="Q203" i="1" s="1"/>
  <c r="L202" i="1"/>
  <c r="M202" i="1" s="1"/>
  <c r="Q202" i="1" s="1"/>
  <c r="L201" i="1"/>
  <c r="M201" i="1" s="1"/>
  <c r="Q201" i="1" s="1"/>
  <c r="L200" i="1"/>
  <c r="M200" i="1" s="1"/>
  <c r="Q200" i="1" s="1"/>
  <c r="L197" i="1"/>
  <c r="M197" i="1" s="1"/>
  <c r="Q197" i="1" s="1"/>
  <c r="L196" i="1"/>
  <c r="M196" i="1" s="1"/>
  <c r="Q196" i="1" s="1"/>
  <c r="L195" i="1"/>
  <c r="M195" i="1" s="1"/>
  <c r="Q195" i="1" s="1"/>
  <c r="L194" i="1"/>
  <c r="M194" i="1" s="1"/>
  <c r="Q194" i="1" s="1"/>
  <c r="L193" i="1"/>
  <c r="M193" i="1" s="1"/>
  <c r="Q193" i="1" s="1"/>
  <c r="L191" i="1"/>
  <c r="M191" i="1" s="1"/>
  <c r="Q191" i="1" s="1"/>
  <c r="L190" i="1"/>
  <c r="M190" i="1" s="1"/>
  <c r="Q190" i="1" s="1"/>
  <c r="L187" i="1"/>
  <c r="M187" i="1" s="1"/>
  <c r="Q187" i="1" s="1"/>
  <c r="L186" i="1"/>
  <c r="M186" i="1" s="1"/>
  <c r="Q186" i="1" s="1"/>
  <c r="L185" i="1"/>
  <c r="M185" i="1" s="1"/>
  <c r="Q185" i="1" s="1"/>
  <c r="L184" i="1"/>
  <c r="M184" i="1" s="1"/>
  <c r="Q184" i="1" s="1"/>
  <c r="L182" i="1"/>
  <c r="M182" i="1" s="1"/>
  <c r="Q182" i="1" s="1"/>
  <c r="L181" i="1"/>
  <c r="M181" i="1" s="1"/>
  <c r="Q181" i="1" s="1"/>
  <c r="L180" i="1"/>
  <c r="M180" i="1" s="1"/>
  <c r="Q180" i="1" s="1"/>
  <c r="L178" i="1"/>
  <c r="M178" i="1" s="1"/>
  <c r="Q178" i="1" s="1"/>
  <c r="L177" i="1"/>
  <c r="M177" i="1" s="1"/>
  <c r="Q177" i="1" s="1"/>
  <c r="L175" i="1"/>
  <c r="M175" i="1" s="1"/>
  <c r="Q175" i="1" s="1"/>
  <c r="L173" i="1"/>
  <c r="M173" i="1" s="1"/>
  <c r="Q173" i="1" s="1"/>
  <c r="L172" i="1"/>
  <c r="M172" i="1" s="1"/>
  <c r="Q172" i="1" s="1"/>
  <c r="L170" i="1"/>
  <c r="M170" i="1" s="1"/>
  <c r="Q170" i="1" s="1"/>
  <c r="L169" i="1"/>
  <c r="M169" i="1" s="1"/>
  <c r="Q169" i="1" s="1"/>
  <c r="L168" i="1"/>
  <c r="M168" i="1" s="1"/>
  <c r="Q168" i="1" s="1"/>
  <c r="L167" i="1"/>
  <c r="M167" i="1" s="1"/>
  <c r="Q167" i="1" s="1"/>
  <c r="L164" i="1"/>
  <c r="M164" i="1" s="1"/>
  <c r="Q164" i="1" s="1"/>
  <c r="L163" i="1"/>
  <c r="M163" i="1" s="1"/>
  <c r="Q163" i="1" s="1"/>
  <c r="L162" i="1"/>
  <c r="M162" i="1" s="1"/>
  <c r="Q162" i="1" s="1"/>
  <c r="L161" i="1"/>
  <c r="M161" i="1" s="1"/>
  <c r="Q161" i="1" s="1"/>
  <c r="L160" i="1"/>
  <c r="M160" i="1" s="1"/>
  <c r="Q160" i="1" s="1"/>
  <c r="L159" i="1"/>
  <c r="M159" i="1" s="1"/>
  <c r="Q159" i="1" s="1"/>
  <c r="L158" i="1"/>
  <c r="M158" i="1" s="1"/>
  <c r="Q158" i="1" s="1"/>
  <c r="L157" i="1"/>
  <c r="M157" i="1" s="1"/>
  <c r="Q157" i="1" s="1"/>
  <c r="L156" i="1"/>
  <c r="M156" i="1" s="1"/>
  <c r="Q156" i="1" s="1"/>
  <c r="L155" i="1"/>
  <c r="M155" i="1" s="1"/>
  <c r="Q155" i="1" s="1"/>
  <c r="L154" i="1"/>
  <c r="M154" i="1" s="1"/>
  <c r="Q154" i="1" s="1"/>
  <c r="L153" i="1"/>
  <c r="M153" i="1" s="1"/>
  <c r="Q153" i="1" s="1"/>
  <c r="L151" i="1"/>
  <c r="M151" i="1" s="1"/>
  <c r="Q151" i="1" s="1"/>
  <c r="L150" i="1"/>
  <c r="M150" i="1" s="1"/>
  <c r="Q150" i="1" s="1"/>
  <c r="L149" i="1"/>
  <c r="M149" i="1" s="1"/>
  <c r="Q149" i="1" s="1"/>
  <c r="L147" i="1"/>
  <c r="M147" i="1" s="1"/>
  <c r="Q147" i="1" s="1"/>
  <c r="L144" i="1"/>
  <c r="M144" i="1" s="1"/>
  <c r="Q144" i="1" s="1"/>
  <c r="L143" i="1"/>
  <c r="M143" i="1" s="1"/>
  <c r="Q143" i="1" s="1"/>
  <c r="L142" i="1"/>
  <c r="M142" i="1" s="1"/>
  <c r="Q142" i="1" s="1"/>
  <c r="L140" i="1"/>
  <c r="M140" i="1" s="1"/>
  <c r="Q140" i="1" s="1"/>
  <c r="L138" i="1"/>
  <c r="M138" i="1" s="1"/>
  <c r="Q138" i="1" s="1"/>
  <c r="L137" i="1"/>
  <c r="M137" i="1" s="1"/>
  <c r="Q137" i="1" s="1"/>
  <c r="L136" i="1"/>
  <c r="M136" i="1" s="1"/>
  <c r="Q136" i="1" s="1"/>
  <c r="L135" i="1"/>
  <c r="M135" i="1" s="1"/>
  <c r="Q135" i="1" s="1"/>
  <c r="L134" i="1"/>
  <c r="M134" i="1" s="1"/>
  <c r="Q134" i="1" s="1"/>
  <c r="L131" i="1"/>
  <c r="M131" i="1" s="1"/>
  <c r="Q131" i="1" s="1"/>
  <c r="L129" i="1"/>
  <c r="M129" i="1" s="1"/>
  <c r="Q129" i="1" s="1"/>
  <c r="L128" i="1"/>
  <c r="M128" i="1" s="1"/>
  <c r="Q128" i="1" s="1"/>
  <c r="L127" i="1"/>
  <c r="M127" i="1" s="1"/>
  <c r="Q127" i="1" s="1"/>
  <c r="L126" i="1"/>
  <c r="M126" i="1" s="1"/>
  <c r="Q126" i="1" s="1"/>
  <c r="L125" i="1"/>
  <c r="M125" i="1" s="1"/>
  <c r="Q125" i="1" s="1"/>
  <c r="L124" i="1"/>
  <c r="M124" i="1" s="1"/>
  <c r="Q124" i="1" s="1"/>
  <c r="L123" i="1"/>
  <c r="M123" i="1" s="1"/>
  <c r="Q123" i="1" s="1"/>
  <c r="L122" i="1"/>
  <c r="M122" i="1" s="1"/>
  <c r="Q122" i="1" s="1"/>
  <c r="L120" i="1"/>
  <c r="M120" i="1" s="1"/>
  <c r="Q120" i="1" s="1"/>
  <c r="L119" i="1"/>
  <c r="M119" i="1" s="1"/>
  <c r="Q119" i="1" s="1"/>
  <c r="L118" i="1"/>
  <c r="M118" i="1" s="1"/>
  <c r="Q118" i="1" s="1"/>
  <c r="L117" i="1"/>
  <c r="M117" i="1" s="1"/>
  <c r="Q117" i="1" s="1"/>
  <c r="L116" i="1"/>
  <c r="M116" i="1" s="1"/>
  <c r="Q116" i="1" s="1"/>
  <c r="L115" i="1"/>
  <c r="M115" i="1" s="1"/>
  <c r="Q115" i="1" s="1"/>
  <c r="L114" i="1"/>
  <c r="M114" i="1" s="1"/>
  <c r="Q114" i="1" s="1"/>
  <c r="L113" i="1"/>
  <c r="M113" i="1" s="1"/>
  <c r="Q113" i="1" s="1"/>
  <c r="L112" i="1"/>
  <c r="M112" i="1" s="1"/>
  <c r="Q112" i="1" s="1"/>
  <c r="L111" i="1"/>
  <c r="M111" i="1" s="1"/>
  <c r="Q111" i="1" s="1"/>
  <c r="L110" i="1"/>
  <c r="M110" i="1" s="1"/>
  <c r="Q110" i="1" s="1"/>
  <c r="L109" i="1"/>
  <c r="M109" i="1" s="1"/>
  <c r="Q109" i="1" s="1"/>
  <c r="L108" i="1"/>
  <c r="M108" i="1" s="1"/>
  <c r="Q108" i="1" s="1"/>
  <c r="L107" i="1"/>
  <c r="M107" i="1" s="1"/>
  <c r="Q107" i="1" s="1"/>
  <c r="L25" i="1"/>
  <c r="M25" i="1" s="1"/>
  <c r="Q25" i="1" s="1"/>
  <c r="L104" i="1"/>
  <c r="M104" i="1" s="1"/>
  <c r="Q104" i="1" s="1"/>
  <c r="L103" i="1"/>
  <c r="M103" i="1" s="1"/>
  <c r="Q103" i="1" s="1"/>
  <c r="L102" i="1"/>
  <c r="M102" i="1" s="1"/>
  <c r="Q102" i="1" s="1"/>
  <c r="L101" i="1"/>
  <c r="M101" i="1" s="1"/>
  <c r="Q101" i="1" s="1"/>
  <c r="L100" i="1"/>
  <c r="M100" i="1" s="1"/>
  <c r="Q100" i="1" s="1"/>
  <c r="L99" i="1"/>
  <c r="M99" i="1" s="1"/>
  <c r="Q99" i="1" s="1"/>
  <c r="L98" i="1"/>
  <c r="M98" i="1" s="1"/>
  <c r="Q98" i="1" s="1"/>
  <c r="L97" i="1"/>
  <c r="M97" i="1" s="1"/>
  <c r="Q97" i="1" s="1"/>
  <c r="L95" i="1"/>
  <c r="M95" i="1" s="1"/>
  <c r="Q95" i="1" s="1"/>
  <c r="L92" i="1"/>
  <c r="M92" i="1" s="1"/>
  <c r="Q92" i="1" s="1"/>
  <c r="L89" i="1"/>
  <c r="M89" i="1" s="1"/>
  <c r="Q89" i="1" s="1"/>
  <c r="L88" i="1"/>
  <c r="M88" i="1" s="1"/>
  <c r="Q88" i="1" s="1"/>
  <c r="L87" i="1"/>
  <c r="M87" i="1" s="1"/>
  <c r="Q87" i="1" s="1"/>
  <c r="L86" i="1"/>
  <c r="L85" i="1"/>
  <c r="M85" i="1" s="1"/>
  <c r="Q85" i="1" s="1"/>
  <c r="L84" i="1"/>
  <c r="M84" i="1" s="1"/>
  <c r="Q84" i="1" s="1"/>
  <c r="L83" i="1"/>
  <c r="M83" i="1" s="1"/>
  <c r="Q83" i="1" s="1"/>
  <c r="L82" i="1"/>
  <c r="M82" i="1" s="1"/>
  <c r="Q82" i="1" s="1"/>
  <c r="L81" i="1"/>
  <c r="L79" i="1"/>
  <c r="M79" i="1" s="1"/>
  <c r="Q79" i="1" s="1"/>
  <c r="L78" i="1"/>
  <c r="M78" i="1" s="1"/>
  <c r="Q78" i="1" s="1"/>
  <c r="L77" i="1"/>
  <c r="M77" i="1" s="1"/>
  <c r="Q77" i="1" s="1"/>
  <c r="L76" i="1"/>
  <c r="L75" i="1"/>
  <c r="M75" i="1" s="1"/>
  <c r="Q75" i="1" s="1"/>
  <c r="L74" i="1"/>
  <c r="M74" i="1" s="1"/>
  <c r="Q74" i="1" s="1"/>
  <c r="L73" i="1"/>
  <c r="M73" i="1" s="1"/>
  <c r="Q73" i="1" s="1"/>
  <c r="L72" i="1"/>
  <c r="M72" i="1" s="1"/>
  <c r="Q72" i="1" s="1"/>
  <c r="L71" i="1"/>
  <c r="M71" i="1" s="1"/>
  <c r="Q71" i="1" s="1"/>
  <c r="L70" i="1"/>
  <c r="M70" i="1" s="1"/>
  <c r="Q70" i="1" s="1"/>
  <c r="M16" i="1"/>
  <c r="Q16" i="1" s="1"/>
  <c r="L68" i="1"/>
  <c r="M68" i="1" s="1"/>
  <c r="Q68" i="1" s="1"/>
  <c r="L67" i="1"/>
  <c r="M67" i="1" s="1"/>
  <c r="Q67" i="1" s="1"/>
  <c r="L65" i="1"/>
  <c r="M65" i="1" s="1"/>
  <c r="Q65" i="1" s="1"/>
  <c r="L64" i="1"/>
  <c r="M64" i="1" s="1"/>
  <c r="Q64" i="1" s="1"/>
  <c r="L63" i="1"/>
  <c r="M63" i="1" s="1"/>
  <c r="Q63" i="1" s="1"/>
  <c r="L62" i="1"/>
  <c r="M62" i="1" s="1"/>
  <c r="Q62" i="1" s="1"/>
  <c r="L61" i="1"/>
  <c r="M61" i="1" s="1"/>
  <c r="Q61" i="1" s="1"/>
  <c r="L59" i="1"/>
  <c r="M59" i="1" s="1"/>
  <c r="Q59" i="1" s="1"/>
  <c r="L58" i="1"/>
  <c r="M58" i="1" s="1"/>
  <c r="Q58" i="1" s="1"/>
  <c r="L57" i="1"/>
  <c r="M57" i="1" s="1"/>
  <c r="Q57" i="1" s="1"/>
  <c r="L56" i="1"/>
  <c r="M56" i="1" s="1"/>
  <c r="Q56" i="1" s="1"/>
  <c r="L55" i="1"/>
  <c r="M55" i="1" s="1"/>
  <c r="Q55" i="1" s="1"/>
  <c r="L54" i="1"/>
  <c r="M54" i="1" s="1"/>
  <c r="Q54" i="1" s="1"/>
  <c r="L53" i="1"/>
  <c r="M53" i="1" s="1"/>
  <c r="Q53" i="1" s="1"/>
  <c r="L52" i="1"/>
  <c r="L51" i="1"/>
  <c r="L50" i="1"/>
  <c r="M50" i="1" s="1"/>
  <c r="Q50" i="1" s="1"/>
  <c r="L49" i="1"/>
  <c r="M49" i="1" s="1"/>
  <c r="Q49" i="1" s="1"/>
  <c r="L48" i="1"/>
  <c r="M48" i="1" s="1"/>
  <c r="Q48" i="1" s="1"/>
  <c r="L47" i="1"/>
  <c r="M47" i="1" s="1"/>
  <c r="Q47" i="1" s="1"/>
  <c r="L46" i="1"/>
  <c r="M46" i="1" s="1"/>
  <c r="Q46" i="1" s="1"/>
  <c r="L45" i="1"/>
  <c r="M45" i="1" s="1"/>
  <c r="Q45" i="1" s="1"/>
  <c r="L44" i="1"/>
  <c r="M44" i="1" s="1"/>
  <c r="Q44" i="1" s="1"/>
  <c r="L43" i="1"/>
  <c r="L42" i="1"/>
  <c r="M42" i="1" s="1"/>
  <c r="Q42" i="1" s="1"/>
  <c r="L41" i="1"/>
  <c r="M41" i="1" s="1"/>
  <c r="Q41" i="1" s="1"/>
  <c r="L40" i="1"/>
  <c r="M40" i="1" s="1"/>
  <c r="Q40" i="1" s="1"/>
  <c r="L39" i="1"/>
  <c r="M39" i="1" s="1"/>
  <c r="Q39" i="1" s="1"/>
  <c r="L38" i="1"/>
  <c r="M38" i="1" s="1"/>
  <c r="Q38" i="1" s="1"/>
  <c r="L37" i="1"/>
  <c r="M37" i="1" s="1"/>
  <c r="Q37" i="1" s="1"/>
  <c r="L36" i="1"/>
  <c r="M36" i="1" s="1"/>
  <c r="Q36" i="1" s="1"/>
  <c r="L35" i="1"/>
  <c r="M35" i="1" s="1"/>
  <c r="Q35" i="1" s="1"/>
  <c r="L34" i="1"/>
  <c r="M34" i="1" s="1"/>
  <c r="Q34" i="1" s="1"/>
  <c r="L33" i="1"/>
  <c r="M33" i="1" s="1"/>
  <c r="Q33" i="1" s="1"/>
  <c r="L32" i="1"/>
  <c r="M32" i="1" s="1"/>
  <c r="Q32" i="1" s="1"/>
  <c r="L31" i="1"/>
  <c r="M31" i="1" s="1"/>
  <c r="Q31" i="1" s="1"/>
  <c r="L30" i="1"/>
  <c r="M30" i="1" s="1"/>
  <c r="Q30" i="1" s="1"/>
  <c r="L29" i="1"/>
  <c r="M29" i="1" s="1"/>
  <c r="Q29" i="1" s="1"/>
  <c r="L28" i="1"/>
  <c r="M28" i="1" s="1"/>
  <c r="Q28" i="1" s="1"/>
  <c r="L24" i="1"/>
  <c r="M24" i="1" s="1"/>
  <c r="Q24" i="1" s="1"/>
  <c r="L23" i="1"/>
  <c r="M23" i="1" s="1"/>
  <c r="Q23" i="1" s="1"/>
  <c r="L22" i="1"/>
  <c r="M22" i="1" s="1"/>
  <c r="Q22" i="1" s="1"/>
  <c r="L21" i="1"/>
  <c r="M21" i="1" s="1"/>
  <c r="Q21" i="1" s="1"/>
  <c r="L20" i="1"/>
  <c r="M20" i="1" s="1"/>
  <c r="Q20" i="1" s="1"/>
  <c r="L19" i="1"/>
  <c r="M19" i="1" s="1"/>
  <c r="Q19" i="1" s="1"/>
  <c r="L18" i="1"/>
  <c r="M18" i="1" s="1"/>
  <c r="Q18" i="1" s="1"/>
  <c r="L17" i="1"/>
  <c r="M17" i="1" s="1"/>
  <c r="Q17" i="1" s="1"/>
  <c r="L14" i="1"/>
  <c r="M14" i="1" s="1"/>
  <c r="Q14" i="1" s="1"/>
  <c r="L13" i="1"/>
  <c r="M13" i="1" s="1"/>
  <c r="Q13" i="1" s="1"/>
  <c r="L12" i="1"/>
  <c r="M12" i="1" s="1"/>
  <c r="Q12" i="1" s="1"/>
  <c r="L11" i="1"/>
  <c r="M11" i="1" s="1"/>
  <c r="Q11" i="1" s="1"/>
  <c r="L10" i="1"/>
  <c r="M10" i="1" s="1"/>
  <c r="Q10" i="1" s="1"/>
  <c r="L9" i="1"/>
  <c r="M9" i="1" s="1"/>
  <c r="Q9" i="1" s="1"/>
  <c r="L8" i="1"/>
  <c r="M8" i="1" s="1"/>
  <c r="Q8" i="1" s="1"/>
  <c r="L7" i="1"/>
  <c r="M7" i="1" s="1"/>
  <c r="Q7" i="1" s="1"/>
  <c r="L5" i="1"/>
  <c r="M5" i="1" s="1"/>
  <c r="Q5" i="1" s="1"/>
  <c r="L4" i="1"/>
  <c r="M4" i="1" s="1"/>
  <c r="Q4" i="1" s="1"/>
  <c r="P790" i="1" l="1"/>
  <c r="Q790" i="1" s="1"/>
  <c r="P508" i="1"/>
  <c r="Q508" i="1" s="1"/>
  <c r="I100" i="11"/>
  <c r="I10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3" authorId="0" shapeId="0" xr:uid="{CF9DF3D2-3095-49F0-A850-3DDE715BC0F3}">
      <text>
        <r>
          <rPr>
            <b/>
            <sz val="9"/>
            <color indexed="81"/>
            <rFont val="宋体"/>
            <family val="3"/>
            <charset val="134"/>
          </rPr>
          <t>lenovo:</t>
        </r>
        <r>
          <rPr>
            <sz val="9"/>
            <color indexed="81"/>
            <rFont val="宋体"/>
            <family val="3"/>
            <charset val="134"/>
          </rPr>
          <t xml:space="preserve">
曾用名：Nhà Phân Phố Gia Bảo（嘉宝分销商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061" authorId="0" shapeId="0" xr:uid="{9E9C5477-ECBF-48FA-9D1F-A3C070CD6AD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trước tên là Điện Máy Trọng Tín</t>
        </r>
      </text>
    </comment>
    <comment ref="B1143" authorId="0" shapeId="0" xr:uid="{F8E22CC3-7145-4524-B922-3A7A81330AF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trước đây tên là Anh Cương阿强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4" authorId="0" shapeId="0" xr:uid="{4295C4E5-CEEA-4158-963F-C0E10FB4FD7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trước tên là Điện Máy Trọng Tín</t>
        </r>
      </text>
    </comment>
  </commentList>
</comments>
</file>

<file path=xl/sharedStrings.xml><?xml version="1.0" encoding="utf-8"?>
<sst xmlns="http://schemas.openxmlformats.org/spreadsheetml/2006/main" count="36927" uniqueCount="1520">
  <si>
    <t>Ngày tháng ghi sổ</t>
  </si>
  <si>
    <t xml:space="preserve">Chứng từ </t>
  </si>
  <si>
    <t>diễn giải</t>
  </si>
  <si>
    <t>Mã Hàng</t>
  </si>
  <si>
    <t>Tên Hàng</t>
  </si>
  <si>
    <t>ĐVT</t>
  </si>
  <si>
    <t>số lượng</t>
  </si>
  <si>
    <t>Đơn Giá</t>
  </si>
  <si>
    <t>Thành tiền chưa thuế</t>
  </si>
  <si>
    <t>Thuế GTGT (8%)</t>
  </si>
  <si>
    <t>còn nợ</t>
  </si>
  <si>
    <t>SH</t>
  </si>
  <si>
    <t>Ngày xuất HĐ</t>
  </si>
  <si>
    <t>22/12/2025</t>
  </si>
  <si>
    <t>Chưa xuất HĐ</t>
  </si>
  <si>
    <t>Công Ty TNHH Gia Bảo HP ( NPP Gia Bảo)</t>
  </si>
  <si>
    <t>INP6003</t>
  </si>
  <si>
    <t>Nồi cơm điện tử (Nồi cơm điện đa năng giảm đường) INP6003</t>
  </si>
  <si>
    <t>Cái</t>
  </si>
  <si>
    <t>30/12/2025</t>
  </si>
  <si>
    <t>00000004</t>
  </si>
  <si>
    <t>INP1402</t>
  </si>
  <si>
    <t>Nồi áp suất 6L INP1402</t>
  </si>
  <si>
    <t>INP2003</t>
  </si>
  <si>
    <t xml:space="preserve">Bộ nồi inox đúc nguyên khối INP2003 </t>
  </si>
  <si>
    <t>Bộ</t>
  </si>
  <si>
    <t>INP2102</t>
  </si>
  <si>
    <t>Chảo inox chống dính đúc nguyên khốiINP2102</t>
  </si>
  <si>
    <t>INP2103</t>
  </si>
  <si>
    <t>Chảo inox chống dính đúc nguyên khốiINP2103</t>
  </si>
  <si>
    <t>INP2106</t>
  </si>
  <si>
    <t>Chảo inox đúc nguyên khối (không chống dính)INP2106</t>
  </si>
  <si>
    <t>INP2108</t>
  </si>
  <si>
    <t>Chảo inox đúc nguyên khối (không chống dính)INP2108</t>
  </si>
  <si>
    <t>INP2109</t>
  </si>
  <si>
    <t>Chảo inox đúc nguyên khối (không chống dính)INP2109</t>
  </si>
  <si>
    <t>INP2110</t>
  </si>
  <si>
    <t>Chảo inox đúc nguyên khối (không chống dính)INP2110</t>
  </si>
  <si>
    <t>INP2111</t>
  </si>
  <si>
    <t>Chảo inox đúc nguyên khối (không chống dính)INP2111</t>
  </si>
  <si>
    <t>INP2202</t>
  </si>
  <si>
    <t>Nồi luộc gà inox đúc nguyên khốiINP2202</t>
  </si>
  <si>
    <t>INP3002</t>
  </si>
  <si>
    <t>Nồi gang tráng menINP3002</t>
  </si>
  <si>
    <t>INP3003</t>
  </si>
  <si>
    <t>Nồi gang tráng menINP3003</t>
  </si>
  <si>
    <t>INP3201</t>
  </si>
  <si>
    <t>Chảo gang tráng menINP3201</t>
  </si>
  <si>
    <t>INP6101</t>
  </si>
  <si>
    <t>Bếp từ đơn INP6101( 2200W, mặt kính màu sữa )</t>
  </si>
  <si>
    <t>INP6102</t>
  </si>
  <si>
    <t>Bếp từ đơn INP6102 ( 2500W), 2 quạt tản</t>
  </si>
  <si>
    <t>INP6104</t>
  </si>
  <si>
    <t xml:space="preserve">Bếp từ đơn INP6104 ( 2500W ) </t>
  </si>
  <si>
    <t>INP6201</t>
  </si>
  <si>
    <t xml:space="preserve">Ấm điện siêu tốc INP6201 1,7 lít màu ghi </t>
  </si>
  <si>
    <t>INP6202</t>
  </si>
  <si>
    <t>Ấm điện siêu tốc INP6202 1,7 lít màu đen</t>
  </si>
  <si>
    <t>INP6602</t>
  </si>
  <si>
    <t>Máy sấy bát đĩa INP6602</t>
  </si>
  <si>
    <t>INP6001</t>
  </si>
  <si>
    <t>Nồi cơm điện tử (Nồi cơm điện đa năng giảm đường) INP6001</t>
  </si>
  <si>
    <t>INP1301</t>
  </si>
  <si>
    <t>Nồi mã INP1301</t>
  </si>
  <si>
    <t>16/01/2026</t>
  </si>
  <si>
    <t>NTTK00003</t>
  </si>
  <si>
    <t>00000027</t>
  </si>
  <si>
    <t>21/01/2026</t>
  </si>
  <si>
    <t>INP1501</t>
  </si>
  <si>
    <t>Ấm đun nước 3L INP1501</t>
  </si>
  <si>
    <t>INP1502</t>
  </si>
  <si>
    <t>Ấm đun nước 4L INP1502</t>
  </si>
  <si>
    <t>INP1503</t>
  </si>
  <si>
    <t>Ấm đun nước 5L INP1503</t>
  </si>
  <si>
    <t>INP6701</t>
  </si>
  <si>
    <t>Máy xay thực phẩm INP6701·</t>
  </si>
  <si>
    <t>00000039</t>
  </si>
  <si>
    <t>INP1003</t>
  </si>
  <si>
    <t xml:space="preserve">Bộ nồi Inox INP1003 </t>
  </si>
  <si>
    <t>00000175</t>
  </si>
  <si>
    <t>INP1401</t>
  </si>
  <si>
    <t>Nồi áp suất 4.5L INP1401</t>
  </si>
  <si>
    <t>Bộ nồi inox INP2003</t>
  </si>
  <si>
    <t>INP6002</t>
  </si>
  <si>
    <t>Nồi cơm điện tử (Nồi cơm điện đa năng giảm đường) INP6002</t>
  </si>
  <si>
    <t>INP6401</t>
  </si>
  <si>
    <t>Quạt đứng INP6401</t>
  </si>
  <si>
    <t>17/6/2026</t>
  </si>
  <si>
    <t>00000190</t>
  </si>
  <si>
    <t>25/6/2026</t>
  </si>
  <si>
    <t>INP6902</t>
  </si>
  <si>
    <t>Nồi áp suất điện INP6902</t>
  </si>
  <si>
    <t>Nồi</t>
  </si>
  <si>
    <t>INP6903</t>
  </si>
  <si>
    <t>Nồi áp suất điện INP6903</t>
  </si>
  <si>
    <t>23/06/2026</t>
  </si>
  <si>
    <t>INP6402</t>
  </si>
  <si>
    <t xml:space="preserve">	
Quạt điện đứng INP6402</t>
  </si>
  <si>
    <t>INP6403</t>
  </si>
  <si>
    <t xml:space="preserve">	
Quạt điện đứng INP6403</t>
  </si>
  <si>
    <t>16/7/2026</t>
  </si>
  <si>
    <t>INP6901</t>
  </si>
  <si>
    <t>Nồi áp suất điện INP6901</t>
  </si>
  <si>
    <t>INP6105</t>
  </si>
  <si>
    <t>Bếp từ đơn INP6105</t>
  </si>
  <si>
    <t>00000229</t>
  </si>
  <si>
    <t>21/7/2026</t>
  </si>
  <si>
    <t>INP6203</t>
  </si>
  <si>
    <t>Ấm đun nước INP6203, 1.7L</t>
  </si>
  <si>
    <t>28/10/2025</t>
  </si>
  <si>
    <t>00000072</t>
  </si>
  <si>
    <t>xuất bán cho CÔNG TY TNHH XUẤT NHẬP KHẨU HOÀNG TÂN</t>
  </si>
  <si>
    <t xml:space="preserve">Chảo gang </t>
  </si>
  <si>
    <t>cái</t>
  </si>
  <si>
    <t>29/10/2025</t>
  </si>
  <si>
    <t>00000065</t>
  </si>
  <si>
    <t>Nồi áp suất 4.5L</t>
  </si>
  <si>
    <t xml:space="preserve">Nồi gang </t>
  </si>
  <si>
    <t>30/10/2025</t>
  </si>
  <si>
    <t>INP3001</t>
  </si>
  <si>
    <t>15/11/2025</t>
  </si>
  <si>
    <t xml:space="preserve">xuất HĐ thừa nhưng không điều chỉnh giảm  </t>
  </si>
  <si>
    <t>00000070</t>
  </si>
  <si>
    <t>hđ 37 thay thế hđ 21 ,
 hđ 70 thay thế 37</t>
  </si>
  <si>
    <t>hd 21 (2025)</t>
  </si>
  <si>
    <t>00000124</t>
  </si>
  <si>
    <t>20/04/2026</t>
  </si>
  <si>
    <t>INP6204</t>
  </si>
  <si>
    <t>Ấm đun nước INP6204, 1.0L</t>
  </si>
  <si>
    <t>ĐÃ GIẢM TỪ HĐ 37</t>
  </si>
  <si>
    <t>INP6205</t>
  </si>
  <si>
    <t>Ấm đun nước INP6205, 1.0L</t>
  </si>
  <si>
    <t>13/01/2026</t>
  </si>
  <si>
    <t>00000040</t>
  </si>
  <si>
    <t>hđ 22 thay thế hđ 21
hđ 40 thay thế 22</t>
  </si>
  <si>
    <t>hd21(2026)</t>
  </si>
  <si>
    <t>23/01/2026</t>
  </si>
  <si>
    <t>00000041</t>
  </si>
  <si>
    <t>hđ 41 thay thế 31</t>
  </si>
  <si>
    <t>00000102</t>
  </si>
  <si>
    <t>30/03/2026</t>
  </si>
  <si>
    <t>Máy xay thực phẩm INP6701</t>
  </si>
  <si>
    <t>28/01/2026</t>
  </si>
  <si>
    <t>00000042</t>
  </si>
  <si>
    <t>hđ 42 thay thế 32</t>
  </si>
  <si>
    <t>00000036</t>
  </si>
  <si>
    <t>00000059</t>
  </si>
  <si>
    <t xml:space="preserve">cái </t>
  </si>
  <si>
    <t>INP3004</t>
  </si>
  <si>
    <t>Nồi gang tráng menINP3004</t>
  </si>
  <si>
    <t>24/02/2026</t>
  </si>
  <si>
    <t>00000076</t>
  </si>
  <si>
    <t>26/02/2026</t>
  </si>
  <si>
    <t>00000088</t>
  </si>
  <si>
    <t>26/03/2026</t>
  </si>
  <si>
    <t>00000135</t>
  </si>
  <si>
    <t>00000167</t>
  </si>
  <si>
    <t>INP3202</t>
  </si>
  <si>
    <t>Chảo gang tráng menINP3202</t>
  </si>
  <si>
    <t>27/6/2026</t>
  </si>
  <si>
    <t>00000197</t>
  </si>
  <si>
    <t>INP6407</t>
  </si>
  <si>
    <t xml:space="preserve">	Quạt để bàn mini INP6407</t>
  </si>
  <si>
    <t>INP6408</t>
  </si>
  <si>
    <t>Quạt hai đầu đa năng để bàn INP6408</t>
  </si>
  <si>
    <t>INP6409</t>
  </si>
  <si>
    <t>Quạt để bàn mini INP6409</t>
  </si>
  <si>
    <t>INP6410</t>
  </si>
  <si>
    <t>Quạt để bàn mini INP6410</t>
  </si>
  <si>
    <t>INP6411</t>
  </si>
  <si>
    <t>Quạt tích điện INP6411</t>
  </si>
  <si>
    <t>INP7901</t>
  </si>
  <si>
    <t>Vợt muỗi điện INP7901</t>
  </si>
  <si>
    <t>INP7902</t>
  </si>
  <si>
    <t>Vợt muỗi điện INP7902</t>
  </si>
  <si>
    <t>29/6/2026</t>
  </si>
  <si>
    <t>18/12/2025</t>
  </si>
  <si>
    <t>00000011</t>
  </si>
  <si>
    <t>Xuất bán Công ty TNHH Thương Mại Giang Minh Ngọc</t>
  </si>
  <si>
    <t xml:space="preserve"> Ấm đun nước 4L INP1502</t>
  </si>
  <si>
    <t>INP2101</t>
  </si>
  <si>
    <t>Chảo inox chống dính đúc nguyên khốiINP2101</t>
  </si>
  <si>
    <t xml:space="preserve">	Chảo inox chống dính đúc nguyên khốiINP2102</t>
  </si>
  <si>
    <t xml:space="preserve">	Chảo inox chống dính đúc nguyên khốiINP2103</t>
  </si>
  <si>
    <t>INP2105</t>
  </si>
  <si>
    <t xml:space="preserve">	Chảo inox chống dính đúc nguyên khốiINP2105</t>
  </si>
  <si>
    <t xml:space="preserve">	Chảo inox chống dính đúc nguyên khốiINP2106</t>
  </si>
  <si>
    <t xml:space="preserve">	Chảo inox chống dính đúc nguyên khốiINP2108</t>
  </si>
  <si>
    <t xml:space="preserve">	Chảo inox chống dính đúc nguyên khốiINP2109</t>
  </si>
  <si>
    <t xml:space="preserve">	Chảo inox chống dính đúc nguyên khốiINP2110</t>
  </si>
  <si>
    <t xml:space="preserve">	Chảo inox chống dính đúc nguyên khốiINP2111</t>
  </si>
  <si>
    <t>Nồi gang tráng menINP3001</t>
  </si>
  <si>
    <t>INP3005</t>
  </si>
  <si>
    <t>Nồi gang tráng menINP3005</t>
  </si>
  <si>
    <t>INP6601</t>
  </si>
  <si>
    <t xml:space="preserve">	
Máy sấy bát đĩa INP 6601</t>
  </si>
  <si>
    <t xml:space="preserve">	
Máy sấy bát đĩa INP 6602</t>
  </si>
  <si>
    <t>Bộ nồi  Inox INP1003</t>
  </si>
  <si>
    <t xml:space="preserve">Giảm trừ tiền giao hàng </t>
  </si>
  <si>
    <t>chưa hạch toán trên Misa năm nay</t>
  </si>
  <si>
    <t>00000019</t>
  </si>
  <si>
    <t>NTTK00016</t>
  </si>
  <si>
    <t xml:space="preserve">Thu tiền Công ty TNHH Thương Mại Giang Minh Ngọc </t>
  </si>
  <si>
    <t>00000014</t>
  </si>
  <si>
    <t>INP1001</t>
  </si>
  <si>
    <t xml:space="preserve">	
Bộ nồi inox INP1001</t>
  </si>
  <si>
    <t>INP1101</t>
  </si>
  <si>
    <t xml:space="preserve">	
Bộ nồi inox  INP1101</t>
  </si>
  <si>
    <t>INP1002</t>
  </si>
  <si>
    <t>Bộ nồi inox INP1002</t>
  </si>
  <si>
    <t xml:space="preserve">	
Bộ nồi  Inox INP1003 </t>
  </si>
  <si>
    <t>00000013</t>
  </si>
  <si>
    <t>29/1/2026</t>
  </si>
  <si>
    <t>00000057</t>
  </si>
  <si>
    <t>30/3/2026</t>
  </si>
  <si>
    <t>00000104</t>
  </si>
  <si>
    <t>NTTK00017</t>
  </si>
  <si>
    <t>13/3/2026</t>
  </si>
  <si>
    <t xml:space="preserve">
Ấm điện siêu tốc INP6202 1,7 lít màu đen</t>
  </si>
  <si>
    <t>INP6206</t>
  </si>
  <si>
    <t xml:space="preserve"> Ấm đun nước INP6206, 1.7L</t>
  </si>
  <si>
    <t>20/3/2026</t>
  </si>
  <si>
    <t>00000097</t>
  </si>
  <si>
    <t>Nồi cơm điện tử (Nồi cơm điện đa năng giảm
đường) INP6001</t>
  </si>
  <si>
    <t>Nồi cơm điện tử (Nồi cơm điện đa năng giảm
đường) INP6003</t>
  </si>
  <si>
    <t xml:space="preserve"> Bếp từ đơn INP6101( 2200W, mặt kính màu
sữa )</t>
  </si>
  <si>
    <t>INP6103</t>
  </si>
  <si>
    <t>Bếp từ đơn INP6103</t>
  </si>
  <si>
    <t xml:space="preserve">Bếp từ đơn INP 6104 (2500W) </t>
  </si>
  <si>
    <t>Ấm điện siêu tốc INP6201 1,7 lít màu ghi</t>
  </si>
  <si>
    <t xml:space="preserve"> Ấm đun nước INP6204, 1.0L</t>
  </si>
  <si>
    <t xml:space="preserve"> Ấm đun nước INP6205, 1.0L</t>
  </si>
  <si>
    <t>16/04/2026</t>
  </si>
  <si>
    <t>00000117</t>
  </si>
  <si>
    <t xml:space="preserve">	
Nồi mã INP1301</t>
  </si>
  <si>
    <t>25/04/2026</t>
  </si>
  <si>
    <t>00000127</t>
  </si>
  <si>
    <t xml:space="preserve">HĐ điều chỉnh giảm  </t>
  </si>
  <si>
    <t>00000129</t>
  </si>
  <si>
    <t xml:space="preserve">	Chảo inox chống dính đúc nguyên khốiINP2101</t>
  </si>
  <si>
    <t>Nồi cơm điện tử (Nồi cơm điện đa năng giảm
đường) INP6002</t>
  </si>
  <si>
    <t>29/5/2026</t>
  </si>
  <si>
    <t>00000164</t>
  </si>
  <si>
    <t>INP2104</t>
  </si>
  <si>
    <t xml:space="preserve">	Chảo inox chống dính đúc nguyên khốiINP2104</t>
  </si>
  <si>
    <t>00000169</t>
  </si>
  <si>
    <t>HĐ điều chỉnh giảm</t>
  </si>
  <si>
    <t>22/06/2026</t>
  </si>
  <si>
    <t>00000184</t>
  </si>
  <si>
    <t>Chảo inox chống dính đúc nguyên khối INP2104</t>
  </si>
  <si>
    <t>00000201</t>
  </si>
  <si>
    <t>Quạt điện đứng INP6403</t>
  </si>
  <si>
    <t>chưa xuất hđ</t>
  </si>
  <si>
    <t>00000217</t>
  </si>
  <si>
    <t>14/7/2026</t>
  </si>
  <si>
    <t xml:space="preserve">Không giảm trừ tiền vận chuyển </t>
  </si>
  <si>
    <t>22/7/2026</t>
  </si>
  <si>
    <t>00000230</t>
  </si>
  <si>
    <t>INP1202</t>
  </si>
  <si>
    <t>Nồi Inox INP1202</t>
  </si>
  <si>
    <t>INP1203</t>
  </si>
  <si>
    <t>Nồi Inox INP1203</t>
  </si>
  <si>
    <t>INP2002</t>
  </si>
  <si>
    <t>Bộ nồi inox INP2002</t>
  </si>
  <si>
    <t>25/7/2026</t>
  </si>
  <si>
    <t>00000233</t>
  </si>
  <si>
    <t>00000113</t>
  </si>
  <si>
    <t>13/04/2026</t>
  </si>
  <si>
    <t>Xuất bán cho CÔNG TY TNHH THƯƠNG MẠI VÀ DỊCH VỤ ĐẠI PHÁT</t>
  </si>
  <si>
    <t>Bộ nồi inox INP1001</t>
  </si>
  <si>
    <t xml:space="preserve">	
Bộ nồi inox  INP2002</t>
  </si>
  <si>
    <t xml:space="preserve">	
Bộ nồi inox INP2003</t>
  </si>
  <si>
    <t>Chảo inox đúc nguyên khối (không chống dính)INP2105</t>
  </si>
  <si>
    <t xml:space="preserve">	
Chảo inox đúc nguyên khối (không chống dính)INP2110</t>
  </si>
  <si>
    <t>INP2301</t>
  </si>
  <si>
    <t xml:space="preserve">	
Chảo rán INP2301</t>
  </si>
  <si>
    <t>Máy sấy bát đĩa INP 6601</t>
  </si>
  <si>
    <t>bộ</t>
  </si>
  <si>
    <t>Máy sấy bát đĩa INP 6602</t>
  </si>
  <si>
    <t>INP1201</t>
  </si>
  <si>
    <t>Nồi Inox INP1201</t>
  </si>
  <si>
    <t>Tiền vận chuyển</t>
  </si>
  <si>
    <t>15/04/2026</t>
  </si>
  <si>
    <t>00000121</t>
  </si>
  <si>
    <t>17/04/2026</t>
  </si>
  <si>
    <t>00000122</t>
  </si>
  <si>
    <t>mua mẫu</t>
  </si>
  <si>
    <t>20/05/2026</t>
  </si>
  <si>
    <t>00000149</t>
  </si>
  <si>
    <t>Điều chỉnh giảm hàng hoá</t>
  </si>
  <si>
    <t>00000152</t>
  </si>
  <si>
    <t>22/05/2026</t>
  </si>
  <si>
    <t>16/06/2026</t>
  </si>
  <si>
    <t>Thu tiền CÔNG TY TNHH THƯƠNG MẠI VÀ DỊCH VỤ ĐẠI PHÁT</t>
  </si>
  <si>
    <t>00000193</t>
  </si>
  <si>
    <t>26/06/2026</t>
  </si>
  <si>
    <t xml:space="preserve"> Bộ nồi inox INP1101</t>
  </si>
  <si>
    <t>Chảo rán INP2301</t>
  </si>
  <si>
    <t>21/07/2026</t>
  </si>
  <si>
    <t xml:space="preserve">INP2104 </t>
  </si>
  <si>
    <t xml:space="preserve">Chảo inox chống dính đúc nguyên khối
INP2104 </t>
  </si>
  <si>
    <t>INP2107</t>
  </si>
  <si>
    <t>Chảo inox đúc nguyên khối (không chống dính)INP2107</t>
  </si>
  <si>
    <t xml:space="preserve"> INP1301 </t>
  </si>
  <si>
    <t xml:space="preserve">Nồi mã INP1301 </t>
  </si>
  <si>
    <t>13/1/2026</t>
  </si>
  <si>
    <t>00000017</t>
  </si>
  <si>
    <t>Xuất bán Công ty TNHH Phát Triển Sản Xuất Thương Mại Dịch Vụ Rồng Việt</t>
  </si>
  <si>
    <t xml:space="preserve">	
INP1003</t>
  </si>
  <si>
    <t xml:space="preserve">	
INP3201</t>
  </si>
  <si>
    <t>23/04/2026</t>
  </si>
  <si>
    <t>00000126</t>
  </si>
  <si>
    <t>Máy xay thực phẩm INP 6701</t>
  </si>
  <si>
    <t>00000094</t>
  </si>
  <si>
    <t xml:space="preserve">Bếp từ đơn INP 6102 (2500W), 2 quạt tán </t>
  </si>
  <si>
    <t>16/1/2026</t>
  </si>
  <si>
    <t>NTTK00004</t>
  </si>
  <si>
    <t>Thu tiền Công ty TNHH Phát Triển Sản Xuất Thương Mại Dịch Vụ Rồng Việt</t>
  </si>
  <si>
    <t>21/1/2026</t>
  </si>
  <si>
    <t>00000087</t>
  </si>
  <si>
    <t xml:space="preserve">Bộ nồi  Inox INP1003 </t>
  </si>
  <si>
    <t>22/1/2026</t>
  </si>
  <si>
    <t>NTTK00005</t>
  </si>
  <si>
    <t>Chảo inox chống dính đúc nguyên
khốiINP2101</t>
  </si>
  <si>
    <t>Chảo inox chống dính đúc nguyên
khốiINP2102</t>
  </si>
  <si>
    <t>Chảo inox chống dính đúc nguyên
khốiINP2103</t>
  </si>
  <si>
    <t xml:space="preserve">
INP6701</t>
  </si>
  <si>
    <t>28/4/2026</t>
  </si>
  <si>
    <t>00000133</t>
  </si>
  <si>
    <t xml:space="preserve">Ấm điện siêu tốc INP6201 1,7 lít màu ghi   </t>
  </si>
  <si>
    <t xml:space="preserve">Ấm điện siêu tốc INP6202 1,7 lít màu ghi   </t>
  </si>
  <si>
    <t>27/5/2026</t>
  </si>
  <si>
    <t>00000161</t>
  </si>
  <si>
    <t>Chảo inox chống dính đúc nguyên
khốiINP2104</t>
  </si>
  <si>
    <t>19/05/2026</t>
  </si>
  <si>
    <t>chưa xuất HĐ</t>
  </si>
  <si>
    <t>23/6/2026</t>
  </si>
  <si>
    <t xml:space="preserve">	00000189</t>
  </si>
  <si>
    <t xml:space="preserve">	
Nồi áp suất 6L INP1402</t>
  </si>
  <si>
    <t>00000046</t>
  </si>
  <si>
    <t>Xuất bán Công ty TNHH Đồ Gia Dụng Minh Trí</t>
  </si>
  <si>
    <t xml:space="preserve">	
INP1001</t>
  </si>
  <si>
    <t xml:space="preserve">	
INP1301</t>
  </si>
  <si>
    <t xml:space="preserve"> Chảo inox chống dính đúc nguyên khốiINP2103</t>
  </si>
  <si>
    <t>'00000060</t>
  </si>
  <si>
    <t>00000060</t>
  </si>
  <si>
    <t>26/2/2026</t>
  </si>
  <si>
    <t>00000079</t>
  </si>
  <si>
    <t>00000091</t>
  </si>
  <si>
    <t>Thu tiền Công ty TNHH Đồ Gia Dụng Minh Trí</t>
  </si>
  <si>
    <t>24/2/2026</t>
  </si>
  <si>
    <t>00000075</t>
  </si>
  <si>
    <t>27/2/2026</t>
  </si>
  <si>
    <t>Tiền lì xì, vận chuyển</t>
  </si>
  <si>
    <t>00000159</t>
  </si>
  <si>
    <t>INP2001</t>
  </si>
  <si>
    <t>Bộ nồi inox đúc nguyên khối INP2001</t>
  </si>
  <si>
    <t>Chảo inox chống dính đúc nguyên khốiINP2104</t>
  </si>
  <si>
    <t>00000208</t>
  </si>
  <si>
    <t>24/7/2026</t>
  </si>
  <si>
    <t>00000232</t>
  </si>
  <si>
    <t>Chảo inox đúc nguyên khối (không chống dính) INP2107</t>
  </si>
  <si>
    <t>Chảo inox đúc nguyên khối (không chống dính) INP2104</t>
  </si>
  <si>
    <t>Chảo inox đúc nguyên khối (không chống dính) INP2106</t>
  </si>
  <si>
    <t>23/7/2026</t>
  </si>
  <si>
    <t>npp thanh toán cước 122 thùng hàng về ngày 11/1</t>
  </si>
  <si>
    <t>00000015</t>
  </si>
  <si>
    <t>xuất bán cho CÔNG TY TNHH THƯƠNG MẠI 319 ĐÔNG ANH</t>
  </si>
  <si>
    <t>Bộ nồi inox size 18cm, 20cm, 24cm, quánh 16cm</t>
  </si>
  <si>
    <t>Bộ nồi inox INP1101</t>
  </si>
  <si>
    <t>15/01/2026</t>
  </si>
  <si>
    <t>Bộ nồi inox đúc nguyên khối INP2003</t>
  </si>
  <si>
    <t>00000026</t>
  </si>
  <si>
    <t>00000048</t>
  </si>
  <si>
    <t>Nồi cơm điện tử ( nồi cơm điện đa năng giảm đường)INP6001</t>
  </si>
  <si>
    <t>Nồi cơm điện tử ( nồi cơm điện đa năng giảm đường)INP6003</t>
  </si>
  <si>
    <t>Bếp từ đơn INP6101 (2200W,mặt kính màu sữa</t>
  </si>
  <si>
    <t>Bếp thừ đơn INP6102 (2500W), 2 quạt tản</t>
  </si>
  <si>
    <t>Bếp từ đơn INP6104</t>
  </si>
  <si>
    <t>00000078</t>
  </si>
  <si>
    <t>Ấm điện siêu tốc INP6201 1,7 Lít màu ghi</t>
  </si>
  <si>
    <t>Ấm điện siêu tốc INP6201 1,7 Lít màu đen</t>
  </si>
  <si>
    <t xml:space="preserve">Ấm đun nước INP6203 1,7 lít </t>
  </si>
  <si>
    <t xml:space="preserve">Ấm đun nước INP6204 1,0 lít </t>
  </si>
  <si>
    <t xml:space="preserve">Ấm đun nước INP6205 1,0 lít </t>
  </si>
  <si>
    <t xml:space="preserve">Ấm đun nước INP6206 1,7 lít </t>
  </si>
  <si>
    <t>INP6501</t>
  </si>
  <si>
    <t>Máy làm tỏi đen đa năng INP6501</t>
  </si>
  <si>
    <t>00000116</t>
  </si>
  <si>
    <t>đã điều chỉnh giảm HĐ 48 do chưa kiểm định nên khi kiểm định xong thì xuất HĐ</t>
  </si>
  <si>
    <t xml:space="preserve"> Nồi mã INP1301</t>
  </si>
  <si>
    <t>00000018</t>
  </si>
  <si>
    <t>NPP thanh toán cước 10 thùng áp suất</t>
  </si>
  <si>
    <t>30/01/2026</t>
  </si>
  <si>
    <t>00000068</t>
  </si>
  <si>
    <t>Nồi cơm điện tử 
(Nồi cơm điện đa năng giảm đường) INP6001</t>
  </si>
  <si>
    <t>00000101</t>
  </si>
  <si>
    <t>NPP thanh toán cước 28T hàng</t>
  </si>
  <si>
    <t>00000062</t>
  </si>
  <si>
    <t>Điều chỉnh HĐ 48</t>
  </si>
  <si>
    <t>NPP thanh toán tiền Hàng</t>
  </si>
  <si>
    <t>00000074</t>
  </si>
  <si>
    <t>NPP thanh toán cước xe</t>
  </si>
  <si>
    <t>16/03/2026</t>
  </si>
  <si>
    <t>NPP thanh toán cước 9T hàng</t>
  </si>
  <si>
    <t>18/6/2026</t>
  </si>
  <si>
    <t>20/6/2026</t>
  </si>
  <si>
    <t>29/06/2026</t>
  </si>
  <si>
    <t>00000213</t>
  </si>
  <si>
    <t xml:space="preserve">	
Quạt để bàn mini INP6409</t>
  </si>
  <si>
    <t xml:space="preserve">	
Quạt để bàn mini INP6410</t>
  </si>
  <si>
    <t>30/6/2026</t>
  </si>
  <si>
    <t>nồi</t>
  </si>
  <si>
    <t>14/1/2026</t>
  </si>
  <si>
    <t>00000024</t>
  </si>
  <si>
    <t>Xuất bán Công ty TNHH Nhân Vượng</t>
  </si>
  <si>
    <t xml:space="preserve">	
INP2301</t>
  </si>
  <si>
    <t>00000153</t>
  </si>
  <si>
    <t>25/05/2026</t>
  </si>
  <si>
    <t>26/1/2026</t>
  </si>
  <si>
    <t>NTTK00009</t>
  </si>
  <si>
    <t>Thu tiền Công ty TNHH Nhân Vượng</t>
  </si>
  <si>
    <t>27/1/2026</t>
  </si>
  <si>
    <t>00000086</t>
  </si>
  <si>
    <t>INP6802</t>
  </si>
  <si>
    <t>Thùng đựng gạo inoxpran INP6802</t>
  </si>
  <si>
    <t>đã trả hàng</t>
  </si>
  <si>
    <t>NTTK00035</t>
  </si>
  <si>
    <t>Bộ nồi inox INP1003</t>
  </si>
  <si>
    <t>16/3/2026</t>
  </si>
  <si>
    <t>28/04/2026</t>
  </si>
  <si>
    <t>000000141</t>
  </si>
  <si>
    <t xml:space="preserve">Hàng bán trả lại </t>
  </si>
  <si>
    <t>00000150</t>
  </si>
  <si>
    <t>21/05/2026</t>
  </si>
  <si>
    <t>Bộ nồi inox  INP2002</t>
  </si>
  <si>
    <t xml:space="preserve"> INP1301</t>
  </si>
  <si>
    <t>订单折扣1.5%(199120000)</t>
    <phoneticPr fontId="5" type="noConversion"/>
  </si>
  <si>
    <t>Quạt để bàn mini INP6407</t>
  </si>
  <si>
    <t>18/7/2026</t>
  </si>
  <si>
    <t>20/7/2026</t>
  </si>
  <si>
    <t>00000106</t>
  </si>
  <si>
    <t>Xuất bán cho Vương Tuyết Mai</t>
  </si>
  <si>
    <t>Thùng</t>
  </si>
  <si>
    <t>INP1403</t>
  </si>
  <si>
    <t>Nồi áp suất INP1403</t>
  </si>
  <si>
    <t>NPP thanh toán cước xe(1% đơn 30/03/2026)</t>
  </si>
  <si>
    <t>NPP thanh toán tiền hàng</t>
  </si>
  <si>
    <t>00000203</t>
  </si>
  <si>
    <t>25/06/2026</t>
  </si>
  <si>
    <t>00000242</t>
  </si>
  <si>
    <t>25/07/2026</t>
  </si>
  <si>
    <t>xuất bán cho CÔNG TY CỔ PHẦN GIA DỤNG CHÂU ÂU EUROHI</t>
  </si>
  <si>
    <t>13/07/2026</t>
  </si>
  <si>
    <t>00000215</t>
  </si>
  <si>
    <t>15/07/2026</t>
  </si>
  <si>
    <t>00000240</t>
  </si>
  <si>
    <t>20/07/2026</t>
  </si>
  <si>
    <t>15/06/2026</t>
  </si>
  <si>
    <t>chưa xuất hd</t>
  </si>
  <si>
    <t>Xuất mẫu cho CÔNG TY TNHH MARSERRI VIỆT NAM</t>
  </si>
  <si>
    <t xml:space="preserve">hàng mẫu </t>
  </si>
  <si>
    <t>00000178</t>
  </si>
  <si>
    <t>Xuất bán cho CÔNG TY TNHH MARSERRI VIỆT NAM</t>
  </si>
  <si>
    <t>17/06/2026</t>
  </si>
  <si>
    <t xml:space="preserve">Cái </t>
  </si>
  <si>
    <t>19/06/2026</t>
  </si>
  <si>
    <t>00000185</t>
  </si>
  <si>
    <t>00000192</t>
  </si>
  <si>
    <t>00000212</t>
  </si>
  <si>
    <t>13/7/2026</t>
  </si>
  <si>
    <t>00000225</t>
  </si>
  <si>
    <t>00000224</t>
  </si>
  <si>
    <t>00000028</t>
  </si>
  <si>
    <t>xuất bán cho  CÔNG TY TNHH THƯƠNG MẠI THIẾT BỊ ĐIỆN CÔNG NGHIỆP VĨNH PHÚC</t>
  </si>
  <si>
    <t>00000085</t>
  </si>
  <si>
    <t>27/02/2026</t>
  </si>
  <si>
    <t>00000090</t>
  </si>
  <si>
    <t>00000083</t>
  </si>
  <si>
    <t>00000103</t>
  </si>
  <si>
    <t>00000034</t>
  </si>
  <si>
    <t>00000064</t>
  </si>
  <si>
    <t>00000084</t>
  </si>
  <si>
    <t>Ấm đun nước INP6206, 1.7L</t>
  </si>
  <si>
    <t>28/02/2026</t>
  </si>
  <si>
    <t>18/06/2026</t>
  </si>
  <si>
    <t xml:space="preserve">	00000179</t>
  </si>
  <si>
    <t>00000179</t>
  </si>
  <si>
    <t>22/6/2026</t>
  </si>
  <si>
    <t>28/07/2026</t>
  </si>
  <si>
    <t>00000023</t>
  </si>
  <si>
    <t>Xuất bán Công ty TNHH Tổng hợp Bằng Ánh</t>
  </si>
  <si>
    <t xml:space="preserve">	Bộ nồi inox  INP1101</t>
  </si>
  <si>
    <t>NTTK00001</t>
  </si>
  <si>
    <t>Thu tiền Công ty TNHH Tổng hợp Bằng Ánh</t>
  </si>
  <si>
    <t>00000082</t>
  </si>
  <si>
    <t>24/01/2026</t>
  </si>
  <si>
    <t>00000136</t>
  </si>
  <si>
    <t>00000092</t>
  </si>
  <si>
    <t>Bếp từ đơn INP6104 ( 2500W )</t>
  </si>
  <si>
    <t>00000073</t>
  </si>
  <si>
    <t>Bộ nồi Inox INP1003</t>
  </si>
  <si>
    <t>00000043</t>
  </si>
  <si>
    <t xml:space="preserve">	
Nồi Inox INP1203</t>
  </si>
  <si>
    <t xml:space="preserve">	
Chảo inox đúc nguyên khối (không chống dính)INP2111</t>
  </si>
  <si>
    <t xml:space="preserve">	
Nồi luộc gà inox đúc nguyên khốiINP2202</t>
  </si>
  <si>
    <t>00000061</t>
  </si>
  <si>
    <t xml:space="preserve">INP1003 </t>
  </si>
  <si>
    <t xml:space="preserve">	
Chảo inox đúc nguyên khối (không chống dính)INP2105</t>
  </si>
  <si>
    <t>NTTK00018</t>
  </si>
  <si>
    <t>25/3/2026</t>
  </si>
  <si>
    <t>00000099</t>
  </si>
  <si>
    <t xml:space="preserve">	
Ấm điện siêu tốc INP6202 1,7 lít màu đen</t>
  </si>
  <si>
    <t>13/4/2026</t>
  </si>
  <si>
    <t>16/4/2026</t>
  </si>
  <si>
    <t>00000118</t>
  </si>
  <si>
    <t>Điều chỉnh giảm</t>
  </si>
  <si>
    <t>00000119</t>
  </si>
  <si>
    <t>00000120</t>
  </si>
  <si>
    <t>00000139</t>
  </si>
  <si>
    <t>23/5/2026</t>
  </si>
  <si>
    <t>00000173</t>
  </si>
  <si>
    <t>Bộ nồi inox INP2001</t>
  </si>
  <si>
    <t>00000202</t>
  </si>
  <si>
    <t>26/6/2026</t>
  </si>
  <si>
    <t>17/7/2026</t>
  </si>
  <si>
    <t>00000219</t>
  </si>
  <si>
    <t xml:space="preserve">	Nồi gang tráng menINP3001</t>
  </si>
  <si>
    <t xml:space="preserve">	Nồi gang tráng menINP3002</t>
  </si>
  <si>
    <t xml:space="preserve">	Nồi gang tráng menINP3003</t>
  </si>
  <si>
    <t xml:space="preserve">	Chảo gang tráng menINP3201</t>
  </si>
  <si>
    <t>00000025</t>
  </si>
  <si>
    <t>Xuất bán cho CÔNG TY TNHH THƯƠNG MẠI VÀ DỊCH VỤ THẢO NGUYÊN HD</t>
  </si>
  <si>
    <t>00000063</t>
  </si>
  <si>
    <t>Nồi cơm điện tử (Nồi cơm điện đa năng
giảm đường) INP6001</t>
  </si>
  <si>
    <t>Nồi cơm điện tử (Nồi cơm điện đa năng
giảm đường) INP6003</t>
  </si>
  <si>
    <t>23/03/2026</t>
  </si>
  <si>
    <t>00000098</t>
  </si>
  <si>
    <t>Bếp từ đơn INP6101( 2200W, mặt kính màu
sữa )</t>
  </si>
  <si>
    <t>điều chỉnh từ hđ 24</t>
  </si>
  <si>
    <t xml:space="preserve"> INP6201</t>
  </si>
  <si>
    <t xml:space="preserve"> Ấm điện siêu tốc INP6202 1,7 lít màu đen</t>
  </si>
  <si>
    <t>NTTK00012</t>
  </si>
  <si>
    <t>Thu tiền CÔNG TY TNHH THƯƠNG MẠI VÀ DỊCH VỤ THẢO NGUYÊN HD</t>
  </si>
  <si>
    <t>00000047</t>
  </si>
  <si>
    <t>15/02/2026</t>
  </si>
  <si>
    <t>15/2/2026</t>
  </si>
  <si>
    <t xml:space="preserve">Điều chỉnh giảm </t>
  </si>
  <si>
    <t>00000137</t>
  </si>
  <si>
    <t>00000160</t>
  </si>
  <si>
    <t>00000166</t>
  </si>
  <si>
    <t>00000174</t>
  </si>
  <si>
    <t>15/7/2026</t>
  </si>
  <si>
    <t>00000216</t>
  </si>
  <si>
    <t>29/01/2026</t>
  </si>
  <si>
    <t>00000035</t>
  </si>
  <si>
    <t>xuất bán cho CÔNG TY TNHH THƯƠNG MẠI CẢNH CƯỜNG</t>
  </si>
  <si>
    <t>NP1002</t>
  </si>
  <si>
    <t>thùng</t>
  </si>
  <si>
    <t>00000067</t>
  </si>
  <si>
    <t>00000080</t>
  </si>
  <si>
    <t>00000172</t>
  </si>
  <si>
    <t>00000071</t>
  </si>
  <si>
    <t>Điều chỉnh giảm hàng hoá HĐ 35</t>
  </si>
  <si>
    <t xml:space="preserve">	Bộ nồi inox INP2002</t>
  </si>
  <si>
    <t>20/06/2026</t>
  </si>
  <si>
    <t xml:space="preserve">INP6402 </t>
  </si>
  <si>
    <t>Quạt điện đứng INP6402</t>
  </si>
  <si>
    <t>00000195</t>
  </si>
  <si>
    <t xml:space="preserve"> CÔNG TY TNHH THƯƠNG MẠI CẢNH CƯỜNG thanh toán tiền hàng</t>
  </si>
  <si>
    <t>01/07/2026</t>
  </si>
  <si>
    <t>00000204</t>
  </si>
  <si>
    <t>00000207</t>
  </si>
  <si>
    <t xml:space="preserve">Bếp từ đơn INP6103 </t>
  </si>
  <si>
    <t>00000210</t>
  </si>
  <si>
    <t>00000211</t>
  </si>
  <si>
    <t>Điều chỉnh giảm hàng hoá HĐ 172</t>
  </si>
  <si>
    <t>31/12/2025</t>
  </si>
  <si>
    <t>00000031</t>
  </si>
  <si>
    <t>xuất bán cho CÔNG TY TNHH THƯƠNG MẠI VÀ DỊCH VỤ ĐỨC ĐÀN</t>
  </si>
  <si>
    <t>Nôì cơm điện tử ( nồi cơm điện đa năng giảm đường )
INP6001</t>
  </si>
  <si>
    <t>Nôì cơm điện tử ( nồi cơm điện đa năng giảm đường )
INP6003</t>
  </si>
  <si>
    <t>Bếp từ đơn INP6101 (2200W,Mặt kính màu sữa)</t>
  </si>
  <si>
    <t>Bếp từ đơn INP6102( 2500W) hai quạt tản</t>
  </si>
  <si>
    <t>Ấm đun nước INP6206 , 1,7 lít</t>
  </si>
  <si>
    <t>22/01/2026</t>
  </si>
  <si>
    <t>00000030</t>
  </si>
  <si>
    <t>xuất bán cho CÔNG TY TNHH LỘC HƯNG THÁI</t>
  </si>
  <si>
    <t>20/03/2026</t>
  </si>
  <si>
    <t>00000100</t>
  </si>
  <si>
    <t>27/03/2026</t>
  </si>
  <si>
    <r>
      <t>diễn giải</t>
    </r>
    <r>
      <rPr>
        <b/>
        <sz val="12"/>
        <rFont val="微软雅黑"/>
        <family val="1"/>
        <charset val="134"/>
      </rPr>
      <t>(中文)</t>
    </r>
    <phoneticPr fontId="1" type="noConversion"/>
  </si>
  <si>
    <r>
      <t>CÔNG TY TNHH GIA BẢO HP</t>
    </r>
    <r>
      <rPr>
        <b/>
        <sz val="10"/>
        <rFont val="等线"/>
        <family val="2"/>
        <charset val="134"/>
      </rPr>
      <t>（嘉宝</t>
    </r>
    <r>
      <rPr>
        <b/>
        <sz val="10"/>
        <rFont val="Arial"/>
        <family val="2"/>
      </rPr>
      <t xml:space="preserve"> HP </t>
    </r>
    <r>
      <rPr>
        <b/>
        <sz val="10"/>
        <rFont val="等线"/>
        <family val="2"/>
        <charset val="134"/>
      </rPr>
      <t>有限公司</t>
    </r>
    <phoneticPr fontId="2" type="noConversion"/>
  </si>
  <si>
    <r>
      <t>CÔNG TY TNHH XUẤT NHẬP KHẨU HOÀNG TÂN</t>
    </r>
    <r>
      <rPr>
        <b/>
        <sz val="10"/>
        <rFont val="等线"/>
        <family val="2"/>
        <charset val="134"/>
      </rPr>
      <t>（黄新进出口有限责任公司</t>
    </r>
    <phoneticPr fontId="2" type="noConversion"/>
  </si>
  <si>
    <r>
      <t>CÔNG TY TNHH THƯƠNG MẠI GIANG MINH NGỌC</t>
    </r>
    <r>
      <rPr>
        <b/>
        <sz val="10"/>
        <rFont val="等线"/>
        <family val="2"/>
        <charset val="134"/>
      </rPr>
      <t>（江明玉贸易有限公司</t>
    </r>
    <phoneticPr fontId="2" type="noConversion"/>
  </si>
  <si>
    <r>
      <rPr>
        <sz val="11"/>
        <rFont val="Times New Roman"/>
        <family val="1"/>
      </rPr>
      <t>00000096</t>
    </r>
  </si>
  <si>
    <r>
      <t>CÔNG TY TNHH THƯƠNG MẠI VÀ DỊCH VỤ ĐẠI PHÁT</t>
    </r>
    <r>
      <rPr>
        <b/>
        <sz val="10"/>
        <rFont val="等线"/>
        <family val="2"/>
        <charset val="134"/>
      </rPr>
      <t>（</t>
    </r>
    <r>
      <rPr>
        <b/>
        <sz val="10"/>
        <rFont val="Arial"/>
        <family val="2"/>
      </rPr>
      <t xml:space="preserve"> </t>
    </r>
    <r>
      <rPr>
        <b/>
        <sz val="10"/>
        <rFont val="等线"/>
        <family val="2"/>
        <charset val="134"/>
      </rPr>
      <t>大发贸易与服务有限责任公司</t>
    </r>
    <phoneticPr fontId="2" type="noConversion"/>
  </si>
  <si>
    <r>
      <t>CÔNG TY TNHH PHÁT TRIỂN SẢN XUẤT THƯƠNG MẠI DỊCH VỤ RỒNG VIỆT</t>
    </r>
    <r>
      <rPr>
        <b/>
        <sz val="10"/>
        <rFont val="等线"/>
        <family val="2"/>
        <charset val="134"/>
      </rPr>
      <t>（</t>
    </r>
    <r>
      <rPr>
        <b/>
        <sz val="10"/>
        <rFont val="Arial"/>
        <family val="2"/>
      </rPr>
      <t xml:space="preserve"> </t>
    </r>
    <r>
      <rPr>
        <b/>
        <sz val="10"/>
        <rFont val="等线"/>
        <family val="2"/>
        <charset val="134"/>
      </rPr>
      <t>龙越生产贸易服务发展有限责任公司</t>
    </r>
    <phoneticPr fontId="2" type="noConversion"/>
  </si>
  <si>
    <r>
      <rPr>
        <sz val="11"/>
        <rFont val="宋体"/>
        <family val="1"/>
        <charset val="134"/>
      </rPr>
      <t>给客户3</t>
    </r>
    <r>
      <rPr>
        <sz val="11"/>
        <rFont val="Times New Roman"/>
        <family val="1"/>
      </rPr>
      <t>%</t>
    </r>
    <r>
      <rPr>
        <sz val="11"/>
        <rFont val="宋体"/>
        <family val="1"/>
        <charset val="134"/>
      </rPr>
      <t>折扣（500031455.28）</t>
    </r>
    <phoneticPr fontId="5" type="noConversion"/>
  </si>
  <si>
    <r>
      <t>CÔNG TY TNHH ĐỒ GIA DỤNG MINH TRÍ</t>
    </r>
    <r>
      <rPr>
        <b/>
        <sz val="10"/>
        <rFont val="等线"/>
        <family val="2"/>
        <charset val="134"/>
      </rPr>
      <t>（明智家居用品有限公司</t>
    </r>
    <phoneticPr fontId="2" type="noConversion"/>
  </si>
  <si>
    <r>
      <t>CÔNG TY TNHH THƯƠNG MẠI 319 ĐÔNG ANH</t>
    </r>
    <r>
      <rPr>
        <b/>
        <sz val="10"/>
        <rFont val="等线"/>
        <family val="2"/>
        <charset val="134"/>
      </rPr>
      <t>（东英</t>
    </r>
    <r>
      <rPr>
        <b/>
        <sz val="10"/>
        <rFont val="Arial"/>
        <family val="2"/>
      </rPr>
      <t xml:space="preserve"> 319 </t>
    </r>
    <r>
      <rPr>
        <b/>
        <sz val="10"/>
        <rFont val="等线"/>
        <family val="2"/>
        <charset val="134"/>
      </rPr>
      <t>贸易有限公司</t>
    </r>
    <phoneticPr fontId="2" type="noConversion"/>
  </si>
  <si>
    <r>
      <t>CÔNG TY TNHH NHÂN VƯỢNG</t>
    </r>
    <r>
      <rPr>
        <b/>
        <sz val="10"/>
        <rFont val="等线"/>
        <family val="2"/>
        <charset val="134"/>
      </rPr>
      <t>（仁旺有限责任公司</t>
    </r>
    <phoneticPr fontId="2" type="noConversion"/>
  </si>
  <si>
    <r>
      <t>Vương Tuyết Mai</t>
    </r>
    <r>
      <rPr>
        <b/>
        <sz val="10"/>
        <rFont val="等线"/>
        <family val="2"/>
        <charset val="134"/>
      </rPr>
      <t>（王雪梅</t>
    </r>
    <phoneticPr fontId="2" type="noConversion"/>
  </si>
  <si>
    <r>
      <t>CÔNG TY CỔ PHẦN GIA DỤNG CHÂU ÂU EUROHI</t>
    </r>
    <r>
      <rPr>
        <b/>
        <sz val="10"/>
        <rFont val="等线"/>
        <family val="2"/>
        <charset val="134"/>
      </rPr>
      <t>（</t>
    </r>
    <r>
      <rPr>
        <b/>
        <sz val="10"/>
        <rFont val="Arial"/>
        <family val="2"/>
      </rPr>
      <t xml:space="preserve">EUROHI </t>
    </r>
    <r>
      <rPr>
        <b/>
        <sz val="10"/>
        <rFont val="等线"/>
        <family val="2"/>
        <charset val="134"/>
      </rPr>
      <t>欧洲家居股份有限公司</t>
    </r>
    <phoneticPr fontId="2" type="noConversion"/>
  </si>
  <si>
    <r>
      <t>CÔNG TY TNHH MARSERRI VIỆT NAM</t>
    </r>
    <r>
      <rPr>
        <b/>
        <sz val="10"/>
        <rFont val="等线"/>
        <family val="2"/>
        <charset val="134"/>
      </rPr>
      <t>（</t>
    </r>
    <r>
      <rPr>
        <b/>
        <sz val="10"/>
        <rFont val="Arial"/>
        <family val="2"/>
      </rPr>
      <t xml:space="preserve">MARSERRI </t>
    </r>
    <r>
      <rPr>
        <b/>
        <sz val="10"/>
        <rFont val="等线"/>
        <family val="2"/>
        <charset val="134"/>
      </rPr>
      <t>越南有限公司</t>
    </r>
    <phoneticPr fontId="2" type="noConversion"/>
  </si>
  <si>
    <r>
      <t>CÔNG TY TNHH THƯƠNG MẠI THIẾT BỊ ĐIỆN CÔNG NGHIỆP VĨNH PHÚC</t>
    </r>
    <r>
      <rPr>
        <b/>
        <sz val="10"/>
        <rFont val="等线"/>
        <family val="2"/>
        <charset val="134"/>
      </rPr>
      <t>（永福工业电气设备贸易有限责任公司</t>
    </r>
    <phoneticPr fontId="2" type="noConversion"/>
  </si>
  <si>
    <r>
      <t>CÔNG TY TNHH  THƯƠNG MẠI TỔNG HỢP BẰNG ÁNH</t>
    </r>
    <r>
      <rPr>
        <b/>
        <sz val="10"/>
        <rFont val="等线"/>
        <family val="2"/>
        <charset val="134"/>
      </rPr>
      <t>（凭映综合贸易有限责任公司</t>
    </r>
    <phoneticPr fontId="2" type="noConversion"/>
  </si>
  <si>
    <r>
      <t>CÔNG TY TNHH THƯƠNG MẠI VÀ DỊCH VỤ THẢO NGUYÊN HD</t>
    </r>
    <r>
      <rPr>
        <b/>
        <sz val="10"/>
        <rFont val="等线"/>
        <family val="2"/>
        <charset val="134"/>
      </rPr>
      <t>（草原</t>
    </r>
    <r>
      <rPr>
        <b/>
        <sz val="10"/>
        <rFont val="Arial"/>
        <family val="2"/>
      </rPr>
      <t>HD</t>
    </r>
    <r>
      <rPr>
        <b/>
        <sz val="10"/>
        <rFont val="等线"/>
        <family val="2"/>
        <charset val="134"/>
      </rPr>
      <t>贸易与服务有限责任公司</t>
    </r>
    <phoneticPr fontId="2" type="noConversion"/>
  </si>
  <si>
    <r>
      <rPr>
        <sz val="10"/>
        <rFont val="Arial"/>
        <family val="2"/>
      </rPr>
      <t>2025</t>
    </r>
    <r>
      <rPr>
        <sz val="10"/>
        <rFont val="宋体"/>
        <family val="2"/>
        <charset val="134"/>
      </rPr>
      <t>年出货的产品给客人</t>
    </r>
    <r>
      <rPr>
        <sz val="10"/>
        <rFont val="Arial"/>
        <family val="2"/>
      </rPr>
      <t>2%</t>
    </r>
    <r>
      <rPr>
        <sz val="10"/>
        <rFont val="宋体"/>
        <family val="2"/>
        <charset val="134"/>
      </rPr>
      <t>的折扣</t>
    </r>
    <r>
      <rPr>
        <sz val="10"/>
        <rFont val="Arial"/>
        <family val="2"/>
        <charset val="134"/>
      </rPr>
      <t>(62855989.2)</t>
    </r>
    <phoneticPr fontId="1" type="noConversion"/>
  </si>
  <si>
    <r>
      <t>CÔNG TY TNHH THƯƠNG MẠI CẢNH CƯỜNG</t>
    </r>
    <r>
      <rPr>
        <b/>
        <sz val="10"/>
        <rFont val="等线"/>
        <family val="2"/>
        <charset val="134"/>
      </rPr>
      <t>（景强贸易有限公司</t>
    </r>
    <phoneticPr fontId="2" type="noConversion"/>
  </si>
  <si>
    <r>
      <t>CÔNG TY TNHH THƯƠNG MẠI VÀ DỊCH VỤ ĐỨC ĐÀN</t>
    </r>
    <r>
      <rPr>
        <b/>
        <sz val="10"/>
        <rFont val="等线"/>
        <family val="2"/>
        <charset val="134"/>
      </rPr>
      <t>（德檀贸易服务有限公司</t>
    </r>
    <phoneticPr fontId="2" type="noConversion"/>
  </si>
  <si>
    <r>
      <t>CÔNG TY TNHH LỘC HƯNG THÁI</t>
    </r>
    <r>
      <rPr>
        <b/>
        <sz val="10"/>
        <rFont val="等线"/>
        <family val="2"/>
        <charset val="134"/>
      </rPr>
      <t>（禄兴泰有限公司</t>
    </r>
    <phoneticPr fontId="2" type="noConversion"/>
  </si>
  <si>
    <r>
      <t xml:space="preserve">Đã  thanh toán
</t>
    </r>
    <r>
      <rPr>
        <b/>
        <sz val="12"/>
        <rFont val="宋体"/>
        <family val="1"/>
        <charset val="134"/>
      </rPr>
      <t>（收款）</t>
    </r>
    <r>
      <rPr>
        <b/>
        <sz val="12"/>
        <rFont val="Times New Roman"/>
        <family val="1"/>
      </rPr>
      <t xml:space="preserve"> </t>
    </r>
    <phoneticPr fontId="1" type="noConversion"/>
  </si>
  <si>
    <t>运费</t>
    <phoneticPr fontId="1" type="noConversion"/>
  </si>
  <si>
    <r>
      <t xml:space="preserve">thành tiền
</t>
    </r>
    <r>
      <rPr>
        <b/>
        <sz val="12"/>
        <rFont val="宋体"/>
        <family val="1"/>
        <charset val="134"/>
      </rPr>
      <t>（出货）</t>
    </r>
    <phoneticPr fontId="1" type="noConversion"/>
  </si>
  <si>
    <t>折扣</t>
    <phoneticPr fontId="1" type="noConversion"/>
  </si>
  <si>
    <t>小计</t>
    <phoneticPr fontId="1" type="noConversion"/>
  </si>
  <si>
    <t>红包和运费</t>
    <phoneticPr fontId="1" type="noConversion"/>
  </si>
  <si>
    <t>货款</t>
    <phoneticPr fontId="1" type="noConversion"/>
  </si>
  <si>
    <r>
      <t xml:space="preserve">Thu tiền của Khách hàng </t>
    </r>
    <r>
      <rPr>
        <b/>
        <sz val="11"/>
        <rFont val="宋体"/>
        <family val="1"/>
        <charset val="134"/>
      </rPr>
      <t>（银行）</t>
    </r>
    <phoneticPr fontId="1" type="noConversion"/>
  </si>
  <si>
    <r>
      <t>Thu Tiền của khách hàng</t>
    </r>
    <r>
      <rPr>
        <sz val="12"/>
        <rFont val="宋体"/>
        <family val="1"/>
        <charset val="134"/>
      </rPr>
      <t>（银行）</t>
    </r>
    <phoneticPr fontId="1" type="noConversion"/>
  </si>
  <si>
    <r>
      <t>Công Ty TNHH Gia Bảo HP Đặt Cọc</t>
    </r>
    <r>
      <rPr>
        <sz val="12"/>
        <rFont val="宋体"/>
        <family val="1"/>
        <charset val="134"/>
      </rPr>
      <t>（银行）</t>
    </r>
    <phoneticPr fontId="1" type="noConversion"/>
  </si>
  <si>
    <t>phí vận chuyển
运费</t>
  </si>
  <si>
    <t>giảm giá
折扣</t>
  </si>
  <si>
    <t>Ngày tháng ghi sổ
订单日期</t>
  </si>
  <si>
    <t>diễn giải
摘要</t>
  </si>
  <si>
    <t>Mã Hàng
型号</t>
  </si>
  <si>
    <t>Tên Hàng
产品规格</t>
  </si>
  <si>
    <t>ĐVT
单位</t>
  </si>
  <si>
    <t>số lượng
数量</t>
  </si>
  <si>
    <t>Đơn Giá
单价</t>
  </si>
  <si>
    <t>Thành tiền chưa thuế
不含税金额</t>
  </si>
  <si>
    <t>Thuế GTGT (8%)
税额</t>
  </si>
  <si>
    <r>
      <t xml:space="preserve">thành tiền
</t>
    </r>
    <r>
      <rPr>
        <b/>
        <sz val="12"/>
        <rFont val="宋体"/>
        <family val="1"/>
        <charset val="134"/>
      </rPr>
      <t>含税金额</t>
    </r>
  </si>
  <si>
    <t>số hóa đơn
发票号</t>
  </si>
  <si>
    <t>ngày xuất HĐ
发票日期</t>
  </si>
  <si>
    <t>số chứng từ 
订单编号</t>
  </si>
  <si>
    <t>số chứng từ mới
发票订单号</t>
  </si>
  <si>
    <t>BH001/0826</t>
  </si>
  <si>
    <t>INP6004</t>
  </si>
  <si>
    <t>Nồi cơm điện INP6004 (1,2L)</t>
  </si>
  <si>
    <t>INP6005</t>
  </si>
  <si>
    <t>Nồi cơm điện INP6005</t>
  </si>
  <si>
    <t>INP6006</t>
  </si>
  <si>
    <t>Nồi cơm điện INP6006 (1,2L)</t>
  </si>
  <si>
    <t>INP6007</t>
  </si>
  <si>
    <t>Nồi cơm điện INP6007 (1,8L)</t>
  </si>
  <si>
    <t>INP6012</t>
  </si>
  <si>
    <t>Nồi cơm điện INP6012 (1,8L)</t>
  </si>
  <si>
    <t>INP6008</t>
  </si>
  <si>
    <t>Nồi cơm điện INP6008 (1,2L)</t>
  </si>
  <si>
    <t>INP6009</t>
  </si>
  <si>
    <t>Nồi cơm điện INP6009 (1,8L)</t>
  </si>
  <si>
    <t>INP6010</t>
  </si>
  <si>
    <t>Nồi cơm điện INP6010 (1,2L)</t>
  </si>
  <si>
    <t>INP6011</t>
  </si>
  <si>
    <t>Nồi cơm điện INP6011 (1,8L)</t>
  </si>
  <si>
    <t>Nồi cơm điện INP6005 (1,8L)</t>
  </si>
  <si>
    <t>BH006/0826</t>
  </si>
  <si>
    <t>NK001/0826</t>
  </si>
  <si>
    <t>KH00005</t>
  </si>
  <si>
    <t>BH003/0826</t>
  </si>
  <si>
    <t>Nồi cơm điện INP6</t>
  </si>
  <si>
    <t xml:space="preserve">	
NK002/0826</t>
  </si>
  <si>
    <t>KH00002</t>
  </si>
  <si>
    <t>BH004/0826</t>
  </si>
  <si>
    <t>mã khách hàng
客户编号</t>
  </si>
  <si>
    <t>BH005/0826</t>
  </si>
  <si>
    <t>NTTK00128</t>
  </si>
  <si>
    <t>00000258</t>
  </si>
  <si>
    <t>chú ý
备注</t>
  </si>
  <si>
    <r>
      <t xml:space="preserve">Trả lại hàng bán </t>
    </r>
    <r>
      <rPr>
        <sz val="11"/>
        <color theme="1"/>
        <rFont val="宋体"/>
        <family val="1"/>
        <charset val="134"/>
      </rPr>
      <t>退回已售出的商品</t>
    </r>
    <phoneticPr fontId="1" type="noConversion"/>
  </si>
  <si>
    <r>
      <t>Thu tiền khách hàng Chuyển khoản ngân hàng</t>
    </r>
    <r>
      <rPr>
        <sz val="11"/>
        <color theme="1"/>
        <rFont val="宋体"/>
        <family val="1"/>
        <charset val="134"/>
      </rPr>
      <t>货款通过银行转账</t>
    </r>
    <phoneticPr fontId="1" type="noConversion"/>
  </si>
  <si>
    <t>NTTK00129</t>
  </si>
  <si>
    <t>NTTK00130</t>
  </si>
  <si>
    <t>NCC00101</t>
  </si>
  <si>
    <t>BH007/0826</t>
  </si>
  <si>
    <r>
      <t>Xuất bán CÔNG TY TNHH ĐẦU TƯ THƯƠNG MẠI QUỐC TẾ VIỆT LỢI</t>
    </r>
    <r>
      <rPr>
        <sz val="11"/>
        <color theme="1"/>
        <rFont val="宋体"/>
        <family val="1"/>
        <charset val="134"/>
      </rPr>
      <t>越利购买赠品</t>
    </r>
  </si>
  <si>
    <t>Trả cho HĐ 	
00000252</t>
  </si>
  <si>
    <t>BH008/0826</t>
  </si>
  <si>
    <t>BH009/0826</t>
  </si>
  <si>
    <t>06/08 lấy 17T</t>
  </si>
  <si>
    <t>NTTK00131</t>
  </si>
  <si>
    <t>抵扣工资
trừ vào lương</t>
  </si>
  <si>
    <t>7/8 lấy mỗi loại 1 T</t>
  </si>
  <si>
    <t>NV00007</t>
  </si>
  <si>
    <t>BH010/0826</t>
  </si>
  <si>
    <t xml:space="preserve">lấy luôn hàng mẫu trên xe </t>
  </si>
  <si>
    <t>8/8 lấy đủ 8 thùng</t>
  </si>
  <si>
    <r>
      <t xml:space="preserve">Mua 15 tặng 1 </t>
    </r>
    <r>
      <rPr>
        <sz val="11"/>
        <color theme="1"/>
        <rFont val="宋体"/>
        <family val="1"/>
        <charset val="134"/>
      </rPr>
      <t>购买</t>
    </r>
    <r>
      <rPr>
        <sz val="11"/>
        <color theme="1"/>
        <rFont val="Arial"/>
        <family val="2"/>
      </rPr>
      <t>15</t>
    </r>
    <r>
      <rPr>
        <sz val="11"/>
        <color theme="1"/>
        <rFont val="宋体"/>
        <family val="1"/>
        <charset val="134"/>
      </rPr>
      <t>件，赠送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1"/>
        <charset val="134"/>
      </rPr>
      <t>件</t>
    </r>
    <phoneticPr fontId="1" type="noConversion"/>
  </si>
  <si>
    <r>
      <t xml:space="preserve">mua bếp từ tặng nồi lẩu </t>
    </r>
    <r>
      <rPr>
        <sz val="11"/>
        <color theme="1"/>
        <rFont val="宋体"/>
        <family val="1"/>
        <charset val="134"/>
      </rPr>
      <t>购买电磁炉，赠送火锅</t>
    </r>
    <phoneticPr fontId="1" type="noConversion"/>
  </si>
  <si>
    <r>
      <t xml:space="preserve">Mua 15 tặng 1 </t>
    </r>
    <r>
      <rPr>
        <sz val="11"/>
        <color theme="1"/>
        <rFont val="宋体"/>
        <family val="1"/>
        <charset val="134"/>
      </rPr>
      <t>购买</t>
    </r>
    <r>
      <rPr>
        <sz val="11"/>
        <color theme="1"/>
        <rFont val="Arial"/>
        <family val="2"/>
      </rPr>
      <t>15</t>
    </r>
    <r>
      <rPr>
        <sz val="11"/>
        <color theme="1"/>
        <rFont val="宋体"/>
        <family val="1"/>
        <charset val="134"/>
      </rPr>
      <t>件，赠送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1"/>
        <charset val="134"/>
      </rPr>
      <t>件</t>
    </r>
  </si>
  <si>
    <r>
      <t>CÔNG TY TNHH  THƯƠNG MẠI TỔNG HỢP BẰNG ÁNH</t>
    </r>
    <r>
      <rPr>
        <b/>
        <sz val="11"/>
        <rFont val="等线"/>
        <family val="2"/>
        <charset val="134"/>
      </rPr>
      <t>（凭映综合贸易有限责任公司</t>
    </r>
  </si>
  <si>
    <r>
      <t>CÔNG TY TNHH NHÂN VƯỢNG</t>
    </r>
    <r>
      <rPr>
        <b/>
        <sz val="11"/>
        <rFont val="等线"/>
        <family val="2"/>
        <charset val="134"/>
      </rPr>
      <t>（仁旺有限责任公司</t>
    </r>
    <phoneticPr fontId="2" type="noConversion"/>
  </si>
  <si>
    <r>
      <t>CÔNG TY TNHH ĐỒ GIA DỤNG MINH TRÍ</t>
    </r>
    <r>
      <rPr>
        <b/>
        <sz val="11"/>
        <rFont val="等线"/>
        <family val="2"/>
        <charset val="134"/>
      </rPr>
      <t>（明智家居用品有限公司</t>
    </r>
    <phoneticPr fontId="2" type="noConversion"/>
  </si>
  <si>
    <r>
      <t>CÔNG TY TNHH THƯƠNG MẠI GIANG MINH NGỌC</t>
    </r>
    <r>
      <rPr>
        <b/>
        <sz val="11"/>
        <rFont val="等线"/>
        <family val="2"/>
        <charset val="134"/>
      </rPr>
      <t>（江明玉贸易有限公司</t>
    </r>
    <phoneticPr fontId="2" type="noConversion"/>
  </si>
  <si>
    <r>
      <t>CÔNG TY TNHH THƯƠNG MẠI GIANG MINH NGỌC</t>
    </r>
    <r>
      <rPr>
        <b/>
        <sz val="11"/>
        <rFont val="等线"/>
        <family val="2"/>
        <charset val="134"/>
      </rPr>
      <t>（江明玉贸易有限公司</t>
    </r>
  </si>
  <si>
    <r>
      <t>CÔNG TY TNHH ĐẦU TƯ THƯƠNG MẠI QUỐC TẾ VIỆT LỢI</t>
    </r>
    <r>
      <rPr>
        <b/>
        <sz val="11"/>
        <rFont val="等线"/>
        <family val="3"/>
        <charset val="134"/>
      </rPr>
      <t>（越利国际投资贸易有限公司</t>
    </r>
  </si>
  <si>
    <r>
      <t>CÔNG TY TNHH XUẤT NHẬP KHẨU TỔNG HỢP PHÚ HƯNG THỊNH (</t>
    </r>
    <r>
      <rPr>
        <b/>
        <sz val="11"/>
        <color theme="1"/>
        <rFont val="等线"/>
        <family val="2"/>
      </rPr>
      <t>富兴盛综合进出口有限公司</t>
    </r>
    <r>
      <rPr>
        <b/>
        <sz val="11"/>
        <color theme="1"/>
        <rFont val="Arial"/>
        <family val="2"/>
      </rPr>
      <t>)</t>
    </r>
  </si>
  <si>
    <t>PT00165</t>
  </si>
  <si>
    <t xml:space="preserve">	
PT00166</t>
  </si>
  <si>
    <t>KH0000048</t>
  </si>
  <si>
    <t>Thu tiền mặt của khách hàng 收取客户现金</t>
  </si>
  <si>
    <t>00000260</t>
  </si>
  <si>
    <t>BH252.4</t>
  </si>
  <si>
    <t>BH253.4</t>
  </si>
  <si>
    <t>00000261</t>
  </si>
  <si>
    <t>Trần Ngọc Kiên 陈玉坚</t>
  </si>
  <si>
    <t>Nguyễn Thị Thu Hương 阮氏秋香</t>
  </si>
  <si>
    <t>BH011/0826</t>
  </si>
  <si>
    <t>BH012/0826</t>
  </si>
  <si>
    <t>KH015</t>
  </si>
  <si>
    <t>KH082</t>
  </si>
  <si>
    <t>BH013/0826</t>
  </si>
  <si>
    <t>CÔNG TY TNHH TM GIANG CHÂU 江洲贸易有限公司</t>
  </si>
  <si>
    <t>CÔNG TY TNHH MARSERRI VIỆT NAM马赛瑞越南有限公司</t>
  </si>
  <si>
    <t>cộng
小计</t>
  </si>
  <si>
    <t>KH011</t>
  </si>
  <si>
    <t>KH005</t>
  </si>
  <si>
    <t>BH014/0826</t>
  </si>
  <si>
    <t>Máy sấy bát đĩa INP6601</t>
  </si>
  <si>
    <t>BH015/0826</t>
  </si>
  <si>
    <t>INP2112</t>
  </si>
  <si>
    <t>Chảo inox INP2112</t>
  </si>
  <si>
    <t>INP2113</t>
  </si>
  <si>
    <t>Chảo inox INP2113</t>
  </si>
  <si>
    <t>INP2114</t>
  </si>
  <si>
    <t>Chảo inox INP2114</t>
  </si>
  <si>
    <t>INP2115</t>
  </si>
  <si>
    <t>Chảo inox INP2115</t>
  </si>
  <si>
    <t>INP2116</t>
  </si>
  <si>
    <t>Chảo inox INP2116</t>
  </si>
  <si>
    <t>INP2117</t>
  </si>
  <si>
    <t>Chảo inox INP2117</t>
  </si>
  <si>
    <t>KH070</t>
  </si>
  <si>
    <t>BH016/0826</t>
  </si>
  <si>
    <t>KH084</t>
  </si>
  <si>
    <t>BH017/0826</t>
  </si>
  <si>
    <t>NV000014</t>
  </si>
  <si>
    <t>BH018/0826</t>
  </si>
  <si>
    <t xml:space="preserve">bộ </t>
  </si>
  <si>
    <t>KH053</t>
  </si>
  <si>
    <t>BH019/0826</t>
  </si>
  <si>
    <t>Hợp Tác Xã Tân Sơn Quảng Ninh广宁省新山合作社</t>
  </si>
  <si>
    <t>CÔNG TY TNHH THƯƠNG MẠI VÀ DỊCH VỤ ĐẠI PHÁT大华贸易与服务有限责任公司</t>
  </si>
  <si>
    <t>CÔNG TY TNHH DỊCH VỤ THƯƠNG MẠI TÙNG TRANG松庄贸易服务有限责任公司</t>
  </si>
  <si>
    <t>xuất bán CÔNG TY TNHH DỊCH VỤ THƯƠNG MẠI TÙNG TRANG松庄贸易服务有限责任公司销售产品</t>
  </si>
  <si>
    <t>CÔNG TY TNHH THƯƠNG MẠI THIẾT BỊ ĐIỆN CÔNG NGHIỆP VĨNH PHÚC永福工业电气设备贸易有限责任公司</t>
  </si>
  <si>
    <t>Nguyễn Văn Y阮文义</t>
  </si>
  <si>
    <t>CÔNG TY TNHH SƠN HÙNG山雄有限责任公司</t>
  </si>
  <si>
    <t>xuất bán Nguyễn Văn Y阮文义销售产品</t>
  </si>
  <si>
    <t>BH020/0826</t>
  </si>
  <si>
    <t>KH024</t>
  </si>
  <si>
    <t>KH034</t>
  </si>
  <si>
    <t>CÔNG TY TNHH THƯƠNG MẠI 319 ĐÔNG ANH东英319贸易有限责任公司</t>
  </si>
  <si>
    <t>BH2026080001</t>
  </si>
  <si>
    <t>KH055</t>
  </si>
  <si>
    <t>BH2026080002</t>
  </si>
  <si>
    <t>Xuất bán Nguyễn Lệ Nây阮丽妮销售产品</t>
  </si>
  <si>
    <t>Nguyễn Lệ Nây阮丽妮</t>
  </si>
  <si>
    <t>khách hàng tự  trả tiền vận chuyển客户自行支付运输费</t>
  </si>
  <si>
    <t>KH066</t>
  </si>
  <si>
    <t>BH2026080003</t>
  </si>
  <si>
    <t>BH2026080004</t>
  </si>
  <si>
    <t>Chảo inox đúc nguyên khối (không chống
dính)INP2105</t>
  </si>
  <si>
    <t>Đơn ban đầu là 4 thùng 6007, 4 thùng 6011. &gt;&gt;
nhưng xuất giao nhầm cho khách thành 7 thùng 6011 và 1 thùng 6007 sau đó khách lấy luôn số lượng nhầm</t>
  </si>
  <si>
    <t>lên đơn 2106, giao nhầm 2105 khách lấy luôn</t>
  </si>
  <si>
    <t>Mai thu từ anh Kiên</t>
  </si>
  <si>
    <t>KH074</t>
  </si>
  <si>
    <t>BH2026080005</t>
  </si>
  <si>
    <t>CÔNG TY TNHH THƯƠNG MẠI VÀ DỊCH VỤ THẢO NGUYÊN HD (HD草原贸易服务有限责任公司)</t>
  </si>
  <si>
    <t>00000264</t>
  </si>
  <si>
    <t>00000265</t>
  </si>
  <si>
    <t>BH254.4</t>
  </si>
  <si>
    <t>BH255.4</t>
  </si>
  <si>
    <t>00000002</t>
  </si>
  <si>
    <t>BH256.4</t>
  </si>
  <si>
    <t>00000266</t>
  </si>
  <si>
    <t>BH257.4</t>
  </si>
  <si>
    <t>BH258.4</t>
  </si>
  <si>
    <t>00000267</t>
  </si>
  <si>
    <t>00000268</t>
  </si>
  <si>
    <t>BH259.4</t>
  </si>
  <si>
    <t>BH260.4</t>
  </si>
  <si>
    <t>00000269</t>
  </si>
  <si>
    <t>BH262.4</t>
  </si>
  <si>
    <t>00000270</t>
  </si>
  <si>
    <t>00000271</t>
  </si>
  <si>
    <t>BH263.4</t>
  </si>
  <si>
    <t>BH2026080006</t>
  </si>
  <si>
    <t>BH2026080007</t>
  </si>
  <si>
    <t>hôm trc đã lấy 4 cái , hôm nay lấy thêm 26 cái nên đc tặng 2 cái</t>
  </si>
  <si>
    <t>KH012</t>
  </si>
  <si>
    <t>BH2026080008</t>
  </si>
  <si>
    <t>KH058</t>
  </si>
  <si>
    <t>BH2026080009</t>
  </si>
  <si>
    <t>INP7952</t>
  </si>
  <si>
    <t>Máy sấy tóc INP7952</t>
  </si>
  <si>
    <t>INP7953</t>
  </si>
  <si>
    <t>Máy sấy tóc INP7953</t>
  </si>
  <si>
    <t>KH017</t>
  </si>
  <si>
    <t>BH2026080010</t>
  </si>
  <si>
    <t>KH083</t>
  </si>
  <si>
    <t>BH2026080012</t>
  </si>
  <si>
    <t>CÔNG TY TNHH PHÁT TRIỂN SẢN XUẤT THƯƠNG MẠI DỊCH VỤ RỒNG VIỆT 越南龙发展生产贸易服务有限公司</t>
  </si>
  <si>
    <t>Nguyễn Thị Thanh Hương 阮氏清香</t>
  </si>
  <si>
    <t>Nguyễn Đức Tuấn 阮德俊</t>
  </si>
  <si>
    <t>xuất bán Nguyễn Đức Tuấn向阮德俊销售产品</t>
  </si>
  <si>
    <t>xuất bán Nguyễn Thị Thanh Hương 向阮氏清香销售产品</t>
  </si>
  <si>
    <t>xuất bán CÔNG TY TNHH PHÁT TRIỂN SẢN XUẤT THƯƠNG MẠI DỊCH VỤ RỒNG VIỆT向越南龙发展生产贸易服务有限公司销售产品</t>
  </si>
  <si>
    <t>Xuất bán CÔNG TY TNHH TM GIANG CHÂU向江洲贸易有限公司销售产品</t>
  </si>
  <si>
    <t xml:space="preserve"> xuất bán CÔNG TY TNHH THƯƠNG MẠI 319 ĐÔNG ANH向东英319贸易有限责任公司销售产品</t>
  </si>
  <si>
    <t>xuất bán CÔNG TY TNHH ĐỒ GIA DỤNG MINH TRÍ-向明智家居用品有限责任公司销售产品</t>
  </si>
  <si>
    <t>Xuất bán CÔNG TY TNHH MARSERRI VIỆT NAM向马赛瑞越南有限公司销售产品</t>
  </si>
  <si>
    <r>
      <t>Xuất bán Công ty TNHH Nhân Vượng 向</t>
    </r>
    <r>
      <rPr>
        <sz val="11"/>
        <color theme="1"/>
        <rFont val="宋体"/>
        <family val="1"/>
        <charset val="134"/>
      </rPr>
      <t>仁旺销售产品</t>
    </r>
  </si>
  <si>
    <t>xuất bán CÔNG TY TNHH SƠN HÙNG向山雄有限责任公司销售产品</t>
  </si>
  <si>
    <t>Xuất bán CÔNG TY TNHH THIẾT BỊ BẾP VÀ GIA DỤNG AN PHÚ向(安富厨具及家用电器有限责任公司)销售产品</t>
  </si>
  <si>
    <r>
      <t>Xuất bán CÔNG TY TNHH THƯƠNG MẠI GIANG MINH NGỌC 向</t>
    </r>
    <r>
      <rPr>
        <sz val="11"/>
        <color theme="1"/>
        <rFont val="宋体"/>
        <family val="1"/>
        <charset val="134"/>
      </rPr>
      <t>江明玉销售产品</t>
    </r>
  </si>
  <si>
    <t>xuất bán CÔNG TY TNHH THƯƠNG MẠI THIẾT BỊ ĐIỆN CÔNG NGHIỆP VĨNH PHÚC向永福工业电气设备贸易有限责任公司销售产品</t>
  </si>
  <si>
    <t>Xuất bán CÔNG TY TNHH THƯƠNG MẠI VÀ DỊCH VỤ ĐẠI PHÁT向大华贸易与服务有限责任公司销售产品</t>
  </si>
  <si>
    <t>xuất bán CÔNG TY TNHH THƯƠNG MẠI VÀ DỊCH VỤ THẢO NGUYÊN HD向HD草原贸易服务有限责任公司销售产品</t>
  </si>
  <si>
    <t>Xuất bán CÔNG TY TNHH TM GIANG CHÂU 向江洲贸易有限公司销售产品</t>
  </si>
  <si>
    <t>xuất bán Hợp Tác Xã Tân Sơn Quảng Ninh向广宁省新山合作社销售产品</t>
  </si>
  <si>
    <t>60 Thùng hàng</t>
  </si>
  <si>
    <t>00000257</t>
  </si>
  <si>
    <r>
      <t>CÔNG TY TNHH NHÂN VƯỢNG</t>
    </r>
    <r>
      <rPr>
        <b/>
        <sz val="11"/>
        <rFont val="等线"/>
        <family val="2"/>
        <charset val="134"/>
      </rPr>
      <t>（仁旺有限责任公司</t>
    </r>
  </si>
  <si>
    <t>29/7/2026</t>
  </si>
  <si>
    <t>31/7/2026</t>
  </si>
  <si>
    <t>00000249</t>
  </si>
  <si>
    <t>27/7/2026</t>
  </si>
  <si>
    <t>00000246</t>
  </si>
  <si>
    <t>00000241</t>
  </si>
  <si>
    <t>00000189</t>
  </si>
  <si>
    <t>00000237</t>
  </si>
  <si>
    <t>00000259</t>
  </si>
  <si>
    <t>Bộ nồi inox  INP1101</t>
  </si>
  <si>
    <t>00000250</t>
  </si>
  <si>
    <t>00000243</t>
  </si>
  <si>
    <t>00000245</t>
  </si>
  <si>
    <t>Thu tiền Công ty TNHH Đồ Gia Dụng Minh Trí bằng TK CÁ NHÂN</t>
  </si>
  <si>
    <t>Trả lại khách tiền mặt</t>
  </si>
  <si>
    <t>00000244</t>
  </si>
  <si>
    <t>00000256</t>
  </si>
  <si>
    <t>Điều chỉnh giảm HĐ 202</t>
  </si>
  <si>
    <t>Thu tiền khách hàng Chuyển khoản ngân hàng货款通过银行转账</t>
  </si>
  <si>
    <t>BH2026080014</t>
  </si>
  <si>
    <r>
      <rPr>
        <sz val="11"/>
        <color theme="1"/>
        <rFont val="Times New Roman"/>
        <family val="1"/>
      </rPr>
      <t>00000096</t>
    </r>
  </si>
  <si>
    <t>00000247</t>
  </si>
  <si>
    <t>00000239</t>
  </si>
  <si>
    <t>00000248</t>
  </si>
  <si>
    <t>Công Ty TNHH Gia Bảo HP Đặt Cọc( chuyển khoản)</t>
  </si>
  <si>
    <t>CÔNG TY TNHH THƯƠNG MẠI VÀ DỊCH VỤ ĐỨC ĐÀN</t>
  </si>
  <si>
    <t>CÔNG TY TNHH LỘC HƯNG THÁI</t>
  </si>
  <si>
    <t>22/4/2026</t>
  </si>
  <si>
    <t>22/07/2026</t>
  </si>
  <si>
    <t>xuất mẫu</t>
  </si>
  <si>
    <t>CÔNG TY CỔ PHẦN GIA DỤNG CHÂU ÂU EUROHI 欧洲欧若希家居用品股份公司</t>
  </si>
  <si>
    <t>xuất bán cho CÔNG TY CỔ PHẦN GIA DỤNG CHÂU ÂU EUROHI销售给欧洲EUROHI家居用品股份公司</t>
  </si>
  <si>
    <t>Xuất bán Công ty TNHH Tổng hợp Bằng Ánh销售给邦映综合有限责任公司</t>
  </si>
  <si>
    <r>
      <t>Thu tiền khách hàng Chuyển khoản ngân hàng</t>
    </r>
    <r>
      <rPr>
        <sz val="11"/>
        <color theme="1"/>
        <rFont val="宋体"/>
        <family val="1"/>
        <charset val="134"/>
      </rPr>
      <t>货款通过银行转账</t>
    </r>
  </si>
  <si>
    <t>Công Ty TNHH Gia Bảo HP 嘉宝HP有限责任公司</t>
  </si>
  <si>
    <t>xuất bán  Công Ty TNHH Gia Bảo HP 销售给嘉宝HP有限责任公司</t>
  </si>
  <si>
    <t>mua bếp từ tặng nồi lẩu 购买电磁炉，赠送火锅</t>
  </si>
  <si>
    <t>phí vận chuyển 1.5% đơn hàng 20/05</t>
  </si>
  <si>
    <t>chiết khấu 3%  cho khách chương trình dầu năm cho đơn trên 500 triệu</t>
  </si>
  <si>
    <t>CÔNG TY TNHH THƯƠNG MẠI CẢNH CƯỜNG 景强贸易有限责任公司</t>
  </si>
  <si>
    <r>
      <t>Tên Khách Hàng</t>
    </r>
    <r>
      <rPr>
        <b/>
        <sz val="12"/>
        <rFont val="微软雅黑"/>
        <family val="1"/>
        <charset val="134"/>
      </rPr>
      <t>(中文)</t>
    </r>
  </si>
  <si>
    <t>xuất bán cho CÔNG TY TNHH THƯƠNG MẠI CẢNH CƯỜNG 销售给景强贸易有限责任公司</t>
  </si>
  <si>
    <t xml:space="preserve">Giảm 2%đơn 30/12  phí vận chuyển </t>
  </si>
  <si>
    <t>Vương Tuyết Mai 王雪梅</t>
  </si>
  <si>
    <t>Xuất bán cho Vương Tuyết Mai 销售给王雪梅</t>
  </si>
  <si>
    <t>BH2026080015</t>
  </si>
  <si>
    <t>KH088</t>
  </si>
  <si>
    <t>INP7951</t>
  </si>
  <si>
    <t>Máy sấy tóc INP7951</t>
  </si>
  <si>
    <t>CÔNG TY TNHH THƯƠNG MẠI &amp; DỊCH VỤ SƠN HIỀN SL 山贤SL贸易服务有限责任公司</t>
  </si>
  <si>
    <t>BH264.4</t>
  </si>
  <si>
    <t>00000273</t>
  </si>
  <si>
    <t>BH265.4</t>
  </si>
  <si>
    <t>00000274</t>
  </si>
  <si>
    <t>BH266.4</t>
  </si>
  <si>
    <t>BH267.4</t>
  </si>
  <si>
    <t>00000275</t>
  </si>
  <si>
    <t>00000276</t>
  </si>
  <si>
    <t>BH268.4</t>
  </si>
  <si>
    <t>Tên Khách Hàng(中文)</t>
  </si>
  <si>
    <t>thành tiền
含税金额</t>
  </si>
  <si>
    <t xml:space="preserve">Đã  thanh toán
（收款） </t>
  </si>
  <si>
    <t>CÔNG TY TNHH NHÂN VƯỢNG（仁旺有限责任公司</t>
  </si>
  <si>
    <t>Xuất bán Công ty TNHH Nhân Vượng向 仁旺销售产品</t>
  </si>
  <si>
    <t>Xuất bán Công ty TNHH Nhân Vượng
(NPP Bắc Vĩnh TB chuyển sang)仁旺销售产品</t>
  </si>
  <si>
    <t>Trả lại hàng bán 退回已售出的商品</t>
  </si>
  <si>
    <t>Mua 15 tặng 1 购买15件，赠送1件</t>
  </si>
  <si>
    <t>Xuất bán Công ty TNHH Nhân Vượng 向仁旺销售产品</t>
  </si>
  <si>
    <t>Tổng công nợ</t>
  </si>
  <si>
    <t>Đã Thanh toán</t>
  </si>
  <si>
    <t>Phí vận chuyển</t>
  </si>
  <si>
    <t>Công nợ quạt+vợt muỗi</t>
  </si>
  <si>
    <t>còn lại</t>
  </si>
  <si>
    <t>còn lại công nợ  ( trừ Quạt +vợt muỗi)</t>
  </si>
  <si>
    <t xml:space="preserve">CÔNG TY TNHH ĐẦU TƯ THẮNG VƯỢNG
Địa chỉ: Số 1369 Đại Lộ Thăng Long, Xã Sơn Đồng, Thành Phố Hà Nội
Số Điện thoại         : 0867024186                    
Mã số thuế             : 0111201600 
Tài khoản               : 858988999              Ngân hàng: MB-CN Hai Bà Trưng.
</t>
  </si>
  <si>
    <t>Công nợ quạt</t>
  </si>
  <si>
    <t>còn lại công nợ  ( trừ Quạt )</t>
  </si>
  <si>
    <t>Cửa hàng Phương Bắc北方商店</t>
  </si>
  <si>
    <t>BH2026080016</t>
  </si>
  <si>
    <t>BH2026080017</t>
  </si>
  <si>
    <t>BH2026080018</t>
  </si>
  <si>
    <t>GUOZHUOHAN</t>
  </si>
  <si>
    <t>BH2026080001 lên đơn nhưng ko xuất kho , ngày 14/8 lên đơn mới là BH2026080006</t>
  </si>
  <si>
    <t>BH2026080019</t>
  </si>
  <si>
    <t>BH2026080020</t>
  </si>
  <si>
    <t>NK2026080003</t>
  </si>
  <si>
    <r>
      <t>Tên Khách Hàng</t>
    </r>
    <r>
      <rPr>
        <b/>
        <sz val="11"/>
        <rFont val="微软雅黑"/>
        <family val="1"/>
        <charset val="134"/>
      </rPr>
      <t>(中文)</t>
    </r>
  </si>
  <si>
    <r>
      <t xml:space="preserve">thành tiền
</t>
    </r>
    <r>
      <rPr>
        <b/>
        <sz val="11"/>
        <rFont val="宋体"/>
        <family val="1"/>
        <charset val="134"/>
      </rPr>
      <t>含税金额</t>
    </r>
  </si>
  <si>
    <r>
      <t xml:space="preserve">Đã  thanh toán
</t>
    </r>
    <r>
      <rPr>
        <b/>
        <sz val="11"/>
        <rFont val="宋体"/>
        <family val="1"/>
        <charset val="134"/>
      </rPr>
      <t>（收款）</t>
    </r>
    <r>
      <rPr>
        <b/>
        <sz val="11"/>
        <rFont val="Times New Roman"/>
        <family val="1"/>
      </rPr>
      <t xml:space="preserve"> </t>
    </r>
  </si>
  <si>
    <t>Trả lại hàng bán 销售退货</t>
  </si>
  <si>
    <r>
      <t>Tên Khách Hàng</t>
    </r>
    <r>
      <rPr>
        <b/>
        <sz val="10"/>
        <rFont val="微软雅黑"/>
        <family val="1"/>
        <charset val="134"/>
      </rPr>
      <t>(中文)</t>
    </r>
  </si>
  <si>
    <r>
      <t xml:space="preserve">thành tiền
</t>
    </r>
    <r>
      <rPr>
        <b/>
        <sz val="10"/>
        <rFont val="宋体"/>
        <family val="1"/>
        <charset val="134"/>
      </rPr>
      <t>含税金额</t>
    </r>
  </si>
  <si>
    <r>
      <t xml:space="preserve">Đã  thanh toán
</t>
    </r>
    <r>
      <rPr>
        <b/>
        <sz val="10"/>
        <rFont val="宋体"/>
        <family val="1"/>
        <charset val="134"/>
      </rPr>
      <t>（收款）</t>
    </r>
    <r>
      <rPr>
        <b/>
        <sz val="10"/>
        <rFont val="Times New Roman"/>
        <family val="1"/>
      </rPr>
      <t xml:space="preserve"> </t>
    </r>
  </si>
  <si>
    <r>
      <t>Thu tiền khách hàng Chuyển khoản ngân hàng</t>
    </r>
    <r>
      <rPr>
        <sz val="10"/>
        <color theme="1"/>
        <rFont val="宋体"/>
        <family val="1"/>
        <charset val="134"/>
      </rPr>
      <t>货款通过银行转账</t>
    </r>
  </si>
  <si>
    <r>
      <t xml:space="preserve">mua bếp từ tặng nồi lẩu </t>
    </r>
    <r>
      <rPr>
        <sz val="10"/>
        <color theme="1"/>
        <rFont val="宋体"/>
        <family val="1"/>
        <charset val="134"/>
      </rPr>
      <t>购买电磁炉，赠送火锅</t>
    </r>
  </si>
  <si>
    <t xml:space="preserve">
CÔNG TY TNHH ĐẦU TƯ THẮNG VƯỢNG
Địa chỉ: Số 1369 Đại Lộ Thăng Long, Xã Sơn Đồng, Thành Phố Hà Nội
Số Điện thoại         : 0867024186                    
Mã số thuế             : 0111201600 
Tài khoản               : 858988999              Ngân hàng: MB-CN Hai Bà Trưng.
</t>
  </si>
  <si>
    <t>phí shíp 16 thùng hàng giao ngày 18/8 30.000/thùng</t>
  </si>
  <si>
    <t>BH2026080021</t>
  </si>
  <si>
    <t xml:space="preserve"> </t>
  </si>
  <si>
    <t>00000277</t>
  </si>
  <si>
    <t>BH269.4</t>
  </si>
  <si>
    <t>00000278</t>
  </si>
  <si>
    <t>BH270.4</t>
  </si>
  <si>
    <t>Thu tiền khách hàng Chuyển khoản ngân hàng</t>
  </si>
  <si>
    <t>Nồi cơm điện INP 6011</t>
  </si>
  <si>
    <t>Quạt tích điện INP 6410</t>
  </si>
  <si>
    <t>Trần Ngọc Dũng</t>
  </si>
  <si>
    <t>chiết khấu(3%)Km đơn trên 500tr</t>
  </si>
  <si>
    <t>KH001</t>
  </si>
  <si>
    <t>BH275.4</t>
  </si>
  <si>
    <t>00000283</t>
  </si>
  <si>
    <t>+</t>
  </si>
  <si>
    <t>00000280</t>
  </si>
  <si>
    <t>BH272.4</t>
  </si>
  <si>
    <t>Hàng Mẫu</t>
  </si>
  <si>
    <t xml:space="preserve">còn lại </t>
  </si>
  <si>
    <t>còn lại (trừ hàng mẫu)</t>
  </si>
  <si>
    <t>KH071</t>
  </si>
  <si>
    <t>KH086</t>
  </si>
  <si>
    <t>Phí Vận Chuyển</t>
  </si>
  <si>
    <t>BH2026080022</t>
  </si>
  <si>
    <t>INP1301A</t>
  </si>
  <si>
    <t>Nồi mã INP1301A</t>
  </si>
  <si>
    <t>BH2026080023</t>
  </si>
  <si>
    <t>Đơn 22/7 có bán bếp từ 6105 đã kèm nồi tặng loại mỏng, 
nhưng mình muốn đổi cho họ loại dày, còn loại mỏng họ mua luôn</t>
  </si>
  <si>
    <t>BH2026080024</t>
  </si>
  <si>
    <t>BH2026080025</t>
  </si>
  <si>
    <t>BH020/0826</t>
    <phoneticPr fontId="1" type="noConversion"/>
  </si>
  <si>
    <r>
      <t>Nguyễn Lệ Nây</t>
    </r>
    <r>
      <rPr>
        <b/>
        <sz val="11"/>
        <color theme="1"/>
        <rFont val="微软雅黑"/>
        <family val="2"/>
        <charset val="134"/>
      </rPr>
      <t>阮丽奈</t>
    </r>
    <phoneticPr fontId="1" type="noConversion"/>
  </si>
  <si>
    <t>BH2026080011</t>
    <phoneticPr fontId="1" type="noConversion"/>
  </si>
  <si>
    <t>INP6104</t>
    <phoneticPr fontId="1" type="noConversion"/>
  </si>
  <si>
    <t>BH2026080012</t>
    <phoneticPr fontId="1" type="noConversion"/>
  </si>
  <si>
    <t>BH2026080026</t>
  </si>
  <si>
    <t>INP1301B</t>
  </si>
  <si>
    <t>Nồi mã INP1301B</t>
  </si>
  <si>
    <r>
      <t>Hồ Thế Anh</t>
    </r>
    <r>
      <rPr>
        <sz val="11"/>
        <color theme="1"/>
        <rFont val="宋体"/>
        <family val="2"/>
        <charset val="134"/>
      </rPr>
      <t>胡世英</t>
    </r>
  </si>
  <si>
    <t>KH029</t>
  </si>
  <si>
    <t>Xuất bán cho Hồ Thế Anh胡世英销售产品</t>
  </si>
  <si>
    <t>KH002</t>
  </si>
  <si>
    <t>KH004</t>
  </si>
  <si>
    <t>KH007</t>
  </si>
  <si>
    <t>KH021</t>
  </si>
  <si>
    <t>KH025</t>
  </si>
  <si>
    <t>KH030</t>
  </si>
  <si>
    <t>Louie</t>
  </si>
  <si>
    <t>KH043</t>
  </si>
  <si>
    <t>KH059</t>
  </si>
  <si>
    <t>KH062</t>
  </si>
  <si>
    <t>KH067</t>
  </si>
  <si>
    <t>BH2026080027</t>
  </si>
  <si>
    <t>Bộ nồi inox đúc nguyên khối INP2002</t>
  </si>
  <si>
    <t>BH2026080028</t>
  </si>
  <si>
    <t>BH2026080029</t>
  </si>
  <si>
    <t>Chương trình khuyến mại mua 10 tặng 1 ( 6202,6203,6204).
 Mua 6 mã 1401 tặng 1 cái 6203 ( NPP mua thêm 2 cái + đơn trước để đc tặng  1).
 Xuất bù tặng 1 cho ( 6202,6203,6204, 1401) ssown ngày 11/8/2026</t>
  </si>
  <si>
    <t>Chương trình khuyến mại mua 10 tặng 1 ( 6202,6203,6204).
 Mua 6 mã 1401 tặng 1 cái 6203</t>
  </si>
  <si>
    <t>Công nợ  đơn 2026</t>
  </si>
  <si>
    <t xml:space="preserve">chuyển từ nhà Bằng Ánh sang , chứ ko phải xuất từ kho </t>
  </si>
  <si>
    <t>hàng đã lấy trước đó , lên đơn bổ sung</t>
  </si>
  <si>
    <t xml:space="preserve">chuyển sang nhà Nhân Vượng </t>
  </si>
  <si>
    <t>BH2026080030</t>
  </si>
  <si>
    <t>BH2026080031</t>
  </si>
  <si>
    <t>Xuất bán cho Anh Huy 销售给辉哥</t>
  </si>
  <si>
    <t>Anh Huy 辉哥</t>
  </si>
  <si>
    <t>BH2026080032</t>
  </si>
  <si>
    <t>BH2026080033</t>
  </si>
  <si>
    <t>BH2026080034</t>
  </si>
  <si>
    <t>Nồi luộc gà inox đúc nguyên khối INP2202</t>
  </si>
  <si>
    <t>BH2026080035</t>
  </si>
  <si>
    <r>
      <t xml:space="preserve">Ngày tháng ghi sổ
</t>
    </r>
    <r>
      <rPr>
        <b/>
        <sz val="11"/>
        <rFont val="Times New Roman"/>
        <family val="1"/>
      </rPr>
      <t>订单日期</t>
    </r>
  </si>
  <si>
    <r>
      <t xml:space="preserve">Mã Hàng
</t>
    </r>
    <r>
      <rPr>
        <b/>
        <sz val="11"/>
        <rFont val="Times New Roman"/>
        <family val="1"/>
      </rPr>
      <t>型号</t>
    </r>
  </si>
  <si>
    <r>
      <t xml:space="preserve">ĐVT
</t>
    </r>
    <r>
      <rPr>
        <b/>
        <sz val="11"/>
        <rFont val="Times New Roman"/>
        <family val="1"/>
      </rPr>
      <t>单位</t>
    </r>
  </si>
  <si>
    <r>
      <t xml:space="preserve">số lượng
</t>
    </r>
    <r>
      <rPr>
        <b/>
        <sz val="11"/>
        <rFont val="Times New Roman"/>
        <family val="1"/>
      </rPr>
      <t>数量</t>
    </r>
  </si>
  <si>
    <r>
      <t xml:space="preserve">Đơn Giá
</t>
    </r>
    <r>
      <rPr>
        <b/>
        <sz val="11"/>
        <rFont val="Times New Roman"/>
        <family val="1"/>
      </rPr>
      <t>单价</t>
    </r>
  </si>
  <si>
    <r>
      <t xml:space="preserve">Thành tiền chưa thuế
</t>
    </r>
    <r>
      <rPr>
        <b/>
        <sz val="11"/>
        <rFont val="Times New Roman"/>
        <family val="1"/>
      </rPr>
      <t>不含税金额</t>
    </r>
  </si>
  <si>
    <r>
      <t xml:space="preserve">Thuế GTGT (8%)
</t>
    </r>
    <r>
      <rPr>
        <b/>
        <sz val="11"/>
        <rFont val="Times New Roman"/>
        <family val="1"/>
      </rPr>
      <t>税额</t>
    </r>
  </si>
  <si>
    <r>
      <t xml:space="preserve">Đã  thanh toán
</t>
    </r>
    <r>
      <rPr>
        <b/>
        <sz val="11"/>
        <rFont val="宋体"/>
        <family val="1"/>
        <charset val="134"/>
      </rPr>
      <t>（收款）</t>
    </r>
    <r>
      <rPr>
        <b/>
        <sz val="11"/>
        <rFont val="Arial"/>
        <family val="2"/>
      </rPr>
      <t xml:space="preserve"> </t>
    </r>
    <phoneticPr fontId="1" type="noConversion"/>
  </si>
  <si>
    <r>
      <t xml:space="preserve">phí vận chuyển
</t>
    </r>
    <r>
      <rPr>
        <b/>
        <sz val="11"/>
        <rFont val="宋体"/>
        <family val="1"/>
        <charset val="134"/>
      </rPr>
      <t>运费</t>
    </r>
  </si>
  <si>
    <t>KH042</t>
    <phoneticPr fontId="1" type="noConversion"/>
  </si>
  <si>
    <t>KH068</t>
    <phoneticPr fontId="1" type="noConversion"/>
  </si>
  <si>
    <t>KH007</t>
    <phoneticPr fontId="1" type="noConversion"/>
  </si>
  <si>
    <t>KH003</t>
    <phoneticPr fontId="1" type="noConversion"/>
  </si>
  <si>
    <t>KH028</t>
    <phoneticPr fontId="1" type="noConversion"/>
  </si>
  <si>
    <t>NK003/0826</t>
    <phoneticPr fontId="1" type="noConversion"/>
  </si>
  <si>
    <t>INP6901</t>
    <phoneticPr fontId="1" type="noConversion"/>
  </si>
  <si>
    <t>NK2026080006</t>
    <phoneticPr fontId="1" type="noConversion"/>
  </si>
  <si>
    <t>NK2026080005</t>
    <phoneticPr fontId="1" type="noConversion"/>
  </si>
  <si>
    <t>NK2026080004</t>
    <phoneticPr fontId="1" type="noConversion"/>
  </si>
  <si>
    <t>NK2026080003</t>
    <phoneticPr fontId="1" type="noConversion"/>
  </si>
  <si>
    <t>INP6802</t>
    <phoneticPr fontId="1" type="noConversion"/>
  </si>
  <si>
    <t>KH050</t>
    <phoneticPr fontId="1" type="noConversion"/>
  </si>
  <si>
    <t>KH006</t>
    <phoneticPr fontId="1" type="noConversion"/>
  </si>
  <si>
    <t>CÔNG TY TNHH XUẤT NHẬP KHẨU HOÀNG TÂN</t>
    <phoneticPr fontId="1" type="noConversion"/>
  </si>
  <si>
    <t>KH049</t>
    <phoneticPr fontId="1" type="noConversion"/>
  </si>
  <si>
    <t>INP6001</t>
    <phoneticPr fontId="1" type="noConversion"/>
  </si>
  <si>
    <t>INP6002</t>
    <phoneticPr fontId="1" type="noConversion"/>
  </si>
  <si>
    <t>NK2026080001</t>
    <phoneticPr fontId="1" type="noConversion"/>
  </si>
  <si>
    <t>INP6701</t>
    <phoneticPr fontId="1" type="noConversion"/>
  </si>
  <si>
    <t>INP6010</t>
    <phoneticPr fontId="1" type="noConversion"/>
  </si>
  <si>
    <t>INP6004</t>
    <phoneticPr fontId="1" type="noConversion"/>
  </si>
  <si>
    <t>INP6007</t>
    <phoneticPr fontId="1" type="noConversion"/>
  </si>
  <si>
    <t>INP6009</t>
    <phoneticPr fontId="1" type="noConversion"/>
  </si>
  <si>
    <t>INP6101</t>
    <phoneticPr fontId="1" type="noConversion"/>
  </si>
  <si>
    <t>INP1401</t>
    <phoneticPr fontId="1" type="noConversion"/>
  </si>
  <si>
    <t>INP6203</t>
    <phoneticPr fontId="1" type="noConversion"/>
  </si>
  <si>
    <t>INP6201</t>
    <phoneticPr fontId="1" type="noConversion"/>
  </si>
  <si>
    <t>INP1501</t>
    <phoneticPr fontId="1" type="noConversion"/>
  </si>
  <si>
    <t>INP1003</t>
    <phoneticPr fontId="1" type="noConversion"/>
  </si>
  <si>
    <t>INP7951</t>
    <phoneticPr fontId="1" type="noConversion"/>
  </si>
  <si>
    <t>INP7952</t>
    <phoneticPr fontId="1" type="noConversion"/>
  </si>
  <si>
    <t>INP7953</t>
    <phoneticPr fontId="1" type="noConversion"/>
  </si>
  <si>
    <t>INP2117</t>
    <phoneticPr fontId="1" type="noConversion"/>
  </si>
  <si>
    <t>XK020/082026</t>
    <phoneticPr fontId="1" type="noConversion"/>
  </si>
  <si>
    <t>XK001/082026</t>
    <phoneticPr fontId="1" type="noConversion"/>
  </si>
  <si>
    <t>XK008/082026</t>
    <phoneticPr fontId="1" type="noConversion"/>
  </si>
  <si>
    <t>INP6005</t>
    <phoneticPr fontId="1" type="noConversion"/>
  </si>
  <si>
    <t>INP6006</t>
    <phoneticPr fontId="1" type="noConversion"/>
  </si>
  <si>
    <t>INP6008</t>
    <phoneticPr fontId="1" type="noConversion"/>
  </si>
  <si>
    <t>INP6011</t>
    <phoneticPr fontId="1" type="noConversion"/>
  </si>
  <si>
    <t>INP6012</t>
    <phoneticPr fontId="1" type="noConversion"/>
  </si>
  <si>
    <t>BH2026080036</t>
    <phoneticPr fontId="1" type="noConversion"/>
  </si>
  <si>
    <t>BH2026080037</t>
    <phoneticPr fontId="1" type="noConversion"/>
  </si>
  <si>
    <t>NK2026080008</t>
    <phoneticPr fontId="1" type="noConversion"/>
  </si>
  <si>
    <t>NK2026080007</t>
    <phoneticPr fontId="1" type="noConversion"/>
  </si>
  <si>
    <t>INP6007</t>
    <phoneticPr fontId="1" type="noConversion"/>
  </si>
  <si>
    <t>INP6009</t>
    <phoneticPr fontId="1" type="noConversion"/>
  </si>
  <si>
    <t>INP6011</t>
    <phoneticPr fontId="1" type="noConversion"/>
  </si>
  <si>
    <t>BH2026090038</t>
  </si>
  <si>
    <t>BH2026090039</t>
  </si>
  <si>
    <t>BH2026090040</t>
  </si>
  <si>
    <t>BH2026090041</t>
  </si>
  <si>
    <t>BH2026090042</t>
  </si>
  <si>
    <t>BH2026090043</t>
  </si>
  <si>
    <t>BH2026090044</t>
  </si>
  <si>
    <t>BH2026090045</t>
  </si>
  <si>
    <t>INP6404</t>
  </si>
  <si>
    <t>Quạt treo tường INP6404</t>
  </si>
  <si>
    <t>XK00363</t>
  </si>
  <si>
    <t>CÔNG TY TNHH GIA DỤNG YẾN NGUYỄN</t>
  </si>
  <si>
    <t>BH2026090049</t>
  </si>
  <si>
    <t>BH2026090046</t>
  </si>
  <si>
    <t>Nguyễn Minh Ngọc ( Bình Minh)（阮明玉（平明）</t>
  </si>
  <si>
    <t>BH2026090047</t>
  </si>
  <si>
    <t>xuất bán cho Nguyễn Minh Ngọc ( Bình Minh)（阮明玉（平明）销售产品</t>
  </si>
  <si>
    <t>00000281</t>
  </si>
  <si>
    <t>00000282</t>
  </si>
  <si>
    <t>BH274.4</t>
  </si>
  <si>
    <t>00000290</t>
  </si>
  <si>
    <t>BH282.4</t>
  </si>
  <si>
    <t>00000284</t>
  </si>
  <si>
    <t>BH276.4</t>
  </si>
  <si>
    <t>BH277.4</t>
  </si>
  <si>
    <t>00000285</t>
  </si>
  <si>
    <t>00000286</t>
  </si>
  <si>
    <t>BH278.4</t>
  </si>
  <si>
    <t>00000287</t>
  </si>
  <si>
    <t>BH279.4</t>
  </si>
  <si>
    <t>00000288</t>
  </si>
  <si>
    <t>BH280.4</t>
  </si>
  <si>
    <t>00000289</t>
  </si>
  <si>
    <t>BH281.4</t>
  </si>
  <si>
    <t>00000291</t>
  </si>
  <si>
    <t>BH283.4</t>
  </si>
  <si>
    <t>00000292</t>
  </si>
  <si>
    <t>BH284.4</t>
  </si>
  <si>
    <t>BH2026090051</t>
  </si>
  <si>
    <t>Tuấn Lan Trả lại hàng bán</t>
  </si>
  <si>
    <t>BH00358 (27/7/2026)</t>
  </si>
  <si>
    <t>XK001/082026</t>
  </si>
  <si>
    <t>NK2026080011</t>
  </si>
  <si>
    <t>Trả kho bảo hành</t>
  </si>
  <si>
    <t>Giang Minh Ngọc</t>
  </si>
  <si>
    <t>NK2026090009</t>
  </si>
  <si>
    <t>NK2026090010</t>
  </si>
  <si>
    <t>Cảnh Cường</t>
  </si>
  <si>
    <t>hàng mẫu 样品</t>
  </si>
  <si>
    <t>BH2026090052</t>
  </si>
  <si>
    <t>NK2026090012</t>
  </si>
  <si>
    <t>NK2026090013</t>
  </si>
  <si>
    <r>
      <t xml:space="preserve">Đã  thanh toán
</t>
    </r>
    <r>
      <rPr>
        <b/>
        <sz val="11"/>
        <rFont val="宋体"/>
        <family val="1"/>
        <charset val="134"/>
      </rPr>
      <t>（收款）</t>
    </r>
    <r>
      <rPr>
        <b/>
        <sz val="11"/>
        <rFont val="Arial"/>
        <family val="2"/>
      </rPr>
      <t xml:space="preserve"> </t>
    </r>
  </si>
  <si>
    <r>
      <t xml:space="preserve">mua bếp từ tặng nồi lẩu </t>
    </r>
    <r>
      <rPr>
        <sz val="11"/>
        <color theme="1"/>
        <rFont val="宋体"/>
        <family val="1"/>
        <charset val="134"/>
      </rPr>
      <t>购买电磁炉，赠送火锅</t>
    </r>
  </si>
  <si>
    <t>Đã Xuất hóa đơn</t>
  </si>
  <si>
    <t>chưa xuất hóa đơn</t>
  </si>
  <si>
    <t xml:space="preserve">CÔNG TY TNHH ĐẦU TƯ THẮNG VƯỢNG
Địa chỉ: Số 1369 Đại Lộ Thăng Long, Xã Sơn Đồng, Thành Phố Hà Nội
Số Điện thoại         : 0867024186                    
Mã số thuế             : 0111201600 
Tài khoản               : 858988999              Ngân hàng: MB-CN Hai Bà Trưng.
</t>
  </si>
  <si>
    <t>INP6401( XANH)</t>
  </si>
  <si>
    <t>INP6401( ĐEN)</t>
  </si>
  <si>
    <t>NK2026090014</t>
  </si>
  <si>
    <t>Trả lại hàng bán</t>
  </si>
  <si>
    <t>BH2026090054</t>
  </si>
  <si>
    <t>BH2026090055</t>
  </si>
  <si>
    <t>BH2026090057</t>
  </si>
  <si>
    <t>BH2026090056</t>
  </si>
  <si>
    <t>Lê Thị ánh Nguyệt 黎氏映月</t>
  </si>
  <si>
    <t>Xuất bán cho Lê Thị ánh Nguyệt 黎氏映月销售产品</t>
  </si>
  <si>
    <t>BH2026080053</t>
  </si>
  <si>
    <t>Mua 4 INP6102 tặng 1 INP6203</t>
  </si>
  <si>
    <t>BH2026090064</t>
  </si>
  <si>
    <t>BH2026080058</t>
  </si>
  <si>
    <t>BH2026080060</t>
  </si>
  <si>
    <t>IINP6010</t>
  </si>
  <si>
    <t>BH2026080061</t>
  </si>
  <si>
    <t>BH2026090062</t>
  </si>
  <si>
    <t>Bộ nồi inox  INP1002</t>
  </si>
  <si>
    <t>BH2026090063</t>
  </si>
  <si>
    <t>BH2026090066</t>
  </si>
  <si>
    <t>BH2026080059</t>
  </si>
  <si>
    <t>CÔNG TY CỔ PHẦN ĐIỆN MÁY TÂY BẮC</t>
  </si>
  <si>
    <t>BH2026080050</t>
  </si>
  <si>
    <t>xuất bán cho CÔNG TY CỔ PHẦN ĐIỆN MÁY TÂY BẮC</t>
  </si>
  <si>
    <t>CÔNG TY TNHH ÁNH LUẬT安律有限责任公司</t>
  </si>
  <si>
    <t>Xuất bán cho CÔNG TY TNHH ÁNH LUẬT销售给安律有限责任公司</t>
  </si>
  <si>
    <t>KH090</t>
  </si>
  <si>
    <t>mua 4 INP6102 tặng 1 INP6203
mua 4 INP6104tặng 1 INP6203</t>
  </si>
  <si>
    <t>KH091</t>
  </si>
  <si>
    <t>NK2026090016</t>
  </si>
  <si>
    <t>Nồi áp suất INP6902</t>
  </si>
  <si>
    <t xml:space="preserve">Tổng Công nợ </t>
  </si>
  <si>
    <t>Còn lại</t>
  </si>
  <si>
    <r>
      <t>CÔNG TY TNHH ĐỒ GIA DỤNG MINH TRÍ</t>
    </r>
    <r>
      <rPr>
        <b/>
        <sz val="11"/>
        <rFont val="等线"/>
        <family val="2"/>
        <charset val="134"/>
      </rPr>
      <t>（明智家居用品有限公司</t>
    </r>
  </si>
  <si>
    <t>BH2026080069</t>
  </si>
  <si>
    <t>BH2026090065</t>
  </si>
  <si>
    <t>INP6011</t>
    <phoneticPr fontId="1" type="noConversion"/>
  </si>
  <si>
    <t>NK2026090015</t>
    <phoneticPr fontId="1" type="noConversion"/>
  </si>
  <si>
    <t>Nồi cơm điện INP6011 (1,2L)</t>
    <phoneticPr fontId="1" type="noConversion"/>
  </si>
  <si>
    <t>BH2026090071</t>
  </si>
  <si>
    <t>KH093</t>
  </si>
  <si>
    <t>00000294</t>
  </si>
  <si>
    <t>00000295</t>
  </si>
  <si>
    <t>BH286.4</t>
  </si>
  <si>
    <t>00000296</t>
  </si>
  <si>
    <t>BH287.4</t>
  </si>
  <si>
    <t>00000297</t>
  </si>
  <si>
    <t>BH288.4</t>
  </si>
  <si>
    <t>00000298</t>
  </si>
  <si>
    <t>BH289.4</t>
  </si>
  <si>
    <t>00000299</t>
  </si>
  <si>
    <t>00000301</t>
  </si>
  <si>
    <t>BH291.4</t>
  </si>
  <si>
    <t>00000303</t>
  </si>
  <si>
    <t>BH292.4</t>
  </si>
  <si>
    <t>00000304</t>
  </si>
  <si>
    <t>00000305</t>
  </si>
  <si>
    <t>BH294.4</t>
  </si>
  <si>
    <t>xuất bán cho CÔNG TY TNHH GIA DỤNG YẾN NGUYỄN</t>
  </si>
  <si>
    <t>Nồi áp suất INP6903</t>
  </si>
  <si>
    <t>Máy sấy bát INP6601</t>
  </si>
  <si>
    <t>Máy sấy bát INP6602</t>
  </si>
  <si>
    <t>Thùng đựng gạo INP6802</t>
  </si>
  <si>
    <t>NK2026090017</t>
  </si>
  <si>
    <t>Trả lại hàng bán退货</t>
  </si>
  <si>
    <t>KH092</t>
  </si>
  <si>
    <t>Bộ nồi inox  INP1003</t>
  </si>
  <si>
    <t>xuất bán cho CÔNG TY TNHH NỘI THẤT T&amp;H HOMES</t>
  </si>
  <si>
    <t>BH2026090067</t>
  </si>
  <si>
    <t>NK2026090018</t>
  </si>
  <si>
    <t>Nồi cơm điện INP6002</t>
  </si>
  <si>
    <t>Đổi hàng cho khách 给客户换货</t>
  </si>
  <si>
    <t>BH2026090074</t>
  </si>
  <si>
    <t>BH2026090073</t>
  </si>
  <si>
    <t>BH2026090077</t>
  </si>
  <si>
    <t>BH2026090070</t>
  </si>
  <si>
    <t>BH2026090072</t>
  </si>
  <si>
    <t>BH2026090069</t>
  </si>
  <si>
    <t>CÔNG TY TNHH NỘI THẤT T&amp;H HOMES T&amp;H家居有限公司</t>
  </si>
  <si>
    <t>INP2003</t>
    <phoneticPr fontId="1" type="noConversion"/>
  </si>
  <si>
    <t>BH2026090074</t>
    <phoneticPr fontId="1" type="noConversion"/>
  </si>
  <si>
    <t>SHENZHEN MEISHENGFA TRADE CO.,LTD</t>
  </si>
  <si>
    <t>NCC01</t>
  </si>
  <si>
    <t>Nồi cơm điện INP6006</t>
  </si>
  <si>
    <t>Nồi cơm điện INP6007</t>
  </si>
  <si>
    <t>Nồi cơm điện INP6009</t>
  </si>
  <si>
    <t>Nồi cơm điện INP6010</t>
  </si>
  <si>
    <t>Nồi cơm điện INP6011</t>
  </si>
  <si>
    <t>Nồi cơm điện INP6012</t>
  </si>
  <si>
    <t>INP6209</t>
  </si>
  <si>
    <t>Ấm siêu tốc INP6209</t>
  </si>
  <si>
    <t>NK2026090019</t>
  </si>
  <si>
    <t>mua hàng của SHENZHEN MEISHENGFA TRADE CO.,LTD</t>
  </si>
  <si>
    <t>BH2026090078</t>
  </si>
  <si>
    <t>mua 7 INP6011(BH2026090078) + 8 INP6011(BH2026090070) tặng 1</t>
  </si>
  <si>
    <t>Chuyển sang nhà Nhân Vượng rồi mới chuyển về kho</t>
  </si>
  <si>
    <t>BH2026090075</t>
  </si>
  <si>
    <t>BH2026090068</t>
  </si>
  <si>
    <t>mua 4 (INP6102, INP6103, INP6104) tặng 1 INP6203</t>
  </si>
  <si>
    <t>BH2026090076</t>
  </si>
  <si>
    <t>BH2026090079</t>
  </si>
  <si>
    <t>mua 10 INP6202 tặng 1 INP6202</t>
  </si>
  <si>
    <t>thiếu 2 INP6202 chưa chuyển hàng cho khách</t>
  </si>
  <si>
    <t>Nk2026090020</t>
  </si>
  <si>
    <t>NK2026090021</t>
  </si>
  <si>
    <t>nhập kho bảo hành</t>
  </si>
  <si>
    <t>BH2026090080</t>
  </si>
  <si>
    <t>BH2026090083</t>
  </si>
  <si>
    <t>BH2026090082</t>
  </si>
  <si>
    <r>
      <t xml:space="preserve">mã khách hàng
</t>
    </r>
    <r>
      <rPr>
        <b/>
        <sz val="11"/>
        <rFont val="Times New Roman"/>
        <family val="1"/>
      </rPr>
      <t>客户编号</t>
    </r>
  </si>
  <si>
    <r>
      <t>Tên Khách Hàng(</t>
    </r>
    <r>
      <rPr>
        <b/>
        <sz val="11"/>
        <rFont val="微软雅黑"/>
        <family val="1"/>
        <charset val="134"/>
      </rPr>
      <t>中文</t>
    </r>
    <r>
      <rPr>
        <b/>
        <sz val="11"/>
        <rFont val="Arial"/>
        <family val="2"/>
      </rPr>
      <t>)</t>
    </r>
  </si>
  <si>
    <r>
      <t xml:space="preserve">số chứng từ 
</t>
    </r>
    <r>
      <rPr>
        <b/>
        <sz val="11"/>
        <rFont val="Times New Roman"/>
        <family val="1"/>
      </rPr>
      <t>订单编号</t>
    </r>
  </si>
  <si>
    <r>
      <t xml:space="preserve">ngày xuất HĐ
</t>
    </r>
    <r>
      <rPr>
        <b/>
        <sz val="11"/>
        <rFont val="Times New Roman"/>
        <family val="1"/>
      </rPr>
      <t>发票日期</t>
    </r>
  </si>
  <si>
    <r>
      <t xml:space="preserve">số chứng từ mới
</t>
    </r>
    <r>
      <rPr>
        <b/>
        <sz val="11"/>
        <rFont val="Times New Roman"/>
        <family val="1"/>
      </rPr>
      <t>发票订单号</t>
    </r>
  </si>
  <si>
    <r>
      <t xml:space="preserve">số hóa đơn
</t>
    </r>
    <r>
      <rPr>
        <b/>
        <sz val="11"/>
        <rFont val="Times New Roman"/>
        <family val="1"/>
      </rPr>
      <t>发票号</t>
    </r>
  </si>
  <si>
    <r>
      <t xml:space="preserve">diễn giải
</t>
    </r>
    <r>
      <rPr>
        <b/>
        <sz val="11"/>
        <rFont val="Times New Roman"/>
        <family val="1"/>
      </rPr>
      <t>摘要</t>
    </r>
  </si>
  <si>
    <r>
      <t xml:space="preserve">Tên Hàng
</t>
    </r>
    <r>
      <rPr>
        <b/>
        <sz val="11"/>
        <rFont val="Times New Roman"/>
        <family val="1"/>
      </rPr>
      <t>产品规格</t>
    </r>
  </si>
  <si>
    <r>
      <t xml:space="preserve">Xuất bán cho Vương Tuyết Mai </t>
    </r>
    <r>
      <rPr>
        <sz val="11"/>
        <color theme="1"/>
        <rFont val="Times New Roman"/>
        <family val="1"/>
      </rPr>
      <t>销售给王雪梅</t>
    </r>
  </si>
  <si>
    <r>
      <t>Xuất bán Công ty TNHH Tổng hợp Bằng Ánh</t>
    </r>
    <r>
      <rPr>
        <sz val="11"/>
        <color theme="1"/>
        <rFont val="Times New Roman"/>
        <family val="1"/>
      </rPr>
      <t>销售给邦映综合有限责任公司</t>
    </r>
  </si>
  <si>
    <t>00000272</t>
  </si>
  <si>
    <r>
      <t>Thu tiền khách hàng Chuyển khoản ngân hàng</t>
    </r>
    <r>
      <rPr>
        <sz val="11"/>
        <color theme="1"/>
        <rFont val="Times New Roman"/>
        <family val="1"/>
      </rPr>
      <t>货款通过银行转账</t>
    </r>
  </si>
  <si>
    <r>
      <t xml:space="preserve">CÔNG TY TNHH THƯƠNG MẠI &amp; DỊCH VỤ SƠN HIỀN SL </t>
    </r>
    <r>
      <rPr>
        <b/>
        <sz val="11"/>
        <color theme="1"/>
        <rFont val="等线"/>
        <family val="2"/>
      </rPr>
      <t>山贤</t>
    </r>
    <r>
      <rPr>
        <b/>
        <sz val="11"/>
        <color theme="1"/>
        <rFont val="Arial"/>
        <family val="2"/>
      </rPr>
      <t>SL</t>
    </r>
    <r>
      <rPr>
        <b/>
        <sz val="11"/>
        <color theme="1"/>
        <rFont val="等线"/>
        <family val="2"/>
      </rPr>
      <t>贸易服务有限责任公司</t>
    </r>
  </si>
  <si>
    <r>
      <t>xuất bán cho CÔNG TY TNHH THƯƠNG MẠI &amp; DỊCH VỤ SƠN HIỀN SL</t>
    </r>
    <r>
      <rPr>
        <sz val="11"/>
        <color theme="1"/>
        <rFont val="Times New Roman"/>
        <family val="1"/>
      </rPr>
      <t>销售给山贤</t>
    </r>
    <r>
      <rPr>
        <sz val="11"/>
        <color theme="1"/>
        <rFont val="Arial"/>
        <family val="2"/>
      </rPr>
      <t>SL</t>
    </r>
    <r>
      <rPr>
        <sz val="11"/>
        <color theme="1"/>
        <rFont val="Times New Roman"/>
        <family val="1"/>
      </rPr>
      <t>贸易服务有限责任公司</t>
    </r>
  </si>
  <si>
    <r>
      <t>Xuất bán cho Hồ Thế Anh</t>
    </r>
    <r>
      <rPr>
        <sz val="11"/>
        <color theme="1"/>
        <rFont val="Times New Roman"/>
        <family val="1"/>
      </rPr>
      <t>胡世英销售产品</t>
    </r>
  </si>
  <si>
    <r>
      <t>khách hàng tự  trả tiền vận chuyển</t>
    </r>
    <r>
      <rPr>
        <sz val="11"/>
        <color theme="1"/>
        <rFont val="Times New Roman"/>
        <family val="1"/>
      </rPr>
      <t>客户自行支付运输费</t>
    </r>
  </si>
  <si>
    <r>
      <t>CÔNG TY TNHH ÁNH LUẬT</t>
    </r>
    <r>
      <rPr>
        <b/>
        <sz val="11"/>
        <color theme="1"/>
        <rFont val="等线"/>
        <family val="2"/>
      </rPr>
      <t>安律有限责任公司</t>
    </r>
  </si>
  <si>
    <r>
      <t>Xuất bán cho CÔNG TY TNHH ÁNH LUẬT</t>
    </r>
    <r>
      <rPr>
        <sz val="11"/>
        <color theme="1"/>
        <rFont val="Times New Roman"/>
        <family val="1"/>
      </rPr>
      <t>销售给安律有限责任公司</t>
    </r>
  </si>
  <si>
    <r>
      <t>NGUYỄN THỊ MINH NGỌC</t>
    </r>
    <r>
      <rPr>
        <b/>
        <sz val="11"/>
        <color theme="1"/>
        <rFont val="等线"/>
        <family val="2"/>
      </rPr>
      <t>（阮明玉（平明）</t>
    </r>
  </si>
  <si>
    <r>
      <t>xuất bán cho Nguyễn Minh Ngọc ( Bình Minh)</t>
    </r>
    <r>
      <rPr>
        <sz val="11"/>
        <color theme="1"/>
        <rFont val="Times New Roman"/>
        <family val="1"/>
      </rPr>
      <t>（阮明玉（平明）销售产品</t>
    </r>
  </si>
  <si>
    <r>
      <t xml:space="preserve">mua bếp từ tặng nồi lẩu </t>
    </r>
    <r>
      <rPr>
        <sz val="11"/>
        <color theme="1"/>
        <rFont val="Times New Roman"/>
        <family val="1"/>
      </rPr>
      <t>购买电磁炉，赠送火锅</t>
    </r>
  </si>
  <si>
    <r>
      <t>CÔNG TY CỔ PHẦN ĐIỆN MÁY TÂY BẮC</t>
    </r>
    <r>
      <rPr>
        <b/>
        <sz val="11"/>
        <color theme="1"/>
        <rFont val="等线"/>
        <family val="2"/>
      </rPr>
      <t>西北电器股份公司</t>
    </r>
  </si>
  <si>
    <r>
      <t>xuất bán cho CÔNG TY CỔ PHẦN ĐIỆN MÁY TÂY BẮC</t>
    </r>
    <r>
      <rPr>
        <sz val="11"/>
        <color theme="1"/>
        <rFont val="Times New Roman"/>
        <family val="1"/>
      </rPr>
      <t>销售给西北电器股份公司</t>
    </r>
  </si>
  <si>
    <r>
      <t>xuất bán cho CÔNG TY TNHH XUẤT NHẬP KHẨU HOÀNG TÂN</t>
    </r>
    <r>
      <rPr>
        <sz val="11"/>
        <color theme="1"/>
        <rFont val="Times New Roman"/>
        <family val="1"/>
      </rPr>
      <t>向黄新进出口有限责任公司销售产品</t>
    </r>
  </si>
  <si>
    <t>00000306</t>
  </si>
  <si>
    <t>00000307</t>
  </si>
  <si>
    <t>00000308</t>
  </si>
  <si>
    <t>00000309</t>
  </si>
  <si>
    <t>00000310</t>
  </si>
  <si>
    <t>00000311</t>
  </si>
  <si>
    <r>
      <t xml:space="preserve">Mua 15 tặng 1 </t>
    </r>
    <r>
      <rPr>
        <sz val="10"/>
        <color theme="1"/>
        <rFont val="宋体"/>
        <family val="1"/>
        <charset val="134"/>
      </rPr>
      <t>购买</t>
    </r>
    <r>
      <rPr>
        <sz val="10"/>
        <color theme="1"/>
        <rFont val="Arial"/>
        <family val="2"/>
      </rPr>
      <t>15</t>
    </r>
    <r>
      <rPr>
        <sz val="10"/>
        <color theme="1"/>
        <rFont val="宋体"/>
        <family val="1"/>
        <charset val="134"/>
      </rPr>
      <t>件，赠送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1"/>
        <charset val="134"/>
      </rPr>
      <t>件</t>
    </r>
  </si>
  <si>
    <r>
      <t xml:space="preserve">Đã  thanh toán
</t>
    </r>
    <r>
      <rPr>
        <b/>
        <sz val="12"/>
        <rFont val="宋体"/>
        <family val="1"/>
        <charset val="134"/>
      </rPr>
      <t>（收款）</t>
    </r>
    <r>
      <rPr>
        <b/>
        <sz val="12"/>
        <rFont val="Times New Roman"/>
        <family val="1"/>
      </rPr>
      <t xml:space="preserve"> </t>
    </r>
  </si>
  <si>
    <t>Xuất kho bảo hành</t>
  </si>
  <si>
    <t xml:space="preserve">Quần áo màu xanh S </t>
  </si>
  <si>
    <t>Quần áo màu xanh M</t>
  </si>
  <si>
    <t>Quần áo màu xanh L</t>
  </si>
  <si>
    <t>Quần áo màu xanh XL</t>
  </si>
  <si>
    <t>Quần áo màu xanh 2XL</t>
  </si>
  <si>
    <t>tặng Nhà Phân Phối 送给经销商</t>
  </si>
  <si>
    <t>BH2026090088</t>
  </si>
  <si>
    <t>BH2026090084</t>
  </si>
  <si>
    <t>BH2026090089</t>
  </si>
  <si>
    <t>BH2026090086</t>
  </si>
  <si>
    <t>Hộ Kinh Doanh Đào Thị Quỳnh Hoa 陶氏琼花个体工商户</t>
  </si>
  <si>
    <t>Xuất bán cho Hộ Kinh Doanh Đào Thị Quỳnh Hoa陶氏琼花个体工商户销售产品</t>
  </si>
  <si>
    <t>BH2026090085</t>
  </si>
  <si>
    <t>BH2026090081</t>
  </si>
  <si>
    <t>BH2026090092</t>
  </si>
  <si>
    <t>BH2026090091</t>
  </si>
  <si>
    <t>BH2026090094</t>
  </si>
  <si>
    <t>NK2026090022</t>
  </si>
  <si>
    <t>Ấm siêu tốc INP 6209</t>
  </si>
  <si>
    <t>Nguyễn An Ninh 阮安宁</t>
  </si>
  <si>
    <t>Nguyễn Tuấn Hoàng</t>
  </si>
  <si>
    <t>KH094</t>
  </si>
  <si>
    <t>BH2026090093</t>
  </si>
  <si>
    <t>Xuất bán cho  Nguyễn Tuấn Hoàng</t>
  </si>
  <si>
    <t>BH2026090096</t>
  </si>
  <si>
    <t>00000320</t>
  </si>
  <si>
    <t>BH2026090087</t>
  </si>
  <si>
    <t>NK2026090023</t>
  </si>
  <si>
    <t>BH2026090090</t>
  </si>
  <si>
    <t>BH2026090095</t>
  </si>
  <si>
    <t>mua 10 tặng 1</t>
  </si>
  <si>
    <t>BH2026090098</t>
  </si>
  <si>
    <t>BH2026090097</t>
  </si>
  <si>
    <t>BH2026090102</t>
  </si>
  <si>
    <t>CN Quạt</t>
  </si>
  <si>
    <t>Còn nợ</t>
  </si>
  <si>
    <t>còn Nợ (Trừ Quạt)</t>
  </si>
  <si>
    <t>BH2026090100</t>
  </si>
  <si>
    <t>BH2026090050</t>
  </si>
  <si>
    <t>BH2026090059</t>
  </si>
  <si>
    <t>BH2026090058</t>
  </si>
  <si>
    <t>BH2026090053</t>
  </si>
  <si>
    <t>CÔNG TY TNHH XUẤT NHẬP KHẨU HOÀNG TÂN</t>
  </si>
  <si>
    <t>BH2026090103</t>
  </si>
  <si>
    <t>BH2026090101</t>
  </si>
  <si>
    <t>BH2026090099</t>
  </si>
  <si>
    <t>BH2026090060</t>
  </si>
  <si>
    <t>BH00209</t>
  </si>
  <si>
    <t>BH290.4</t>
  </si>
  <si>
    <t>Nợ Đến Hạn (đến cuối tháng 8)</t>
  </si>
  <si>
    <t>Đã xuất HĐ</t>
  </si>
  <si>
    <t>Công nợ đến 25/08 (Trừ mẫu)</t>
  </si>
  <si>
    <t>Nợ chưa đến hạn</t>
  </si>
  <si>
    <t>Tổng Công Nợ</t>
  </si>
  <si>
    <t>BH2026080036</t>
    <phoneticPr fontId="0" type="noConversion"/>
  </si>
  <si>
    <t>00000326</t>
  </si>
  <si>
    <t>00000328</t>
  </si>
  <si>
    <t>00000330</t>
  </si>
  <si>
    <t>00000312</t>
  </si>
  <si>
    <t>BH302.4</t>
  </si>
  <si>
    <t>00000313</t>
  </si>
  <si>
    <t>BH303.4</t>
  </si>
  <si>
    <t>00000314</t>
  </si>
  <si>
    <t>BH304.4</t>
  </si>
  <si>
    <t>00000315</t>
  </si>
  <si>
    <t>BH305.4</t>
  </si>
  <si>
    <t>00000318</t>
  </si>
  <si>
    <t>BH308.4</t>
  </si>
  <si>
    <t>00000319</t>
  </si>
  <si>
    <t>BH309.4</t>
  </si>
  <si>
    <t>00000321</t>
  </si>
  <si>
    <t>BH311.4</t>
  </si>
  <si>
    <t>00000322</t>
  </si>
  <si>
    <t>BH312.4</t>
  </si>
  <si>
    <t>00000323</t>
  </si>
  <si>
    <t>BH313.4</t>
  </si>
  <si>
    <t>BH2026090104</t>
  </si>
  <si>
    <t>xuất bù tặng đơn ngày 14/09/2026</t>
  </si>
  <si>
    <t>BH2026100107</t>
  </si>
  <si>
    <t>INP6151</t>
  </si>
  <si>
    <t>Bếp hồng ngoại INP6151</t>
  </si>
  <si>
    <t>INP6152</t>
  </si>
  <si>
    <t>Bếp hồng ngoại INP6152</t>
  </si>
  <si>
    <t>INP6153</t>
  </si>
  <si>
    <t>Bếp hồng ngoại INP6153</t>
  </si>
  <si>
    <t>INP6154</t>
  </si>
  <si>
    <t>Bếp hồng ngoại INP6154</t>
  </si>
  <si>
    <t>NK2026100024</t>
  </si>
  <si>
    <t>INP6207</t>
  </si>
  <si>
    <t>Ấm siêu tốc INP6207</t>
  </si>
  <si>
    <t>INP6208</t>
  </si>
  <si>
    <t>Ấm siêu tốc INP6208</t>
  </si>
  <si>
    <t>00000329</t>
  </si>
  <si>
    <t>BH320.4</t>
  </si>
  <si>
    <t>BH319.4</t>
  </si>
  <si>
    <t>BH321.4</t>
  </si>
  <si>
    <t>00000331</t>
  </si>
  <si>
    <t>đã xuất bù 1 cái ở đơn  BH2026090099</t>
  </si>
  <si>
    <t>00000332</t>
  </si>
  <si>
    <t>BH322.4</t>
  </si>
  <si>
    <t>00000333</t>
  </si>
  <si>
    <t>BH323.4</t>
  </si>
  <si>
    <t>00000334</t>
  </si>
  <si>
    <t>BH324.4</t>
  </si>
  <si>
    <t>INP6010</t>
    <phoneticPr fontId="1" type="noConversion"/>
  </si>
  <si>
    <t>INP6001</t>
    <phoneticPr fontId="1" type="noConversion"/>
  </si>
  <si>
    <t>BH2026090050</t>
    <phoneticPr fontId="1" type="noConversion"/>
  </si>
  <si>
    <t>Nồi mã INP1301A</t>
    <phoneticPr fontId="1" type="noConversion"/>
  </si>
  <si>
    <t>INP1301A</t>
    <phoneticPr fontId="1" type="noConversion"/>
  </si>
  <si>
    <t>BH2026100110</t>
  </si>
  <si>
    <t>CÔNG TY TNHH DỊCH VỤ THƯƠNG MẠI VÀ TỔNG HỢP AN THỊNH（安盛综合贸易服务有限公司</t>
  </si>
  <si>
    <t>KH080</t>
  </si>
  <si>
    <t>BH2026100109</t>
  </si>
  <si>
    <t xml:space="preserve"> INP1501</t>
  </si>
  <si>
    <t xml:space="preserve"> INP1502</t>
  </si>
  <si>
    <t>Ấm đun nước 3L INP1502</t>
  </si>
  <si>
    <t xml:space="preserve"> INP1503</t>
  </si>
  <si>
    <t>Ấm đun nước 3L INP1503</t>
  </si>
  <si>
    <t>xuất bán cho CÔNG TY TNHH DỊCH VỤ THƯƠNG MẠI VÀ TỔNG HỢP AN THỊNH（安盛综合贸易服务有限公司销售产品</t>
  </si>
  <si>
    <t>BH2026100105</t>
  </si>
  <si>
    <t>BH2026100106</t>
  </si>
  <si>
    <t>KH056</t>
  </si>
  <si>
    <t>BH2026100108</t>
  </si>
  <si>
    <t>Thanh Anh（清英 )</t>
  </si>
  <si>
    <t>xuất bán cho Thanh Anh（清英 销售产品)</t>
  </si>
  <si>
    <t xml:space="preserve"> INP1003 </t>
  </si>
  <si>
    <t>Tuấn Lan 俊兰</t>
  </si>
  <si>
    <t>00000336</t>
  </si>
  <si>
    <t>BH326.4</t>
  </si>
  <si>
    <t>00000325</t>
  </si>
  <si>
    <t>BH315.4</t>
  </si>
  <si>
    <t>NK2026100025</t>
  </si>
  <si>
    <t>hàng lỗi</t>
  </si>
  <si>
    <t>Quạt INP6403</t>
  </si>
  <si>
    <t>Quạt tích điện INP6410</t>
  </si>
  <si>
    <t>Nhập hàng dự trữ vào kho</t>
  </si>
  <si>
    <t>NK2026100026</t>
  </si>
  <si>
    <t>BH2026100113</t>
  </si>
  <si>
    <t>kiểm định 检测样</t>
  </si>
  <si>
    <t>BH2026100114</t>
  </si>
  <si>
    <t>BH2026100115</t>
  </si>
  <si>
    <t>BH2026100112</t>
    <phoneticPr fontId="1" type="noConversion"/>
  </si>
  <si>
    <t>BH2026100111</t>
  </si>
  <si>
    <t>BH2026100116</t>
  </si>
  <si>
    <t>BH2026100117</t>
  </si>
  <si>
    <t>BH2026100119</t>
  </si>
  <si>
    <t>INP6209A</t>
  </si>
  <si>
    <t>Ấm siêu tốc INP6209A</t>
  </si>
  <si>
    <t>INP6209B</t>
  </si>
  <si>
    <t>Ấm siêu tốc INP6209B</t>
  </si>
  <si>
    <t>KHO</t>
  </si>
  <si>
    <t>BH2026100118</t>
  </si>
  <si>
    <t>hàng mẫu mang lên vp dưới kho</t>
  </si>
  <si>
    <t xml:space="preserve"> INP6003</t>
  </si>
  <si>
    <t>BH2026100120</t>
  </si>
  <si>
    <t>BH314.4</t>
  </si>
  <si>
    <t>00000324</t>
  </si>
  <si>
    <t>BH2026100121</t>
  </si>
  <si>
    <t>NK2026100027</t>
  </si>
  <si>
    <t>Bộ nồi Inox INP2001</t>
  </si>
  <si>
    <t>Máy xay thịt INP6701</t>
  </si>
  <si>
    <t>Chảo gang INP3201</t>
  </si>
  <si>
    <t>Quạt điện INP6403</t>
  </si>
  <si>
    <t>NK2026100028</t>
  </si>
  <si>
    <t>Ấm Đun Nước 3L INP1501</t>
  </si>
  <si>
    <t>Ấm Đun Nước 4L INP1502</t>
  </si>
  <si>
    <t>BH2026100123</t>
  </si>
  <si>
    <t>BH2026100124</t>
  </si>
  <si>
    <t xml:space="preserve">Mang đi tặng </t>
  </si>
  <si>
    <t>BH2026100127</t>
  </si>
  <si>
    <t>Nguyễn Anh Tuấn</t>
  </si>
  <si>
    <t>Xuất bán cho Nguyễn Anh Tuấn</t>
  </si>
  <si>
    <t xml:space="preserve"> BH2026100125</t>
  </si>
  <si>
    <t>BH2026100128</t>
  </si>
  <si>
    <t>BH2026100126</t>
  </si>
  <si>
    <t>BH2026100122</t>
  </si>
  <si>
    <t>Trả bảo hành 售后保修退货</t>
  </si>
  <si>
    <t>Tổng Công nợ (2025+2026)</t>
  </si>
  <si>
    <t xml:space="preserve"> công nợ đơn ( 2025)</t>
  </si>
  <si>
    <t>còn lại công nợ  ( không tính quạt và đơn 2025)</t>
  </si>
  <si>
    <t>BH2026100129</t>
  </si>
  <si>
    <t>BH2026100130</t>
  </si>
  <si>
    <t>Mua 12  INP6101 tặng 1 INP6203</t>
  </si>
  <si>
    <t>00000343</t>
  </si>
  <si>
    <t>BH333.4</t>
  </si>
  <si>
    <t>Nồi áp suất INP1401</t>
  </si>
  <si>
    <t>Nồi cơm điện tử INP6002</t>
  </si>
  <si>
    <t>NK2026100030</t>
  </si>
  <si>
    <t>Nồi luộn gà INP2202</t>
  </si>
  <si>
    <t>Bộ nồi INP1101</t>
  </si>
  <si>
    <t>Nồi áp suất INP1402</t>
  </si>
  <si>
    <t>Bộ nồi INP2003</t>
  </si>
  <si>
    <t>Chảo chống dính INP2105</t>
  </si>
  <si>
    <t>Chảo chống dính INP2106</t>
  </si>
  <si>
    <t>Chảo chống dính INP2108</t>
  </si>
  <si>
    <t>Chảo chống dính INP2109</t>
  </si>
  <si>
    <t>Chảo chống dính INP2110</t>
  </si>
  <si>
    <t>Chảo chống dính INP2111</t>
  </si>
  <si>
    <t>Nồi gang tráng men INP3001</t>
  </si>
  <si>
    <t>Nồi gang tráng men INP3002</t>
  </si>
  <si>
    <t>Nồi gang tráng men INP3003</t>
  </si>
  <si>
    <t>Nồi gang tráng men INP3004</t>
  </si>
  <si>
    <t>Nồi gang tráng men INP3005</t>
  </si>
  <si>
    <t>Nồi cơm điện tử INP6001</t>
  </si>
  <si>
    <t>NK2026100029</t>
  </si>
  <si>
    <t>hàng mới bị oxy hóa</t>
  </si>
  <si>
    <t>nồi mới bị xỳ hơi</t>
  </si>
  <si>
    <t>Nồi mới lòng nồi bị rỉ</t>
  </si>
  <si>
    <t>hàng mới móp</t>
  </si>
  <si>
    <t>hàng mới ko vào điện</t>
  </si>
  <si>
    <t>hàng mới bị móp</t>
  </si>
  <si>
    <t>1 cái hàng mới bể nắp+1 cái rò điện</t>
  </si>
  <si>
    <t>Nồi luộc gà INP1201</t>
  </si>
  <si>
    <t>Trả lại hàng bán 退货</t>
  </si>
  <si>
    <t>BH2026100132</t>
  </si>
  <si>
    <t>BH2026100135</t>
  </si>
  <si>
    <t>BH2026100131</t>
  </si>
  <si>
    <t>Nồi cơm điện INP6008</t>
  </si>
  <si>
    <t>NK2026100033</t>
  </si>
  <si>
    <t>Nồi cơm điện 6005</t>
  </si>
  <si>
    <t>Trả lại hàng lỗi hỏng</t>
  </si>
  <si>
    <t>NK2026100032</t>
  </si>
  <si>
    <t>Vợt muỗi INP7901</t>
  </si>
  <si>
    <t>Vợt muỗi INP7902</t>
  </si>
  <si>
    <t>NK2026100031</t>
  </si>
  <si>
    <t>BH2026100136</t>
  </si>
  <si>
    <t>BH2026100137</t>
  </si>
  <si>
    <t>Đổi lại hàng lỗi cho khách</t>
  </si>
  <si>
    <t>00000344</t>
  </si>
  <si>
    <t>BH334.4</t>
  </si>
  <si>
    <t>00000345</t>
  </si>
  <si>
    <t>BH335.4</t>
  </si>
  <si>
    <t>00000346</t>
  </si>
  <si>
    <t>BH336.4</t>
  </si>
  <si>
    <t>00000347</t>
  </si>
  <si>
    <t>BH337.4</t>
  </si>
  <si>
    <t>00000348</t>
  </si>
  <si>
    <t>BH338.4</t>
  </si>
  <si>
    <t>00000349</t>
  </si>
  <si>
    <t>BH339.4</t>
  </si>
  <si>
    <t>ngày xuất/nhập kho  出/入单日期</t>
  </si>
  <si>
    <t>CÔNG TY CỔ PHẦN GIA DỤNG CHÂU ÂU EUROHI 欧洲家居用品股份公司</t>
  </si>
  <si>
    <t>CÔNG TY TNHH ĐỒ GIA DỤNG MINH TRÍ（明智家居用品有限公司</t>
  </si>
  <si>
    <t>CÔNG TY TNHH  THƯƠNG MẠI TỔNG HỢP BẰNG ÁNH（凭映综合贸易有限责任公司</t>
  </si>
  <si>
    <t>CÔNG TY TNHH THƯƠNG MẠI GIANG MINH NGỌC（江明玉贸易有限公司</t>
  </si>
  <si>
    <t>Xuất bán CÔNG TY TNHH THƯƠNG MẠI GIANG MINH NGỌC 向江明玉销售产品</t>
  </si>
  <si>
    <t>CÔNG TY TNHH ĐẦU TƯ THƯƠNG MẠI QUỐC TẾ VIỆT LỢI（越利国际投资贸易有限公司</t>
  </si>
  <si>
    <t>Xuất bán CÔNG TY TNHH ĐẦU TƯ THƯƠNG MẠI QUỐC TẾ VIỆT LỢI越利购买赠品</t>
  </si>
  <si>
    <t>CÔNG TY TNHH XUẤT NHẬP KHẨU TỔNG HỢP PHÚ HƯNG THỊNH (富兴盛综合进出口有限公司)</t>
  </si>
  <si>
    <t>Xuất bán cho Trần Ngọc Kiên 销售给陈玉坚</t>
  </si>
  <si>
    <t>CÔNG TY TNHH THIẾT BỊ BẾP VÀ GIA DỤNG AN PHÚ(安富厨具及家用电器有限责任公司)</t>
  </si>
  <si>
    <t>xuất bán cho CÔNG TY TNHH THƯƠNG MẠI &amp; DỊCH VỤ SƠN HIỀN SL销售给山贤SL贸易服务有限责任公司</t>
  </si>
  <si>
    <t>Xuất bán Cửa hàng Phương Bắc销售给北方商店</t>
  </si>
  <si>
    <t>Xuất mang đi kiểm định 出库送去检测</t>
  </si>
  <si>
    <t>a Ninh mang về bảo hành宁哥带回维修</t>
  </si>
  <si>
    <t>Cảnh Cường gửi bảo hành đổi trả景强寄来维修换货</t>
  </si>
  <si>
    <t>Xuất kho tìm  dự án cho Nguyễn An Ninh 出库寻找项目给阮安宁</t>
  </si>
  <si>
    <t>CÔNG TY TNHH ĐẦU TƯ THƯƠNG MẠI XUÂN HÙNG（春雄贸易投资有限责任公司</t>
  </si>
  <si>
    <t>NGUYỄN THỊ MINH NGỌC（阮明玉（平明）</t>
  </si>
  <si>
    <t>Nhập lại hàng lỗi 退回入库不良品</t>
  </si>
  <si>
    <t>trả lại hàng đã mang lên vp chụp ảnh 退回带到办公室拍照的货物</t>
  </si>
  <si>
    <t>CÔNG TY CỔ PHẦN ĐIỆN MÁY TÂY BẮC西北电器股份公司</t>
  </si>
  <si>
    <t>xuất bán cho CÔNG TY CỔ PHẦN ĐIỆN MÁY TÂY BẮC销售给西北电器股份公司</t>
  </si>
  <si>
    <t>mang lên công ty để chụp ảnh拿到公司拍照</t>
  </si>
  <si>
    <t>xuất bán cho CÔNG TY TNHH XUẤT NHẬP KHẨU HOÀNG TÂN向黄新进出口有限责任公司销售产品</t>
  </si>
  <si>
    <r>
      <rPr>
        <sz val="12"/>
        <color theme="1"/>
        <rFont val="Times New Roman"/>
        <family val="1"/>
      </rPr>
      <t>00000096</t>
    </r>
  </si>
  <si>
    <r>
      <t>Hồ Thế Anh</t>
    </r>
    <r>
      <rPr>
        <sz val="12"/>
        <color theme="1"/>
        <rFont val="Times New Roman"/>
        <family val="1"/>
      </rPr>
      <t>胡世英</t>
    </r>
  </si>
  <si>
    <t>BH2026100134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</si>
</sst>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#,##0.00;[Red]#,##0.00"/>
    <numFmt numFmtId="166" formatCode="#,##0;[Red]#,##0"/>
    <numFmt numFmtId="167" formatCode="0_);[Red]\(0\)"/>
    <numFmt numFmtId="168" formatCode="0.00_);[Red]\(0.00\)"/>
    <numFmt numFmtId="169" formatCode="yyyy\-mm\-dd;@"/>
    <numFmt numFmtId="170" formatCode="#,##0\ [$₫-42A]_);[Red]\(#,##0\ [$₫-42A]\)"/>
    <numFmt numFmtId="171" formatCode="#,##0.00\ [$₫-42A];[Red]\-#,##0.00\ [$₫-42A]"/>
    <numFmt numFmtId="172" formatCode="#,##0\ [$₫-42A];[Red]#,##0\ [$₫-42A]"/>
    <numFmt numFmtId="173" formatCode="0;[Red]0"/>
    <numFmt numFmtId="174" formatCode="0.00_ ;[Red]\-0.00\ "/>
  </numFmts>
  <fonts count="8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name val="微软雅黑"/>
      <family val="1"/>
      <charset val="134"/>
    </font>
    <font>
      <sz val="11"/>
      <name val="Times New Roman"/>
      <family val="1"/>
    </font>
    <font>
      <b/>
      <sz val="10"/>
      <name val="Arial"/>
      <family val="2"/>
    </font>
    <font>
      <b/>
      <sz val="10"/>
      <name val="等线"/>
      <family val="2"/>
      <charset val="134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  <charset val="134"/>
    </font>
    <font>
      <sz val="11"/>
      <name val="宋体"/>
      <family val="1"/>
      <charset val="134"/>
    </font>
    <font>
      <sz val="10"/>
      <name val="Arial"/>
      <family val="2"/>
      <charset val="134"/>
    </font>
    <font>
      <sz val="10"/>
      <name val="Arial"/>
      <family val="2"/>
    </font>
    <font>
      <sz val="10"/>
      <name val="宋体"/>
      <family val="2"/>
      <charset val="134"/>
    </font>
    <font>
      <b/>
      <sz val="11"/>
      <name val="Calibri"/>
      <family val="2"/>
      <scheme val="minor"/>
    </font>
    <font>
      <b/>
      <sz val="12"/>
      <name val="宋体"/>
      <family val="1"/>
      <charset val="134"/>
    </font>
    <font>
      <b/>
      <sz val="11"/>
      <name val="宋体"/>
      <family val="1"/>
      <charset val="134"/>
    </font>
    <font>
      <sz val="12"/>
      <name val="宋体"/>
      <family val="1"/>
      <charset val="134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name val="等线"/>
      <family val="2"/>
      <charset val="134"/>
    </font>
    <font>
      <b/>
      <sz val="11"/>
      <name val="等线"/>
      <family val="3"/>
      <charset val="134"/>
    </font>
    <font>
      <b/>
      <sz val="11"/>
      <color theme="1"/>
      <name val="等线"/>
      <family val="2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rgb="FF11111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111111"/>
      <name val="Times New Roman"/>
      <family val="1"/>
    </font>
    <font>
      <b/>
      <sz val="12"/>
      <color rgb="FF111111"/>
      <name val="Times New Roman"/>
      <family val="1"/>
    </font>
    <font>
      <sz val="11"/>
      <color rgb="FFFF0000"/>
      <name val="Arial"/>
      <family val="2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Arial"/>
      <family val="2"/>
    </font>
    <font>
      <b/>
      <sz val="11"/>
      <name val="微软雅黑"/>
      <family val="1"/>
      <charset val="134"/>
    </font>
    <font>
      <sz val="11"/>
      <color rgb="FF000000"/>
      <name val="Times New Roman"/>
      <family val="1"/>
    </font>
    <font>
      <b/>
      <sz val="10"/>
      <name val="微软雅黑"/>
      <family val="1"/>
      <charset val="134"/>
    </font>
    <font>
      <b/>
      <sz val="10"/>
      <name val="宋体"/>
      <family val="1"/>
      <charset val="134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1"/>
      <charset val="134"/>
    </font>
    <font>
      <b/>
      <sz val="10"/>
      <color theme="1"/>
      <name val="Calibri"/>
      <family val="2"/>
      <scheme val="minor"/>
    </font>
    <font>
      <sz val="9"/>
      <name val="Times New Roman"/>
      <family val="1"/>
    </font>
    <font>
      <b/>
      <sz val="12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Times New Roman"/>
      <family val="2"/>
    </font>
    <font>
      <sz val="11"/>
      <color rgb="FF1111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111111"/>
      <name val="Times New Roman"/>
      <family val="1"/>
    </font>
    <font>
      <b/>
      <sz val="11"/>
      <color rgb="FFFF0000"/>
      <name val="Calibri"/>
      <family val="2"/>
      <scheme val="minor"/>
    </font>
    <font>
      <sz val="9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4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94C9CE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>
      <alignment vertical="center"/>
    </xf>
    <xf numFmtId="0" fontId="68" fillId="0" borderId="0"/>
  </cellStyleXfs>
  <cellXfs count="1247">
    <xf numFmtId="0" fontId="0" fillId="0" borderId="0" xfId="0"/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right" vertical="center"/>
    </xf>
    <xf numFmtId="14" fontId="12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5" fontId="12" fillId="3" borderId="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165" fontId="12" fillId="6" borderId="1" xfId="0" applyNumberFormat="1" applyFont="1" applyFill="1" applyBorder="1" applyAlignment="1">
      <alignment horizontal="center" vertical="center" wrapText="1"/>
    </xf>
    <xf numFmtId="165" fontId="12" fillId="6" borderId="1" xfId="0" applyNumberFormat="1" applyFont="1" applyFill="1" applyBorder="1" applyAlignment="1">
      <alignment horizontal="center" vertical="center"/>
    </xf>
    <xf numFmtId="168" fontId="12" fillId="6" borderId="1" xfId="0" applyNumberFormat="1" applyFont="1" applyFill="1" applyBorder="1" applyAlignment="1">
      <alignment horizontal="center" vertical="center"/>
    </xf>
    <xf numFmtId="168" fontId="7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/>
    </xf>
    <xf numFmtId="168" fontId="9" fillId="6" borderId="1" xfId="0" applyNumberFormat="1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165" fontId="12" fillId="7" borderId="1" xfId="0" applyNumberFormat="1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3" fillId="4" borderId="1" xfId="0" quotePrefix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4" fillId="5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/>
    </xf>
    <xf numFmtId="166" fontId="13" fillId="3" borderId="1" xfId="0" applyNumberFormat="1" applyFont="1" applyFill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4" fontId="1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165" fontId="9" fillId="8" borderId="1" xfId="0" applyNumberFormat="1" applyFont="1" applyFill="1" applyBorder="1" applyAlignment="1">
      <alignment horizontal="center"/>
    </xf>
    <xf numFmtId="168" fontId="13" fillId="8" borderId="1" xfId="0" applyNumberFormat="1" applyFont="1" applyFill="1" applyBorder="1" applyAlignment="1">
      <alignment horizontal="center"/>
    </xf>
    <xf numFmtId="166" fontId="13" fillId="8" borderId="1" xfId="0" applyNumberFormat="1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 wrapText="1"/>
    </xf>
    <xf numFmtId="0" fontId="13" fillId="3" borderId="1" xfId="0" quotePrefix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wrapText="1"/>
    </xf>
    <xf numFmtId="0" fontId="14" fillId="8" borderId="1" xfId="0" applyFont="1" applyFill="1" applyBorder="1" applyAlignment="1">
      <alignment horizontal="center" vertical="center" wrapText="1"/>
    </xf>
    <xf numFmtId="1" fontId="9" fillId="8" borderId="1" xfId="0" applyNumberFormat="1" applyFont="1" applyFill="1" applyBorder="1" applyAlignment="1">
      <alignment horizontal="center"/>
    </xf>
    <xf numFmtId="0" fontId="13" fillId="4" borderId="1" xfId="0" quotePrefix="1" applyFont="1" applyFill="1" applyBorder="1" applyAlignment="1">
      <alignment horizontal="center" wrapText="1"/>
    </xf>
    <xf numFmtId="14" fontId="13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14" fontId="10" fillId="10" borderId="1" xfId="0" applyNumberFormat="1" applyFont="1" applyFill="1" applyBorder="1" applyAlignment="1">
      <alignment horizontal="right" vertical="center"/>
    </xf>
    <xf numFmtId="14" fontId="9" fillId="0" borderId="1" xfId="0" applyNumberFormat="1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applyFont="1" applyBorder="1"/>
    <xf numFmtId="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14" fontId="9" fillId="9" borderId="1" xfId="0" applyNumberFormat="1" applyFont="1" applyFill="1" applyBorder="1" applyAlignment="1">
      <alignment horizontal="center"/>
    </xf>
    <xf numFmtId="0" fontId="9" fillId="9" borderId="1" xfId="0" quotePrefix="1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left"/>
    </xf>
    <xf numFmtId="4" fontId="9" fillId="9" borderId="1" xfId="0" applyNumberFormat="1" applyFont="1" applyFill="1" applyBorder="1" applyAlignment="1">
      <alignment horizontal="center"/>
    </xf>
    <xf numFmtId="165" fontId="9" fillId="9" borderId="1" xfId="0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wrapText="1"/>
    </xf>
    <xf numFmtId="0" fontId="9" fillId="9" borderId="1" xfId="0" applyFont="1" applyFill="1" applyBorder="1"/>
    <xf numFmtId="14" fontId="9" fillId="3" borderId="1" xfId="0" applyNumberFormat="1" applyFont="1" applyFill="1" applyBorder="1" applyAlignment="1">
      <alignment horizontal="center"/>
    </xf>
    <xf numFmtId="0" fontId="9" fillId="3" borderId="1" xfId="0" quotePrefix="1" applyFont="1" applyFill="1" applyBorder="1" applyAlignment="1">
      <alignment horizontal="center"/>
    </xf>
    <xf numFmtId="0" fontId="9" fillId="3" borderId="1" xfId="0" applyFont="1" applyFill="1" applyBorder="1"/>
    <xf numFmtId="4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left"/>
    </xf>
    <xf numFmtId="3" fontId="9" fillId="3" borderId="1" xfId="0" applyNumberFormat="1" applyFont="1" applyFill="1" applyBorder="1" applyAlignment="1">
      <alignment horizontal="center"/>
    </xf>
    <xf numFmtId="38" fontId="9" fillId="3" borderId="1" xfId="0" applyNumberFormat="1" applyFont="1" applyFill="1" applyBorder="1" applyAlignment="1">
      <alignment horizontal="center"/>
    </xf>
    <xf numFmtId="40" fontId="9" fillId="3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wrapText="1"/>
    </xf>
    <xf numFmtId="38" fontId="9" fillId="7" borderId="1" xfId="0" applyNumberFormat="1" applyFont="1" applyFill="1" applyBorder="1" applyAlignment="1">
      <alignment horizontal="center"/>
    </xf>
    <xf numFmtId="4" fontId="9" fillId="7" borderId="1" xfId="0" applyNumberFormat="1" applyFont="1" applyFill="1" applyBorder="1" applyAlignment="1">
      <alignment horizontal="center"/>
    </xf>
    <xf numFmtId="40" fontId="9" fillId="7" borderId="1" xfId="0" applyNumberFormat="1" applyFont="1" applyFill="1" applyBorder="1" applyAlignment="1">
      <alignment horizontal="center"/>
    </xf>
    <xf numFmtId="14" fontId="9" fillId="4" borderId="1" xfId="0" applyNumberFormat="1" applyFont="1" applyFill="1" applyBorder="1" applyAlignment="1">
      <alignment horizontal="center"/>
    </xf>
    <xf numFmtId="0" fontId="9" fillId="4" borderId="1" xfId="0" quotePrefix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wrapText="1"/>
    </xf>
    <xf numFmtId="38" fontId="9" fillId="4" borderId="1" xfId="0" applyNumberFormat="1" applyFont="1" applyFill="1" applyBorder="1" applyAlignment="1">
      <alignment horizontal="center"/>
    </xf>
    <xf numFmtId="4" fontId="9" fillId="4" borderId="1" xfId="0" applyNumberFormat="1" applyFont="1" applyFill="1" applyBorder="1" applyAlignment="1">
      <alignment horizontal="center"/>
    </xf>
    <xf numFmtId="40" fontId="9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left"/>
    </xf>
    <xf numFmtId="3" fontId="9" fillId="4" borderId="1" xfId="0" applyNumberFormat="1" applyFont="1" applyFill="1" applyBorder="1" applyAlignment="1">
      <alignment horizontal="center"/>
    </xf>
    <xf numFmtId="4" fontId="14" fillId="0" borderId="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4" fontId="14" fillId="3" borderId="1" xfId="0" applyNumberFormat="1" applyFont="1" applyFill="1" applyBorder="1" applyAlignment="1">
      <alignment horizontal="center"/>
    </xf>
    <xf numFmtId="0" fontId="13" fillId="9" borderId="1" xfId="0" quotePrefix="1" applyFont="1" applyFill="1" applyBorder="1" applyAlignment="1">
      <alignment horizontal="center"/>
    </xf>
    <xf numFmtId="14" fontId="13" fillId="9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 wrapText="1"/>
    </xf>
    <xf numFmtId="166" fontId="9" fillId="9" borderId="1" xfId="0" applyNumberFormat="1" applyFont="1" applyFill="1" applyBorder="1" applyAlignment="1">
      <alignment horizontal="center"/>
    </xf>
    <xf numFmtId="4" fontId="14" fillId="9" borderId="1" xfId="0" applyNumberFormat="1" applyFont="1" applyFill="1" applyBorder="1" applyAlignment="1">
      <alignment horizontal="center"/>
    </xf>
    <xf numFmtId="168" fontId="9" fillId="9" borderId="1" xfId="0" applyNumberFormat="1" applyFont="1" applyFill="1" applyBorder="1" applyAlignment="1">
      <alignment horizontal="center"/>
    </xf>
    <xf numFmtId="165" fontId="13" fillId="9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wrapText="1"/>
    </xf>
    <xf numFmtId="0" fontId="15" fillId="3" borderId="1" xfId="0" applyFont="1" applyFill="1" applyBorder="1"/>
    <xf numFmtId="0" fontId="9" fillId="7" borderId="1" xfId="0" applyFont="1" applyFill="1" applyBorder="1" applyAlignment="1">
      <alignment horizontal="center" wrapText="1"/>
    </xf>
    <xf numFmtId="0" fontId="9" fillId="7" borderId="1" xfId="0" applyFont="1" applyFill="1" applyBorder="1"/>
    <xf numFmtId="165" fontId="9" fillId="7" borderId="1" xfId="0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wrapText="1"/>
    </xf>
    <xf numFmtId="14" fontId="7" fillId="11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68" fontId="7" fillId="11" borderId="1" xfId="0" applyNumberFormat="1" applyFont="1" applyFill="1" applyBorder="1" applyAlignment="1">
      <alignment horizontal="center"/>
    </xf>
    <xf numFmtId="165" fontId="7" fillId="11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" fontId="12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 wrapText="1"/>
    </xf>
    <xf numFmtId="14" fontId="7" fillId="11" borderId="1" xfId="0" applyNumberFormat="1" applyFont="1" applyFill="1" applyBorder="1" applyAlignment="1">
      <alignment horizontal="center"/>
    </xf>
    <xf numFmtId="0" fontId="7" fillId="11" borderId="1" xfId="0" quotePrefix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 wrapText="1"/>
    </xf>
    <xf numFmtId="1" fontId="12" fillId="11" borderId="1" xfId="0" applyNumberFormat="1" applyFont="1" applyFill="1" applyBorder="1" applyAlignment="1">
      <alignment horizontal="center"/>
    </xf>
    <xf numFmtId="165" fontId="12" fillId="11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166" fontId="7" fillId="3" borderId="1" xfId="0" applyNumberFormat="1" applyFont="1" applyFill="1" applyBorder="1" applyAlignment="1">
      <alignment horizontal="center"/>
    </xf>
    <xf numFmtId="167" fontId="12" fillId="3" borderId="1" xfId="0" applyNumberFormat="1" applyFont="1" applyFill="1" applyBorder="1" applyAlignment="1">
      <alignment horizontal="center"/>
    </xf>
    <xf numFmtId="40" fontId="12" fillId="0" borderId="1" xfId="0" applyNumberFormat="1" applyFont="1" applyBorder="1" applyAlignment="1">
      <alignment horizontal="center"/>
    </xf>
    <xf numFmtId="40" fontId="12" fillId="3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" fontId="9" fillId="7" borderId="1" xfId="0" applyNumberFormat="1" applyFont="1" applyFill="1" applyBorder="1" applyAlignment="1">
      <alignment horizontal="center"/>
    </xf>
    <xf numFmtId="0" fontId="17" fillId="4" borderId="1" xfId="0" applyFont="1" applyFill="1" applyBorder="1"/>
    <xf numFmtId="14" fontId="9" fillId="0" borderId="1" xfId="0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13" fillId="4" borderId="1" xfId="0" quotePrefix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13" fillId="6" borderId="1" xfId="0" quotePrefix="1" applyFont="1" applyFill="1" applyBorder="1" applyAlignment="1">
      <alignment horizontal="center" vertical="center"/>
    </xf>
    <xf numFmtId="14" fontId="13" fillId="6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6" fontId="9" fillId="6" borderId="1" xfId="0" applyNumberFormat="1" applyFont="1" applyFill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165" fontId="9" fillId="12" borderId="1" xfId="0" applyNumberFormat="1" applyFont="1" applyFill="1" applyBorder="1" applyAlignment="1">
      <alignment horizontal="center" vertical="center"/>
    </xf>
    <xf numFmtId="168" fontId="13" fillId="6" borderId="1" xfId="0" applyNumberFormat="1" applyFont="1" applyFill="1" applyBorder="1" applyAlignment="1">
      <alignment horizontal="center" vertical="center"/>
    </xf>
    <xf numFmtId="166" fontId="13" fillId="6" borderId="1" xfId="0" applyNumberFormat="1" applyFont="1" applyFill="1" applyBorder="1" applyAlignment="1">
      <alignment horizontal="center" vertical="center"/>
    </xf>
    <xf numFmtId="0" fontId="13" fillId="3" borderId="1" xfId="0" quotePrefix="1" applyFont="1" applyFill="1" applyBorder="1" applyAlignment="1">
      <alignment horizontal="center" vertical="center"/>
    </xf>
    <xf numFmtId="14" fontId="13" fillId="3" borderId="1" xfId="0" quotePrefix="1" applyNumberFormat="1" applyFont="1" applyFill="1" applyBorder="1" applyAlignment="1">
      <alignment horizontal="center"/>
    </xf>
    <xf numFmtId="14" fontId="13" fillId="0" borderId="1" xfId="0" quotePrefix="1" applyNumberFormat="1" applyFont="1" applyBorder="1" applyAlignment="1">
      <alignment horizontal="center"/>
    </xf>
    <xf numFmtId="14" fontId="13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166" fontId="13" fillId="4" borderId="1" xfId="0" applyNumberFormat="1" applyFont="1" applyFill="1" applyBorder="1" applyAlignment="1">
      <alignment horizontal="center"/>
    </xf>
    <xf numFmtId="168" fontId="13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4" fontId="9" fillId="10" borderId="1" xfId="0" applyNumberFormat="1" applyFont="1" applyFill="1" applyBorder="1" applyAlignment="1">
      <alignment horizontal="center"/>
    </xf>
    <xf numFmtId="14" fontId="13" fillId="10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 vertical="center" wrapText="1"/>
    </xf>
    <xf numFmtId="166" fontId="9" fillId="10" borderId="1" xfId="0" applyNumberFormat="1" applyFont="1" applyFill="1" applyBorder="1" applyAlignment="1">
      <alignment horizontal="center"/>
    </xf>
    <xf numFmtId="4" fontId="14" fillId="10" borderId="1" xfId="0" applyNumberFormat="1" applyFont="1" applyFill="1" applyBorder="1" applyAlignment="1">
      <alignment horizontal="center"/>
    </xf>
    <xf numFmtId="168" fontId="13" fillId="10" borderId="1" xfId="0" applyNumberFormat="1" applyFont="1" applyFill="1" applyBorder="1" applyAlignment="1">
      <alignment horizontal="center"/>
    </xf>
    <xf numFmtId="165" fontId="13" fillId="10" borderId="1" xfId="0" applyNumberFormat="1" applyFont="1" applyFill="1" applyBorder="1" applyAlignment="1">
      <alignment horizontal="center"/>
    </xf>
    <xf numFmtId="14" fontId="10" fillId="13" borderId="1" xfId="0" applyNumberFormat="1" applyFont="1" applyFill="1" applyBorder="1" applyAlignment="1">
      <alignment horizontal="right" vertical="center"/>
    </xf>
    <xf numFmtId="0" fontId="9" fillId="0" borderId="1" xfId="0" quotePrefix="1" applyFont="1" applyBorder="1" applyAlignment="1">
      <alignment horizontal="center" wrapText="1"/>
    </xf>
    <xf numFmtId="0" fontId="9" fillId="3" borderId="1" xfId="0" quotePrefix="1" applyFont="1" applyFill="1" applyBorder="1" applyAlignment="1">
      <alignment horizontal="center" wrapText="1"/>
    </xf>
    <xf numFmtId="167" fontId="9" fillId="3" borderId="1" xfId="0" applyNumberFormat="1" applyFont="1" applyFill="1" applyBorder="1" applyAlignment="1">
      <alignment horizontal="center"/>
    </xf>
    <xf numFmtId="1" fontId="15" fillId="7" borderId="1" xfId="0" applyNumberFormat="1" applyFont="1" applyFill="1" applyBorder="1" applyAlignment="1">
      <alignment horizontal="center"/>
    </xf>
    <xf numFmtId="165" fontId="15" fillId="7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left" wrapText="1"/>
    </xf>
    <xf numFmtId="168" fontId="9" fillId="3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wrapText="1"/>
    </xf>
    <xf numFmtId="166" fontId="9" fillId="8" borderId="1" xfId="0" applyNumberFormat="1" applyFont="1" applyFill="1" applyBorder="1" applyAlignment="1">
      <alignment horizontal="center"/>
    </xf>
    <xf numFmtId="4" fontId="14" fillId="8" borderId="1" xfId="0" applyNumberFormat="1" applyFont="1" applyFill="1" applyBorder="1" applyAlignment="1">
      <alignment horizontal="center"/>
    </xf>
    <xf numFmtId="168" fontId="9" fillId="8" borderId="1" xfId="0" applyNumberFormat="1" applyFont="1" applyFill="1" applyBorder="1" applyAlignment="1">
      <alignment horizontal="center"/>
    </xf>
    <xf numFmtId="38" fontId="9" fillId="0" borderId="1" xfId="0" applyNumberFormat="1" applyFont="1" applyBorder="1" applyAlignment="1">
      <alignment horizontal="center"/>
    </xf>
    <xf numFmtId="40" fontId="14" fillId="0" borderId="1" xfId="0" applyNumberFormat="1" applyFont="1" applyBorder="1" applyAlignment="1">
      <alignment horizontal="center"/>
    </xf>
    <xf numFmtId="0" fontId="14" fillId="7" borderId="1" xfId="0" applyFont="1" applyFill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/>
    </xf>
    <xf numFmtId="4" fontId="14" fillId="7" borderId="1" xfId="0" applyNumberFormat="1" applyFont="1" applyFill="1" applyBorder="1" applyAlignment="1">
      <alignment horizontal="center"/>
    </xf>
    <xf numFmtId="14" fontId="9" fillId="3" borderId="1" xfId="0" quotePrefix="1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1" fontId="9" fillId="10" borderId="1" xfId="0" applyNumberFormat="1" applyFont="1" applyFill="1" applyBorder="1" applyAlignment="1">
      <alignment horizontal="center"/>
    </xf>
    <xf numFmtId="165" fontId="9" fillId="10" borderId="1" xfId="0" applyNumberFormat="1" applyFont="1" applyFill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14" fontId="9" fillId="0" borderId="1" xfId="0" applyNumberFormat="1" applyFont="1" applyBorder="1"/>
    <xf numFmtId="0" fontId="13" fillId="0" borderId="1" xfId="0" quotePrefix="1" applyFont="1" applyBorder="1"/>
    <xf numFmtId="14" fontId="13" fillId="0" borderId="1" xfId="0" applyNumberFormat="1" applyFont="1" applyBorder="1"/>
    <xf numFmtId="0" fontId="14" fillId="5" borderId="1" xfId="0" applyFont="1" applyFill="1" applyBorder="1" applyAlignment="1">
      <alignment horizontal="right" vertical="center" wrapText="1" indent="1"/>
    </xf>
    <xf numFmtId="166" fontId="9" fillId="0" borderId="1" xfId="0" applyNumberFormat="1" applyFont="1" applyBorder="1"/>
    <xf numFmtId="4" fontId="14" fillId="0" borderId="1" xfId="0" applyNumberFormat="1" applyFont="1" applyBorder="1"/>
    <xf numFmtId="165" fontId="9" fillId="0" borderId="1" xfId="0" applyNumberFormat="1" applyFont="1" applyBorder="1"/>
    <xf numFmtId="0" fontId="13" fillId="3" borderId="1" xfId="0" applyFont="1" applyFill="1" applyBorder="1"/>
    <xf numFmtId="165" fontId="13" fillId="3" borderId="1" xfId="0" applyNumberFormat="1" applyFont="1" applyFill="1" applyBorder="1"/>
    <xf numFmtId="1" fontId="9" fillId="0" borderId="1" xfId="0" applyNumberFormat="1" applyFont="1" applyBorder="1"/>
    <xf numFmtId="14" fontId="9" fillId="3" borderId="1" xfId="0" applyNumberFormat="1" applyFont="1" applyFill="1" applyBorder="1"/>
    <xf numFmtId="0" fontId="14" fillId="3" borderId="1" xfId="0" applyFont="1" applyFill="1" applyBorder="1" applyAlignment="1">
      <alignment horizontal="right" vertical="center" wrapText="1" indent="1"/>
    </xf>
    <xf numFmtId="1" fontId="9" fillId="3" borderId="1" xfId="0" applyNumberFormat="1" applyFont="1" applyFill="1" applyBorder="1"/>
    <xf numFmtId="4" fontId="14" fillId="3" borderId="1" xfId="0" applyNumberFormat="1" applyFont="1" applyFill="1" applyBorder="1"/>
    <xf numFmtId="165" fontId="9" fillId="3" borderId="1" xfId="0" applyNumberFormat="1" applyFont="1" applyFill="1" applyBorder="1"/>
    <xf numFmtId="0" fontId="13" fillId="4" borderId="1" xfId="0" applyFont="1" applyFill="1" applyBorder="1"/>
    <xf numFmtId="14" fontId="13" fillId="3" borderId="1" xfId="0" applyNumberFormat="1" applyFont="1" applyFill="1" applyBorder="1"/>
    <xf numFmtId="166" fontId="13" fillId="3" borderId="1" xfId="0" applyNumberFormat="1" applyFont="1" applyFill="1" applyBorder="1"/>
    <xf numFmtId="0" fontId="13" fillId="4" borderId="1" xfId="0" quotePrefix="1" applyFont="1" applyFill="1" applyBorder="1"/>
    <xf numFmtId="166" fontId="9" fillId="3" borderId="1" xfId="0" applyNumberFormat="1" applyFont="1" applyFill="1" applyBorder="1"/>
    <xf numFmtId="14" fontId="9" fillId="6" borderId="1" xfId="0" applyNumberFormat="1" applyFont="1" applyFill="1" applyBorder="1"/>
    <xf numFmtId="0" fontId="13" fillId="6" borderId="1" xfId="0" quotePrefix="1" applyFont="1" applyFill="1" applyBorder="1"/>
    <xf numFmtId="14" fontId="13" fillId="6" borderId="1" xfId="0" applyNumberFormat="1" applyFont="1" applyFill="1" applyBorder="1"/>
    <xf numFmtId="0" fontId="9" fillId="6" borderId="1" xfId="0" applyFont="1" applyFill="1" applyBorder="1"/>
    <xf numFmtId="0" fontId="14" fillId="6" borderId="1" xfId="0" applyFont="1" applyFill="1" applyBorder="1" applyAlignment="1">
      <alignment horizontal="right" vertical="center" wrapText="1" indent="1"/>
    </xf>
    <xf numFmtId="166" fontId="9" fillId="6" borderId="1" xfId="0" applyNumberFormat="1" applyFont="1" applyFill="1" applyBorder="1"/>
    <xf numFmtId="4" fontId="14" fillId="6" borderId="1" xfId="0" applyNumberFormat="1" applyFont="1" applyFill="1" applyBorder="1"/>
    <xf numFmtId="165" fontId="9" fillId="6" borderId="1" xfId="0" applyNumberFormat="1" applyFont="1" applyFill="1" applyBorder="1"/>
    <xf numFmtId="168" fontId="9" fillId="6" borderId="1" xfId="0" applyNumberFormat="1" applyFont="1" applyFill="1" applyBorder="1"/>
    <xf numFmtId="168" fontId="13" fillId="6" borderId="1" xfId="0" applyNumberFormat="1" applyFont="1" applyFill="1" applyBorder="1"/>
    <xf numFmtId="165" fontId="13" fillId="6" borderId="1" xfId="0" applyNumberFormat="1" applyFont="1" applyFill="1" applyBorder="1"/>
    <xf numFmtId="14" fontId="9" fillId="3" borderId="1" xfId="0" applyNumberFormat="1" applyFont="1" applyFill="1" applyBorder="1" applyAlignment="1">
      <alignment horizontal="left"/>
    </xf>
    <xf numFmtId="0" fontId="14" fillId="7" borderId="1" xfId="0" applyFont="1" applyFill="1" applyBorder="1" applyAlignment="1">
      <alignment horizontal="right" vertical="center" wrapText="1" indent="1"/>
    </xf>
    <xf numFmtId="166" fontId="9" fillId="7" borderId="1" xfId="0" applyNumberFormat="1" applyFont="1" applyFill="1" applyBorder="1"/>
    <xf numFmtId="4" fontId="14" fillId="7" borderId="1" xfId="0" applyNumberFormat="1" applyFont="1" applyFill="1" applyBorder="1"/>
    <xf numFmtId="165" fontId="9" fillId="7" borderId="1" xfId="0" applyNumberFormat="1" applyFont="1" applyFill="1" applyBorder="1"/>
    <xf numFmtId="168" fontId="12" fillId="3" borderId="1" xfId="0" applyNumberFormat="1" applyFont="1" applyFill="1" applyBorder="1" applyAlignment="1">
      <alignment horizontal="center"/>
    </xf>
    <xf numFmtId="168" fontId="12" fillId="7" borderId="1" xfId="0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7" borderId="1" xfId="0" applyNumberFormat="1" applyFont="1" applyFill="1" applyBorder="1" applyAlignment="1">
      <alignment horizontal="center"/>
    </xf>
    <xf numFmtId="168" fontId="9" fillId="4" borderId="1" xfId="0" applyNumberFormat="1" applyFont="1" applyFill="1" applyBorder="1" applyAlignment="1">
      <alignment horizontal="center"/>
    </xf>
    <xf numFmtId="168" fontId="15" fillId="3" borderId="1" xfId="0" applyNumberFormat="1" applyFont="1" applyFill="1" applyBorder="1"/>
    <xf numFmtId="168" fontId="9" fillId="9" borderId="1" xfId="1" applyNumberFormat="1" applyFont="1" applyFill="1" applyBorder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168" fontId="9" fillId="0" borderId="1" xfId="0" applyNumberFormat="1" applyFont="1" applyBorder="1" applyAlignment="1">
      <alignment horizontal="center" vertical="center"/>
    </xf>
    <xf numFmtId="168" fontId="9" fillId="3" borderId="1" xfId="0" applyNumberFormat="1" applyFont="1" applyFill="1" applyBorder="1" applyAlignment="1">
      <alignment horizontal="center" vertical="center"/>
    </xf>
    <xf numFmtId="168" fontId="15" fillId="7" borderId="1" xfId="0" applyNumberFormat="1" applyFont="1" applyFill="1" applyBorder="1" applyAlignment="1">
      <alignment horizontal="center"/>
    </xf>
    <xf numFmtId="168" fontId="14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168" fontId="14" fillId="7" borderId="1" xfId="0" applyNumberFormat="1" applyFont="1" applyFill="1" applyBorder="1" applyAlignment="1">
      <alignment horizontal="center"/>
    </xf>
    <xf numFmtId="168" fontId="9" fillId="0" borderId="1" xfId="0" applyNumberFormat="1" applyFont="1" applyBorder="1"/>
    <xf numFmtId="168" fontId="9" fillId="3" borderId="1" xfId="0" applyNumberFormat="1" applyFont="1" applyFill="1" applyBorder="1"/>
    <xf numFmtId="168" fontId="9" fillId="7" borderId="1" xfId="0" applyNumberFormat="1" applyFont="1" applyFill="1" applyBorder="1"/>
    <xf numFmtId="0" fontId="9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5" fillId="9" borderId="1" xfId="0" applyFont="1" applyFill="1" applyBorder="1"/>
    <xf numFmtId="14" fontId="15" fillId="3" borderId="1" xfId="0" applyNumberFormat="1" applyFont="1" applyFill="1" applyBorder="1"/>
    <xf numFmtId="0" fontId="9" fillId="11" borderId="1" xfId="0" applyFont="1" applyFill="1" applyBorder="1"/>
    <xf numFmtId="0" fontId="12" fillId="7" borderId="1" xfId="0" applyFont="1" applyFill="1" applyBorder="1" applyAlignment="1">
      <alignment horizontal="center"/>
    </xf>
    <xf numFmtId="0" fontId="9" fillId="10" borderId="1" xfId="0" applyFont="1" applyFill="1" applyBorder="1"/>
    <xf numFmtId="168" fontId="15" fillId="9" borderId="1" xfId="1" applyNumberFormat="1" applyFont="1" applyFill="1" applyBorder="1" applyAlignment="1"/>
    <xf numFmtId="0" fontId="9" fillId="8" borderId="1" xfId="0" applyFont="1" applyFill="1" applyBorder="1"/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wrapText="1"/>
    </xf>
    <xf numFmtId="0" fontId="17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169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7" borderId="1" xfId="0" applyFont="1" applyFill="1" applyBorder="1" applyAlignment="1">
      <alignment horizontal="center" vertical="center" wrapText="1"/>
    </xf>
    <xf numFmtId="38" fontId="31" fillId="3" borderId="1" xfId="0" applyNumberFormat="1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/>
    </xf>
    <xf numFmtId="14" fontId="32" fillId="3" borderId="1" xfId="0" applyNumberFormat="1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  <xf numFmtId="170" fontId="31" fillId="3" borderId="1" xfId="0" applyNumberFormat="1" applyFont="1" applyFill="1" applyBorder="1" applyAlignment="1">
      <alignment horizontal="center" vertical="center"/>
    </xf>
    <xf numFmtId="170" fontId="3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1" fontId="36" fillId="0" borderId="1" xfId="0" applyNumberFormat="1" applyFont="1" applyBorder="1" applyAlignment="1">
      <alignment horizontal="center" shrinkToFit="1"/>
    </xf>
    <xf numFmtId="4" fontId="37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horizontal="center" wrapText="1"/>
    </xf>
    <xf numFmtId="0" fontId="31" fillId="4" borderId="1" xfId="0" applyFont="1" applyFill="1" applyBorder="1" applyAlignment="1">
      <alignment horizontal="center" vertical="center" wrapText="1"/>
    </xf>
    <xf numFmtId="3" fontId="37" fillId="0" borderId="1" xfId="0" applyNumberFormat="1" applyFont="1" applyBorder="1" applyAlignment="1">
      <alignment horizontal="center" shrinkToFit="1"/>
    </xf>
    <xf numFmtId="0" fontId="0" fillId="0" borderId="12" xfId="0" applyBorder="1" applyAlignment="1">
      <alignment horizontal="center" wrapText="1"/>
    </xf>
    <xf numFmtId="0" fontId="7" fillId="2" borderId="2" xfId="0" applyFont="1" applyFill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14" fontId="39" fillId="3" borderId="1" xfId="0" applyNumberFormat="1" applyFont="1" applyFill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40" fillId="3" borderId="1" xfId="0" applyFont="1" applyFill="1" applyBorder="1" applyAlignment="1">
      <alignment horizontal="center" vertical="center" wrapText="1"/>
    </xf>
    <xf numFmtId="165" fontId="26" fillId="3" borderId="1" xfId="0" applyNumberFormat="1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/>
    </xf>
    <xf numFmtId="0" fontId="41" fillId="3" borderId="1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39" fillId="9" borderId="1" xfId="0" applyFont="1" applyFill="1" applyBorder="1" applyAlignment="1">
      <alignment horizontal="center"/>
    </xf>
    <xf numFmtId="0" fontId="39" fillId="0" borderId="1" xfId="0" quotePrefix="1" applyFont="1" applyBorder="1" applyAlignment="1">
      <alignment horizontal="center"/>
    </xf>
    <xf numFmtId="0" fontId="39" fillId="3" borderId="1" xfId="0" quotePrefix="1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 wrapText="1"/>
    </xf>
    <xf numFmtId="1" fontId="26" fillId="3" borderId="1" xfId="0" applyNumberFormat="1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 wrapText="1"/>
    </xf>
    <xf numFmtId="1" fontId="26" fillId="7" borderId="1" xfId="0" applyNumberFormat="1" applyFont="1" applyFill="1" applyBorder="1" applyAlignment="1">
      <alignment horizontal="center"/>
    </xf>
    <xf numFmtId="165" fontId="26" fillId="9" borderId="1" xfId="0" applyNumberFormat="1" applyFont="1" applyFill="1" applyBorder="1" applyAlignment="1">
      <alignment horizontal="center"/>
    </xf>
    <xf numFmtId="4" fontId="26" fillId="3" borderId="1" xfId="0" applyNumberFormat="1" applyFont="1" applyFill="1" applyBorder="1" applyAlignment="1">
      <alignment horizontal="center"/>
    </xf>
    <xf numFmtId="38" fontId="26" fillId="3" borderId="1" xfId="0" applyNumberFormat="1" applyFont="1" applyFill="1" applyBorder="1" applyAlignment="1">
      <alignment horizontal="center"/>
    </xf>
    <xf numFmtId="40" fontId="26" fillId="3" borderId="1" xfId="0" applyNumberFormat="1" applyFont="1" applyFill="1" applyBorder="1" applyAlignment="1">
      <alignment horizontal="center"/>
    </xf>
    <xf numFmtId="14" fontId="26" fillId="0" borderId="1" xfId="0" applyNumberFormat="1" applyFont="1" applyBorder="1" applyAlignment="1">
      <alignment horizontal="center"/>
    </xf>
    <xf numFmtId="14" fontId="26" fillId="3" borderId="1" xfId="0" applyNumberFormat="1" applyFont="1" applyFill="1" applyBorder="1" applyAlignment="1">
      <alignment horizontal="center"/>
    </xf>
    <xf numFmtId="14" fontId="26" fillId="3" borderId="1" xfId="0" quotePrefix="1" applyNumberFormat="1" applyFont="1" applyFill="1" applyBorder="1" applyAlignment="1">
      <alignment horizontal="center"/>
    </xf>
    <xf numFmtId="14" fontId="26" fillId="9" borderId="1" xfId="0" applyNumberFormat="1" applyFont="1" applyFill="1" applyBorder="1" applyAlignment="1">
      <alignment horizontal="center"/>
    </xf>
    <xf numFmtId="14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14" fontId="42" fillId="0" borderId="1" xfId="0" applyNumberFormat="1" applyFont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0" fontId="43" fillId="3" borderId="1" xfId="0" applyFont="1" applyFill="1" applyBorder="1" applyAlignment="1">
      <alignment horizontal="center"/>
    </xf>
    <xf numFmtId="14" fontId="42" fillId="3" borderId="1" xfId="0" applyNumberFormat="1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3" borderId="1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/>
    </xf>
    <xf numFmtId="0" fontId="42" fillId="0" borderId="1" xfId="0" quotePrefix="1" applyFont="1" applyBorder="1" applyAlignment="1">
      <alignment horizontal="center"/>
    </xf>
    <xf numFmtId="0" fontId="42" fillId="3" borderId="1" xfId="0" quotePrefix="1" applyFont="1" applyFill="1" applyBorder="1" applyAlignment="1">
      <alignment horizontal="center"/>
    </xf>
    <xf numFmtId="0" fontId="42" fillId="3" borderId="1" xfId="0" quotePrefix="1" applyFont="1" applyFill="1" applyBorder="1" applyAlignment="1">
      <alignment horizontal="center" wrapText="1"/>
    </xf>
    <xf numFmtId="0" fontId="46" fillId="5" borderId="1" xfId="0" applyFont="1" applyFill="1" applyBorder="1" applyAlignment="1">
      <alignment horizontal="center" vertical="center" wrapText="1"/>
    </xf>
    <xf numFmtId="166" fontId="44" fillId="0" borderId="1" xfId="0" applyNumberFormat="1" applyFont="1" applyBorder="1" applyAlignment="1">
      <alignment horizontal="center"/>
    </xf>
    <xf numFmtId="165" fontId="44" fillId="0" borderId="1" xfId="0" applyNumberFormat="1" applyFont="1" applyBorder="1" applyAlignment="1">
      <alignment horizontal="center"/>
    </xf>
    <xf numFmtId="165" fontId="42" fillId="3" borderId="1" xfId="0" applyNumberFormat="1" applyFont="1" applyFill="1" applyBorder="1" applyAlignment="1">
      <alignment horizontal="center"/>
    </xf>
    <xf numFmtId="1" fontId="44" fillId="0" borderId="1" xfId="0" applyNumberFormat="1" applyFont="1" applyBorder="1" applyAlignment="1">
      <alignment horizontal="center"/>
    </xf>
    <xf numFmtId="0" fontId="46" fillId="3" borderId="1" xfId="0" applyFont="1" applyFill="1" applyBorder="1" applyAlignment="1">
      <alignment horizontal="center" vertical="center" wrapText="1"/>
    </xf>
    <xf numFmtId="1" fontId="44" fillId="3" borderId="1" xfId="0" applyNumberFormat="1" applyFont="1" applyFill="1" applyBorder="1" applyAlignment="1">
      <alignment horizontal="center"/>
    </xf>
    <xf numFmtId="1" fontId="45" fillId="3" borderId="1" xfId="0" applyNumberFormat="1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 wrapText="1"/>
    </xf>
    <xf numFmtId="0" fontId="46" fillId="3" borderId="1" xfId="0" applyFont="1" applyFill="1" applyBorder="1" applyAlignment="1">
      <alignment horizontal="center"/>
    </xf>
    <xf numFmtId="167" fontId="44" fillId="3" borderId="1" xfId="0" applyNumberFormat="1" applyFont="1" applyFill="1" applyBorder="1" applyAlignment="1">
      <alignment horizontal="center"/>
    </xf>
    <xf numFmtId="166" fontId="26" fillId="0" borderId="1" xfId="0" applyNumberFormat="1" applyFont="1" applyBorder="1" applyAlignment="1">
      <alignment horizontal="center"/>
    </xf>
    <xf numFmtId="4" fontId="40" fillId="0" borderId="1" xfId="0" applyNumberFormat="1" applyFont="1" applyBorder="1" applyAlignment="1">
      <alignment horizontal="center"/>
    </xf>
    <xf numFmtId="166" fontId="26" fillId="3" borderId="1" xfId="0" applyNumberFormat="1" applyFont="1" applyFill="1" applyBorder="1" applyAlignment="1">
      <alignment horizontal="center"/>
    </xf>
    <xf numFmtId="4" fontId="40" fillId="3" borderId="1" xfId="0" applyNumberFormat="1" applyFont="1" applyFill="1" applyBorder="1" applyAlignment="1">
      <alignment horizontal="center"/>
    </xf>
    <xf numFmtId="14" fontId="26" fillId="4" borderId="1" xfId="0" applyNumberFormat="1" applyFont="1" applyFill="1" applyBorder="1" applyAlignment="1">
      <alignment horizontal="center"/>
    </xf>
    <xf numFmtId="0" fontId="26" fillId="0" borderId="1" xfId="0" quotePrefix="1" applyFont="1" applyBorder="1" applyAlignment="1">
      <alignment horizontal="center"/>
    </xf>
    <xf numFmtId="0" fontId="26" fillId="3" borderId="1" xfId="0" quotePrefix="1" applyFont="1" applyFill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26" fillId="0" borderId="0" xfId="0" applyFont="1" applyAlignment="1">
      <alignment wrapText="1"/>
    </xf>
    <xf numFmtId="4" fontId="26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wrapText="1"/>
    </xf>
    <xf numFmtId="0" fontId="26" fillId="0" borderId="1" xfId="0" applyFont="1" applyBorder="1"/>
    <xf numFmtId="0" fontId="26" fillId="3" borderId="1" xfId="0" applyFont="1" applyFill="1" applyBorder="1"/>
    <xf numFmtId="0" fontId="26" fillId="3" borderId="1" xfId="0" applyFont="1" applyFill="1" applyBorder="1" applyAlignment="1">
      <alignment wrapText="1"/>
    </xf>
    <xf numFmtId="0" fontId="26" fillId="9" borderId="1" xfId="0" applyFont="1" applyFill="1" applyBorder="1"/>
    <xf numFmtId="4" fontId="26" fillId="9" borderId="1" xfId="0" applyNumberFormat="1" applyFont="1" applyFill="1" applyBorder="1" applyAlignment="1">
      <alignment horizontal="center"/>
    </xf>
    <xf numFmtId="0" fontId="26" fillId="7" borderId="1" xfId="0" applyFont="1" applyFill="1" applyBorder="1" applyAlignment="1">
      <alignment wrapText="1"/>
    </xf>
    <xf numFmtId="0" fontId="40" fillId="7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left"/>
    </xf>
    <xf numFmtId="40" fontId="26" fillId="7" borderId="1" xfId="0" applyNumberFormat="1" applyFont="1" applyFill="1" applyBorder="1" applyAlignment="1">
      <alignment horizontal="center"/>
    </xf>
    <xf numFmtId="14" fontId="41" fillId="3" borderId="1" xfId="0" applyNumberFormat="1" applyFont="1" applyFill="1" applyBorder="1" applyAlignment="1">
      <alignment horizontal="center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41" fillId="3" borderId="1" xfId="0" quotePrefix="1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wrapText="1"/>
    </xf>
    <xf numFmtId="0" fontId="26" fillId="0" borderId="1" xfId="0" quotePrefix="1" applyFont="1" applyBorder="1" applyAlignment="1">
      <alignment horizontal="center" wrapText="1"/>
    </xf>
    <xf numFmtId="0" fontId="26" fillId="3" borderId="1" xfId="0" quotePrefix="1" applyFont="1" applyFill="1" applyBorder="1" applyAlignment="1">
      <alignment horizontal="center" wrapText="1"/>
    </xf>
    <xf numFmtId="0" fontId="41" fillId="3" borderId="1" xfId="0" applyFont="1" applyFill="1" applyBorder="1"/>
    <xf numFmtId="167" fontId="26" fillId="3" borderId="1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26" fillId="9" borderId="1" xfId="0" quotePrefix="1" applyFont="1" applyFill="1" applyBorder="1" applyAlignment="1">
      <alignment horizontal="center"/>
    </xf>
    <xf numFmtId="0" fontId="39" fillId="4" borderId="1" xfId="0" quotePrefix="1" applyFont="1" applyFill="1" applyBorder="1" applyAlignment="1">
      <alignment horizontal="center"/>
    </xf>
    <xf numFmtId="0" fontId="26" fillId="9" borderId="1" xfId="0" applyFont="1" applyFill="1" applyBorder="1" applyAlignment="1">
      <alignment horizontal="left"/>
    </xf>
    <xf numFmtId="3" fontId="26" fillId="3" borderId="1" xfId="0" applyNumberFormat="1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41" fillId="0" borderId="1" xfId="0" applyFont="1" applyBorder="1"/>
    <xf numFmtId="38" fontId="26" fillId="7" borderId="1" xfId="0" applyNumberFormat="1" applyFont="1" applyFill="1" applyBorder="1" applyAlignment="1">
      <alignment horizontal="center"/>
    </xf>
    <xf numFmtId="0" fontId="26" fillId="4" borderId="1" xfId="0" applyFont="1" applyFill="1" applyBorder="1"/>
    <xf numFmtId="165" fontId="26" fillId="4" borderId="1" xfId="0" applyNumberFormat="1" applyFont="1" applyFill="1" applyBorder="1" applyAlignment="1">
      <alignment horizontal="center"/>
    </xf>
    <xf numFmtId="0" fontId="26" fillId="4" borderId="1" xfId="0" applyFont="1" applyFill="1" applyBorder="1" applyAlignment="1">
      <alignment wrapText="1"/>
    </xf>
    <xf numFmtId="38" fontId="26" fillId="4" borderId="1" xfId="0" applyNumberFormat="1" applyFont="1" applyFill="1" applyBorder="1" applyAlignment="1">
      <alignment horizontal="center"/>
    </xf>
    <xf numFmtId="40" fontId="26" fillId="4" borderId="1" xfId="0" applyNumberFormat="1" applyFont="1" applyFill="1" applyBorder="1" applyAlignment="1">
      <alignment horizontal="center"/>
    </xf>
    <xf numFmtId="0" fontId="26" fillId="4" borderId="1" xfId="0" applyFont="1" applyFill="1" applyBorder="1" applyAlignment="1">
      <alignment horizontal="left"/>
    </xf>
    <xf numFmtId="3" fontId="26" fillId="4" borderId="1" xfId="0" applyNumberFormat="1" applyFont="1" applyFill="1" applyBorder="1" applyAlignment="1">
      <alignment horizontal="center"/>
    </xf>
    <xf numFmtId="165" fontId="39" fillId="3" borderId="1" xfId="0" applyNumberFormat="1" applyFont="1" applyFill="1" applyBorder="1" applyAlignment="1">
      <alignment horizontal="center"/>
    </xf>
    <xf numFmtId="165" fontId="39" fillId="10" borderId="1" xfId="0" applyNumberFormat="1" applyFont="1" applyFill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46" fillId="6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0" fontId="46" fillId="7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169" fontId="7" fillId="2" borderId="2" xfId="0" applyNumberFormat="1" applyFont="1" applyFill="1" applyBorder="1" applyAlignment="1">
      <alignment horizontal="center" wrapText="1"/>
    </xf>
    <xf numFmtId="14" fontId="7" fillId="2" borderId="2" xfId="0" applyNumberFormat="1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left" wrapText="1"/>
    </xf>
    <xf numFmtId="2" fontId="7" fillId="2" borderId="2" xfId="0" applyNumberFormat="1" applyFont="1" applyFill="1" applyBorder="1" applyAlignment="1">
      <alignment horizontal="center" wrapText="1"/>
    </xf>
    <xf numFmtId="170" fontId="7" fillId="2" borderId="2" xfId="0" applyNumberFormat="1" applyFont="1" applyFill="1" applyBorder="1" applyAlignment="1">
      <alignment horizontal="center" wrapText="1"/>
    </xf>
    <xf numFmtId="170" fontId="22" fillId="2" borderId="2" xfId="0" applyNumberFormat="1" applyFont="1" applyFill="1" applyBorder="1" applyAlignment="1">
      <alignment horizontal="center" wrapText="1"/>
    </xf>
    <xf numFmtId="165" fontId="7" fillId="2" borderId="2" xfId="0" applyNumberFormat="1" applyFont="1" applyFill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1" fillId="0" borderId="1" xfId="0" applyFont="1" applyBorder="1" applyAlignment="1">
      <alignment horizontal="left"/>
    </xf>
    <xf numFmtId="170" fontId="31" fillId="0" borderId="1" xfId="0" applyNumberFormat="1" applyFont="1" applyBorder="1" applyAlignment="1">
      <alignment horizontal="center"/>
    </xf>
    <xf numFmtId="169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3" borderId="1" xfId="0" applyFont="1" applyFill="1" applyBorder="1" applyAlignment="1">
      <alignment horizontal="left"/>
    </xf>
    <xf numFmtId="169" fontId="0" fillId="0" borderId="1" xfId="0" applyNumberFormat="1" applyBorder="1" applyAlignment="1">
      <alignment horizontal="center"/>
    </xf>
    <xf numFmtId="1" fontId="37" fillId="0" borderId="1" xfId="0" applyNumberFormat="1" applyFont="1" applyBorder="1" applyAlignment="1">
      <alignment horizontal="center" shrinkToFit="1"/>
    </xf>
    <xf numFmtId="0" fontId="50" fillId="0" borderId="0" xfId="0" applyFont="1"/>
    <xf numFmtId="14" fontId="50" fillId="0" borderId="1" xfId="0" applyNumberFormat="1" applyFont="1" applyBorder="1" applyAlignment="1">
      <alignment horizontal="center"/>
    </xf>
    <xf numFmtId="0" fontId="50" fillId="0" borderId="1" xfId="0" applyFont="1" applyBorder="1" applyAlignment="1">
      <alignment horizontal="left" vertical="center"/>
    </xf>
    <xf numFmtId="0" fontId="50" fillId="0" borderId="1" xfId="0" quotePrefix="1" applyFont="1" applyBorder="1" applyAlignment="1">
      <alignment horizontal="center"/>
    </xf>
    <xf numFmtId="0" fontId="50" fillId="0" borderId="1" xfId="0" applyFont="1" applyBorder="1" applyAlignment="1">
      <alignment horizontal="center" wrapText="1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 applyAlignment="1">
      <alignment wrapText="1"/>
    </xf>
    <xf numFmtId="0" fontId="50" fillId="0" borderId="1" xfId="0" applyFont="1" applyBorder="1"/>
    <xf numFmtId="14" fontId="50" fillId="3" borderId="1" xfId="0" applyNumberFormat="1" applyFont="1" applyFill="1" applyBorder="1" applyAlignment="1">
      <alignment horizontal="center"/>
    </xf>
    <xf numFmtId="0" fontId="50" fillId="3" borderId="1" xfId="0" quotePrefix="1" applyFont="1" applyFill="1" applyBorder="1" applyAlignment="1">
      <alignment horizontal="center"/>
    </xf>
    <xf numFmtId="0" fontId="50" fillId="3" borderId="1" xfId="0" applyFont="1" applyFill="1" applyBorder="1" applyAlignment="1">
      <alignment horizontal="center"/>
    </xf>
    <xf numFmtId="0" fontId="50" fillId="3" borderId="1" xfId="0" applyFont="1" applyFill="1" applyBorder="1"/>
    <xf numFmtId="0" fontId="50" fillId="3" borderId="1" xfId="0" applyFont="1" applyFill="1" applyBorder="1" applyAlignment="1">
      <alignment wrapText="1"/>
    </xf>
    <xf numFmtId="0" fontId="50" fillId="7" borderId="1" xfId="0" applyFont="1" applyFill="1" applyBorder="1" applyAlignment="1">
      <alignment horizontal="center" wrapText="1"/>
    </xf>
    <xf numFmtId="0" fontId="50" fillId="7" borderId="1" xfId="0" applyFont="1" applyFill="1" applyBorder="1" applyAlignment="1">
      <alignment horizontal="center"/>
    </xf>
    <xf numFmtId="0" fontId="50" fillId="3" borderId="1" xfId="0" applyFont="1" applyFill="1" applyBorder="1" applyAlignment="1">
      <alignment horizontal="center" wrapText="1"/>
    </xf>
    <xf numFmtId="0" fontId="50" fillId="3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/>
    </xf>
    <xf numFmtId="169" fontId="49" fillId="2" borderId="1" xfId="0" applyNumberFormat="1" applyFont="1" applyFill="1" applyBorder="1" applyAlignment="1">
      <alignment horizontal="center" wrapText="1"/>
    </xf>
    <xf numFmtId="14" fontId="49" fillId="2" borderId="1" xfId="0" applyNumberFormat="1" applyFont="1" applyFill="1" applyBorder="1" applyAlignment="1">
      <alignment horizontal="left" wrapText="1"/>
    </xf>
    <xf numFmtId="0" fontId="49" fillId="2" borderId="1" xfId="0" applyFont="1" applyFill="1" applyBorder="1" applyAlignment="1">
      <alignment horizontal="center" wrapText="1"/>
    </xf>
    <xf numFmtId="0" fontId="49" fillId="2" borderId="1" xfId="0" applyFont="1" applyFill="1" applyBorder="1" applyAlignment="1">
      <alignment horizontal="left" wrapText="1"/>
    </xf>
    <xf numFmtId="2" fontId="49" fillId="2" borderId="1" xfId="0" applyNumberFormat="1" applyFont="1" applyFill="1" applyBorder="1" applyAlignment="1">
      <alignment horizontal="center" wrapText="1"/>
    </xf>
    <xf numFmtId="170" fontId="49" fillId="2" borderId="1" xfId="0" applyNumberFormat="1" applyFont="1" applyFill="1" applyBorder="1" applyAlignment="1">
      <alignment horizontal="center" wrapText="1"/>
    </xf>
    <xf numFmtId="0" fontId="51" fillId="0" borderId="15" xfId="0" applyFont="1" applyBorder="1"/>
    <xf numFmtId="0" fontId="51" fillId="0" borderId="17" xfId="0" applyFont="1" applyBorder="1"/>
    <xf numFmtId="170" fontId="51" fillId="0" borderId="18" xfId="0" applyNumberFormat="1" applyFont="1" applyBorder="1"/>
    <xf numFmtId="0" fontId="51" fillId="0" borderId="19" xfId="0" applyFont="1" applyBorder="1"/>
    <xf numFmtId="0" fontId="7" fillId="2" borderId="1" xfId="0" applyFont="1" applyFill="1" applyBorder="1" applyAlignment="1">
      <alignment horizontal="center"/>
    </xf>
    <xf numFmtId="169" fontId="7" fillId="2" borderId="1" xfId="0" applyNumberFormat="1" applyFont="1" applyFill="1" applyBorder="1" applyAlignment="1">
      <alignment horizontal="center" wrapText="1"/>
    </xf>
    <xf numFmtId="14" fontId="7" fillId="2" borderId="1" xfId="0" applyNumberFormat="1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left" wrapText="1"/>
    </xf>
    <xf numFmtId="2" fontId="7" fillId="2" borderId="1" xfId="0" applyNumberFormat="1" applyFont="1" applyFill="1" applyBorder="1" applyAlignment="1">
      <alignment horizontal="center" wrapText="1"/>
    </xf>
    <xf numFmtId="170" fontId="7" fillId="2" borderId="1" xfId="0" applyNumberFormat="1" applyFont="1" applyFill="1" applyBorder="1" applyAlignment="1">
      <alignment horizontal="center" wrapText="1"/>
    </xf>
    <xf numFmtId="170" fontId="22" fillId="2" borderId="1" xfId="0" applyNumberFormat="1" applyFont="1" applyFill="1" applyBorder="1" applyAlignment="1">
      <alignment horizontal="center" wrapText="1"/>
    </xf>
    <xf numFmtId="0" fontId="44" fillId="7" borderId="1" xfId="0" applyFont="1" applyFill="1" applyBorder="1" applyAlignment="1">
      <alignment horizontal="center"/>
    </xf>
    <xf numFmtId="0" fontId="0" fillId="0" borderId="1" xfId="0" applyBorder="1"/>
    <xf numFmtId="170" fontId="30" fillId="3" borderId="16" xfId="0" applyNumberFormat="1" applyFont="1" applyFill="1" applyBorder="1" applyAlignment="1">
      <alignment horizontal="center" vertical="center"/>
    </xf>
    <xf numFmtId="170" fontId="30" fillId="3" borderId="18" xfId="0" applyNumberFormat="1" applyFont="1" applyFill="1" applyBorder="1" applyAlignment="1">
      <alignment horizontal="center" vertical="center"/>
    </xf>
    <xf numFmtId="170" fontId="53" fillId="3" borderId="20" xfId="0" applyNumberFormat="1" applyFont="1" applyFill="1" applyBorder="1" applyAlignment="1">
      <alignment horizontal="center" vertical="center"/>
    </xf>
    <xf numFmtId="1" fontId="55" fillId="0" borderId="1" xfId="0" applyNumberFormat="1" applyFont="1" applyBorder="1" applyAlignment="1">
      <alignment horizontal="center" shrinkToFit="1"/>
    </xf>
    <xf numFmtId="0" fontId="3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1" fontId="55" fillId="7" borderId="1" xfId="0" applyNumberFormat="1" applyFont="1" applyFill="1" applyBorder="1" applyAlignment="1">
      <alignment horizontal="center" shrinkToFit="1"/>
    </xf>
    <xf numFmtId="0" fontId="13" fillId="2" borderId="1" xfId="0" applyFont="1" applyFill="1" applyBorder="1" applyAlignment="1">
      <alignment horizontal="center"/>
    </xf>
    <xf numFmtId="169" fontId="13" fillId="2" borderId="1" xfId="0" applyNumberFormat="1" applyFont="1" applyFill="1" applyBorder="1" applyAlignment="1">
      <alignment horizontal="center" wrapText="1"/>
    </xf>
    <xf numFmtId="14" fontId="13" fillId="2" borderId="1" xfId="0" applyNumberFormat="1" applyFont="1" applyFill="1" applyBorder="1" applyAlignment="1">
      <alignment horizontal="left" wrapText="1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left" wrapText="1"/>
    </xf>
    <xf numFmtId="2" fontId="13" fillId="2" borderId="1" xfId="0" applyNumberFormat="1" applyFont="1" applyFill="1" applyBorder="1" applyAlignment="1">
      <alignment horizontal="center" wrapText="1"/>
    </xf>
    <xf numFmtId="170" fontId="13" fillId="2" borderId="1" xfId="0" applyNumberFormat="1" applyFont="1" applyFill="1" applyBorder="1" applyAlignment="1">
      <alignment horizontal="center" wrapText="1"/>
    </xf>
    <xf numFmtId="165" fontId="25" fillId="0" borderId="1" xfId="0" applyNumberFormat="1" applyFont="1" applyBorder="1"/>
    <xf numFmtId="170" fontId="30" fillId="3" borderId="1" xfId="0" applyNumberFormat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14" fontId="32" fillId="3" borderId="3" xfId="0" applyNumberFormat="1" applyFont="1" applyFill="1" applyBorder="1" applyAlignment="1">
      <alignment horizontal="left" vertical="center"/>
    </xf>
    <xf numFmtId="14" fontId="26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6" fillId="0" borderId="3" xfId="0" quotePrefix="1" applyFont="1" applyBorder="1" applyAlignment="1">
      <alignment horizontal="center" wrapText="1"/>
    </xf>
    <xf numFmtId="0" fontId="26" fillId="0" borderId="3" xfId="0" applyFont="1" applyBorder="1" applyAlignment="1">
      <alignment horizontal="center"/>
    </xf>
    <xf numFmtId="0" fontId="26" fillId="0" borderId="3" xfId="0" applyFont="1" applyBorder="1" applyAlignment="1">
      <alignment horizontal="center" wrapText="1"/>
    </xf>
    <xf numFmtId="4" fontId="26" fillId="0" borderId="3" xfId="0" applyNumberFormat="1" applyFont="1" applyBorder="1" applyAlignment="1">
      <alignment horizontal="center"/>
    </xf>
    <xf numFmtId="170" fontId="31" fillId="3" borderId="3" xfId="0" applyNumberFormat="1" applyFont="1" applyFill="1" applyBorder="1" applyAlignment="1">
      <alignment horizontal="center" vertical="center"/>
    </xf>
    <xf numFmtId="14" fontId="26" fillId="3" borderId="3" xfId="0" applyNumberFormat="1" applyFont="1" applyFill="1" applyBorder="1" applyAlignment="1">
      <alignment horizontal="center"/>
    </xf>
    <xf numFmtId="0" fontId="31" fillId="0" borderId="3" xfId="0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/>
    </xf>
    <xf numFmtId="0" fontId="26" fillId="3" borderId="3" xfId="0" quotePrefix="1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/>
    </xf>
    <xf numFmtId="0" fontId="26" fillId="3" borderId="3" xfId="0" applyFont="1" applyFill="1" applyBorder="1" applyAlignment="1">
      <alignment wrapText="1"/>
    </xf>
    <xf numFmtId="165" fontId="26" fillId="3" borderId="3" xfId="0" applyNumberFormat="1" applyFont="1" applyFill="1" applyBorder="1" applyAlignment="1">
      <alignment horizontal="center"/>
    </xf>
    <xf numFmtId="40" fontId="26" fillId="3" borderId="3" xfId="0" applyNumberFormat="1" applyFont="1" applyFill="1" applyBorder="1" applyAlignment="1">
      <alignment horizontal="center"/>
    </xf>
    <xf numFmtId="0" fontId="26" fillId="3" borderId="3" xfId="0" applyFont="1" applyFill="1" applyBorder="1"/>
    <xf numFmtId="4" fontId="26" fillId="3" borderId="3" xfId="0" applyNumberFormat="1" applyFont="1" applyFill="1" applyBorder="1" applyAlignment="1">
      <alignment horizontal="center"/>
    </xf>
    <xf numFmtId="0" fontId="58" fillId="0" borderId="0" xfId="0" applyFont="1"/>
    <xf numFmtId="0" fontId="59" fillId="0" borderId="1" xfId="0" applyFont="1" applyBorder="1" applyAlignment="1">
      <alignment horizontal="center" vertical="center"/>
    </xf>
    <xf numFmtId="0" fontId="59" fillId="3" borderId="1" xfId="0" applyFont="1" applyFill="1" applyBorder="1" applyAlignment="1">
      <alignment horizontal="left" vertical="center"/>
    </xf>
    <xf numFmtId="14" fontId="51" fillId="0" borderId="1" xfId="0" applyNumberFormat="1" applyFont="1" applyBorder="1" applyAlignment="1">
      <alignment horizontal="center"/>
    </xf>
    <xf numFmtId="0" fontId="58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center" vertical="center"/>
    </xf>
    <xf numFmtId="0" fontId="51" fillId="0" borderId="1" xfId="0" quotePrefix="1" applyFont="1" applyBorder="1" applyAlignment="1">
      <alignment horizontal="center"/>
    </xf>
    <xf numFmtId="0" fontId="60" fillId="0" borderId="1" xfId="0" applyFont="1" applyBorder="1" applyAlignment="1">
      <alignment horizontal="left" vertical="center"/>
    </xf>
    <xf numFmtId="166" fontId="50" fillId="0" borderId="1" xfId="0" applyNumberFormat="1" applyFont="1" applyBorder="1" applyAlignment="1">
      <alignment horizontal="center"/>
    </xf>
    <xf numFmtId="170" fontId="58" fillId="0" borderId="1" xfId="0" applyNumberFormat="1" applyFont="1" applyBorder="1" applyAlignment="1">
      <alignment horizontal="center" vertical="center"/>
    </xf>
    <xf numFmtId="0" fontId="51" fillId="3" borderId="1" xfId="0" quotePrefix="1" applyFont="1" applyFill="1" applyBorder="1" applyAlignment="1">
      <alignment horizontal="center"/>
    </xf>
    <xf numFmtId="0" fontId="60" fillId="0" borderId="1" xfId="0" applyFont="1" applyBorder="1" applyAlignment="1">
      <alignment horizontal="center" vertical="center"/>
    </xf>
    <xf numFmtId="170" fontId="60" fillId="0" borderId="1" xfId="0" applyNumberFormat="1" applyFont="1" applyBorder="1" applyAlignment="1">
      <alignment horizontal="center" vertical="center"/>
    </xf>
    <xf numFmtId="14" fontId="51" fillId="3" borderId="1" xfId="0" applyNumberFormat="1" applyFont="1" applyFill="1" applyBorder="1" applyAlignment="1">
      <alignment horizontal="center"/>
    </xf>
    <xf numFmtId="0" fontId="51" fillId="3" borderId="1" xfId="0" applyFont="1" applyFill="1" applyBorder="1" applyAlignment="1">
      <alignment horizontal="center"/>
    </xf>
    <xf numFmtId="38" fontId="50" fillId="0" borderId="1" xfId="0" applyNumberFormat="1" applyFont="1" applyBorder="1" applyAlignment="1">
      <alignment horizontal="center"/>
    </xf>
    <xf numFmtId="166" fontId="50" fillId="3" borderId="1" xfId="0" applyNumberFormat="1" applyFont="1" applyFill="1" applyBorder="1" applyAlignment="1">
      <alignment horizontal="center"/>
    </xf>
    <xf numFmtId="166" fontId="50" fillId="7" borderId="1" xfId="0" applyNumberFormat="1" applyFont="1" applyFill="1" applyBorder="1" applyAlignment="1">
      <alignment horizontal="center"/>
    </xf>
    <xf numFmtId="169" fontId="60" fillId="0" borderId="1" xfId="0" applyNumberFormat="1" applyFont="1" applyBorder="1" applyAlignment="1">
      <alignment horizontal="center" vertical="center"/>
    </xf>
    <xf numFmtId="170" fontId="60" fillId="3" borderId="1" xfId="0" applyNumberFormat="1" applyFont="1" applyFill="1" applyBorder="1" applyAlignment="1">
      <alignment horizontal="center" vertical="center"/>
    </xf>
    <xf numFmtId="0" fontId="60" fillId="3" borderId="1" xfId="0" applyFont="1" applyFill="1" applyBorder="1" applyAlignment="1">
      <alignment horizontal="left" vertical="center"/>
    </xf>
    <xf numFmtId="0" fontId="58" fillId="0" borderId="1" xfId="0" applyFont="1" applyBorder="1"/>
    <xf numFmtId="170" fontId="58" fillId="0" borderId="0" xfId="0" applyNumberFormat="1" applyFont="1"/>
    <xf numFmtId="170" fontId="57" fillId="2" borderId="1" xfId="0" applyNumberFormat="1" applyFont="1" applyFill="1" applyBorder="1" applyAlignment="1">
      <alignment horizontal="center" wrapText="1"/>
    </xf>
    <xf numFmtId="170" fontId="62" fillId="0" borderId="1" xfId="0" applyNumberFormat="1" applyFont="1" applyBorder="1"/>
    <xf numFmtId="170" fontId="30" fillId="3" borderId="1" xfId="0" applyNumberFormat="1" applyFont="1" applyFill="1" applyBorder="1" applyAlignment="1">
      <alignment horizontal="center"/>
    </xf>
    <xf numFmtId="170" fontId="30" fillId="0" borderId="1" xfId="0" applyNumberFormat="1" applyFont="1" applyBorder="1" applyAlignment="1">
      <alignment horizontal="center"/>
    </xf>
    <xf numFmtId="170" fontId="53" fillId="3" borderId="18" xfId="0" applyNumberFormat="1" applyFont="1" applyFill="1" applyBorder="1" applyAlignment="1">
      <alignment horizontal="center" vertical="center"/>
    </xf>
    <xf numFmtId="169" fontId="39" fillId="3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vertical="center"/>
    </xf>
    <xf numFmtId="0" fontId="26" fillId="3" borderId="1" xfId="0" applyFont="1" applyFill="1" applyBorder="1" applyAlignment="1">
      <alignment vertical="center"/>
    </xf>
    <xf numFmtId="0" fontId="26" fillId="6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0" fillId="3" borderId="1" xfId="0" applyFont="1" applyFill="1" applyBorder="1" applyAlignment="1">
      <alignment vertical="center" wrapText="1"/>
    </xf>
    <xf numFmtId="0" fontId="38" fillId="0" borderId="1" xfId="0" applyFont="1" applyBorder="1" applyAlignment="1">
      <alignment vertical="center"/>
    </xf>
    <xf numFmtId="0" fontId="26" fillId="10" borderId="1" xfId="0" applyFont="1" applyFill="1" applyBorder="1" applyAlignment="1">
      <alignment vertical="center"/>
    </xf>
    <xf numFmtId="0" fontId="46" fillId="3" borderId="1" xfId="0" applyFont="1" applyFill="1" applyBorder="1" applyAlignment="1">
      <alignment vertical="center" wrapText="1"/>
    </xf>
    <xf numFmtId="0" fontId="46" fillId="5" borderId="1" xfId="0" applyFont="1" applyFill="1" applyBorder="1" applyAlignment="1">
      <alignment vertical="center" wrapText="1"/>
    </xf>
    <xf numFmtId="0" fontId="46" fillId="6" borderId="1" xfId="0" applyFont="1" applyFill="1" applyBorder="1" applyAlignment="1">
      <alignment vertical="center" wrapText="1"/>
    </xf>
    <xf numFmtId="0" fontId="46" fillId="7" borderId="1" xfId="0" applyFont="1" applyFill="1" applyBorder="1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40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left" vertical="center"/>
    </xf>
    <xf numFmtId="0" fontId="46" fillId="5" borderId="1" xfId="0" applyFont="1" applyFill="1" applyBorder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172" fontId="26" fillId="0" borderId="1" xfId="0" applyNumberFormat="1" applyFont="1" applyBorder="1" applyAlignment="1">
      <alignment horizontal="center"/>
    </xf>
    <xf numFmtId="172" fontId="26" fillId="3" borderId="1" xfId="0" applyNumberFormat="1" applyFont="1" applyFill="1" applyBorder="1" applyAlignment="1">
      <alignment horizontal="center"/>
    </xf>
    <xf numFmtId="172" fontId="41" fillId="3" borderId="1" xfId="0" applyNumberFormat="1" applyFont="1" applyFill="1" applyBorder="1" applyAlignment="1">
      <alignment horizontal="center"/>
    </xf>
    <xf numFmtId="172" fontId="55" fillId="0" borderId="1" xfId="0" applyNumberFormat="1" applyFont="1" applyBorder="1" applyAlignment="1">
      <alignment horizontal="center" shrinkToFit="1"/>
    </xf>
    <xf numFmtId="172" fontId="31" fillId="3" borderId="1" xfId="0" applyNumberFormat="1" applyFont="1" applyFill="1" applyBorder="1" applyAlignment="1">
      <alignment horizontal="center" vertical="center"/>
    </xf>
    <xf numFmtId="172" fontId="31" fillId="0" borderId="1" xfId="0" applyNumberFormat="1" applyFont="1" applyBorder="1" applyAlignment="1">
      <alignment horizontal="center" vertical="center"/>
    </xf>
    <xf numFmtId="172" fontId="0" fillId="0" borderId="0" xfId="0" applyNumberFormat="1"/>
    <xf numFmtId="0" fontId="13" fillId="2" borderId="1" xfId="0" applyFont="1" applyFill="1" applyBorder="1" applyAlignment="1">
      <alignment horizontal="left" vertical="center" wrapText="1"/>
    </xf>
    <xf numFmtId="172" fontId="0" fillId="0" borderId="1" xfId="0" applyNumberFormat="1" applyBorder="1"/>
    <xf numFmtId="0" fontId="51" fillId="13" borderId="15" xfId="0" applyFont="1" applyFill="1" applyBorder="1"/>
    <xf numFmtId="0" fontId="51" fillId="13" borderId="17" xfId="0" applyFont="1" applyFill="1" applyBorder="1"/>
    <xf numFmtId="0" fontId="51" fillId="13" borderId="19" xfId="0" applyFont="1" applyFill="1" applyBorder="1"/>
    <xf numFmtId="0" fontId="25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165" fontId="25" fillId="4" borderId="1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172" fontId="7" fillId="2" borderId="2" xfId="0" applyNumberFormat="1" applyFont="1" applyFill="1" applyBorder="1" applyAlignment="1">
      <alignment horizontal="center" wrapText="1"/>
    </xf>
    <xf numFmtId="172" fontId="22" fillId="2" borderId="2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172" fontId="7" fillId="2" borderId="1" xfId="0" applyNumberFormat="1" applyFont="1" applyFill="1" applyBorder="1" applyAlignment="1">
      <alignment horizontal="center" wrapText="1"/>
    </xf>
    <xf numFmtId="172" fontId="25" fillId="4" borderId="1" xfId="0" applyNumberFormat="1" applyFont="1" applyFill="1" applyBorder="1"/>
    <xf numFmtId="170" fontId="64" fillId="3" borderId="16" xfId="0" applyNumberFormat="1" applyFont="1" applyFill="1" applyBorder="1" applyAlignment="1">
      <alignment horizontal="center" vertical="center"/>
    </xf>
    <xf numFmtId="170" fontId="64" fillId="3" borderId="18" xfId="0" applyNumberFormat="1" applyFont="1" applyFill="1" applyBorder="1" applyAlignment="1">
      <alignment horizontal="center" vertical="center"/>
    </xf>
    <xf numFmtId="170" fontId="65" fillId="0" borderId="20" xfId="0" applyNumberFormat="1" applyFont="1" applyBorder="1"/>
    <xf numFmtId="0" fontId="40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51" fillId="0" borderId="15" xfId="0" applyFont="1" applyBorder="1" applyAlignment="1">
      <alignment horizontal="center"/>
    </xf>
    <xf numFmtId="0" fontId="51" fillId="0" borderId="17" xfId="0" applyFont="1" applyBorder="1" applyAlignment="1">
      <alignment horizontal="center"/>
    </xf>
    <xf numFmtId="0" fontId="50" fillId="0" borderId="0" xfId="0" applyFont="1" applyAlignment="1">
      <alignment horizontal="center"/>
    </xf>
    <xf numFmtId="172" fontId="46" fillId="3" borderId="1" xfId="0" applyNumberFormat="1" applyFont="1" applyFill="1" applyBorder="1" applyAlignment="1">
      <alignment horizontal="center"/>
    </xf>
    <xf numFmtId="172" fontId="47" fillId="3" borderId="1" xfId="0" applyNumberFormat="1" applyFont="1" applyFill="1" applyBorder="1" applyAlignment="1">
      <alignment horizontal="center" vertical="center" wrapText="1"/>
    </xf>
    <xf numFmtId="172" fontId="42" fillId="3" borderId="1" xfId="0" applyNumberFormat="1" applyFont="1" applyFill="1" applyBorder="1" applyAlignment="1">
      <alignment horizontal="center" vertical="center"/>
    </xf>
    <xf numFmtId="172" fontId="46" fillId="6" borderId="1" xfId="0" applyNumberFormat="1" applyFont="1" applyFill="1" applyBorder="1" applyAlignment="1">
      <alignment horizontal="center" vertical="center" wrapText="1"/>
    </xf>
    <xf numFmtId="172" fontId="44" fillId="6" borderId="1" xfId="0" applyNumberFormat="1" applyFont="1" applyFill="1" applyBorder="1" applyAlignment="1">
      <alignment horizontal="center" vertical="center"/>
    </xf>
    <xf numFmtId="172" fontId="42" fillId="6" borderId="1" xfId="0" applyNumberFormat="1" applyFont="1" applyFill="1" applyBorder="1" applyAlignment="1">
      <alignment horizontal="center" vertical="center"/>
    </xf>
    <xf numFmtId="172" fontId="26" fillId="6" borderId="1" xfId="0" applyNumberFormat="1" applyFont="1" applyFill="1" applyBorder="1" applyAlignment="1">
      <alignment horizontal="center" vertical="center"/>
    </xf>
    <xf numFmtId="172" fontId="46" fillId="7" borderId="1" xfId="0" applyNumberFormat="1" applyFont="1" applyFill="1" applyBorder="1" applyAlignment="1">
      <alignment horizontal="center"/>
    </xf>
    <xf numFmtId="172" fontId="31" fillId="0" borderId="1" xfId="0" applyNumberFormat="1" applyFont="1" applyBorder="1" applyAlignment="1">
      <alignment horizontal="center"/>
    </xf>
    <xf numFmtId="172" fontId="31" fillId="3" borderId="1" xfId="0" applyNumberFormat="1" applyFont="1" applyFill="1" applyBorder="1" applyAlignment="1">
      <alignment horizontal="center"/>
    </xf>
    <xf numFmtId="173" fontId="7" fillId="2" borderId="1" xfId="0" applyNumberFormat="1" applyFont="1" applyFill="1" applyBorder="1" applyAlignment="1">
      <alignment horizontal="center" wrapText="1"/>
    </xf>
    <xf numFmtId="173" fontId="46" fillId="3" borderId="1" xfId="0" applyNumberFormat="1" applyFont="1" applyFill="1" applyBorder="1" applyAlignment="1">
      <alignment horizontal="center"/>
    </xf>
    <xf numFmtId="173" fontId="46" fillId="6" borderId="1" xfId="0" applyNumberFormat="1" applyFont="1" applyFill="1" applyBorder="1" applyAlignment="1">
      <alignment horizontal="center" vertical="center" wrapText="1"/>
    </xf>
    <xf numFmtId="173" fontId="40" fillId="6" borderId="1" xfId="0" applyNumberFormat="1" applyFont="1" applyFill="1" applyBorder="1" applyAlignment="1">
      <alignment horizontal="center" vertical="center" wrapText="1"/>
    </xf>
    <xf numFmtId="173" fontId="46" fillId="7" borderId="1" xfId="0" applyNumberFormat="1" applyFont="1" applyFill="1" applyBorder="1" applyAlignment="1">
      <alignment horizontal="center"/>
    </xf>
    <xf numFmtId="173" fontId="0" fillId="0" borderId="1" xfId="0" applyNumberFormat="1" applyBorder="1"/>
    <xf numFmtId="173" fontId="0" fillId="0" borderId="0" xfId="0" applyNumberFormat="1"/>
    <xf numFmtId="172" fontId="22" fillId="2" borderId="1" xfId="0" applyNumberFormat="1" applyFont="1" applyFill="1" applyBorder="1" applyAlignment="1">
      <alignment horizontal="center" wrapText="1"/>
    </xf>
    <xf numFmtId="172" fontId="26" fillId="0" borderId="1" xfId="0" applyNumberFormat="1" applyFont="1" applyBorder="1" applyAlignment="1">
      <alignment horizontal="center" vertical="center"/>
    </xf>
    <xf numFmtId="0" fontId="51" fillId="0" borderId="21" xfId="0" applyFont="1" applyBorder="1"/>
    <xf numFmtId="170" fontId="30" fillId="3" borderId="22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1" fontId="55" fillId="0" borderId="1" xfId="0" applyNumberFormat="1" applyFont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0" fontId="25" fillId="4" borderId="0" xfId="0" applyNumberFormat="1" applyFont="1" applyFill="1"/>
    <xf numFmtId="0" fontId="68" fillId="0" borderId="1" xfId="2" applyBorder="1" applyAlignment="1">
      <alignment horizontal="left" wrapText="1"/>
    </xf>
    <xf numFmtId="0" fontId="31" fillId="0" borderId="1" xfId="0" applyFont="1" applyBorder="1" applyAlignment="1">
      <alignment horizontal="left" vertical="center" wrapText="1"/>
    </xf>
    <xf numFmtId="172" fontId="51" fillId="0" borderId="18" xfId="0" applyNumberFormat="1" applyFont="1" applyBorder="1"/>
    <xf numFmtId="172" fontId="25" fillId="4" borderId="20" xfId="0" applyNumberFormat="1" applyFont="1" applyFill="1" applyBorder="1"/>
    <xf numFmtId="174" fontId="31" fillId="0" borderId="1" xfId="0" applyNumberFormat="1" applyFont="1" applyBorder="1" applyAlignment="1">
      <alignment horizontal="center" vertical="center"/>
    </xf>
    <xf numFmtId="174" fontId="26" fillId="3" borderId="1" xfId="0" applyNumberFormat="1" applyFont="1" applyFill="1" applyBorder="1" applyAlignment="1">
      <alignment horizontal="center" vertical="center"/>
    </xf>
    <xf numFmtId="174" fontId="31" fillId="3" borderId="1" xfId="0" applyNumberFormat="1" applyFont="1" applyFill="1" applyBorder="1" applyAlignment="1">
      <alignment horizontal="center" vertical="center"/>
    </xf>
    <xf numFmtId="174" fontId="26" fillId="10" borderId="1" xfId="0" applyNumberFormat="1" applyFont="1" applyFill="1" applyBorder="1" applyAlignment="1">
      <alignment horizontal="center" vertical="center"/>
    </xf>
    <xf numFmtId="169" fontId="31" fillId="3" borderId="1" xfId="0" applyNumberFormat="1" applyFont="1" applyFill="1" applyBorder="1" applyAlignment="1">
      <alignment horizontal="center"/>
    </xf>
    <xf numFmtId="169" fontId="32" fillId="2" borderId="2" xfId="0" applyNumberFormat="1" applyFont="1" applyFill="1" applyBorder="1" applyAlignment="1">
      <alignment horizontal="center" wrapText="1"/>
    </xf>
    <xf numFmtId="0" fontId="26" fillId="0" borderId="1" xfId="0" applyFont="1" applyBorder="1" applyAlignment="1">
      <alignment horizontal="left"/>
    </xf>
    <xf numFmtId="0" fontId="31" fillId="4" borderId="1" xfId="0" applyFont="1" applyFill="1" applyBorder="1" applyAlignment="1">
      <alignment horizontal="left" wrapText="1"/>
    </xf>
    <xf numFmtId="0" fontId="31" fillId="0" borderId="1" xfId="0" applyFont="1" applyBorder="1" applyAlignment="1">
      <alignment horizontal="center" wrapText="1"/>
    </xf>
    <xf numFmtId="0" fontId="31" fillId="3" borderId="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 wrapText="1"/>
    </xf>
    <xf numFmtId="0" fontId="32" fillId="2" borderId="2" xfId="0" applyFont="1" applyFill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174" fontId="71" fillId="0" borderId="1" xfId="0" applyNumberFormat="1" applyFont="1" applyBorder="1" applyAlignment="1">
      <alignment horizontal="center" vertical="center" shrinkToFit="1"/>
    </xf>
    <xf numFmtId="174" fontId="32" fillId="2" borderId="2" xfId="0" applyNumberFormat="1" applyFont="1" applyFill="1" applyBorder="1" applyAlignment="1">
      <alignment horizontal="center" vertical="center" wrapText="1"/>
    </xf>
    <xf numFmtId="38" fontId="32" fillId="2" borderId="2" xfId="0" applyNumberFormat="1" applyFont="1" applyFill="1" applyBorder="1" applyAlignment="1">
      <alignment horizontal="center" wrapText="1"/>
    </xf>
    <xf numFmtId="38" fontId="31" fillId="0" borderId="1" xfId="0" applyNumberFormat="1" applyFont="1" applyBorder="1" applyAlignment="1">
      <alignment horizontal="center" vertical="center"/>
    </xf>
    <xf numFmtId="38" fontId="31" fillId="0" borderId="1" xfId="0" applyNumberFormat="1" applyFont="1" applyBorder="1" applyAlignment="1">
      <alignment horizontal="center"/>
    </xf>
    <xf numFmtId="38" fontId="31" fillId="14" borderId="1" xfId="0" applyNumberFormat="1" applyFont="1" applyFill="1" applyBorder="1" applyAlignment="1">
      <alignment horizontal="center" vertical="center"/>
    </xf>
    <xf numFmtId="38" fontId="31" fillId="3" borderId="1" xfId="0" applyNumberFormat="1" applyFont="1" applyFill="1" applyBorder="1" applyAlignment="1">
      <alignment horizontal="center"/>
    </xf>
    <xf numFmtId="38" fontId="31" fillId="14" borderId="1" xfId="0" applyNumberFormat="1" applyFont="1" applyFill="1" applyBorder="1" applyAlignment="1">
      <alignment horizontal="center"/>
    </xf>
    <xf numFmtId="38" fontId="71" fillId="0" borderId="1" xfId="0" applyNumberFormat="1" applyFont="1" applyBorder="1" applyAlignment="1">
      <alignment horizontal="center" shrinkToFit="1"/>
    </xf>
    <xf numFmtId="38" fontId="71" fillId="0" borderId="1" xfId="0" applyNumberFormat="1" applyFont="1" applyBorder="1" applyAlignment="1">
      <alignment horizontal="center" vertical="center" shrinkToFit="1"/>
    </xf>
    <xf numFmtId="38" fontId="71" fillId="0" borderId="1" xfId="0" applyNumberFormat="1" applyFont="1" applyBorder="1" applyAlignment="1">
      <alignment vertical="center" shrinkToFit="1"/>
    </xf>
    <xf numFmtId="0" fontId="26" fillId="3" borderId="12" xfId="0" applyFont="1" applyFill="1" applyBorder="1" applyAlignment="1">
      <alignment horizontal="center"/>
    </xf>
    <xf numFmtId="172" fontId="32" fillId="2" borderId="2" xfId="0" applyNumberFormat="1" applyFont="1" applyFill="1" applyBorder="1" applyAlignment="1">
      <alignment horizontal="center" wrapText="1"/>
    </xf>
    <xf numFmtId="172" fontId="31" fillId="14" borderId="1" xfId="0" applyNumberFormat="1" applyFont="1" applyFill="1" applyBorder="1" applyAlignment="1">
      <alignment horizontal="center" vertical="center"/>
    </xf>
    <xf numFmtId="172" fontId="71" fillId="0" borderId="1" xfId="0" applyNumberFormat="1" applyFont="1" applyBorder="1" applyAlignment="1">
      <alignment horizontal="center" shrinkToFit="1"/>
    </xf>
    <xf numFmtId="172" fontId="71" fillId="0" borderId="1" xfId="0" applyNumberFormat="1" applyFont="1" applyBorder="1" applyAlignment="1">
      <alignment vertical="center" shrinkToFit="1"/>
    </xf>
    <xf numFmtId="0" fontId="25" fillId="3" borderId="1" xfId="0" applyFont="1" applyFill="1" applyBorder="1" applyAlignment="1">
      <alignment horizontal="center"/>
    </xf>
    <xf numFmtId="1" fontId="72" fillId="0" borderId="1" xfId="0" applyNumberFormat="1" applyFont="1" applyBorder="1" applyAlignment="1">
      <alignment horizontal="center" shrinkToFit="1"/>
    </xf>
    <xf numFmtId="4" fontId="73" fillId="0" borderId="1" xfId="0" applyNumberFormat="1" applyFont="1" applyBorder="1" applyAlignment="1">
      <alignment horizontal="center" shrinkToFit="1"/>
    </xf>
    <xf numFmtId="3" fontId="73" fillId="0" borderId="1" xfId="0" applyNumberFormat="1" applyFont="1" applyBorder="1" applyAlignment="1">
      <alignment horizontal="center" shrinkToFit="1"/>
    </xf>
    <xf numFmtId="0" fontId="31" fillId="3" borderId="1" xfId="0" applyFont="1" applyFill="1" applyBorder="1" applyAlignment="1">
      <alignment horizontal="center" wrapText="1"/>
    </xf>
    <xf numFmtId="0" fontId="74" fillId="3" borderId="1" xfId="0" applyFont="1" applyFill="1" applyBorder="1" applyAlignment="1">
      <alignment horizontal="center" wrapText="1"/>
    </xf>
    <xf numFmtId="0" fontId="74" fillId="3" borderId="1" xfId="0" applyFont="1" applyFill="1" applyBorder="1" applyAlignment="1">
      <alignment horizontal="center"/>
    </xf>
    <xf numFmtId="0" fontId="74" fillId="10" borderId="1" xfId="0" applyFont="1" applyFill="1" applyBorder="1" applyAlignment="1">
      <alignment horizontal="center" wrapText="1"/>
    </xf>
    <xf numFmtId="4" fontId="74" fillId="10" borderId="1" xfId="0" applyNumberFormat="1" applyFont="1" applyFill="1" applyBorder="1" applyAlignment="1">
      <alignment horizontal="center"/>
    </xf>
    <xf numFmtId="4" fontId="74" fillId="3" borderId="1" xfId="0" applyNumberFormat="1" applyFont="1" applyFill="1" applyBorder="1" applyAlignment="1">
      <alignment horizontal="center"/>
    </xf>
    <xf numFmtId="169" fontId="32" fillId="2" borderId="1" xfId="0" applyNumberFormat="1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vertical="center" wrapText="1"/>
    </xf>
    <xf numFmtId="174" fontId="32" fillId="2" borderId="1" xfId="0" applyNumberFormat="1" applyFont="1" applyFill="1" applyBorder="1" applyAlignment="1">
      <alignment horizontal="center" vertical="center" wrapText="1"/>
    </xf>
    <xf numFmtId="172" fontId="32" fillId="2" borderId="1" xfId="0" applyNumberFormat="1" applyFont="1" applyFill="1" applyBorder="1" applyAlignment="1">
      <alignment horizontal="center" wrapText="1"/>
    </xf>
    <xf numFmtId="38" fontId="32" fillId="2" borderId="1" xfId="0" applyNumberFormat="1" applyFont="1" applyFill="1" applyBorder="1" applyAlignment="1">
      <alignment horizontal="center" wrapText="1"/>
    </xf>
    <xf numFmtId="0" fontId="51" fillId="0" borderId="1" xfId="0" applyFont="1" applyBorder="1"/>
    <xf numFmtId="170" fontId="53" fillId="3" borderId="1" xfId="0" applyNumberFormat="1" applyFont="1" applyFill="1" applyBorder="1" applyAlignment="1">
      <alignment horizontal="center" vertical="center"/>
    </xf>
    <xf numFmtId="0" fontId="51" fillId="4" borderId="1" xfId="0" applyFont="1" applyFill="1" applyBorder="1"/>
    <xf numFmtId="170" fontId="30" fillId="4" borderId="1" xfId="0" applyNumberFormat="1" applyFont="1" applyFill="1" applyBorder="1" applyAlignment="1">
      <alignment horizontal="center" vertical="center"/>
    </xf>
    <xf numFmtId="170" fontId="30" fillId="4" borderId="18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/>
    <xf numFmtId="0" fontId="63" fillId="0" borderId="1" xfId="0" applyFont="1" applyBorder="1" applyAlignment="1">
      <alignment horizontal="left" vertical="top" wrapText="1"/>
    </xf>
    <xf numFmtId="0" fontId="63" fillId="3" borderId="1" xfId="0" applyFont="1" applyFill="1" applyBorder="1" applyAlignment="1">
      <alignment horizontal="left" vertical="top" wrapText="1"/>
    </xf>
    <xf numFmtId="38" fontId="71" fillId="3" borderId="1" xfId="0" applyNumberFormat="1" applyFont="1" applyFill="1" applyBorder="1" applyAlignment="1">
      <alignment horizontal="center" shrinkToFit="1"/>
    </xf>
    <xf numFmtId="0" fontId="0" fillId="3" borderId="1" xfId="0" applyFill="1" applyBorder="1" applyAlignment="1">
      <alignment horizontal="left"/>
    </xf>
    <xf numFmtId="3" fontId="73" fillId="0" borderId="1" xfId="0" applyNumberFormat="1" applyFont="1" applyBorder="1" applyAlignment="1">
      <alignment horizontal="right" shrinkToFit="1"/>
    </xf>
    <xf numFmtId="0" fontId="37" fillId="0" borderId="12" xfId="0" applyFont="1" applyBorder="1" applyAlignment="1">
      <alignment horizontal="center" wrapText="1"/>
    </xf>
    <xf numFmtId="38" fontId="3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23" fillId="2" borderId="12" xfId="0" applyNumberFormat="1" applyFont="1" applyFill="1" applyBorder="1" applyAlignment="1">
      <alignment horizontal="center" wrapText="1"/>
    </xf>
    <xf numFmtId="170" fontId="31" fillId="3" borderId="12" xfId="0" applyNumberFormat="1" applyFont="1" applyFill="1" applyBorder="1" applyAlignment="1">
      <alignment horizontal="center" vertical="center"/>
    </xf>
    <xf numFmtId="38" fontId="31" fillId="0" borderId="12" xfId="0" applyNumberFormat="1" applyFont="1" applyBorder="1" applyAlignment="1">
      <alignment horizontal="center" vertical="center"/>
    </xf>
    <xf numFmtId="38" fontId="31" fillId="0" borderId="12" xfId="0" applyNumberFormat="1" applyFont="1" applyBorder="1" applyAlignment="1">
      <alignment horizontal="center"/>
    </xf>
    <xf numFmtId="170" fontId="30" fillId="3" borderId="12" xfId="0" applyNumberFormat="1" applyFont="1" applyFill="1" applyBorder="1" applyAlignment="1">
      <alignment horizontal="center" vertical="center"/>
    </xf>
    <xf numFmtId="38" fontId="31" fillId="0" borderId="0" xfId="0" applyNumberFormat="1" applyFont="1" applyAlignment="1">
      <alignment horizontal="center"/>
    </xf>
    <xf numFmtId="1" fontId="37" fillId="0" borderId="5" xfId="0" applyNumberFormat="1" applyFont="1" applyBorder="1" applyAlignment="1">
      <alignment horizontal="center" shrinkToFit="1"/>
    </xf>
    <xf numFmtId="38" fontId="25" fillId="0" borderId="0" xfId="0" applyNumberFormat="1" applyFont="1"/>
    <xf numFmtId="38" fontId="25" fillId="4" borderId="0" xfId="0" applyNumberFormat="1" applyFont="1" applyFill="1"/>
    <xf numFmtId="0" fontId="25" fillId="15" borderId="15" xfId="0" applyFont="1" applyFill="1" applyBorder="1"/>
    <xf numFmtId="172" fontId="25" fillId="15" borderId="16" xfId="0" applyNumberFormat="1" applyFont="1" applyFill="1" applyBorder="1"/>
    <xf numFmtId="0" fontId="25" fillId="15" borderId="17" xfId="0" applyFont="1" applyFill="1" applyBorder="1"/>
    <xf numFmtId="172" fontId="25" fillId="15" borderId="18" xfId="0" applyNumberFormat="1" applyFont="1" applyFill="1" applyBorder="1"/>
    <xf numFmtId="0" fontId="25" fillId="15" borderId="19" xfId="0" applyFont="1" applyFill="1" applyBorder="1"/>
    <xf numFmtId="172" fontId="75" fillId="15" borderId="20" xfId="0" applyNumberFormat="1" applyFont="1" applyFill="1" applyBorder="1"/>
    <xf numFmtId="169" fontId="31" fillId="3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/>
    </xf>
    <xf numFmtId="0" fontId="31" fillId="3" borderId="1" xfId="0" applyFont="1" applyFill="1" applyBorder="1" applyAlignment="1">
      <alignment vertical="center"/>
    </xf>
    <xf numFmtId="0" fontId="31" fillId="3" borderId="1" xfId="0" applyFont="1" applyFill="1" applyBorder="1" applyAlignment="1">
      <alignment wrapText="1"/>
    </xf>
    <xf numFmtId="0" fontId="31" fillId="3" borderId="1" xfId="0" applyFont="1" applyFill="1" applyBorder="1"/>
    <xf numFmtId="0" fontId="31" fillId="0" borderId="12" xfId="0" applyFont="1" applyBorder="1" applyAlignment="1">
      <alignment horizontal="center" wrapText="1"/>
    </xf>
    <xf numFmtId="0" fontId="31" fillId="0" borderId="1" xfId="0" applyFont="1" applyBorder="1" applyAlignment="1">
      <alignment horizontal="left" wrapText="1"/>
    </xf>
    <xf numFmtId="0" fontId="31" fillId="0" borderId="1" xfId="0" applyFont="1" applyBorder="1" applyAlignment="1">
      <alignment wrapText="1"/>
    </xf>
    <xf numFmtId="0" fontId="70" fillId="0" borderId="1" xfId="0" applyFont="1" applyBorder="1" applyAlignment="1">
      <alignment horizontal="center" vertical="top" wrapText="1"/>
    </xf>
    <xf numFmtId="0" fontId="70" fillId="3" borderId="1" xfId="0" applyFont="1" applyFill="1" applyBorder="1" applyAlignment="1">
      <alignment horizontal="center" vertical="top" wrapText="1"/>
    </xf>
    <xf numFmtId="1" fontId="71" fillId="0" borderId="1" xfId="0" applyNumberFormat="1" applyFont="1" applyBorder="1" applyAlignment="1">
      <alignment horizontal="center" shrinkToFit="1"/>
    </xf>
    <xf numFmtId="4" fontId="71" fillId="0" borderId="1" xfId="0" applyNumberFormat="1" applyFont="1" applyBorder="1" applyAlignment="1">
      <alignment horizontal="center" shrinkToFit="1"/>
    </xf>
    <xf numFmtId="3" fontId="71" fillId="0" borderId="1" xfId="0" applyNumberFormat="1" applyFont="1" applyBorder="1" applyAlignment="1">
      <alignment horizontal="center" shrinkToFit="1"/>
    </xf>
    <xf numFmtId="0" fontId="71" fillId="0" borderId="12" xfId="0" applyFont="1" applyBorder="1" applyAlignment="1">
      <alignment horizontal="center" wrapText="1"/>
    </xf>
    <xf numFmtId="169" fontId="0" fillId="0" borderId="0" xfId="0" applyNumberFormat="1"/>
    <xf numFmtId="172" fontId="37" fillId="0" borderId="1" xfId="0" applyNumberFormat="1" applyFont="1" applyBorder="1" applyAlignment="1">
      <alignment horizontal="center" shrinkToFit="1"/>
    </xf>
    <xf numFmtId="172" fontId="0" fillId="3" borderId="0" xfId="0" applyNumberFormat="1" applyFill="1"/>
    <xf numFmtId="172" fontId="25" fillId="3" borderId="0" xfId="0" applyNumberFormat="1" applyFont="1" applyFill="1"/>
    <xf numFmtId="0" fontId="63" fillId="0" borderId="12" xfId="0" applyFont="1" applyBorder="1" applyAlignment="1">
      <alignment horizontal="left" vertical="top" wrapText="1"/>
    </xf>
    <xf numFmtId="2" fontId="76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vertical="center"/>
    </xf>
    <xf numFmtId="0" fontId="30" fillId="0" borderId="1" xfId="0" applyFont="1" applyBorder="1" applyAlignment="1">
      <alignment vertical="center"/>
    </xf>
    <xf numFmtId="0" fontId="26" fillId="0" borderId="3" xfId="0" applyFont="1" applyBorder="1" applyAlignment="1">
      <alignment horizontal="left"/>
    </xf>
    <xf numFmtId="0" fontId="41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1" fillId="0" borderId="15" xfId="0" applyFont="1" applyBorder="1" applyAlignment="1">
      <alignment horizontal="left"/>
    </xf>
    <xf numFmtId="0" fontId="51" fillId="0" borderId="17" xfId="0" applyFont="1" applyBorder="1" applyAlignment="1">
      <alignment horizontal="left"/>
    </xf>
    <xf numFmtId="0" fontId="51" fillId="0" borderId="19" xfId="0" applyFont="1" applyBorder="1" applyAlignment="1">
      <alignment horizontal="left"/>
    </xf>
    <xf numFmtId="0" fontId="31" fillId="7" borderId="1" xfId="0" applyFont="1" applyFill="1" applyBorder="1" applyAlignment="1">
      <alignment horizontal="center" wrapText="1"/>
    </xf>
    <xf numFmtId="0" fontId="63" fillId="3" borderId="12" xfId="0" applyFont="1" applyFill="1" applyBorder="1" applyAlignment="1">
      <alignment horizontal="left" vertical="top" wrapText="1"/>
    </xf>
    <xf numFmtId="0" fontId="30" fillId="3" borderId="3" xfId="0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left" vertical="center"/>
    </xf>
    <xf numFmtId="0" fontId="31" fillId="3" borderId="3" xfId="0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left"/>
    </xf>
    <xf numFmtId="14" fontId="32" fillId="2" borderId="2" xfId="0" applyNumberFormat="1" applyFont="1" applyFill="1" applyBorder="1" applyAlignment="1">
      <alignment wrapText="1"/>
    </xf>
    <xf numFmtId="0" fontId="32" fillId="2" borderId="2" xfId="0" applyFont="1" applyFill="1" applyBorder="1" applyAlignment="1">
      <alignment horizontal="left" vertical="center" wrapText="1"/>
    </xf>
    <xf numFmtId="169" fontId="30" fillId="3" borderId="1" xfId="0" applyNumberFormat="1" applyFont="1" applyFill="1" applyBorder="1" applyAlignment="1">
      <alignment horizontal="center"/>
    </xf>
    <xf numFmtId="0" fontId="69" fillId="3" borderId="1" xfId="0" applyFont="1" applyFill="1" applyBorder="1" applyAlignment="1">
      <alignment horizontal="center" vertical="center" wrapText="1"/>
    </xf>
    <xf numFmtId="165" fontId="31" fillId="3" borderId="1" xfId="0" applyNumberFormat="1" applyFont="1" applyFill="1" applyBorder="1" applyAlignment="1">
      <alignment horizontal="center"/>
    </xf>
    <xf numFmtId="0" fontId="30" fillId="0" borderId="1" xfId="0" applyFont="1" applyBorder="1" applyAlignment="1">
      <alignment horizontal="left" wrapText="1"/>
    </xf>
    <xf numFmtId="0" fontId="31" fillId="0" borderId="1" xfId="0" applyFont="1" applyBorder="1"/>
    <xf numFmtId="165" fontId="31" fillId="0" borderId="1" xfId="0" applyNumberFormat="1" applyFont="1" applyBorder="1" applyAlignment="1">
      <alignment horizontal="center"/>
    </xf>
    <xf numFmtId="0" fontId="30" fillId="3" borderId="1" xfId="0" quotePrefix="1" applyFont="1" applyFill="1" applyBorder="1" applyAlignment="1">
      <alignment horizontal="center"/>
    </xf>
    <xf numFmtId="40" fontId="31" fillId="0" borderId="1" xfId="0" applyNumberFormat="1" applyFont="1" applyBorder="1" applyAlignment="1">
      <alignment horizontal="center"/>
    </xf>
    <xf numFmtId="40" fontId="31" fillId="3" borderId="1" xfId="0" applyNumberFormat="1" applyFont="1" applyFill="1" applyBorder="1" applyAlignment="1">
      <alignment horizontal="center"/>
    </xf>
    <xf numFmtId="0" fontId="31" fillId="0" borderId="1" xfId="0" quotePrefix="1" applyFont="1" applyBorder="1" applyAlignment="1">
      <alignment horizontal="center"/>
    </xf>
    <xf numFmtId="4" fontId="31" fillId="0" borderId="1" xfId="0" applyNumberFormat="1" applyFont="1" applyBorder="1" applyAlignment="1">
      <alignment horizontal="center"/>
    </xf>
    <xf numFmtId="0" fontId="31" fillId="3" borderId="1" xfId="0" quotePrefix="1" applyFont="1" applyFill="1" applyBorder="1" applyAlignment="1">
      <alignment horizontal="center"/>
    </xf>
    <xf numFmtId="174" fontId="69" fillId="3" borderId="1" xfId="0" applyNumberFormat="1" applyFont="1" applyFill="1" applyBorder="1" applyAlignment="1">
      <alignment horizontal="center" vertical="center"/>
    </xf>
    <xf numFmtId="165" fontId="31" fillId="0" borderId="1" xfId="0" applyNumberFormat="1" applyFont="1" applyBorder="1"/>
    <xf numFmtId="165" fontId="31" fillId="3" borderId="1" xfId="0" applyNumberFormat="1" applyFont="1" applyFill="1" applyBorder="1"/>
    <xf numFmtId="166" fontId="30" fillId="3" borderId="1" xfId="0" applyNumberFormat="1" applyFont="1" applyFill="1" applyBorder="1"/>
    <xf numFmtId="0" fontId="31" fillId="0" borderId="1" xfId="2" applyFont="1" applyBorder="1" applyAlignment="1">
      <alignment horizontal="left" wrapText="1"/>
    </xf>
    <xf numFmtId="169" fontId="31" fillId="0" borderId="1" xfId="0" applyNumberFormat="1" applyFont="1" applyBorder="1"/>
    <xf numFmtId="0" fontId="32" fillId="2" borderId="2" xfId="0" applyFont="1" applyFill="1" applyBorder="1" applyAlignment="1">
      <alignment vertical="center" wrapText="1"/>
    </xf>
    <xf numFmtId="0" fontId="69" fillId="5" borderId="1" xfId="0" applyFont="1" applyFill="1" applyBorder="1" applyAlignment="1">
      <alignment vertical="center" wrapText="1"/>
    </xf>
    <xf numFmtId="0" fontId="69" fillId="3" borderId="1" xfId="0" applyFont="1" applyFill="1" applyBorder="1" applyAlignment="1">
      <alignment vertical="center" wrapText="1"/>
    </xf>
    <xf numFmtId="0" fontId="69" fillId="7" borderId="1" xfId="0" applyFont="1" applyFill="1" applyBorder="1" applyAlignment="1">
      <alignment vertical="center" wrapText="1"/>
    </xf>
    <xf numFmtId="0" fontId="31" fillId="3" borderId="12" xfId="0" applyFont="1" applyFill="1" applyBorder="1"/>
    <xf numFmtId="0" fontId="31" fillId="0" borderId="12" xfId="0" applyFont="1" applyBorder="1" applyAlignment="1">
      <alignment wrapText="1"/>
    </xf>
    <xf numFmtId="0" fontId="71" fillId="0" borderId="12" xfId="0" applyFont="1" applyBorder="1" applyAlignment="1">
      <alignment wrapText="1"/>
    </xf>
    <xf numFmtId="0" fontId="70" fillId="0" borderId="1" xfId="0" applyFont="1" applyBorder="1" applyAlignment="1">
      <alignment vertical="top" wrapText="1"/>
    </xf>
    <xf numFmtId="0" fontId="49" fillId="2" borderId="1" xfId="0" applyFont="1" applyFill="1" applyBorder="1" applyAlignment="1">
      <alignment horizontal="left" vertical="center" wrapText="1"/>
    </xf>
    <xf numFmtId="0" fontId="49" fillId="2" borderId="1" xfId="0" applyFont="1" applyFill="1" applyBorder="1" applyAlignment="1">
      <alignment vertical="center" wrapText="1"/>
    </xf>
    <xf numFmtId="172" fontId="49" fillId="2" borderId="1" xfId="0" applyNumberFormat="1" applyFont="1" applyFill="1" applyBorder="1" applyAlignment="1">
      <alignment horizontal="center" wrapText="1"/>
    </xf>
    <xf numFmtId="169" fontId="50" fillId="0" borderId="1" xfId="0" applyNumberFormat="1" applyFont="1" applyBorder="1" applyAlignment="1">
      <alignment horizontal="center"/>
    </xf>
    <xf numFmtId="0" fontId="58" fillId="0" borderId="1" xfId="0" applyFont="1" applyBorder="1" applyAlignment="1">
      <alignment vertical="center"/>
    </xf>
    <xf numFmtId="172" fontId="50" fillId="0" borderId="1" xfId="0" applyNumberFormat="1" applyFont="1" applyBorder="1" applyAlignment="1">
      <alignment horizontal="center"/>
    </xf>
    <xf numFmtId="172" fontId="50" fillId="3" borderId="1" xfId="0" applyNumberFormat="1" applyFont="1" applyFill="1" applyBorder="1" applyAlignment="1">
      <alignment horizontal="center"/>
    </xf>
    <xf numFmtId="0" fontId="59" fillId="3" borderId="1" xfId="0" applyFont="1" applyFill="1" applyBorder="1" applyAlignment="1">
      <alignment horizontal="center" vertical="center"/>
    </xf>
    <xf numFmtId="169" fontId="50" fillId="3" borderId="1" xfId="0" applyNumberFormat="1" applyFont="1" applyFill="1" applyBorder="1" applyAlignment="1">
      <alignment horizontal="center"/>
    </xf>
    <xf numFmtId="0" fontId="58" fillId="3" borderId="1" xfId="0" applyFont="1" applyFill="1" applyBorder="1" applyAlignment="1">
      <alignment horizontal="left" vertical="center"/>
    </xf>
    <xf numFmtId="0" fontId="58" fillId="3" borderId="1" xfId="0" applyFont="1" applyFill="1" applyBorder="1" applyAlignment="1">
      <alignment horizontal="center" vertical="center"/>
    </xf>
    <xf numFmtId="0" fontId="58" fillId="3" borderId="1" xfId="0" applyFont="1" applyFill="1" applyBorder="1" applyAlignment="1">
      <alignment vertical="center"/>
    </xf>
    <xf numFmtId="170" fontId="58" fillId="3" borderId="1" xfId="0" applyNumberFormat="1" applyFont="1" applyFill="1" applyBorder="1" applyAlignment="1">
      <alignment horizontal="center" vertical="center"/>
    </xf>
    <xf numFmtId="0" fontId="58" fillId="3" borderId="0" xfId="0" applyFont="1" applyFill="1"/>
    <xf numFmtId="172" fontId="77" fillId="0" borderId="1" xfId="0" applyNumberFormat="1" applyFont="1" applyBorder="1" applyAlignment="1">
      <alignment horizontal="center"/>
    </xf>
    <xf numFmtId="172" fontId="77" fillId="3" borderId="1" xfId="0" applyNumberFormat="1" applyFont="1" applyFill="1" applyBorder="1" applyAlignment="1">
      <alignment horizontal="center"/>
    </xf>
    <xf numFmtId="0" fontId="50" fillId="7" borderId="1" xfId="0" applyFont="1" applyFill="1" applyBorder="1"/>
    <xf numFmtId="172" fontId="50" fillId="7" borderId="1" xfId="0" applyNumberFormat="1" applyFont="1" applyFill="1" applyBorder="1" applyAlignment="1">
      <alignment horizontal="center"/>
    </xf>
    <xf numFmtId="0" fontId="50" fillId="7" borderId="1" xfId="0" applyFont="1" applyFill="1" applyBorder="1" applyAlignment="1">
      <alignment wrapText="1"/>
    </xf>
    <xf numFmtId="1" fontId="50" fillId="3" borderId="1" xfId="0" applyNumberFormat="1" applyFont="1" applyFill="1" applyBorder="1" applyAlignment="1">
      <alignment horizontal="center"/>
    </xf>
    <xf numFmtId="169" fontId="60" fillId="3" borderId="1" xfId="0" applyNumberFormat="1" applyFont="1" applyFill="1" applyBorder="1" applyAlignment="1">
      <alignment horizontal="center"/>
    </xf>
    <xf numFmtId="0" fontId="60" fillId="0" borderId="1" xfId="0" applyFont="1" applyBorder="1" applyAlignment="1">
      <alignment vertical="center"/>
    </xf>
    <xf numFmtId="0" fontId="58" fillId="0" borderId="1" xfId="0" applyFont="1" applyBorder="1" applyAlignment="1">
      <alignment horizontal="left" wrapText="1"/>
    </xf>
    <xf numFmtId="0" fontId="58" fillId="0" borderId="1" xfId="0" applyFont="1" applyBorder="1" applyAlignment="1">
      <alignment vertical="center" wrapText="1"/>
    </xf>
    <xf numFmtId="172" fontId="60" fillId="3" borderId="1" xfId="0" applyNumberFormat="1" applyFont="1" applyFill="1" applyBorder="1" applyAlignment="1">
      <alignment horizontal="center" vertical="center"/>
    </xf>
    <xf numFmtId="172" fontId="60" fillId="0" borderId="1" xfId="0" applyNumberFormat="1" applyFont="1" applyBorder="1" applyAlignment="1">
      <alignment horizontal="center" vertical="center"/>
    </xf>
    <xf numFmtId="169" fontId="60" fillId="0" borderId="1" xfId="0" applyNumberFormat="1" applyFont="1" applyBorder="1" applyAlignment="1">
      <alignment horizontal="center"/>
    </xf>
    <xf numFmtId="172" fontId="58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left" vertical="center"/>
    </xf>
    <xf numFmtId="0" fontId="60" fillId="0" borderId="1" xfId="0" applyFont="1" applyBorder="1" applyAlignment="1">
      <alignment horizontal="center" wrapText="1"/>
    </xf>
    <xf numFmtId="174" fontId="60" fillId="0" borderId="1" xfId="0" applyNumberFormat="1" applyFont="1" applyBorder="1" applyAlignment="1">
      <alignment horizontal="center" vertical="center"/>
    </xf>
    <xf numFmtId="38" fontId="60" fillId="0" borderId="1" xfId="0" applyNumberFormat="1" applyFont="1" applyBorder="1" applyAlignment="1">
      <alignment horizontal="center"/>
    </xf>
    <xf numFmtId="38" fontId="60" fillId="3" borderId="1" xfId="0" applyNumberFormat="1" applyFont="1" applyFill="1" applyBorder="1" applyAlignment="1">
      <alignment horizontal="center"/>
    </xf>
    <xf numFmtId="0" fontId="60" fillId="0" borderId="1" xfId="0" applyFont="1" applyBorder="1"/>
    <xf numFmtId="0" fontId="60" fillId="0" borderId="1" xfId="0" applyFont="1" applyBorder="1" applyAlignment="1">
      <alignment horizontal="center"/>
    </xf>
    <xf numFmtId="0" fontId="60" fillId="0" borderId="12" xfId="0" applyFont="1" applyBorder="1" applyAlignment="1">
      <alignment horizontal="center" wrapText="1"/>
    </xf>
    <xf numFmtId="1" fontId="78" fillId="0" borderId="1" xfId="0" applyNumberFormat="1" applyFont="1" applyBorder="1" applyAlignment="1">
      <alignment horizontal="center" shrinkToFit="1"/>
    </xf>
    <xf numFmtId="4" fontId="78" fillId="0" borderId="1" xfId="0" applyNumberFormat="1" applyFont="1" applyBorder="1" applyAlignment="1">
      <alignment horizontal="center" shrinkToFit="1"/>
    </xf>
    <xf numFmtId="3" fontId="78" fillId="0" borderId="1" xfId="0" applyNumberFormat="1" applyFont="1" applyBorder="1" applyAlignment="1">
      <alignment horizontal="center" shrinkToFit="1"/>
    </xf>
    <xf numFmtId="38" fontId="60" fillId="3" borderId="1" xfId="0" applyNumberFormat="1" applyFont="1" applyFill="1" applyBorder="1" applyAlignment="1">
      <alignment horizontal="center" vertical="center"/>
    </xf>
    <xf numFmtId="172" fontId="60" fillId="0" borderId="1" xfId="0" applyNumberFormat="1" applyFont="1" applyBorder="1" applyAlignment="1">
      <alignment horizontal="center"/>
    </xf>
    <xf numFmtId="172" fontId="60" fillId="3" borderId="1" xfId="0" applyNumberFormat="1" applyFont="1" applyFill="1" applyBorder="1" applyAlignment="1">
      <alignment horizontal="center"/>
    </xf>
    <xf numFmtId="169" fontId="58" fillId="0" borderId="1" xfId="0" applyNumberFormat="1" applyFont="1" applyBorder="1"/>
    <xf numFmtId="172" fontId="58" fillId="0" borderId="1" xfId="0" applyNumberFormat="1" applyFont="1" applyBorder="1"/>
    <xf numFmtId="172" fontId="58" fillId="4" borderId="1" xfId="0" applyNumberFormat="1" applyFont="1" applyFill="1" applyBorder="1"/>
    <xf numFmtId="170" fontId="58" fillId="4" borderId="1" xfId="0" applyNumberFormat="1" applyFont="1" applyFill="1" applyBorder="1"/>
    <xf numFmtId="0" fontId="30" fillId="3" borderId="1" xfId="0" applyFont="1" applyFill="1" applyBorder="1" applyAlignment="1">
      <alignment vertical="center"/>
    </xf>
    <xf numFmtId="14" fontId="42" fillId="3" borderId="1" xfId="0" applyNumberFormat="1" applyFont="1" applyFill="1" applyBorder="1" applyAlignment="1">
      <alignment horizontal="center" vertical="center"/>
    </xf>
    <xf numFmtId="165" fontId="44" fillId="3" borderId="1" xfId="0" applyNumberFormat="1" applyFont="1" applyFill="1" applyBorder="1" applyAlignment="1">
      <alignment horizontal="center"/>
    </xf>
    <xf numFmtId="170" fontId="0" fillId="0" borderId="1" xfId="0" applyNumberFormat="1" applyBorder="1"/>
    <xf numFmtId="170" fontId="25" fillId="4" borderId="1" xfId="0" applyNumberFormat="1" applyFont="1" applyFill="1" applyBorder="1"/>
    <xf numFmtId="1" fontId="79" fillId="0" borderId="1" xfId="0" applyNumberFormat="1" applyFont="1" applyBorder="1" applyAlignment="1">
      <alignment horizontal="center" shrinkToFit="1"/>
    </xf>
    <xf numFmtId="4" fontId="80" fillId="0" borderId="1" xfId="0" applyNumberFormat="1" applyFont="1" applyBorder="1" applyAlignment="1">
      <alignment horizontal="center" shrinkToFit="1"/>
    </xf>
    <xf numFmtId="3" fontId="80" fillId="0" borderId="1" xfId="0" applyNumberFormat="1" applyFont="1" applyBorder="1" applyAlignment="1">
      <alignment horizontal="center" shrinkToFit="1"/>
    </xf>
    <xf numFmtId="1" fontId="81" fillId="0" borderId="1" xfId="0" applyNumberFormat="1" applyFont="1" applyBorder="1" applyAlignment="1">
      <alignment horizontal="center" shrinkToFit="1"/>
    </xf>
    <xf numFmtId="4" fontId="82" fillId="0" borderId="1" xfId="0" applyNumberFormat="1" applyFont="1" applyBorder="1" applyAlignment="1">
      <alignment horizontal="center" shrinkToFit="1"/>
    </xf>
    <xf numFmtId="3" fontId="82" fillId="0" borderId="1" xfId="0" applyNumberFormat="1" applyFont="1" applyBorder="1" applyAlignment="1">
      <alignment horizontal="center" shrinkToFit="1"/>
    </xf>
    <xf numFmtId="0" fontId="37" fillId="0" borderId="1" xfId="0" applyFont="1" applyBorder="1" applyAlignment="1">
      <alignment horizontal="center" wrapText="1"/>
    </xf>
    <xf numFmtId="0" fontId="37" fillId="0" borderId="1" xfId="0" applyFont="1" applyBorder="1" applyAlignment="1">
      <alignment horizontal="left" wrapText="1"/>
    </xf>
    <xf numFmtId="14" fontId="32" fillId="2" borderId="1" xfId="0" applyNumberFormat="1" applyFont="1" applyFill="1" applyBorder="1" applyAlignment="1">
      <alignment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wrapText="1"/>
    </xf>
    <xf numFmtId="172" fontId="0" fillId="7" borderId="0" xfId="0" applyNumberFormat="1" applyFill="1"/>
    <xf numFmtId="0" fontId="71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169" fontId="49" fillId="0" borderId="1" xfId="0" applyNumberFormat="1" applyFont="1" applyBorder="1" applyAlignment="1">
      <alignment horizontal="center" wrapText="1"/>
    </xf>
    <xf numFmtId="14" fontId="49" fillId="0" borderId="1" xfId="0" applyNumberFormat="1" applyFont="1" applyBorder="1" applyAlignment="1">
      <alignment horizontal="left" wrapText="1"/>
    </xf>
    <xf numFmtId="0" fontId="49" fillId="0" borderId="1" xfId="0" applyFont="1" applyBorder="1" applyAlignment="1">
      <alignment horizontal="center" wrapText="1"/>
    </xf>
    <xf numFmtId="0" fontId="50" fillId="4" borderId="1" xfId="0" applyFont="1" applyFill="1" applyBorder="1" applyAlignment="1">
      <alignment horizontal="left" vertical="center"/>
    </xf>
    <xf numFmtId="0" fontId="50" fillId="4" borderId="1" xfId="0" applyFont="1" applyFill="1" applyBorder="1" applyAlignment="1">
      <alignment horizontal="center"/>
    </xf>
    <xf numFmtId="2" fontId="14" fillId="4" borderId="1" xfId="0" applyNumberFormat="1" applyFont="1" applyFill="1" applyBorder="1" applyAlignment="1">
      <alignment horizontal="center" wrapText="1"/>
    </xf>
    <xf numFmtId="172" fontId="14" fillId="4" borderId="1" xfId="0" applyNumberFormat="1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 wrapText="1"/>
    </xf>
    <xf numFmtId="172" fontId="50" fillId="4" borderId="1" xfId="0" applyNumberFormat="1" applyFont="1" applyFill="1" applyBorder="1" applyAlignment="1">
      <alignment horizontal="center"/>
    </xf>
    <xf numFmtId="0" fontId="50" fillId="4" borderId="1" xfId="0" applyFont="1" applyFill="1" applyBorder="1" applyAlignment="1">
      <alignment horizontal="center" vertical="center"/>
    </xf>
    <xf numFmtId="172" fontId="51" fillId="4" borderId="1" xfId="0" applyNumberFormat="1" applyFont="1" applyFill="1" applyBorder="1" applyAlignment="1">
      <alignment horizontal="center"/>
    </xf>
    <xf numFmtId="172" fontId="51" fillId="3" borderId="1" xfId="0" applyNumberFormat="1" applyFont="1" applyFill="1" applyBorder="1" applyAlignment="1">
      <alignment horizontal="center"/>
    </xf>
    <xf numFmtId="0" fontId="60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 wrapText="1"/>
    </xf>
    <xf numFmtId="0" fontId="58" fillId="0" borderId="1" xfId="0" applyFont="1" applyBorder="1" applyAlignment="1">
      <alignment horizontal="center" vertical="center" wrapText="1"/>
    </xf>
    <xf numFmtId="0" fontId="50" fillId="3" borderId="12" xfId="0" applyFont="1" applyFill="1" applyBorder="1" applyAlignment="1">
      <alignment horizontal="center"/>
    </xf>
    <xf numFmtId="172" fontId="58" fillId="0" borderId="1" xfId="0" applyNumberFormat="1" applyFont="1" applyBorder="1" applyAlignment="1">
      <alignment horizontal="center"/>
    </xf>
    <xf numFmtId="38" fontId="78" fillId="0" borderId="1" xfId="0" applyNumberFormat="1" applyFont="1" applyBorder="1" applyAlignment="1">
      <alignment horizontal="center" shrinkToFit="1"/>
    </xf>
    <xf numFmtId="38" fontId="60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left"/>
    </xf>
    <xf numFmtId="169" fontId="59" fillId="3" borderId="1" xfId="0" applyNumberFormat="1" applyFont="1" applyFill="1" applyBorder="1" applyAlignment="1">
      <alignment horizontal="center"/>
    </xf>
    <xf numFmtId="0" fontId="59" fillId="3" borderId="1" xfId="0" quotePrefix="1" applyFont="1" applyFill="1" applyBorder="1" applyAlignment="1">
      <alignment horizontal="center"/>
    </xf>
    <xf numFmtId="165" fontId="60" fillId="3" borderId="1" xfId="0" applyNumberFormat="1" applyFont="1" applyFill="1" applyBorder="1" applyAlignment="1">
      <alignment horizontal="center"/>
    </xf>
    <xf numFmtId="1" fontId="50" fillId="0" borderId="1" xfId="0" applyNumberFormat="1" applyFont="1" applyBorder="1" applyAlignment="1">
      <alignment horizontal="center"/>
    </xf>
    <xf numFmtId="172" fontId="51" fillId="0" borderId="1" xfId="0" applyNumberFormat="1" applyFont="1" applyBorder="1" applyAlignment="1">
      <alignment horizontal="center"/>
    </xf>
    <xf numFmtId="169" fontId="62" fillId="0" borderId="1" xfId="0" applyNumberFormat="1" applyFont="1" applyBorder="1" applyAlignment="1">
      <alignment horizontal="center" vertical="center"/>
    </xf>
    <xf numFmtId="0" fontId="62" fillId="0" borderId="1" xfId="0" quotePrefix="1" applyFont="1" applyBorder="1" applyAlignment="1">
      <alignment horizontal="center"/>
    </xf>
    <xf numFmtId="0" fontId="62" fillId="0" borderId="1" xfId="0" applyFont="1" applyBorder="1" applyAlignment="1">
      <alignment horizontal="center" vertical="center"/>
    </xf>
    <xf numFmtId="0" fontId="62" fillId="0" borderId="1" xfId="0" quotePrefix="1" applyFont="1" applyBorder="1" applyAlignment="1">
      <alignment horizontal="center" vertical="center"/>
    </xf>
    <xf numFmtId="38" fontId="78" fillId="0" borderId="1" xfId="0" applyNumberFormat="1" applyFont="1" applyBorder="1" applyAlignment="1">
      <alignment horizontal="center" vertical="center" shrinkToFit="1"/>
    </xf>
    <xf numFmtId="172" fontId="62" fillId="4" borderId="1" xfId="0" applyNumberFormat="1" applyFont="1" applyFill="1" applyBorder="1" applyAlignment="1">
      <alignment horizontal="center"/>
    </xf>
    <xf numFmtId="172" fontId="0" fillId="0" borderId="0" xfId="0" applyNumberFormat="1" applyAlignment="1">
      <alignment horizontal="center"/>
    </xf>
    <xf numFmtId="0" fontId="25" fillId="0" borderId="1" xfId="0" applyFont="1" applyBorder="1"/>
    <xf numFmtId="172" fontId="25" fillId="0" borderId="1" xfId="0" applyNumberFormat="1" applyFont="1" applyBorder="1"/>
    <xf numFmtId="172" fontId="75" fillId="0" borderId="1" xfId="0" applyNumberFormat="1" applyFont="1" applyBorder="1"/>
    <xf numFmtId="0" fontId="75" fillId="0" borderId="1" xfId="0" applyFont="1" applyBorder="1"/>
    <xf numFmtId="170" fontId="75" fillId="0" borderId="1" xfId="0" applyNumberFormat="1" applyFont="1" applyBorder="1"/>
    <xf numFmtId="0" fontId="51" fillId="0" borderId="1" xfId="0" applyFont="1" applyBorder="1" applyAlignment="1">
      <alignment horizontal="center"/>
    </xf>
    <xf numFmtId="0" fontId="30" fillId="3" borderId="1" xfId="0" applyFont="1" applyFill="1" applyBorder="1" applyAlignment="1">
      <alignment horizontal="left" wrapText="1"/>
    </xf>
    <xf numFmtId="0" fontId="71" fillId="3" borderId="1" xfId="0" applyFont="1" applyFill="1" applyBorder="1" applyAlignment="1">
      <alignment horizontal="center" wrapText="1"/>
    </xf>
    <xf numFmtId="0" fontId="37" fillId="3" borderId="12" xfId="0" applyFont="1" applyFill="1" applyBorder="1" applyAlignment="1">
      <alignment horizontal="center" wrapText="1"/>
    </xf>
    <xf numFmtId="1" fontId="71" fillId="3" borderId="1" xfId="0" applyNumberFormat="1" applyFont="1" applyFill="1" applyBorder="1" applyAlignment="1">
      <alignment horizontal="center" shrinkToFit="1"/>
    </xf>
    <xf numFmtId="4" fontId="71" fillId="3" borderId="1" xfId="0" applyNumberFormat="1" applyFont="1" applyFill="1" applyBorder="1" applyAlignment="1">
      <alignment horizontal="center" shrinkToFit="1"/>
    </xf>
    <xf numFmtId="3" fontId="71" fillId="3" borderId="1" xfId="0" applyNumberFormat="1" applyFont="1" applyFill="1" applyBorder="1" applyAlignment="1">
      <alignment horizontal="center" shrinkToFit="1"/>
    </xf>
    <xf numFmtId="0" fontId="83" fillId="0" borderId="0" xfId="0" quotePrefix="1" applyFont="1"/>
    <xf numFmtId="0" fontId="30" fillId="4" borderId="1" xfId="0" applyFont="1" applyFill="1" applyBorder="1" applyAlignment="1">
      <alignment horizontal="left" wrapText="1"/>
    </xf>
    <xf numFmtId="1" fontId="84" fillId="0" borderId="1" xfId="0" applyNumberFormat="1" applyFont="1" applyBorder="1" applyAlignment="1">
      <alignment horizontal="center" shrinkToFit="1"/>
    </xf>
    <xf numFmtId="4" fontId="85" fillId="0" borderId="1" xfId="0" applyNumberFormat="1" applyFont="1" applyBorder="1" applyAlignment="1">
      <alignment horizontal="center" shrinkToFit="1"/>
    </xf>
    <xf numFmtId="3" fontId="85" fillId="0" borderId="1" xfId="0" applyNumberFormat="1" applyFont="1" applyBorder="1" applyAlignment="1">
      <alignment horizontal="center" shrinkToFit="1"/>
    </xf>
    <xf numFmtId="165" fontId="31" fillId="3" borderId="1" xfId="0" applyNumberFormat="1" applyFont="1" applyFill="1" applyBorder="1" applyAlignment="1">
      <alignment horizontal="right"/>
    </xf>
    <xf numFmtId="172" fontId="31" fillId="0" borderId="1" xfId="0" applyNumberFormat="1" applyFont="1" applyBorder="1" applyAlignment="1">
      <alignment horizontal="right"/>
    </xf>
    <xf numFmtId="172" fontId="69" fillId="3" borderId="1" xfId="0" applyNumberFormat="1" applyFont="1" applyFill="1" applyBorder="1" applyAlignment="1">
      <alignment horizontal="right"/>
    </xf>
    <xf numFmtId="38" fontId="31" fillId="3" borderId="1" xfId="0" applyNumberFormat="1" applyFont="1" applyFill="1" applyBorder="1" applyAlignment="1">
      <alignment horizontal="right" vertical="center"/>
    </xf>
    <xf numFmtId="172" fontId="31" fillId="3" borderId="1" xfId="0" applyNumberFormat="1" applyFont="1" applyFill="1" applyBorder="1" applyAlignment="1">
      <alignment horizontal="right"/>
    </xf>
    <xf numFmtId="0" fontId="69" fillId="3" borderId="3" xfId="0" applyFont="1" applyFill="1" applyBorder="1" applyAlignment="1">
      <alignment horizontal="left" vertical="center" wrapText="1"/>
    </xf>
    <xf numFmtId="0" fontId="31" fillId="0" borderId="12" xfId="0" applyFont="1" applyBorder="1" applyAlignment="1">
      <alignment horizontal="left" wrapText="1"/>
    </xf>
    <xf numFmtId="172" fontId="31" fillId="0" borderId="1" xfId="0" applyNumberFormat="1" applyFont="1" applyFill="1" applyBorder="1" applyAlignment="1">
      <alignment horizontal="right"/>
    </xf>
    <xf numFmtId="0" fontId="0" fillId="0" borderId="15" xfId="0" applyBorder="1"/>
    <xf numFmtId="172" fontId="38" fillId="0" borderId="16" xfId="0" applyNumberFormat="1" applyFont="1" applyBorder="1"/>
    <xf numFmtId="0" fontId="0" fillId="0" borderId="17" xfId="0" applyBorder="1"/>
    <xf numFmtId="172" fontId="0" fillId="0" borderId="18" xfId="0" applyNumberFormat="1" applyBorder="1"/>
    <xf numFmtId="0" fontId="50" fillId="0" borderId="17" xfId="0" applyFont="1" applyBorder="1"/>
    <xf numFmtId="0" fontId="49" fillId="2" borderId="1" xfId="0" applyFont="1" applyFill="1" applyBorder="1" applyAlignment="1"/>
    <xf numFmtId="169" fontId="49" fillId="2" borderId="1" xfId="0" applyNumberFormat="1" applyFont="1" applyFill="1" applyBorder="1" applyAlignment="1">
      <alignment wrapText="1"/>
    </xf>
    <xf numFmtId="14" fontId="49" fillId="2" borderId="1" xfId="0" applyNumberFormat="1" applyFont="1" applyFill="1" applyBorder="1" applyAlignment="1">
      <alignment wrapText="1"/>
    </xf>
    <xf numFmtId="169" fontId="14" fillId="2" borderId="1" xfId="0" applyNumberFormat="1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49" fillId="2" borderId="1" xfId="0" applyFont="1" applyFill="1" applyBorder="1" applyAlignment="1">
      <alignment wrapText="1"/>
    </xf>
    <xf numFmtId="2" fontId="49" fillId="2" borderId="1" xfId="0" applyNumberFormat="1" applyFont="1" applyFill="1" applyBorder="1" applyAlignment="1">
      <alignment wrapText="1"/>
    </xf>
    <xf numFmtId="170" fontId="49" fillId="2" borderId="1" xfId="0" applyNumberFormat="1" applyFont="1" applyFill="1" applyBorder="1" applyAlignment="1">
      <alignment wrapText="1"/>
    </xf>
    <xf numFmtId="0" fontId="0" fillId="0" borderId="0" xfId="0" applyAlignment="1"/>
    <xf numFmtId="0" fontId="51" fillId="0" borderId="1" xfId="0" applyFont="1" applyBorder="1" applyAlignment="1">
      <alignment vertical="center"/>
    </xf>
    <xf numFmtId="14" fontId="49" fillId="3" borderId="1" xfId="0" applyNumberFormat="1" applyFont="1" applyFill="1" applyBorder="1" applyAlignment="1">
      <alignment vertical="center"/>
    </xf>
    <xf numFmtId="14" fontId="50" fillId="0" borderId="1" xfId="0" applyNumberFormat="1" applyFont="1" applyBorder="1" applyAlignment="1"/>
    <xf numFmtId="0" fontId="50" fillId="0" borderId="1" xfId="0" applyFont="1" applyBorder="1" applyAlignment="1">
      <alignment vertical="center"/>
    </xf>
    <xf numFmtId="0" fontId="50" fillId="0" borderId="1" xfId="0" quotePrefix="1" applyFont="1" applyBorder="1" applyAlignment="1"/>
    <xf numFmtId="0" fontId="50" fillId="3" borderId="1" xfId="0" applyFont="1" applyFill="1" applyBorder="1" applyAlignment="1">
      <alignment vertical="center"/>
    </xf>
    <xf numFmtId="0" fontId="50" fillId="0" borderId="1" xfId="0" applyFont="1" applyBorder="1" applyAlignment="1"/>
    <xf numFmtId="4" fontId="50" fillId="0" borderId="1" xfId="0" applyNumberFormat="1" applyFont="1" applyBorder="1" applyAlignment="1"/>
    <xf numFmtId="165" fontId="50" fillId="0" borderId="1" xfId="0" applyNumberFormat="1" applyFont="1" applyBorder="1" applyAlignment="1"/>
    <xf numFmtId="170" fontId="50" fillId="0" borderId="1" xfId="0" applyNumberFormat="1" applyFont="1" applyBorder="1" applyAlignment="1">
      <alignment vertical="center"/>
    </xf>
    <xf numFmtId="14" fontId="50" fillId="3" borderId="1" xfId="0" applyNumberFormat="1" applyFont="1" applyFill="1" applyBorder="1" applyAlignment="1"/>
    <xf numFmtId="0" fontId="50" fillId="3" borderId="1" xfId="0" quotePrefix="1" applyFont="1" applyFill="1" applyBorder="1" applyAlignment="1"/>
    <xf numFmtId="0" fontId="50" fillId="3" borderId="1" xfId="0" applyFont="1" applyFill="1" applyBorder="1" applyAlignment="1"/>
    <xf numFmtId="4" fontId="50" fillId="3" borderId="1" xfId="0" applyNumberFormat="1" applyFont="1" applyFill="1" applyBorder="1" applyAlignment="1"/>
    <xf numFmtId="165" fontId="50" fillId="3" borderId="1" xfId="0" applyNumberFormat="1" applyFont="1" applyFill="1" applyBorder="1" applyAlignment="1"/>
    <xf numFmtId="0" fontId="51" fillId="3" borderId="1" xfId="0" applyFont="1" applyFill="1" applyBorder="1" applyAlignment="1">
      <alignment vertical="center"/>
    </xf>
    <xf numFmtId="170" fontId="50" fillId="3" borderId="1" xfId="0" applyNumberFormat="1" applyFont="1" applyFill="1" applyBorder="1" applyAlignment="1">
      <alignment vertical="center"/>
    </xf>
    <xf numFmtId="0" fontId="0" fillId="3" borderId="0" xfId="0" applyFill="1" applyAlignment="1"/>
    <xf numFmtId="38" fontId="50" fillId="3" borderId="1" xfId="0" applyNumberFormat="1" applyFont="1" applyFill="1" applyBorder="1" applyAlignment="1"/>
    <xf numFmtId="40" fontId="50" fillId="3" borderId="1" xfId="0" applyNumberFormat="1" applyFont="1" applyFill="1" applyBorder="1" applyAlignment="1"/>
    <xf numFmtId="169" fontId="50" fillId="0" borderId="1" xfId="0" applyNumberFormat="1" applyFont="1" applyBorder="1" applyAlignment="1">
      <alignment vertical="center"/>
    </xf>
    <xf numFmtId="0" fontId="50" fillId="3" borderId="1" xfId="0" applyFont="1" applyFill="1" applyBorder="1" applyAlignment="1">
      <alignment vertical="center" wrapText="1"/>
    </xf>
    <xf numFmtId="0" fontId="50" fillId="7" borderId="1" xfId="0" applyFont="1" applyFill="1" applyBorder="1" applyAlignment="1">
      <alignment vertical="center" wrapText="1"/>
    </xf>
    <xf numFmtId="38" fontId="50" fillId="3" borderId="1" xfId="0" applyNumberFormat="1" applyFont="1" applyFill="1" applyBorder="1" applyAlignment="1">
      <alignment vertical="center"/>
    </xf>
    <xf numFmtId="169" fontId="31" fillId="0" borderId="1" xfId="0" applyNumberFormat="1" applyFont="1" applyBorder="1" applyAlignment="1"/>
    <xf numFmtId="0" fontId="0" fillId="0" borderId="1" xfId="0" applyBorder="1" applyAlignment="1"/>
    <xf numFmtId="0" fontId="70" fillId="3" borderId="1" xfId="0" applyFont="1" applyFill="1" applyBorder="1" applyAlignment="1">
      <alignment vertical="top" wrapText="1"/>
    </xf>
    <xf numFmtId="174" fontId="31" fillId="3" borderId="1" xfId="0" applyNumberFormat="1" applyFont="1" applyFill="1" applyBorder="1" applyAlignment="1">
      <alignment vertical="center"/>
    </xf>
    <xf numFmtId="165" fontId="26" fillId="3" borderId="1" xfId="0" applyNumberFormat="1" applyFont="1" applyFill="1" applyBorder="1" applyAlignment="1"/>
    <xf numFmtId="172" fontId="31" fillId="3" borderId="1" xfId="0" applyNumberFormat="1" applyFont="1" applyFill="1" applyBorder="1" applyAlignment="1"/>
    <xf numFmtId="38" fontId="31" fillId="3" borderId="1" xfId="0" applyNumberFormat="1" applyFont="1" applyFill="1" applyBorder="1" applyAlignment="1">
      <alignment vertical="center"/>
    </xf>
    <xf numFmtId="38" fontId="31" fillId="0" borderId="1" xfId="0" applyNumberFormat="1" applyFont="1" applyBorder="1" applyAlignment="1"/>
    <xf numFmtId="0" fontId="31" fillId="3" borderId="1" xfId="0" applyFont="1" applyFill="1" applyBorder="1" applyAlignment="1">
      <alignment vertical="center" wrapText="1"/>
    </xf>
    <xf numFmtId="0" fontId="70" fillId="7" borderId="1" xfId="0" applyFont="1" applyFill="1" applyBorder="1" applyAlignment="1">
      <alignment vertical="top" wrapText="1"/>
    </xf>
    <xf numFmtId="174" fontId="30" fillId="3" borderId="1" xfId="0" applyNumberFormat="1" applyFont="1" applyFill="1" applyBorder="1" applyAlignment="1">
      <alignment vertical="center"/>
    </xf>
    <xf numFmtId="0" fontId="31" fillId="3" borderId="1" xfId="0" applyFont="1" applyFill="1" applyBorder="1" applyAlignment="1"/>
    <xf numFmtId="174" fontId="31" fillId="0" borderId="1" xfId="0" applyNumberFormat="1" applyFont="1" applyBorder="1" applyAlignment="1">
      <alignment vertical="center"/>
    </xf>
    <xf numFmtId="0" fontId="26" fillId="3" borderId="1" xfId="0" quotePrefix="1" applyFont="1" applyFill="1" applyBorder="1" applyAlignment="1"/>
    <xf numFmtId="14" fontId="32" fillId="3" borderId="1" xfId="0" applyNumberFormat="1" applyFont="1" applyFill="1" applyBorder="1" applyAlignment="1">
      <alignment vertical="center"/>
    </xf>
    <xf numFmtId="0" fontId="31" fillId="0" borderId="1" xfId="0" applyFont="1" applyBorder="1" applyAlignment="1"/>
    <xf numFmtId="0" fontId="0" fillId="0" borderId="1" xfId="0" applyBorder="1" applyAlignment="1">
      <alignment wrapText="1"/>
    </xf>
    <xf numFmtId="0" fontId="0" fillId="0" borderId="12" xfId="0" applyBorder="1" applyAlignment="1">
      <alignment wrapText="1"/>
    </xf>
    <xf numFmtId="1" fontId="36" fillId="0" borderId="1" xfId="0" applyNumberFormat="1" applyFont="1" applyBorder="1" applyAlignment="1">
      <alignment shrinkToFit="1"/>
    </xf>
    <xf numFmtId="4" fontId="37" fillId="0" borderId="1" xfId="0" applyNumberFormat="1" applyFont="1" applyBorder="1" applyAlignment="1">
      <alignment shrinkToFit="1"/>
    </xf>
    <xf numFmtId="3" fontId="37" fillId="0" borderId="1" xfId="0" applyNumberFormat="1" applyFont="1" applyBorder="1" applyAlignment="1">
      <alignment shrinkToFit="1"/>
    </xf>
    <xf numFmtId="0" fontId="31" fillId="0" borderId="1" xfId="0" applyFont="1" applyFill="1" applyBorder="1" applyAlignment="1">
      <alignment vertical="center"/>
    </xf>
    <xf numFmtId="0" fontId="31" fillId="0" borderId="1" xfId="0" applyFont="1" applyFill="1" applyBorder="1" applyAlignment="1">
      <alignment wrapText="1"/>
    </xf>
    <xf numFmtId="0" fontId="31" fillId="0" borderId="12" xfId="0" applyFont="1" applyFill="1" applyBorder="1" applyAlignment="1">
      <alignment wrapText="1"/>
    </xf>
    <xf numFmtId="174" fontId="31" fillId="0" borderId="1" xfId="0" applyNumberFormat="1" applyFont="1" applyFill="1" applyBorder="1" applyAlignment="1">
      <alignment vertical="center"/>
    </xf>
    <xf numFmtId="172" fontId="31" fillId="0" borderId="1" xfId="0" applyNumberFormat="1" applyFont="1" applyFill="1" applyBorder="1" applyAlignment="1"/>
    <xf numFmtId="38" fontId="31" fillId="0" borderId="1" xfId="0" applyNumberFormat="1" applyFont="1" applyFill="1" applyBorder="1" applyAlignment="1"/>
    <xf numFmtId="1" fontId="71" fillId="0" borderId="1" xfId="0" applyNumberFormat="1" applyFont="1" applyFill="1" applyBorder="1" applyAlignment="1">
      <alignment shrinkToFit="1"/>
    </xf>
    <xf numFmtId="4" fontId="71" fillId="0" borderId="1" xfId="0" applyNumberFormat="1" applyFont="1" applyFill="1" applyBorder="1" applyAlignment="1">
      <alignment shrinkToFit="1"/>
    </xf>
    <xf numFmtId="3" fontId="71" fillId="0" borderId="1" xfId="0" applyNumberFormat="1" applyFont="1" applyFill="1" applyBorder="1" applyAlignment="1">
      <alignment shrinkToFit="1"/>
    </xf>
    <xf numFmtId="38" fontId="31" fillId="0" borderId="1" xfId="0" applyNumberFormat="1" applyFont="1" applyFill="1" applyBorder="1" applyAlignment="1">
      <alignment vertical="center"/>
    </xf>
    <xf numFmtId="0" fontId="31" fillId="0" borderId="1" xfId="0" applyFont="1" applyFill="1" applyBorder="1" applyAlignment="1"/>
    <xf numFmtId="170" fontId="51" fillId="4" borderId="1" xfId="0" applyNumberFormat="1" applyFont="1" applyFill="1" applyBorder="1" applyAlignment="1"/>
    <xf numFmtId="0" fontId="51" fillId="0" borderId="15" xfId="0" applyFont="1" applyBorder="1" applyAlignment="1"/>
    <xf numFmtId="165" fontId="51" fillId="0" borderId="16" xfId="0" applyNumberFormat="1" applyFont="1" applyBorder="1" applyAlignment="1"/>
    <xf numFmtId="0" fontId="50" fillId="0" borderId="0" xfId="0" applyFont="1" applyAlignment="1"/>
    <xf numFmtId="0" fontId="51" fillId="0" borderId="17" xfId="0" applyFont="1" applyBorder="1" applyAlignment="1"/>
    <xf numFmtId="170" fontId="51" fillId="0" borderId="18" xfId="0" applyNumberFormat="1" applyFont="1" applyBorder="1" applyAlignment="1"/>
    <xf numFmtId="40" fontId="51" fillId="0" borderId="18" xfId="0" applyNumberFormat="1" applyFont="1" applyBorder="1" applyAlignment="1"/>
    <xf numFmtId="171" fontId="51" fillId="0" borderId="18" xfId="0" applyNumberFormat="1" applyFont="1" applyBorder="1" applyAlignment="1"/>
    <xf numFmtId="0" fontId="51" fillId="0" borderId="19" xfId="0" applyFont="1" applyBorder="1" applyAlignment="1"/>
    <xf numFmtId="171" fontId="52" fillId="0" borderId="20" xfId="0" applyNumberFormat="1" applyFont="1" applyBorder="1" applyAlignment="1"/>
    <xf numFmtId="0" fontId="50" fillId="0" borderId="1" xfId="0" quotePrefix="1" applyFont="1" applyBorder="1" applyAlignment="1">
      <alignment vertical="center"/>
    </xf>
    <xf numFmtId="0" fontId="31" fillId="0" borderId="1" xfId="0" quotePrefix="1" applyFont="1" applyBorder="1" applyAlignment="1"/>
    <xf numFmtId="0" fontId="63" fillId="0" borderId="1" xfId="0" applyFont="1" applyBorder="1" applyAlignment="1">
      <alignment vertical="top" wrapText="1"/>
    </xf>
    <xf numFmtId="0" fontId="63" fillId="0" borderId="12" xfId="0" applyFont="1" applyBorder="1" applyAlignment="1">
      <alignment vertical="top" wrapText="1"/>
    </xf>
    <xf numFmtId="165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68" fontId="7" fillId="2" borderId="1" xfId="0" applyNumberFormat="1" applyFont="1" applyFill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/>
    </xf>
    <xf numFmtId="168" fontId="22" fillId="2" borderId="2" xfId="0" applyNumberFormat="1" applyFont="1" applyFill="1" applyBorder="1" applyAlignment="1">
      <alignment horizontal="center" vertical="center"/>
    </xf>
    <xf numFmtId="168" fontId="7" fillId="2" borderId="3" xfId="0" applyNumberFormat="1" applyFont="1" applyFill="1" applyBorder="1" applyAlignment="1">
      <alignment horizontal="center" vertical="center"/>
    </xf>
    <xf numFmtId="168" fontId="22" fillId="2" borderId="3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75" fillId="4" borderId="12" xfId="0" applyFont="1" applyFill="1" applyBorder="1" applyAlignment="1">
      <alignment horizontal="center"/>
    </xf>
    <xf numFmtId="0" fontId="75" fillId="4" borderId="1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42" fillId="0" borderId="1" xfId="0" applyFont="1" applyBorder="1" applyAlignment="1">
      <alignment horizontal="left" vertical="center"/>
    </xf>
    <xf numFmtId="0" fontId="42" fillId="3" borderId="1" xfId="0" applyFont="1" applyFill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4" fillId="3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 wrapText="1"/>
    </xf>
    <xf numFmtId="0" fontId="44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wrapText="1"/>
    </xf>
    <xf numFmtId="0" fontId="44" fillId="3" borderId="1" xfId="0" applyFont="1" applyFill="1" applyBorder="1" applyAlignment="1">
      <alignment horizontal="left" vertical="center"/>
    </xf>
    <xf numFmtId="0" fontId="44" fillId="6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left"/>
    </xf>
    <xf numFmtId="0" fontId="46" fillId="5" borderId="14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left" vertical="center" wrapText="1"/>
    </xf>
    <xf numFmtId="0" fontId="46" fillId="11" borderId="1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left" wrapText="1"/>
    </xf>
    <xf numFmtId="0" fontId="46" fillId="3" borderId="1" xfId="0" applyFont="1" applyFill="1" applyBorder="1" applyAlignment="1">
      <alignment horizontal="left"/>
    </xf>
    <xf numFmtId="0" fontId="46" fillId="11" borderId="1" xfId="0" applyFont="1" applyFill="1" applyBorder="1" applyAlignment="1">
      <alignment horizontal="left"/>
    </xf>
    <xf numFmtId="0" fontId="45" fillId="3" borderId="1" xfId="0" applyFont="1" applyFill="1" applyBorder="1" applyAlignment="1">
      <alignment horizontal="left" vertical="center"/>
    </xf>
    <xf numFmtId="0" fontId="44" fillId="7" borderId="1" xfId="0" applyFont="1" applyFill="1" applyBorder="1" applyAlignment="1">
      <alignment horizontal="left" wrapText="1"/>
    </xf>
    <xf numFmtId="0" fontId="44" fillId="7" borderId="1" xfId="0" applyFont="1" applyFill="1" applyBorder="1" applyAlignment="1">
      <alignment horizontal="left"/>
    </xf>
    <xf numFmtId="0" fontId="46" fillId="0" borderId="1" xfId="0" applyFont="1" applyBorder="1" applyAlignment="1">
      <alignment horizontal="left" wrapText="1"/>
    </xf>
    <xf numFmtId="0" fontId="46" fillId="9" borderId="1" xfId="0" applyFont="1" applyFill="1" applyBorder="1" applyAlignment="1">
      <alignment horizontal="left" vertical="center" wrapText="1"/>
    </xf>
    <xf numFmtId="0" fontId="44" fillId="0" borderId="0" xfId="0" applyFont="1" applyAlignment="1">
      <alignment horizontal="left" wrapText="1"/>
    </xf>
    <xf numFmtId="0" fontId="44" fillId="3" borderId="1" xfId="0" applyFont="1" applyFill="1" applyBorder="1" applyAlignment="1">
      <alignment horizontal="left" wrapText="1"/>
    </xf>
    <xf numFmtId="0" fontId="46" fillId="8" borderId="1" xfId="0" applyFont="1" applyFill="1" applyBorder="1" applyAlignment="1">
      <alignment horizontal="left" vertical="center" wrapText="1"/>
    </xf>
    <xf numFmtId="0" fontId="46" fillId="7" borderId="1" xfId="0" applyFont="1" applyFill="1" applyBorder="1" applyAlignment="1">
      <alignment horizontal="left" vertical="center" wrapText="1"/>
    </xf>
    <xf numFmtId="0" fontId="44" fillId="8" borderId="1" xfId="0" applyFont="1" applyFill="1" applyBorder="1" applyAlignment="1">
      <alignment horizontal="left" vertical="center" wrapText="1"/>
    </xf>
    <xf numFmtId="14" fontId="7" fillId="3" borderId="1" xfId="0" applyNumberFormat="1" applyFont="1" applyFill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45" fillId="0" borderId="1" xfId="0" applyFont="1" applyBorder="1" applyAlignment="1">
      <alignment horizontal="left" wrapText="1"/>
    </xf>
    <xf numFmtId="0" fontId="44" fillId="9" borderId="1" xfId="0" applyFont="1" applyFill="1" applyBorder="1" applyAlignment="1">
      <alignment horizontal="left"/>
    </xf>
    <xf numFmtId="0" fontId="44" fillId="0" borderId="0" xfId="0" applyFont="1" applyAlignment="1">
      <alignment horizontal="left"/>
    </xf>
    <xf numFmtId="0" fontId="44" fillId="9" borderId="1" xfId="0" applyFont="1" applyFill="1" applyBorder="1" applyAlignment="1">
      <alignment horizontal="left" wrapText="1"/>
    </xf>
    <xf numFmtId="0" fontId="45" fillId="3" borderId="1" xfId="0" applyFont="1" applyFill="1" applyBorder="1" applyAlignment="1">
      <alignment horizontal="left"/>
    </xf>
    <xf numFmtId="0" fontId="45" fillId="3" borderId="1" xfId="0" applyFont="1" applyFill="1" applyBorder="1" applyAlignment="1">
      <alignment horizontal="left" wrapText="1"/>
    </xf>
    <xf numFmtId="0" fontId="44" fillId="9" borderId="1" xfId="0" applyFont="1" applyFill="1" applyBorder="1" applyAlignment="1">
      <alignment horizontal="left" vertical="center"/>
    </xf>
    <xf numFmtId="0" fontId="45" fillId="0" borderId="1" xfId="0" applyFont="1" applyBorder="1" applyAlignment="1">
      <alignment horizontal="left"/>
    </xf>
    <xf numFmtId="0" fontId="44" fillId="4" borderId="1" xfId="0" applyFont="1" applyFill="1" applyBorder="1" applyAlignment="1">
      <alignment horizontal="left" wrapText="1"/>
    </xf>
    <xf numFmtId="0" fontId="42" fillId="0" borderId="1" xfId="0" applyFont="1" applyBorder="1" applyAlignment="1">
      <alignment horizontal="left"/>
    </xf>
    <xf numFmtId="0" fontId="42" fillId="3" borderId="1" xfId="0" applyFont="1" applyFill="1" applyBorder="1" applyAlignment="1">
      <alignment horizontal="left"/>
    </xf>
    <xf numFmtId="0" fontId="46" fillId="10" borderId="1" xfId="0" applyFont="1" applyFill="1" applyBorder="1" applyAlignment="1">
      <alignment horizontal="left" wrapText="1"/>
    </xf>
    <xf numFmtId="0" fontId="46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left"/>
    </xf>
    <xf numFmtId="0" fontId="44" fillId="6" borderId="3" xfId="0" applyFont="1" applyFill="1" applyBorder="1" applyAlignment="1">
      <alignment horizontal="left" vertical="center"/>
    </xf>
    <xf numFmtId="0" fontId="46" fillId="3" borderId="3" xfId="0" applyFont="1" applyFill="1" applyBorder="1" applyAlignment="1">
      <alignment horizontal="left" vertical="center" wrapText="1"/>
    </xf>
    <xf numFmtId="0" fontId="46" fillId="7" borderId="3" xfId="0" applyFont="1" applyFill="1" applyBorder="1" applyAlignment="1">
      <alignment horizontal="left" vertical="center" wrapText="1"/>
    </xf>
    <xf numFmtId="0" fontId="44" fillId="8" borderId="1" xfId="0" applyFont="1" applyFill="1" applyBorder="1" applyAlignment="1">
      <alignment horizontal="left"/>
    </xf>
    <xf numFmtId="14" fontId="7" fillId="0" borderId="1" xfId="0" applyNumberFormat="1" applyFont="1" applyBorder="1" applyAlignment="1">
      <alignment horizontal="left" wrapText="1"/>
    </xf>
    <xf numFmtId="0" fontId="44" fillId="4" borderId="1" xfId="0" applyFont="1" applyFill="1" applyBorder="1" applyAlignment="1">
      <alignment horizontal="left" vertical="center"/>
    </xf>
    <xf numFmtId="0" fontId="44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 wrapText="1"/>
    </xf>
    <xf numFmtId="0" fontId="44" fillId="3" borderId="1" xfId="0" applyFont="1" applyFill="1" applyBorder="1" applyAlignment="1">
      <alignment horizontal="left" vertical="center" wrapText="1"/>
    </xf>
    <xf numFmtId="0" fontId="44" fillId="7" borderId="1" xfId="0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170" fontId="44" fillId="3" borderId="1" xfId="0" applyNumberFormat="1" applyFont="1" applyFill="1" applyBorder="1" applyAlignment="1">
      <alignment horizontal="left"/>
    </xf>
    <xf numFmtId="0" fontId="44" fillId="0" borderId="1" xfId="2" applyFont="1" applyBorder="1" applyAlignment="1">
      <alignment horizontal="left" wrapText="1"/>
    </xf>
    <xf numFmtId="0" fontId="44" fillId="3" borderId="12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44" fillId="0" borderId="12" xfId="0" applyFont="1" applyBorder="1" applyAlignment="1">
      <alignment horizontal="left" wrapText="1"/>
    </xf>
    <xf numFmtId="0" fontId="86" fillId="0" borderId="12" xfId="0" applyFont="1" applyBorder="1" applyAlignment="1">
      <alignment horizontal="left" wrapText="1"/>
    </xf>
    <xf numFmtId="169" fontId="44" fillId="0" borderId="1" xfId="0" applyNumberFormat="1" applyFont="1" applyBorder="1" applyAlignment="1">
      <alignment horizontal="left"/>
    </xf>
    <xf numFmtId="0" fontId="12" fillId="0" borderId="12" xfId="0" applyFont="1" applyBorder="1" applyAlignment="1">
      <alignment horizontal="left" vertical="top" wrapText="1"/>
    </xf>
    <xf numFmtId="0" fontId="42" fillId="16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169" fontId="7" fillId="2" borderId="2" xfId="0" applyNumberFormat="1" applyFont="1" applyFill="1" applyBorder="1" applyAlignment="1">
      <alignment horizontal="left" wrapText="1"/>
    </xf>
    <xf numFmtId="174" fontId="7" fillId="2" borderId="2" xfId="0" applyNumberFormat="1" applyFont="1" applyFill="1" applyBorder="1" applyAlignment="1">
      <alignment horizontal="left" vertical="center" wrapText="1"/>
    </xf>
    <xf numFmtId="172" fontId="7" fillId="2" borderId="2" xfId="0" applyNumberFormat="1" applyFont="1" applyFill="1" applyBorder="1" applyAlignment="1">
      <alignment horizontal="left" wrapText="1"/>
    </xf>
    <xf numFmtId="165" fontId="7" fillId="2" borderId="2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9" fontId="44" fillId="3" borderId="1" xfId="0" applyNumberFormat="1" applyFont="1" applyFill="1" applyBorder="1" applyAlignment="1">
      <alignment horizontal="left"/>
    </xf>
    <xf numFmtId="169" fontId="42" fillId="3" borderId="1" xfId="0" applyNumberFormat="1" applyFont="1" applyFill="1" applyBorder="1" applyAlignment="1">
      <alignment horizontal="left"/>
    </xf>
    <xf numFmtId="169" fontId="44" fillId="0" borderId="1" xfId="0" applyNumberFormat="1" applyFont="1" applyBorder="1" applyAlignment="1">
      <alignment horizontal="left" vertical="center"/>
    </xf>
    <xf numFmtId="14" fontId="42" fillId="3" borderId="1" xfId="0" quotePrefix="1" applyNumberFormat="1" applyFont="1" applyFill="1" applyBorder="1" applyAlignment="1">
      <alignment horizontal="left"/>
    </xf>
    <xf numFmtId="174" fontId="46" fillId="3" borderId="1" xfId="0" applyNumberFormat="1" applyFont="1" applyFill="1" applyBorder="1" applyAlignment="1">
      <alignment horizontal="left" vertical="center" wrapText="1"/>
    </xf>
    <xf numFmtId="172" fontId="44" fillId="3" borderId="1" xfId="0" applyNumberFormat="1" applyFont="1" applyFill="1" applyBorder="1" applyAlignment="1">
      <alignment horizontal="left"/>
    </xf>
    <xf numFmtId="172" fontId="44" fillId="3" borderId="1" xfId="0" applyNumberFormat="1" applyFont="1" applyFill="1" applyBorder="1" applyAlignment="1">
      <alignment horizontal="left" vertical="center"/>
    </xf>
    <xf numFmtId="172" fontId="44" fillId="0" borderId="1" xfId="0" applyNumberFormat="1" applyFont="1" applyBorder="1" applyAlignment="1">
      <alignment horizontal="left" vertical="center"/>
    </xf>
    <xf numFmtId="169" fontId="42" fillId="0" borderId="1" xfId="0" applyNumberFormat="1" applyFont="1" applyBorder="1" applyAlignment="1">
      <alignment horizontal="left"/>
    </xf>
    <xf numFmtId="0" fontId="44" fillId="0" borderId="1" xfId="0" quotePrefix="1" applyFont="1" applyBorder="1" applyAlignment="1">
      <alignment horizontal="left" vertical="center"/>
    </xf>
    <xf numFmtId="174" fontId="44" fillId="0" borderId="1" xfId="0" applyNumberFormat="1" applyFont="1" applyBorder="1" applyAlignment="1">
      <alignment horizontal="left" vertical="center"/>
    </xf>
    <xf numFmtId="169" fontId="44" fillId="3" borderId="1" xfId="0" quotePrefix="1" applyNumberFormat="1" applyFont="1" applyFill="1" applyBorder="1" applyAlignment="1">
      <alignment horizontal="left"/>
    </xf>
    <xf numFmtId="169" fontId="44" fillId="9" borderId="1" xfId="0" applyNumberFormat="1" applyFont="1" applyFill="1" applyBorder="1" applyAlignment="1">
      <alignment horizontal="left"/>
    </xf>
    <xf numFmtId="169" fontId="44" fillId="9" borderId="1" xfId="0" quotePrefix="1" applyNumberFormat="1" applyFont="1" applyFill="1" applyBorder="1" applyAlignment="1">
      <alignment horizontal="left"/>
    </xf>
    <xf numFmtId="14" fontId="44" fillId="0" borderId="1" xfId="0" applyNumberFormat="1" applyFont="1" applyBorder="1" applyAlignment="1">
      <alignment horizontal="left" vertical="center"/>
    </xf>
    <xf numFmtId="169" fontId="44" fillId="3" borderId="1" xfId="0" applyNumberFormat="1" applyFont="1" applyFill="1" applyBorder="1" applyAlignment="1">
      <alignment horizontal="left" vertical="center"/>
    </xf>
    <xf numFmtId="14" fontId="42" fillId="3" borderId="1" xfId="0" applyNumberFormat="1" applyFont="1" applyFill="1" applyBorder="1" applyAlignment="1">
      <alignment horizontal="left" vertical="center"/>
    </xf>
    <xf numFmtId="174" fontId="44" fillId="3" borderId="1" xfId="0" applyNumberFormat="1" applyFont="1" applyFill="1" applyBorder="1" applyAlignment="1">
      <alignment horizontal="left" vertical="center"/>
    </xf>
    <xf numFmtId="169" fontId="44" fillId="6" borderId="1" xfId="0" applyNumberFormat="1" applyFont="1" applyFill="1" applyBorder="1" applyAlignment="1">
      <alignment horizontal="left" vertical="center"/>
    </xf>
    <xf numFmtId="14" fontId="42" fillId="6" borderId="1" xfId="0" applyNumberFormat="1" applyFont="1" applyFill="1" applyBorder="1" applyAlignment="1">
      <alignment horizontal="left" vertical="center"/>
    </xf>
    <xf numFmtId="174" fontId="44" fillId="6" borderId="1" xfId="0" applyNumberFormat="1" applyFont="1" applyFill="1" applyBorder="1" applyAlignment="1">
      <alignment horizontal="left" vertical="center"/>
    </xf>
    <xf numFmtId="172" fontId="44" fillId="12" borderId="1" xfId="0" applyNumberFormat="1" applyFont="1" applyFill="1" applyBorder="1" applyAlignment="1">
      <alignment horizontal="left" vertical="center"/>
    </xf>
    <xf numFmtId="172" fontId="42" fillId="6" borderId="1" xfId="0" applyNumberFormat="1" applyFont="1" applyFill="1" applyBorder="1" applyAlignment="1">
      <alignment horizontal="left" vertical="center"/>
    </xf>
    <xf numFmtId="172" fontId="46" fillId="6" borderId="1" xfId="0" applyNumberFormat="1" applyFont="1" applyFill="1" applyBorder="1" applyAlignment="1">
      <alignment horizontal="left" vertical="center"/>
    </xf>
    <xf numFmtId="169" fontId="42" fillId="11" borderId="1" xfId="0" applyNumberFormat="1" applyFont="1" applyFill="1" applyBorder="1" applyAlignment="1">
      <alignment horizontal="left" vertical="center"/>
    </xf>
    <xf numFmtId="0" fontId="42" fillId="11" borderId="1" xfId="0" applyFont="1" applyFill="1" applyBorder="1" applyAlignment="1">
      <alignment horizontal="left"/>
    </xf>
    <xf numFmtId="174" fontId="44" fillId="11" borderId="1" xfId="0" applyNumberFormat="1" applyFont="1" applyFill="1" applyBorder="1" applyAlignment="1">
      <alignment horizontal="left" vertical="center"/>
    </xf>
    <xf numFmtId="172" fontId="44" fillId="11" borderId="1" xfId="0" applyNumberFormat="1" applyFont="1" applyFill="1" applyBorder="1" applyAlignment="1">
      <alignment horizontal="left"/>
    </xf>
    <xf numFmtId="172" fontId="42" fillId="11" borderId="1" xfId="0" applyNumberFormat="1" applyFont="1" applyFill="1" applyBorder="1" applyAlignment="1">
      <alignment horizontal="left"/>
    </xf>
    <xf numFmtId="14" fontId="42" fillId="0" borderId="1" xfId="0" applyNumberFormat="1" applyFont="1" applyBorder="1" applyAlignment="1">
      <alignment horizontal="left"/>
    </xf>
    <xf numFmtId="0" fontId="42" fillId="0" borderId="1" xfId="0" quotePrefix="1" applyFont="1" applyBorder="1" applyAlignment="1">
      <alignment horizontal="left"/>
    </xf>
    <xf numFmtId="172" fontId="44" fillId="0" borderId="1" xfId="0" applyNumberFormat="1" applyFont="1" applyBorder="1" applyAlignment="1">
      <alignment horizontal="left"/>
    </xf>
    <xf numFmtId="172" fontId="42" fillId="3" borderId="1" xfId="0" applyNumberFormat="1" applyFont="1" applyFill="1" applyBorder="1" applyAlignment="1">
      <alignment horizontal="left"/>
    </xf>
    <xf numFmtId="0" fontId="44" fillId="0" borderId="13" xfId="0" applyFont="1" applyBorder="1" applyAlignment="1">
      <alignment horizontal="left" vertical="center"/>
    </xf>
    <xf numFmtId="14" fontId="42" fillId="3" borderId="1" xfId="0" applyNumberFormat="1" applyFont="1" applyFill="1" applyBorder="1" applyAlignment="1">
      <alignment horizontal="left"/>
    </xf>
    <xf numFmtId="0" fontId="42" fillId="3" borderId="1" xfId="0" quotePrefix="1" applyFont="1" applyFill="1" applyBorder="1" applyAlignment="1">
      <alignment horizontal="left"/>
    </xf>
    <xf numFmtId="169" fontId="43" fillId="3" borderId="1" xfId="0" applyNumberFormat="1" applyFont="1" applyFill="1" applyBorder="1" applyAlignment="1">
      <alignment horizontal="left"/>
    </xf>
    <xf numFmtId="174" fontId="45" fillId="3" borderId="1" xfId="0" applyNumberFormat="1" applyFont="1" applyFill="1" applyBorder="1" applyAlignment="1">
      <alignment horizontal="left" vertical="center"/>
    </xf>
    <xf numFmtId="172" fontId="45" fillId="0" borderId="1" xfId="0" applyNumberFormat="1" applyFont="1" applyBorder="1" applyAlignment="1">
      <alignment horizontal="left"/>
    </xf>
    <xf numFmtId="172" fontId="45" fillId="3" borderId="1" xfId="0" applyNumberFormat="1" applyFont="1" applyFill="1" applyBorder="1" applyAlignment="1">
      <alignment horizontal="left"/>
    </xf>
    <xf numFmtId="0" fontId="42" fillId="3" borderId="1" xfId="0" quotePrefix="1" applyFont="1" applyFill="1" applyBorder="1" applyAlignment="1">
      <alignment horizontal="left" wrapText="1"/>
    </xf>
    <xf numFmtId="169" fontId="42" fillId="11" borderId="1" xfId="0" applyNumberFormat="1" applyFont="1" applyFill="1" applyBorder="1" applyAlignment="1">
      <alignment horizontal="left"/>
    </xf>
    <xf numFmtId="14" fontId="42" fillId="11" borderId="1" xfId="0" applyNumberFormat="1" applyFont="1" applyFill="1" applyBorder="1" applyAlignment="1">
      <alignment horizontal="left"/>
    </xf>
    <xf numFmtId="0" fontId="42" fillId="11" borderId="1" xfId="0" quotePrefix="1" applyFont="1" applyFill="1" applyBorder="1" applyAlignment="1">
      <alignment horizontal="left"/>
    </xf>
    <xf numFmtId="0" fontId="44" fillId="11" borderId="13" xfId="0" applyFont="1" applyFill="1" applyBorder="1" applyAlignment="1">
      <alignment horizontal="left" vertical="center"/>
    </xf>
    <xf numFmtId="172" fontId="46" fillId="11" borderId="1" xfId="0" applyNumberFormat="1" applyFont="1" applyFill="1" applyBorder="1" applyAlignment="1">
      <alignment horizontal="left"/>
    </xf>
    <xf numFmtId="0" fontId="44" fillId="3" borderId="13" xfId="0" applyFont="1" applyFill="1" applyBorder="1" applyAlignment="1">
      <alignment horizontal="left" vertical="center"/>
    </xf>
    <xf numFmtId="0" fontId="42" fillId="4" borderId="1" xfId="0" applyFont="1" applyFill="1" applyBorder="1" applyAlignment="1">
      <alignment horizontal="left"/>
    </xf>
    <xf numFmtId="0" fontId="44" fillId="7" borderId="13" xfId="0" applyFont="1" applyFill="1" applyBorder="1" applyAlignment="1">
      <alignment horizontal="left" vertical="center"/>
    </xf>
    <xf numFmtId="174" fontId="44" fillId="7" borderId="1" xfId="0" applyNumberFormat="1" applyFont="1" applyFill="1" applyBorder="1" applyAlignment="1">
      <alignment horizontal="left" vertical="center"/>
    </xf>
    <xf numFmtId="172" fontId="44" fillId="7" borderId="1" xfId="0" applyNumberFormat="1" applyFont="1" applyFill="1" applyBorder="1" applyAlignment="1">
      <alignment horizontal="left"/>
    </xf>
    <xf numFmtId="172" fontId="42" fillId="0" borderId="1" xfId="0" applyNumberFormat="1" applyFont="1" applyBorder="1" applyAlignment="1">
      <alignment horizontal="left"/>
    </xf>
    <xf numFmtId="0" fontId="46" fillId="0" borderId="0" xfId="0" applyFont="1" applyAlignment="1">
      <alignment horizontal="left" vertical="center"/>
    </xf>
    <xf numFmtId="172" fontId="46" fillId="0" borderId="1" xfId="0" applyNumberFormat="1" applyFont="1" applyBorder="1" applyAlignment="1">
      <alignment horizontal="left"/>
    </xf>
    <xf numFmtId="172" fontId="46" fillId="3" borderId="1" xfId="0" applyNumberFormat="1" applyFont="1" applyFill="1" applyBorder="1" applyAlignment="1">
      <alignment horizontal="left"/>
    </xf>
    <xf numFmtId="169" fontId="42" fillId="9" borderId="1" xfId="0" applyNumberFormat="1" applyFont="1" applyFill="1" applyBorder="1" applyAlignment="1">
      <alignment horizontal="left"/>
    </xf>
    <xf numFmtId="14" fontId="42" fillId="9" borderId="1" xfId="0" applyNumberFormat="1" applyFont="1" applyFill="1" applyBorder="1" applyAlignment="1">
      <alignment horizontal="left"/>
    </xf>
    <xf numFmtId="0" fontId="42" fillId="9" borderId="1" xfId="0" quotePrefix="1" applyFont="1" applyFill="1" applyBorder="1" applyAlignment="1">
      <alignment horizontal="left"/>
    </xf>
    <xf numFmtId="0" fontId="46" fillId="9" borderId="13" xfId="0" applyFont="1" applyFill="1" applyBorder="1" applyAlignment="1">
      <alignment horizontal="left" vertical="center" wrapText="1"/>
    </xf>
    <xf numFmtId="174" fontId="44" fillId="9" borderId="1" xfId="0" applyNumberFormat="1" applyFont="1" applyFill="1" applyBorder="1" applyAlignment="1">
      <alignment horizontal="left" vertical="center"/>
    </xf>
    <xf numFmtId="172" fontId="46" fillId="9" borderId="1" xfId="0" applyNumberFormat="1" applyFont="1" applyFill="1" applyBorder="1" applyAlignment="1">
      <alignment horizontal="left"/>
    </xf>
    <xf numFmtId="172" fontId="44" fillId="9" borderId="1" xfId="0" applyNumberFormat="1" applyFont="1" applyFill="1" applyBorder="1" applyAlignment="1">
      <alignment horizontal="left"/>
    </xf>
    <xf numFmtId="0" fontId="44" fillId="0" borderId="1" xfId="0" quotePrefix="1" applyFont="1" applyBorder="1" applyAlignment="1">
      <alignment horizontal="left"/>
    </xf>
    <xf numFmtId="14" fontId="44" fillId="3" borderId="1" xfId="0" applyNumberFormat="1" applyFont="1" applyFill="1" applyBorder="1" applyAlignment="1">
      <alignment horizontal="left"/>
    </xf>
    <xf numFmtId="0" fontId="44" fillId="3" borderId="1" xfId="0" quotePrefix="1" applyFont="1" applyFill="1" applyBorder="1" applyAlignment="1">
      <alignment horizontal="left"/>
    </xf>
    <xf numFmtId="14" fontId="44" fillId="0" borderId="1" xfId="0" applyNumberFormat="1" applyFont="1" applyBorder="1" applyAlignment="1">
      <alignment horizontal="left"/>
    </xf>
    <xf numFmtId="169" fontId="42" fillId="8" borderId="1" xfId="0" applyNumberFormat="1" applyFont="1" applyFill="1" applyBorder="1" applyAlignment="1">
      <alignment horizontal="left"/>
    </xf>
    <xf numFmtId="14" fontId="42" fillId="8" borderId="1" xfId="0" applyNumberFormat="1" applyFont="1" applyFill="1" applyBorder="1" applyAlignment="1">
      <alignment horizontal="left"/>
    </xf>
    <xf numFmtId="0" fontId="42" fillId="8" borderId="1" xfId="0" applyFont="1" applyFill="1" applyBorder="1" applyAlignment="1">
      <alignment horizontal="left"/>
    </xf>
    <xf numFmtId="0" fontId="44" fillId="8" borderId="13" xfId="0" applyFont="1" applyFill="1" applyBorder="1" applyAlignment="1">
      <alignment horizontal="left" vertical="center"/>
    </xf>
    <xf numFmtId="174" fontId="44" fillId="8" borderId="1" xfId="0" applyNumberFormat="1" applyFont="1" applyFill="1" applyBorder="1" applyAlignment="1">
      <alignment horizontal="left" vertical="center"/>
    </xf>
    <xf numFmtId="172" fontId="46" fillId="8" borderId="1" xfId="0" applyNumberFormat="1" applyFont="1" applyFill="1" applyBorder="1" applyAlignment="1">
      <alignment horizontal="left"/>
    </xf>
    <xf numFmtId="172" fontId="44" fillId="8" borderId="1" xfId="0" applyNumberFormat="1" applyFont="1" applyFill="1" applyBorder="1" applyAlignment="1">
      <alignment horizontal="left"/>
    </xf>
    <xf numFmtId="0" fontId="44" fillId="7" borderId="1" xfId="0" applyFont="1" applyFill="1" applyBorder="1" applyAlignment="1">
      <alignment horizontal="left" vertical="center"/>
    </xf>
    <xf numFmtId="172" fontId="46" fillId="7" borderId="1" xfId="0" applyNumberFormat="1" applyFont="1" applyFill="1" applyBorder="1" applyAlignment="1">
      <alignment horizontal="left"/>
    </xf>
    <xf numFmtId="174" fontId="42" fillId="0" borderId="1" xfId="0" applyNumberFormat="1" applyFont="1" applyBorder="1" applyAlignment="1">
      <alignment horizontal="left" vertical="center"/>
    </xf>
    <xf numFmtId="169" fontId="45" fillId="0" borderId="1" xfId="0" applyNumberFormat="1" applyFont="1" applyBorder="1" applyAlignment="1">
      <alignment horizontal="left"/>
    </xf>
    <xf numFmtId="0" fontId="45" fillId="0" borderId="1" xfId="0" quotePrefix="1" applyFont="1" applyBorder="1" applyAlignment="1">
      <alignment horizontal="left"/>
    </xf>
    <xf numFmtId="174" fontId="45" fillId="0" borderId="1" xfId="0" applyNumberFormat="1" applyFont="1" applyBorder="1" applyAlignment="1">
      <alignment horizontal="left" vertical="center"/>
    </xf>
    <xf numFmtId="172" fontId="45" fillId="0" borderId="1" xfId="0" applyNumberFormat="1" applyFont="1" applyBorder="1" applyAlignment="1">
      <alignment horizontal="left" vertical="center"/>
    </xf>
    <xf numFmtId="0" fontId="44" fillId="0" borderId="1" xfId="0" quotePrefix="1" applyFont="1" applyBorder="1" applyAlignment="1">
      <alignment horizontal="left" wrapText="1"/>
    </xf>
    <xf numFmtId="14" fontId="44" fillId="9" borderId="1" xfId="0" applyNumberFormat="1" applyFont="1" applyFill="1" applyBorder="1" applyAlignment="1">
      <alignment horizontal="left"/>
    </xf>
    <xf numFmtId="0" fontId="42" fillId="9" borderId="1" xfId="0" applyFont="1" applyFill="1" applyBorder="1" applyAlignment="1">
      <alignment horizontal="left"/>
    </xf>
    <xf numFmtId="174" fontId="44" fillId="0" borderId="0" xfId="0" applyNumberFormat="1" applyFont="1" applyAlignment="1">
      <alignment horizontal="left" vertical="center"/>
    </xf>
    <xf numFmtId="172" fontId="44" fillId="0" borderId="0" xfId="0" applyNumberFormat="1" applyFont="1" applyAlignment="1">
      <alignment horizontal="left"/>
    </xf>
    <xf numFmtId="0" fontId="44" fillId="3" borderId="1" xfId="0" quotePrefix="1" applyFont="1" applyFill="1" applyBorder="1" applyAlignment="1">
      <alignment horizontal="left" wrapText="1"/>
    </xf>
    <xf numFmtId="0" fontId="44" fillId="4" borderId="1" xfId="0" quotePrefix="1" applyFont="1" applyFill="1" applyBorder="1" applyAlignment="1">
      <alignment horizontal="left"/>
    </xf>
    <xf numFmtId="0" fontId="44" fillId="9" borderId="1" xfId="0" quotePrefix="1" applyFont="1" applyFill="1" applyBorder="1" applyAlignment="1">
      <alignment horizontal="left"/>
    </xf>
    <xf numFmtId="169" fontId="44" fillId="4" borderId="1" xfId="0" applyNumberFormat="1" applyFont="1" applyFill="1" applyBorder="1" applyAlignment="1">
      <alignment horizontal="left"/>
    </xf>
    <xf numFmtId="14" fontId="44" fillId="4" borderId="1" xfId="0" applyNumberFormat="1" applyFont="1" applyFill="1" applyBorder="1" applyAlignment="1">
      <alignment horizontal="left"/>
    </xf>
    <xf numFmtId="174" fontId="44" fillId="4" borderId="1" xfId="0" applyNumberFormat="1" applyFont="1" applyFill="1" applyBorder="1" applyAlignment="1">
      <alignment horizontal="left" vertical="center"/>
    </xf>
    <xf numFmtId="172" fontId="44" fillId="4" borderId="1" xfId="0" applyNumberFormat="1" applyFont="1" applyFill="1" applyBorder="1" applyAlignment="1">
      <alignment horizontal="left"/>
    </xf>
    <xf numFmtId="0" fontId="42" fillId="4" borderId="1" xfId="0" quotePrefix="1" applyFont="1" applyFill="1" applyBorder="1" applyAlignment="1">
      <alignment horizontal="left"/>
    </xf>
    <xf numFmtId="0" fontId="44" fillId="10" borderId="1" xfId="0" applyFont="1" applyFill="1" applyBorder="1" applyAlignment="1">
      <alignment horizontal="left" vertical="center"/>
    </xf>
    <xf numFmtId="174" fontId="44" fillId="10" borderId="1" xfId="0" applyNumberFormat="1" applyFont="1" applyFill="1" applyBorder="1" applyAlignment="1">
      <alignment horizontal="left" vertical="center"/>
    </xf>
    <xf numFmtId="172" fontId="46" fillId="10" borderId="1" xfId="0" applyNumberFormat="1" applyFont="1" applyFill="1" applyBorder="1" applyAlignment="1">
      <alignment horizontal="left"/>
    </xf>
    <xf numFmtId="172" fontId="42" fillId="10" borderId="1" xfId="0" applyNumberFormat="1" applyFont="1" applyFill="1" applyBorder="1" applyAlignment="1">
      <alignment horizontal="left"/>
    </xf>
    <xf numFmtId="0" fontId="44" fillId="10" borderId="13" xfId="0" applyFont="1" applyFill="1" applyBorder="1" applyAlignment="1">
      <alignment horizontal="left" vertical="center"/>
    </xf>
    <xf numFmtId="174" fontId="46" fillId="3" borderId="1" xfId="0" applyNumberFormat="1" applyFont="1" applyFill="1" applyBorder="1" applyAlignment="1">
      <alignment horizontal="left" vertical="center"/>
    </xf>
    <xf numFmtId="172" fontId="47" fillId="3" borderId="1" xfId="0" applyNumberFormat="1" applyFont="1" applyFill="1" applyBorder="1" applyAlignment="1">
      <alignment horizontal="left" vertical="center" wrapText="1"/>
    </xf>
    <xf numFmtId="172" fontId="42" fillId="3" borderId="1" xfId="0" applyNumberFormat="1" applyFont="1" applyFill="1" applyBorder="1" applyAlignment="1">
      <alignment horizontal="left" vertical="center"/>
    </xf>
    <xf numFmtId="174" fontId="46" fillId="6" borderId="1" xfId="0" applyNumberFormat="1" applyFont="1" applyFill="1" applyBorder="1" applyAlignment="1">
      <alignment horizontal="left" vertical="center" wrapText="1"/>
    </xf>
    <xf numFmtId="172" fontId="44" fillId="6" borderId="1" xfId="0" applyNumberFormat="1" applyFont="1" applyFill="1" applyBorder="1" applyAlignment="1">
      <alignment horizontal="left" vertical="center"/>
    </xf>
    <xf numFmtId="174" fontId="46" fillId="7" borderId="1" xfId="0" applyNumberFormat="1" applyFont="1" applyFill="1" applyBorder="1" applyAlignment="1">
      <alignment horizontal="left" vertical="center"/>
    </xf>
    <xf numFmtId="172" fontId="44" fillId="6" borderId="1" xfId="0" applyNumberFormat="1" applyFont="1" applyFill="1" applyBorder="1" applyAlignment="1">
      <alignment horizontal="left"/>
    </xf>
    <xf numFmtId="172" fontId="42" fillId="6" borderId="1" xfId="0" applyNumberFormat="1" applyFont="1" applyFill="1" applyBorder="1" applyAlignment="1">
      <alignment horizontal="left"/>
    </xf>
    <xf numFmtId="174" fontId="46" fillId="5" borderId="1" xfId="0" applyNumberFormat="1" applyFont="1" applyFill="1" applyBorder="1" applyAlignment="1">
      <alignment horizontal="left" vertical="center" wrapText="1"/>
    </xf>
    <xf numFmtId="165" fontId="44" fillId="0" borderId="1" xfId="0" applyNumberFormat="1" applyFont="1" applyBorder="1" applyAlignment="1">
      <alignment horizontal="left"/>
    </xf>
    <xf numFmtId="172" fontId="43" fillId="3" borderId="1" xfId="0" applyNumberFormat="1" applyFont="1" applyFill="1" applyBorder="1" applyAlignment="1">
      <alignment horizontal="left"/>
    </xf>
    <xf numFmtId="165" fontId="45" fillId="0" borderId="1" xfId="0" applyNumberFormat="1" applyFont="1" applyBorder="1" applyAlignment="1">
      <alignment horizontal="left"/>
    </xf>
    <xf numFmtId="0" fontId="45" fillId="0" borderId="0" xfId="0" applyFont="1" applyAlignment="1">
      <alignment horizontal="left"/>
    </xf>
    <xf numFmtId="0" fontId="44" fillId="8" borderId="1" xfId="0" applyFont="1" applyFill="1" applyBorder="1" applyAlignment="1">
      <alignment horizontal="left" vertical="center"/>
    </xf>
    <xf numFmtId="172" fontId="42" fillId="8" borderId="1" xfId="0" applyNumberFormat="1" applyFont="1" applyFill="1" applyBorder="1" applyAlignment="1">
      <alignment horizontal="left"/>
    </xf>
    <xf numFmtId="0" fontId="44" fillId="8" borderId="0" xfId="0" applyFont="1" applyFill="1" applyAlignment="1">
      <alignment horizontal="left"/>
    </xf>
    <xf numFmtId="165" fontId="45" fillId="0" borderId="1" xfId="0" applyNumberFormat="1" applyFont="1" applyBorder="1" applyAlignment="1">
      <alignment horizontal="left" wrapText="1"/>
    </xf>
    <xf numFmtId="174" fontId="44" fillId="0" borderId="13" xfId="0" applyNumberFormat="1" applyFont="1" applyBorder="1" applyAlignment="1">
      <alignment horizontal="left" vertical="center"/>
    </xf>
    <xf numFmtId="165" fontId="45" fillId="0" borderId="2" xfId="0" applyNumberFormat="1" applyFont="1" applyBorder="1" applyAlignment="1">
      <alignment horizontal="left" vertical="center"/>
    </xf>
    <xf numFmtId="165" fontId="45" fillId="0" borderId="3" xfId="0" applyNumberFormat="1" applyFont="1" applyBorder="1" applyAlignment="1">
      <alignment horizontal="left" vertical="center"/>
    </xf>
    <xf numFmtId="172" fontId="46" fillId="8" borderId="1" xfId="0" applyNumberFormat="1" applyFont="1" applyFill="1" applyBorder="1" applyAlignment="1">
      <alignment horizontal="left" vertical="center" wrapText="1"/>
    </xf>
    <xf numFmtId="0" fontId="44" fillId="3" borderId="0" xfId="0" applyFont="1" applyFill="1" applyAlignment="1">
      <alignment horizontal="left"/>
    </xf>
    <xf numFmtId="165" fontId="44" fillId="3" borderId="1" xfId="0" applyNumberFormat="1" applyFont="1" applyFill="1" applyBorder="1" applyAlignment="1">
      <alignment horizontal="left"/>
    </xf>
    <xf numFmtId="169" fontId="7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46" fillId="4" borderId="1" xfId="0" applyFont="1" applyFill="1" applyBorder="1" applyAlignment="1">
      <alignment horizontal="left" vertical="center" wrapText="1"/>
    </xf>
    <xf numFmtId="2" fontId="12" fillId="4" borderId="1" xfId="0" applyNumberFormat="1" applyFont="1" applyFill="1" applyBorder="1" applyAlignment="1">
      <alignment horizontal="left" wrapText="1"/>
    </xf>
    <xf numFmtId="172" fontId="12" fillId="4" borderId="1" xfId="0" applyNumberFormat="1" applyFont="1" applyFill="1" applyBorder="1" applyAlignment="1">
      <alignment horizontal="left" wrapText="1"/>
    </xf>
    <xf numFmtId="165" fontId="44" fillId="4" borderId="1" xfId="0" applyNumberFormat="1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center" wrapText="1"/>
    </xf>
    <xf numFmtId="174" fontId="46" fillId="4" borderId="1" xfId="0" applyNumberFormat="1" applyFont="1" applyFill="1" applyBorder="1" applyAlignment="1">
      <alignment horizontal="left" vertical="center" wrapText="1"/>
    </xf>
    <xf numFmtId="174" fontId="42" fillId="3" borderId="1" xfId="0" applyNumberFormat="1" applyFont="1" applyFill="1" applyBorder="1" applyAlignment="1">
      <alignment horizontal="left" vertical="center"/>
    </xf>
    <xf numFmtId="172" fontId="44" fillId="14" borderId="1" xfId="0" applyNumberFormat="1" applyFont="1" applyFill="1" applyBorder="1" applyAlignment="1">
      <alignment horizontal="left" vertical="center"/>
    </xf>
    <xf numFmtId="172" fontId="44" fillId="7" borderId="1" xfId="0" applyNumberFormat="1" applyFont="1" applyFill="1" applyBorder="1" applyAlignment="1">
      <alignment horizontal="left" vertical="center"/>
    </xf>
    <xf numFmtId="0" fontId="44" fillId="0" borderId="4" xfId="0" applyFont="1" applyBorder="1" applyAlignment="1">
      <alignment horizontal="left" vertical="center"/>
    </xf>
    <xf numFmtId="0" fontId="44" fillId="0" borderId="5" xfId="0" applyFont="1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0" fontId="44" fillId="0" borderId="7" xfId="0" applyFont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4" fillId="0" borderId="8" xfId="0" applyFont="1" applyBorder="1" applyAlignment="1">
      <alignment horizontal="left" vertical="center"/>
    </xf>
    <xf numFmtId="0" fontId="44" fillId="0" borderId="9" xfId="0" applyFont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4" borderId="1" xfId="0" applyFont="1" applyFill="1" applyBorder="1" applyAlignment="1">
      <alignment horizontal="left" vertical="center" wrapText="1"/>
    </xf>
    <xf numFmtId="0" fontId="44" fillId="4" borderId="2" xfId="0" applyFont="1" applyFill="1" applyBorder="1" applyAlignment="1">
      <alignment horizontal="left" vertical="center"/>
    </xf>
    <xf numFmtId="0" fontId="44" fillId="4" borderId="23" xfId="0" applyFont="1" applyFill="1" applyBorder="1" applyAlignment="1">
      <alignment horizontal="left" vertical="center"/>
    </xf>
    <xf numFmtId="0" fontId="44" fillId="4" borderId="3" xfId="0" applyFont="1" applyFill="1" applyBorder="1" applyAlignment="1">
      <alignment horizontal="left" vertical="center"/>
    </xf>
    <xf numFmtId="172" fontId="44" fillId="14" borderId="1" xfId="0" applyNumberFormat="1" applyFont="1" applyFill="1" applyBorder="1" applyAlignment="1">
      <alignment horizontal="left"/>
    </xf>
    <xf numFmtId="174" fontId="86" fillId="0" borderId="1" xfId="0" applyNumberFormat="1" applyFont="1" applyBorder="1" applyAlignment="1">
      <alignment horizontal="left" vertical="center" shrinkToFit="1"/>
    </xf>
    <xf numFmtId="172" fontId="86" fillId="0" borderId="1" xfId="0" applyNumberFormat="1" applyFont="1" applyBorder="1" applyAlignment="1">
      <alignment horizontal="left" shrinkToFit="1"/>
    </xf>
    <xf numFmtId="0" fontId="12" fillId="0" borderId="1" xfId="0" applyFont="1" applyBorder="1" applyAlignment="1">
      <alignment horizontal="left" vertical="center" wrapText="1"/>
    </xf>
    <xf numFmtId="174" fontId="12" fillId="0" borderId="1" xfId="0" applyNumberFormat="1" applyFont="1" applyBorder="1" applyAlignment="1">
      <alignment horizontal="left" vertical="center" wrapText="1"/>
    </xf>
    <xf numFmtId="0" fontId="44" fillId="4" borderId="1" xfId="0" quotePrefix="1" applyFont="1" applyFill="1" applyBorder="1" applyAlignment="1">
      <alignment horizontal="left" vertical="center"/>
    </xf>
    <xf numFmtId="0" fontId="44" fillId="4" borderId="2" xfId="0" applyFont="1" applyFill="1" applyBorder="1" applyAlignment="1">
      <alignment horizontal="left" vertical="center" wrapText="1"/>
    </xf>
    <xf numFmtId="38" fontId="44" fillId="0" borderId="1" xfId="0" applyNumberFormat="1" applyFont="1" applyBorder="1" applyAlignment="1">
      <alignment horizontal="left"/>
    </xf>
    <xf numFmtId="169" fontId="12" fillId="3" borderId="1" xfId="0" applyNumberFormat="1" applyFont="1" applyFill="1" applyBorder="1" applyAlignment="1">
      <alignment horizontal="left"/>
    </xf>
    <xf numFmtId="0" fontId="12" fillId="3" borderId="1" xfId="0" applyFont="1" applyFill="1" applyBorder="1" applyAlignment="1">
      <alignment horizontal="left" vertical="center" wrapText="1"/>
    </xf>
    <xf numFmtId="172" fontId="12" fillId="14" borderId="1" xfId="0" applyNumberFormat="1" applyFont="1" applyFill="1" applyBorder="1" applyAlignment="1">
      <alignment horizontal="left"/>
    </xf>
    <xf numFmtId="172" fontId="12" fillId="3" borderId="1" xfId="0" applyNumberFormat="1" applyFont="1" applyFill="1" applyBorder="1" applyAlignment="1">
      <alignment horizontal="left"/>
    </xf>
    <xf numFmtId="0" fontId="44" fillId="0" borderId="2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4" fillId="4" borderId="2" xfId="0" applyFont="1" applyFill="1" applyBorder="1" applyAlignment="1">
      <alignment horizontal="left"/>
    </xf>
    <xf numFmtId="0" fontId="44" fillId="4" borderId="23" xfId="0" applyFont="1" applyFill="1" applyBorder="1" applyAlignment="1">
      <alignment horizontal="left"/>
    </xf>
    <xf numFmtId="0" fontId="44" fillId="4" borderId="3" xfId="0" applyFont="1" applyFill="1" applyBorder="1" applyAlignment="1">
      <alignment horizontal="left"/>
    </xf>
    <xf numFmtId="172" fontId="86" fillId="0" borderId="1" xfId="0" applyNumberFormat="1" applyFont="1" applyBorder="1" applyAlignment="1">
      <alignment horizontal="left" vertical="top" shrinkToFit="1"/>
    </xf>
    <xf numFmtId="172" fontId="44" fillId="0" borderId="1" xfId="0" applyNumberFormat="1" applyFont="1" applyFill="1" applyBorder="1" applyAlignment="1">
      <alignment horizontal="left"/>
    </xf>
    <xf numFmtId="174" fontId="44" fillId="14" borderId="1" xfId="0" applyNumberFormat="1" applyFont="1" applyFill="1" applyBorder="1" applyAlignment="1">
      <alignment horizontal="left" vertical="center"/>
    </xf>
    <xf numFmtId="172" fontId="44" fillId="0" borderId="1" xfId="0" applyNumberFormat="1" applyFont="1" applyFill="1" applyBorder="1" applyAlignment="1">
      <alignment horizontal="left" vertical="center"/>
    </xf>
    <xf numFmtId="0" fontId="86" fillId="0" borderId="1" xfId="0" applyFont="1" applyBorder="1" applyAlignment="1">
      <alignment horizontal="left" wrapText="1"/>
    </xf>
    <xf numFmtId="1" fontId="86" fillId="0" borderId="1" xfId="0" applyNumberFormat="1" applyFont="1" applyBorder="1" applyAlignment="1">
      <alignment horizontal="left" shrinkToFit="1"/>
    </xf>
    <xf numFmtId="2" fontId="45" fillId="14" borderId="1" xfId="0" applyNumberFormat="1" applyFont="1" applyFill="1" applyBorder="1" applyAlignment="1">
      <alignment horizontal="left" vertical="top" shrinkToFit="1"/>
    </xf>
    <xf numFmtId="2" fontId="45" fillId="0" borderId="1" xfId="0" applyNumberFormat="1" applyFont="1" applyBorder="1" applyAlignment="1">
      <alignment horizontal="left" vertical="top" shrinkToFit="1"/>
    </xf>
    <xf numFmtId="1" fontId="86" fillId="0" borderId="0" xfId="0" applyNumberFormat="1" applyFont="1" applyAlignment="1">
      <alignment horizontal="left" shrinkToFit="1"/>
    </xf>
  </cellXfs>
  <cellStyles count="3">
    <cellStyle name="Comma" xfId="1" builtinId="3"/>
    <cellStyle name="Normal" xfId="0" builtinId="0"/>
    <cellStyle name="Normal 2" xfId="2" xr:uid="{8AA4ADCE-97B1-43A4-93A0-3BADBB4723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I990"/>
  <sheetViews>
    <sheetView topLeftCell="A299" zoomScale="84" zoomScaleNormal="84" workbookViewId="0">
      <selection activeCell="C993" sqref="C993"/>
    </sheetView>
  </sheetViews>
  <sheetFormatPr defaultColWidth="9.140625" defaultRowHeight="15"/>
  <cols>
    <col min="1" max="1" width="29.7109375" style="282" customWidth="1"/>
    <col min="2" max="2" width="20.7109375" style="283" customWidth="1"/>
    <col min="3" max="3" width="14.42578125" style="273" customWidth="1"/>
    <col min="4" max="4" width="15" style="283" customWidth="1"/>
    <col min="5" max="5" width="52" style="273" customWidth="1"/>
    <col min="6" max="6" width="11.85546875" style="273" customWidth="1"/>
    <col min="7" max="7" width="38.7109375" style="273" customWidth="1"/>
    <col min="8" max="8" width="6.85546875" style="273" customWidth="1"/>
    <col min="9" max="9" width="10.140625" style="284" customWidth="1"/>
    <col min="10" max="10" width="14.5703125" style="285" customWidth="1"/>
    <col min="11" max="12" width="16.28515625" style="285" customWidth="1"/>
    <col min="13" max="13" width="16.5703125" style="286" bestFit="1" customWidth="1"/>
    <col min="14" max="17" width="20.140625" style="287" customWidth="1"/>
    <col min="18" max="18" width="19.7109375" style="288" customWidth="1"/>
    <col min="19" max="16384" width="9.140625" style="282"/>
  </cols>
  <sheetData>
    <row r="1" spans="1:18" s="43" customFormat="1" ht="15.75" customHeight="1">
      <c r="A1" s="984" t="s">
        <v>591</v>
      </c>
      <c r="B1" s="986" t="s">
        <v>0</v>
      </c>
      <c r="C1" s="984" t="s">
        <v>1</v>
      </c>
      <c r="D1" s="984"/>
      <c r="E1" s="984" t="s">
        <v>2</v>
      </c>
      <c r="F1" s="984" t="s">
        <v>3</v>
      </c>
      <c r="G1" s="984" t="s">
        <v>4</v>
      </c>
      <c r="H1" s="984" t="s">
        <v>5</v>
      </c>
      <c r="I1" s="992" t="s">
        <v>6</v>
      </c>
      <c r="J1" s="983" t="s">
        <v>7</v>
      </c>
      <c r="K1" s="983" t="s">
        <v>8</v>
      </c>
      <c r="L1" s="983" t="s">
        <v>9</v>
      </c>
      <c r="M1" s="987" t="s">
        <v>614</v>
      </c>
      <c r="N1" s="987" t="s">
        <v>612</v>
      </c>
      <c r="O1" s="989" t="s">
        <v>613</v>
      </c>
      <c r="P1" s="989" t="s">
        <v>615</v>
      </c>
      <c r="Q1" s="989" t="s">
        <v>616</v>
      </c>
      <c r="R1" s="983" t="s">
        <v>10</v>
      </c>
    </row>
    <row r="2" spans="1:18" s="43" customFormat="1" ht="15.75">
      <c r="A2" s="984"/>
      <c r="B2" s="986"/>
      <c r="C2" s="2" t="s">
        <v>11</v>
      </c>
      <c r="D2" s="1" t="s">
        <v>12</v>
      </c>
      <c r="E2" s="984"/>
      <c r="F2" s="984"/>
      <c r="G2" s="984"/>
      <c r="H2" s="984"/>
      <c r="I2" s="992"/>
      <c r="J2" s="983"/>
      <c r="K2" s="983"/>
      <c r="L2" s="983"/>
      <c r="M2" s="988"/>
      <c r="N2" s="988"/>
      <c r="O2" s="990"/>
      <c r="P2" s="991"/>
      <c r="Q2" s="991"/>
      <c r="R2" s="983"/>
    </row>
    <row r="3" spans="1:18" s="65" customFormat="1" ht="27" hidden="1" customHeight="1">
      <c r="A3" s="3" t="s">
        <v>592</v>
      </c>
      <c r="B3" s="4" t="s">
        <v>13</v>
      </c>
      <c r="C3" s="5" t="s">
        <v>14</v>
      </c>
      <c r="D3" s="6"/>
      <c r="E3" s="7" t="s">
        <v>15</v>
      </c>
      <c r="F3" s="8" t="s">
        <v>16</v>
      </c>
      <c r="G3" s="8" t="s">
        <v>17</v>
      </c>
      <c r="H3" s="8" t="s">
        <v>18</v>
      </c>
      <c r="I3" s="9">
        <v>4</v>
      </c>
      <c r="J3" s="9">
        <v>870370.38</v>
      </c>
      <c r="K3" s="9">
        <f>I3*J3</f>
        <v>3481481.52</v>
      </c>
      <c r="L3" s="9">
        <f>K3*8%</f>
        <v>278518.52159999998</v>
      </c>
      <c r="M3" s="254">
        <f>K3+L3</f>
        <v>3760000.0416000001</v>
      </c>
      <c r="N3" s="10"/>
      <c r="O3" s="10"/>
      <c r="P3" s="10"/>
      <c r="Q3" s="10">
        <f>M3-N3-O3-P3</f>
        <v>3760000.0416000001</v>
      </c>
      <c r="R3" s="11"/>
    </row>
    <row r="4" spans="1:18" s="43" customFormat="1" ht="27" hidden="1" customHeight="1">
      <c r="A4" s="3" t="s">
        <v>592</v>
      </c>
      <c r="B4" s="12" t="s">
        <v>19</v>
      </c>
      <c r="C4" s="13" t="s">
        <v>20</v>
      </c>
      <c r="D4" s="6" t="str">
        <f t="shared" ref="D4:D42" si="0">B4</f>
        <v>30/12/2025</v>
      </c>
      <c r="E4" s="7" t="s">
        <v>15</v>
      </c>
      <c r="F4" s="14" t="s">
        <v>21</v>
      </c>
      <c r="G4" s="14" t="s">
        <v>22</v>
      </c>
      <c r="H4" s="7" t="s">
        <v>18</v>
      </c>
      <c r="I4" s="9">
        <v>4</v>
      </c>
      <c r="J4" s="9">
        <v>937963</v>
      </c>
      <c r="K4" s="9">
        <f t="shared" ref="K4:K35" si="1">I4*J4</f>
        <v>3751852</v>
      </c>
      <c r="L4" s="9">
        <f t="shared" ref="L4:L60" si="2">K4*8%</f>
        <v>300148.16000000003</v>
      </c>
      <c r="M4" s="254">
        <f t="shared" ref="M4:M41" si="3">K4+L4</f>
        <v>4052000.16</v>
      </c>
      <c r="N4" s="10"/>
      <c r="O4" s="10"/>
      <c r="P4" s="10"/>
      <c r="Q4" s="10">
        <f>M4-N4-O4-P4</f>
        <v>4052000.16</v>
      </c>
      <c r="R4" s="11"/>
    </row>
    <row r="5" spans="1:18" s="43" customFormat="1" ht="27" hidden="1" customHeight="1">
      <c r="A5" s="3" t="s">
        <v>592</v>
      </c>
      <c r="B5" s="12" t="s">
        <v>19</v>
      </c>
      <c r="C5" s="13" t="s">
        <v>20</v>
      </c>
      <c r="D5" s="6" t="str">
        <f t="shared" si="0"/>
        <v>30/12/2025</v>
      </c>
      <c r="E5" s="7" t="s">
        <v>15</v>
      </c>
      <c r="F5" s="7" t="s">
        <v>23</v>
      </c>
      <c r="G5" s="7" t="s">
        <v>24</v>
      </c>
      <c r="H5" s="7" t="s">
        <v>25</v>
      </c>
      <c r="I5" s="9">
        <v>6</v>
      </c>
      <c r="J5" s="9">
        <v>1059260</v>
      </c>
      <c r="K5" s="9">
        <f t="shared" si="1"/>
        <v>6355560</v>
      </c>
      <c r="L5" s="9">
        <f t="shared" si="2"/>
        <v>508444.8</v>
      </c>
      <c r="M5" s="254">
        <f t="shared" si="3"/>
        <v>6864004.7999999998</v>
      </c>
      <c r="N5" s="11"/>
      <c r="O5" s="11"/>
      <c r="P5" s="11"/>
      <c r="Q5" s="10">
        <f t="shared" ref="Q5:Q67" si="4">M5-N5-O5-P5</f>
        <v>6864004.7999999998</v>
      </c>
      <c r="R5" s="11"/>
    </row>
    <row r="6" spans="1:18" s="43" customFormat="1" ht="27" hidden="1" customHeight="1">
      <c r="A6" s="3" t="s">
        <v>592</v>
      </c>
      <c r="B6" s="12" t="s">
        <v>19</v>
      </c>
      <c r="C6" s="13" t="s">
        <v>20</v>
      </c>
      <c r="D6" s="6" t="str">
        <f>B6</f>
        <v>30/12/2025</v>
      </c>
      <c r="E6" s="7" t="s">
        <v>15</v>
      </c>
      <c r="F6" s="7" t="s">
        <v>26</v>
      </c>
      <c r="G6" s="7" t="s">
        <v>27</v>
      </c>
      <c r="H6" s="7" t="s">
        <v>18</v>
      </c>
      <c r="I6" s="9">
        <v>10</v>
      </c>
      <c r="J6" s="9">
        <v>256481</v>
      </c>
      <c r="K6" s="9">
        <f t="shared" si="1"/>
        <v>2564810</v>
      </c>
      <c r="L6" s="9">
        <f t="shared" si="2"/>
        <v>205184.80000000002</v>
      </c>
      <c r="M6" s="254">
        <f t="shared" si="3"/>
        <v>2769994.8</v>
      </c>
      <c r="N6" s="11"/>
      <c r="O6" s="11"/>
      <c r="P6" s="11"/>
      <c r="Q6" s="10">
        <f t="shared" si="4"/>
        <v>2769994.8</v>
      </c>
      <c r="R6" s="11"/>
    </row>
    <row r="7" spans="1:18" s="43" customFormat="1" ht="27" hidden="1" customHeight="1">
      <c r="A7" s="3" t="s">
        <v>592</v>
      </c>
      <c r="B7" s="12" t="s">
        <v>19</v>
      </c>
      <c r="C7" s="13" t="s">
        <v>20</v>
      </c>
      <c r="D7" s="6" t="str">
        <f t="shared" si="0"/>
        <v>30/12/2025</v>
      </c>
      <c r="E7" s="7" t="s">
        <v>15</v>
      </c>
      <c r="F7" s="7" t="s">
        <v>28</v>
      </c>
      <c r="G7" s="7" t="s">
        <v>29</v>
      </c>
      <c r="H7" s="7" t="s">
        <v>18</v>
      </c>
      <c r="I7" s="9">
        <v>10</v>
      </c>
      <c r="J7" s="9">
        <v>281481</v>
      </c>
      <c r="K7" s="9">
        <f t="shared" si="1"/>
        <v>2814810</v>
      </c>
      <c r="L7" s="9">
        <f t="shared" si="2"/>
        <v>225184.80000000002</v>
      </c>
      <c r="M7" s="254">
        <f t="shared" si="3"/>
        <v>3039994.8</v>
      </c>
      <c r="N7" s="11"/>
      <c r="O7" s="11"/>
      <c r="P7" s="11"/>
      <c r="Q7" s="10">
        <f t="shared" si="4"/>
        <v>3039994.8</v>
      </c>
      <c r="R7" s="11"/>
    </row>
    <row r="8" spans="1:18" s="43" customFormat="1" ht="27" hidden="1" customHeight="1">
      <c r="A8" s="3" t="s">
        <v>592</v>
      </c>
      <c r="B8" s="12" t="s">
        <v>19</v>
      </c>
      <c r="C8" s="13" t="s">
        <v>20</v>
      </c>
      <c r="D8" s="6" t="str">
        <f t="shared" si="0"/>
        <v>30/12/2025</v>
      </c>
      <c r="E8" s="7" t="s">
        <v>15</v>
      </c>
      <c r="F8" s="7" t="s">
        <v>30</v>
      </c>
      <c r="G8" s="7" t="s">
        <v>31</v>
      </c>
      <c r="H8" s="7" t="s">
        <v>18</v>
      </c>
      <c r="I8" s="9">
        <v>10</v>
      </c>
      <c r="J8" s="9">
        <v>252778</v>
      </c>
      <c r="K8" s="9">
        <f t="shared" si="1"/>
        <v>2527780</v>
      </c>
      <c r="L8" s="9">
        <f t="shared" si="2"/>
        <v>202222.4</v>
      </c>
      <c r="M8" s="254">
        <f t="shared" si="3"/>
        <v>2730002.4</v>
      </c>
      <c r="N8" s="11"/>
      <c r="O8" s="11"/>
      <c r="P8" s="11"/>
      <c r="Q8" s="10">
        <f t="shared" si="4"/>
        <v>2730002.4</v>
      </c>
      <c r="R8" s="11"/>
    </row>
    <row r="9" spans="1:18" s="43" customFormat="1" ht="27" hidden="1" customHeight="1">
      <c r="A9" s="3" t="s">
        <v>592</v>
      </c>
      <c r="B9" s="12" t="s">
        <v>19</v>
      </c>
      <c r="C9" s="13" t="s">
        <v>20</v>
      </c>
      <c r="D9" s="6" t="str">
        <f t="shared" si="0"/>
        <v>30/12/2025</v>
      </c>
      <c r="E9" s="7" t="s">
        <v>15</v>
      </c>
      <c r="F9" s="7" t="s">
        <v>32</v>
      </c>
      <c r="G9" s="7" t="s">
        <v>33</v>
      </c>
      <c r="H9" s="7" t="s">
        <v>18</v>
      </c>
      <c r="I9" s="9">
        <v>10</v>
      </c>
      <c r="J9" s="9">
        <v>256481</v>
      </c>
      <c r="K9" s="9">
        <f t="shared" si="1"/>
        <v>2564810</v>
      </c>
      <c r="L9" s="9">
        <f t="shared" si="2"/>
        <v>205184.80000000002</v>
      </c>
      <c r="M9" s="254">
        <f t="shared" si="3"/>
        <v>2769994.8</v>
      </c>
      <c r="N9" s="10"/>
      <c r="O9" s="10"/>
      <c r="P9" s="10"/>
      <c r="Q9" s="10">
        <f t="shared" si="4"/>
        <v>2769994.8</v>
      </c>
      <c r="R9" s="11"/>
    </row>
    <row r="10" spans="1:18" s="43" customFormat="1" ht="27" hidden="1" customHeight="1">
      <c r="A10" s="3" t="s">
        <v>592</v>
      </c>
      <c r="B10" s="12" t="s">
        <v>19</v>
      </c>
      <c r="C10" s="13" t="s">
        <v>20</v>
      </c>
      <c r="D10" s="6" t="str">
        <f t="shared" si="0"/>
        <v>30/12/2025</v>
      </c>
      <c r="E10" s="7" t="s">
        <v>15</v>
      </c>
      <c r="F10" s="7" t="s">
        <v>34</v>
      </c>
      <c r="G10" s="7" t="s">
        <v>35</v>
      </c>
      <c r="H10" s="7" t="s">
        <v>18</v>
      </c>
      <c r="I10" s="9">
        <v>10</v>
      </c>
      <c r="J10" s="9">
        <v>227778</v>
      </c>
      <c r="K10" s="9">
        <f t="shared" si="1"/>
        <v>2277780</v>
      </c>
      <c r="L10" s="9">
        <f t="shared" si="2"/>
        <v>182222.4</v>
      </c>
      <c r="M10" s="254">
        <f t="shared" si="3"/>
        <v>2460002.4</v>
      </c>
      <c r="N10" s="11"/>
      <c r="O10" s="11"/>
      <c r="P10" s="11"/>
      <c r="Q10" s="10">
        <f t="shared" si="4"/>
        <v>2460002.4</v>
      </c>
      <c r="R10" s="11"/>
    </row>
    <row r="11" spans="1:18" s="43" customFormat="1" ht="27" hidden="1" customHeight="1">
      <c r="A11" s="3" t="s">
        <v>592</v>
      </c>
      <c r="B11" s="12" t="s">
        <v>19</v>
      </c>
      <c r="C11" s="13" t="s">
        <v>20</v>
      </c>
      <c r="D11" s="6" t="str">
        <f t="shared" si="0"/>
        <v>30/12/2025</v>
      </c>
      <c r="E11" s="7" t="s">
        <v>15</v>
      </c>
      <c r="F11" s="7" t="s">
        <v>36</v>
      </c>
      <c r="G11" s="7" t="s">
        <v>37</v>
      </c>
      <c r="H11" s="7" t="s">
        <v>18</v>
      </c>
      <c r="I11" s="9">
        <v>10</v>
      </c>
      <c r="J11" s="9">
        <v>252778</v>
      </c>
      <c r="K11" s="9">
        <f t="shared" si="1"/>
        <v>2527780</v>
      </c>
      <c r="L11" s="9">
        <f t="shared" si="2"/>
        <v>202222.4</v>
      </c>
      <c r="M11" s="254">
        <f t="shared" si="3"/>
        <v>2730002.4</v>
      </c>
      <c r="N11" s="11"/>
      <c r="O11" s="11"/>
      <c r="P11" s="11"/>
      <c r="Q11" s="10">
        <f t="shared" si="4"/>
        <v>2730002.4</v>
      </c>
      <c r="R11" s="11"/>
    </row>
    <row r="12" spans="1:18" s="43" customFormat="1" ht="27" hidden="1" customHeight="1">
      <c r="A12" s="3" t="s">
        <v>592</v>
      </c>
      <c r="B12" s="12" t="s">
        <v>19</v>
      </c>
      <c r="C12" s="13" t="s">
        <v>20</v>
      </c>
      <c r="D12" s="6" t="str">
        <f t="shared" si="0"/>
        <v>30/12/2025</v>
      </c>
      <c r="E12" s="7" t="s">
        <v>15</v>
      </c>
      <c r="F12" s="7" t="s">
        <v>38</v>
      </c>
      <c r="G12" s="7" t="s">
        <v>39</v>
      </c>
      <c r="H12" s="7" t="s">
        <v>18</v>
      </c>
      <c r="I12" s="9">
        <v>10</v>
      </c>
      <c r="J12" s="9">
        <v>277778</v>
      </c>
      <c r="K12" s="9">
        <f t="shared" si="1"/>
        <v>2777780</v>
      </c>
      <c r="L12" s="9">
        <f t="shared" si="2"/>
        <v>222222.4</v>
      </c>
      <c r="M12" s="254">
        <f t="shared" si="3"/>
        <v>3000002.4</v>
      </c>
      <c r="N12" s="11"/>
      <c r="O12" s="11"/>
      <c r="P12" s="11"/>
      <c r="Q12" s="10">
        <f t="shared" si="4"/>
        <v>3000002.4</v>
      </c>
      <c r="R12" s="11"/>
    </row>
    <row r="13" spans="1:18" s="43" customFormat="1" ht="27" hidden="1" customHeight="1">
      <c r="A13" s="3" t="s">
        <v>592</v>
      </c>
      <c r="B13" s="12" t="s">
        <v>19</v>
      </c>
      <c r="C13" s="13" t="s">
        <v>20</v>
      </c>
      <c r="D13" s="6" t="str">
        <f t="shared" si="0"/>
        <v>30/12/2025</v>
      </c>
      <c r="E13" s="7" t="s">
        <v>15</v>
      </c>
      <c r="F13" s="7" t="s">
        <v>40</v>
      </c>
      <c r="G13" s="7" t="s">
        <v>41</v>
      </c>
      <c r="H13" s="7" t="s">
        <v>18</v>
      </c>
      <c r="I13" s="9">
        <v>6</v>
      </c>
      <c r="J13" s="9">
        <v>844444</v>
      </c>
      <c r="K13" s="9">
        <f t="shared" si="1"/>
        <v>5066664</v>
      </c>
      <c r="L13" s="9">
        <f t="shared" si="2"/>
        <v>405333.12</v>
      </c>
      <c r="M13" s="254">
        <f t="shared" si="3"/>
        <v>5471997.1200000001</v>
      </c>
      <c r="N13" s="11"/>
      <c r="O13" s="11"/>
      <c r="P13" s="11"/>
      <c r="Q13" s="10">
        <f t="shared" si="4"/>
        <v>5471997.1200000001</v>
      </c>
      <c r="R13" s="11"/>
    </row>
    <row r="14" spans="1:18" s="43" customFormat="1" ht="27" hidden="1" customHeight="1">
      <c r="A14" s="3" t="s">
        <v>592</v>
      </c>
      <c r="B14" s="12" t="s">
        <v>19</v>
      </c>
      <c r="C14" s="13" t="s">
        <v>20</v>
      </c>
      <c r="D14" s="6" t="str">
        <f t="shared" si="0"/>
        <v>30/12/2025</v>
      </c>
      <c r="E14" s="7" t="s">
        <v>15</v>
      </c>
      <c r="F14" s="7" t="s">
        <v>42</v>
      </c>
      <c r="G14" s="7" t="s">
        <v>43</v>
      </c>
      <c r="H14" s="7" t="s">
        <v>18</v>
      </c>
      <c r="I14" s="9">
        <v>2</v>
      </c>
      <c r="J14" s="9">
        <v>569444</v>
      </c>
      <c r="K14" s="9">
        <f t="shared" si="1"/>
        <v>1138888</v>
      </c>
      <c r="L14" s="9">
        <f t="shared" si="2"/>
        <v>91111.040000000008</v>
      </c>
      <c r="M14" s="254">
        <f t="shared" si="3"/>
        <v>1229999.04</v>
      </c>
      <c r="N14" s="11"/>
      <c r="O14" s="11"/>
      <c r="P14" s="11"/>
      <c r="Q14" s="10">
        <f t="shared" si="4"/>
        <v>1229999.04</v>
      </c>
      <c r="R14" s="11"/>
    </row>
    <row r="15" spans="1:18" s="43" customFormat="1" ht="27" hidden="1" customHeight="1">
      <c r="A15" s="3" t="s">
        <v>592</v>
      </c>
      <c r="B15" s="12" t="s">
        <v>19</v>
      </c>
      <c r="C15" s="13" t="s">
        <v>20</v>
      </c>
      <c r="D15" s="6" t="str">
        <f t="shared" si="0"/>
        <v>30/12/2025</v>
      </c>
      <c r="E15" s="7" t="s">
        <v>15</v>
      </c>
      <c r="F15" s="7" t="s">
        <v>44</v>
      </c>
      <c r="G15" s="7" t="s">
        <v>45</v>
      </c>
      <c r="H15" s="7" t="s">
        <v>18</v>
      </c>
      <c r="I15" s="9">
        <v>2</v>
      </c>
      <c r="J15" s="9">
        <v>564814</v>
      </c>
      <c r="K15" s="9">
        <f t="shared" si="1"/>
        <v>1129628</v>
      </c>
      <c r="L15" s="9">
        <f t="shared" si="2"/>
        <v>90370.240000000005</v>
      </c>
      <c r="M15" s="254">
        <f t="shared" si="3"/>
        <v>1219998.24</v>
      </c>
      <c r="N15" s="11"/>
      <c r="O15" s="11"/>
      <c r="P15" s="11"/>
      <c r="Q15" s="10">
        <f t="shared" si="4"/>
        <v>1219998.24</v>
      </c>
      <c r="R15" s="11"/>
    </row>
    <row r="16" spans="1:18" s="43" customFormat="1" ht="27" hidden="1" customHeight="1">
      <c r="A16" s="3" t="s">
        <v>592</v>
      </c>
      <c r="B16" s="12" t="s">
        <v>19</v>
      </c>
      <c r="C16" s="13" t="s">
        <v>20</v>
      </c>
      <c r="D16" s="6" t="str">
        <f t="shared" si="0"/>
        <v>30/12/2025</v>
      </c>
      <c r="E16" s="7" t="s">
        <v>15</v>
      </c>
      <c r="F16" s="7" t="s">
        <v>46</v>
      </c>
      <c r="G16" s="7" t="s">
        <v>47</v>
      </c>
      <c r="H16" s="7" t="s">
        <v>18</v>
      </c>
      <c r="I16" s="9">
        <v>6</v>
      </c>
      <c r="J16" s="9">
        <v>194444</v>
      </c>
      <c r="K16" s="9">
        <f t="shared" si="1"/>
        <v>1166664</v>
      </c>
      <c r="L16" s="9">
        <f t="shared" si="2"/>
        <v>93333.119999999995</v>
      </c>
      <c r="M16" s="254">
        <f t="shared" si="3"/>
        <v>1259997.1200000001</v>
      </c>
      <c r="N16" s="11"/>
      <c r="O16" s="11"/>
      <c r="P16" s="11"/>
      <c r="Q16" s="10">
        <f t="shared" si="4"/>
        <v>1259997.1200000001</v>
      </c>
      <c r="R16" s="11"/>
    </row>
    <row r="17" spans="1:61" s="43" customFormat="1" ht="27" hidden="1" customHeight="1">
      <c r="A17" s="3" t="s">
        <v>592</v>
      </c>
      <c r="B17" s="12" t="s">
        <v>19</v>
      </c>
      <c r="C17" s="13" t="s">
        <v>20</v>
      </c>
      <c r="D17" s="6" t="str">
        <f t="shared" si="0"/>
        <v>30/12/2025</v>
      </c>
      <c r="E17" s="7" t="s">
        <v>15</v>
      </c>
      <c r="F17" s="7" t="s">
        <v>16</v>
      </c>
      <c r="G17" s="7" t="s">
        <v>17</v>
      </c>
      <c r="H17" s="7" t="s">
        <v>18</v>
      </c>
      <c r="I17" s="9">
        <v>2</v>
      </c>
      <c r="J17" s="9">
        <v>851852</v>
      </c>
      <c r="K17" s="9">
        <f t="shared" si="1"/>
        <v>1703704</v>
      </c>
      <c r="L17" s="9">
        <f t="shared" si="2"/>
        <v>136296.32000000001</v>
      </c>
      <c r="M17" s="254">
        <f t="shared" si="3"/>
        <v>1840000.32</v>
      </c>
      <c r="N17" s="11"/>
      <c r="O17" s="11"/>
      <c r="P17" s="11"/>
      <c r="Q17" s="10">
        <f t="shared" si="4"/>
        <v>1840000.32</v>
      </c>
      <c r="R17" s="11"/>
    </row>
    <row r="18" spans="1:61" s="43" customFormat="1" ht="27" hidden="1" customHeight="1">
      <c r="A18" s="3" t="s">
        <v>592</v>
      </c>
      <c r="B18" s="12" t="s">
        <v>19</v>
      </c>
      <c r="C18" s="13" t="s">
        <v>20</v>
      </c>
      <c r="D18" s="6" t="str">
        <f t="shared" si="0"/>
        <v>30/12/2025</v>
      </c>
      <c r="E18" s="7" t="s">
        <v>15</v>
      </c>
      <c r="F18" s="7" t="s">
        <v>48</v>
      </c>
      <c r="G18" s="7" t="s">
        <v>49</v>
      </c>
      <c r="H18" s="7" t="s">
        <v>18</v>
      </c>
      <c r="I18" s="9">
        <v>12</v>
      </c>
      <c r="J18" s="9">
        <v>601852</v>
      </c>
      <c r="K18" s="9">
        <f t="shared" si="1"/>
        <v>7222224</v>
      </c>
      <c r="L18" s="9">
        <f t="shared" si="2"/>
        <v>577777.92000000004</v>
      </c>
      <c r="M18" s="254">
        <f t="shared" si="3"/>
        <v>7800001.9199999999</v>
      </c>
      <c r="N18" s="10"/>
      <c r="O18" s="10"/>
      <c r="P18" s="10"/>
      <c r="Q18" s="10">
        <f t="shared" si="4"/>
        <v>7800001.9199999999</v>
      </c>
      <c r="R18" s="11"/>
    </row>
    <row r="19" spans="1:61" s="43" customFormat="1" ht="27" hidden="1" customHeight="1">
      <c r="A19" s="3" t="s">
        <v>592</v>
      </c>
      <c r="B19" s="12" t="s">
        <v>19</v>
      </c>
      <c r="C19" s="13" t="s">
        <v>20</v>
      </c>
      <c r="D19" s="6" t="str">
        <f t="shared" si="0"/>
        <v>30/12/2025</v>
      </c>
      <c r="E19" s="7" t="s">
        <v>15</v>
      </c>
      <c r="F19" s="7" t="s">
        <v>50</v>
      </c>
      <c r="G19" s="7" t="s">
        <v>51</v>
      </c>
      <c r="H19" s="7" t="s">
        <v>18</v>
      </c>
      <c r="I19" s="9">
        <v>12</v>
      </c>
      <c r="J19" s="9">
        <v>937963</v>
      </c>
      <c r="K19" s="9">
        <f t="shared" si="1"/>
        <v>11255556</v>
      </c>
      <c r="L19" s="9">
        <f t="shared" si="2"/>
        <v>900444.48</v>
      </c>
      <c r="M19" s="254">
        <f t="shared" si="3"/>
        <v>12156000.48</v>
      </c>
      <c r="N19" s="11"/>
      <c r="O19" s="11"/>
      <c r="P19" s="11"/>
      <c r="Q19" s="10">
        <f t="shared" si="4"/>
        <v>12156000.48</v>
      </c>
      <c r="R19" s="11"/>
    </row>
    <row r="20" spans="1:61" s="43" customFormat="1" ht="27" hidden="1" customHeight="1">
      <c r="A20" s="3" t="s">
        <v>592</v>
      </c>
      <c r="B20" s="12" t="s">
        <v>19</v>
      </c>
      <c r="C20" s="13" t="s">
        <v>20</v>
      </c>
      <c r="D20" s="6" t="str">
        <f t="shared" si="0"/>
        <v>30/12/2025</v>
      </c>
      <c r="E20" s="7" t="s">
        <v>15</v>
      </c>
      <c r="F20" s="7" t="s">
        <v>52</v>
      </c>
      <c r="G20" s="7" t="s">
        <v>53</v>
      </c>
      <c r="H20" s="7" t="s">
        <v>18</v>
      </c>
      <c r="I20" s="9">
        <v>6</v>
      </c>
      <c r="J20" s="9">
        <v>1007407</v>
      </c>
      <c r="K20" s="9">
        <f t="shared" si="1"/>
        <v>6044442</v>
      </c>
      <c r="L20" s="9">
        <f t="shared" si="2"/>
        <v>483555.36</v>
      </c>
      <c r="M20" s="254">
        <f t="shared" si="3"/>
        <v>6527997.3600000003</v>
      </c>
      <c r="N20" s="11"/>
      <c r="O20" s="11"/>
      <c r="P20" s="11"/>
      <c r="Q20" s="10">
        <f t="shared" si="4"/>
        <v>6527997.3600000003</v>
      </c>
      <c r="R20" s="11"/>
    </row>
    <row r="21" spans="1:61" s="43" customFormat="1" ht="27" hidden="1" customHeight="1">
      <c r="A21" s="3" t="s">
        <v>592</v>
      </c>
      <c r="B21" s="12" t="s">
        <v>19</v>
      </c>
      <c r="C21" s="13" t="s">
        <v>20</v>
      </c>
      <c r="D21" s="6" t="str">
        <f t="shared" si="0"/>
        <v>30/12/2025</v>
      </c>
      <c r="E21" s="7" t="s">
        <v>15</v>
      </c>
      <c r="F21" s="7" t="s">
        <v>54</v>
      </c>
      <c r="G21" s="7" t="s">
        <v>55</v>
      </c>
      <c r="H21" s="7" t="s">
        <v>18</v>
      </c>
      <c r="I21" s="9">
        <v>12</v>
      </c>
      <c r="J21" s="9">
        <v>324074</v>
      </c>
      <c r="K21" s="9">
        <f t="shared" si="1"/>
        <v>3888888</v>
      </c>
      <c r="L21" s="9">
        <f t="shared" si="2"/>
        <v>311111.03999999998</v>
      </c>
      <c r="M21" s="254">
        <f t="shared" si="3"/>
        <v>4199999.04</v>
      </c>
      <c r="N21" s="11"/>
      <c r="O21" s="11"/>
      <c r="P21" s="11"/>
      <c r="Q21" s="10">
        <f t="shared" si="4"/>
        <v>4199999.04</v>
      </c>
      <c r="R21" s="11"/>
    </row>
    <row r="22" spans="1:61" s="43" customFormat="1" ht="27" hidden="1" customHeight="1">
      <c r="A22" s="3" t="s">
        <v>592</v>
      </c>
      <c r="B22" s="12" t="s">
        <v>19</v>
      </c>
      <c r="C22" s="13" t="s">
        <v>20</v>
      </c>
      <c r="D22" s="6" t="str">
        <f t="shared" si="0"/>
        <v>30/12/2025</v>
      </c>
      <c r="E22" s="7" t="s">
        <v>15</v>
      </c>
      <c r="F22" s="7" t="s">
        <v>56</v>
      </c>
      <c r="G22" s="7" t="s">
        <v>57</v>
      </c>
      <c r="H22" s="7" t="s">
        <v>18</v>
      </c>
      <c r="I22" s="9">
        <v>12</v>
      </c>
      <c r="J22" s="9">
        <v>325926</v>
      </c>
      <c r="K22" s="9">
        <f t="shared" si="1"/>
        <v>3911112</v>
      </c>
      <c r="L22" s="9">
        <f t="shared" si="2"/>
        <v>312888.96000000002</v>
      </c>
      <c r="M22" s="254">
        <f t="shared" si="3"/>
        <v>4224000.96</v>
      </c>
      <c r="N22" s="10"/>
      <c r="O22" s="10"/>
      <c r="P22" s="10"/>
      <c r="Q22" s="10">
        <f t="shared" si="4"/>
        <v>4224000.96</v>
      </c>
      <c r="R22" s="11"/>
    </row>
    <row r="23" spans="1:61" s="43" customFormat="1" ht="27" hidden="1" customHeight="1">
      <c r="A23" s="3" t="s">
        <v>592</v>
      </c>
      <c r="B23" s="12" t="s">
        <v>19</v>
      </c>
      <c r="C23" s="13" t="s">
        <v>20</v>
      </c>
      <c r="D23" s="6" t="str">
        <f t="shared" si="0"/>
        <v>30/12/2025</v>
      </c>
      <c r="E23" s="7" t="s">
        <v>15</v>
      </c>
      <c r="F23" s="7" t="s">
        <v>58</v>
      </c>
      <c r="G23" s="7" t="s">
        <v>59</v>
      </c>
      <c r="H23" s="7" t="s">
        <v>18</v>
      </c>
      <c r="I23" s="9">
        <v>5</v>
      </c>
      <c r="J23" s="9">
        <v>1361111</v>
      </c>
      <c r="K23" s="9">
        <f t="shared" si="1"/>
        <v>6805555</v>
      </c>
      <c r="L23" s="9">
        <f t="shared" si="2"/>
        <v>544444.4</v>
      </c>
      <c r="M23" s="254">
        <f t="shared" si="3"/>
        <v>7349999.4000000004</v>
      </c>
      <c r="N23" s="11"/>
      <c r="O23" s="11"/>
      <c r="P23" s="11"/>
      <c r="Q23" s="10">
        <f t="shared" si="4"/>
        <v>7349999.4000000004</v>
      </c>
      <c r="R23" s="11"/>
    </row>
    <row r="24" spans="1:61" s="43" customFormat="1" ht="27" hidden="1" customHeight="1">
      <c r="A24" s="3" t="s">
        <v>592</v>
      </c>
      <c r="B24" s="12" t="s">
        <v>19</v>
      </c>
      <c r="C24" s="13" t="s">
        <v>20</v>
      </c>
      <c r="D24" s="6" t="str">
        <f t="shared" si="0"/>
        <v>30/12/2025</v>
      </c>
      <c r="E24" s="7" t="s">
        <v>15</v>
      </c>
      <c r="F24" s="7" t="s">
        <v>60</v>
      </c>
      <c r="G24" s="7" t="s">
        <v>61</v>
      </c>
      <c r="H24" s="7" t="s">
        <v>18</v>
      </c>
      <c r="I24" s="9">
        <v>2</v>
      </c>
      <c r="J24" s="9">
        <v>1138889</v>
      </c>
      <c r="K24" s="9">
        <f t="shared" si="1"/>
        <v>2277778</v>
      </c>
      <c r="L24" s="9">
        <f t="shared" si="2"/>
        <v>182222.24</v>
      </c>
      <c r="M24" s="254">
        <f t="shared" si="3"/>
        <v>2460000.2400000002</v>
      </c>
      <c r="N24" s="10"/>
      <c r="O24" s="10"/>
      <c r="P24" s="10"/>
      <c r="Q24" s="10">
        <f t="shared" si="4"/>
        <v>2460000.2400000002</v>
      </c>
      <c r="R24" s="11"/>
    </row>
    <row r="25" spans="1:61" s="43" customFormat="1" ht="27" hidden="1" customHeight="1">
      <c r="A25" s="3" t="s">
        <v>592</v>
      </c>
      <c r="B25" s="12" t="s">
        <v>19</v>
      </c>
      <c r="C25" s="13" t="s">
        <v>20</v>
      </c>
      <c r="D25" s="6" t="str">
        <f t="shared" si="0"/>
        <v>30/12/2025</v>
      </c>
      <c r="E25" s="7" t="s">
        <v>15</v>
      </c>
      <c r="F25" s="7" t="s">
        <v>16</v>
      </c>
      <c r="G25" s="7" t="s">
        <v>17</v>
      </c>
      <c r="H25" s="7" t="s">
        <v>18</v>
      </c>
      <c r="I25" s="9">
        <v>4</v>
      </c>
      <c r="J25" s="9">
        <v>910185.19</v>
      </c>
      <c r="K25" s="9">
        <f>I25*J25</f>
        <v>3640740.76</v>
      </c>
      <c r="L25" s="9">
        <f>K25*8%</f>
        <v>291259.26079999999</v>
      </c>
      <c r="M25" s="254">
        <f>K25+L25</f>
        <v>3932000.0207999996</v>
      </c>
      <c r="N25" s="11"/>
      <c r="O25" s="11"/>
      <c r="P25" s="11"/>
      <c r="Q25" s="10">
        <f t="shared" si="4"/>
        <v>3932000.0207999996</v>
      </c>
      <c r="R25" s="11"/>
    </row>
    <row r="26" spans="1:61" s="65" customFormat="1" ht="27" hidden="1" customHeight="1">
      <c r="A26" s="3" t="s">
        <v>592</v>
      </c>
      <c r="B26" s="4" t="s">
        <v>19</v>
      </c>
      <c r="C26" s="15" t="s">
        <v>14</v>
      </c>
      <c r="D26" s="6"/>
      <c r="E26" s="7" t="s">
        <v>15</v>
      </c>
      <c r="F26" s="8" t="s">
        <v>62</v>
      </c>
      <c r="G26" s="8" t="s">
        <v>63</v>
      </c>
      <c r="H26" s="8" t="s">
        <v>18</v>
      </c>
      <c r="I26" s="9">
        <v>30</v>
      </c>
      <c r="J26" s="9"/>
      <c r="K26" s="9"/>
      <c r="L26" s="9"/>
      <c r="M26" s="254"/>
      <c r="N26" s="11"/>
      <c r="O26" s="11"/>
      <c r="P26" s="11"/>
      <c r="Q26" s="10">
        <f t="shared" si="4"/>
        <v>0</v>
      </c>
      <c r="R26" s="11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</row>
    <row r="27" spans="1:61" s="271" customFormat="1" ht="27" hidden="1" customHeight="1">
      <c r="A27" s="3" t="s">
        <v>592</v>
      </c>
      <c r="B27" s="16">
        <v>46038</v>
      </c>
      <c r="C27" s="17" t="s">
        <v>65</v>
      </c>
      <c r="D27" s="18">
        <f t="shared" si="0"/>
        <v>46038</v>
      </c>
      <c r="E27" s="19" t="s">
        <v>621</v>
      </c>
      <c r="F27" s="19"/>
      <c r="G27" s="19"/>
      <c r="H27" s="19"/>
      <c r="I27" s="20"/>
      <c r="J27" s="21"/>
      <c r="K27" s="22"/>
      <c r="L27" s="22">
        <f t="shared" si="2"/>
        <v>0</v>
      </c>
      <c r="M27" s="23"/>
      <c r="N27" s="24">
        <v>9000000</v>
      </c>
      <c r="O27" s="24"/>
      <c r="P27" s="24"/>
      <c r="Q27" s="10">
        <f t="shared" si="4"/>
        <v>-9000000</v>
      </c>
      <c r="R27" s="25"/>
    </row>
    <row r="28" spans="1:61" s="43" customFormat="1" ht="27" hidden="1" customHeight="1">
      <c r="A28" s="3" t="s">
        <v>592</v>
      </c>
      <c r="B28" s="4" t="s">
        <v>64</v>
      </c>
      <c r="C28" s="13" t="s">
        <v>66</v>
      </c>
      <c r="D28" s="26" t="s">
        <v>67</v>
      </c>
      <c r="E28" s="7" t="s">
        <v>15</v>
      </c>
      <c r="F28" s="7" t="s">
        <v>68</v>
      </c>
      <c r="G28" s="7" t="s">
        <v>69</v>
      </c>
      <c r="H28" s="7" t="s">
        <v>18</v>
      </c>
      <c r="I28" s="9">
        <v>12</v>
      </c>
      <c r="J28" s="9">
        <v>111111.11</v>
      </c>
      <c r="K28" s="9">
        <f t="shared" si="1"/>
        <v>1333333.32</v>
      </c>
      <c r="L28" s="9">
        <f t="shared" si="2"/>
        <v>106666.66560000001</v>
      </c>
      <c r="M28" s="254">
        <f t="shared" si="3"/>
        <v>1439999.9856</v>
      </c>
      <c r="N28" s="11"/>
      <c r="O28" s="11"/>
      <c r="P28" s="11"/>
      <c r="Q28" s="10">
        <f t="shared" si="4"/>
        <v>1439999.9856</v>
      </c>
      <c r="R28" s="11"/>
    </row>
    <row r="29" spans="1:61" s="43" customFormat="1" ht="27" hidden="1" customHeight="1">
      <c r="A29" s="3" t="s">
        <v>592</v>
      </c>
      <c r="B29" s="4" t="s">
        <v>64</v>
      </c>
      <c r="C29" s="13" t="s">
        <v>66</v>
      </c>
      <c r="D29" s="26" t="s">
        <v>67</v>
      </c>
      <c r="E29" s="7" t="s">
        <v>15</v>
      </c>
      <c r="F29" s="7" t="s">
        <v>70</v>
      </c>
      <c r="G29" s="7" t="s">
        <v>71</v>
      </c>
      <c r="H29" s="7" t="s">
        <v>18</v>
      </c>
      <c r="I29" s="9">
        <v>12</v>
      </c>
      <c r="J29" s="9">
        <v>120370.33</v>
      </c>
      <c r="K29" s="9">
        <f t="shared" si="1"/>
        <v>1444443.96</v>
      </c>
      <c r="L29" s="9">
        <f t="shared" si="2"/>
        <v>115555.5168</v>
      </c>
      <c r="M29" s="254">
        <f t="shared" si="3"/>
        <v>1559999.4768000001</v>
      </c>
      <c r="N29" s="11"/>
      <c r="O29" s="11"/>
      <c r="P29" s="11"/>
      <c r="Q29" s="10">
        <f t="shared" si="4"/>
        <v>1559999.4768000001</v>
      </c>
      <c r="R29" s="11"/>
    </row>
    <row r="30" spans="1:61" s="43" customFormat="1" ht="27" hidden="1" customHeight="1">
      <c r="A30" s="3" t="s">
        <v>592</v>
      </c>
      <c r="B30" s="4" t="s">
        <v>64</v>
      </c>
      <c r="C30" s="13" t="s">
        <v>66</v>
      </c>
      <c r="D30" s="26" t="s">
        <v>67</v>
      </c>
      <c r="E30" s="7" t="s">
        <v>15</v>
      </c>
      <c r="F30" s="7" t="s">
        <v>72</v>
      </c>
      <c r="G30" s="7" t="s">
        <v>73</v>
      </c>
      <c r="H30" s="7" t="s">
        <v>18</v>
      </c>
      <c r="I30" s="9">
        <v>12</v>
      </c>
      <c r="J30" s="9">
        <v>129629.63</v>
      </c>
      <c r="K30" s="9">
        <f t="shared" si="1"/>
        <v>1555555.56</v>
      </c>
      <c r="L30" s="9">
        <f t="shared" si="2"/>
        <v>124444.44480000001</v>
      </c>
      <c r="M30" s="254">
        <f t="shared" si="3"/>
        <v>1680000.0048</v>
      </c>
      <c r="N30" s="11"/>
      <c r="O30" s="11"/>
      <c r="P30" s="11"/>
      <c r="Q30" s="10">
        <f t="shared" si="4"/>
        <v>1680000.0048</v>
      </c>
      <c r="R30" s="11"/>
    </row>
    <row r="31" spans="1:61" s="43" customFormat="1" ht="27" hidden="1" customHeight="1">
      <c r="A31" s="3" t="s">
        <v>592</v>
      </c>
      <c r="B31" s="4" t="s">
        <v>64</v>
      </c>
      <c r="C31" s="13" t="s">
        <v>66</v>
      </c>
      <c r="D31" s="26" t="s">
        <v>67</v>
      </c>
      <c r="E31" s="7" t="s">
        <v>15</v>
      </c>
      <c r="F31" s="7" t="s">
        <v>30</v>
      </c>
      <c r="G31" s="7" t="s">
        <v>31</v>
      </c>
      <c r="H31" s="7" t="s">
        <v>18</v>
      </c>
      <c r="I31" s="9">
        <v>10</v>
      </c>
      <c r="J31" s="9">
        <v>252777.78</v>
      </c>
      <c r="K31" s="9">
        <f t="shared" si="1"/>
        <v>2527777.7999999998</v>
      </c>
      <c r="L31" s="9">
        <f t="shared" si="2"/>
        <v>202222.22399999999</v>
      </c>
      <c r="M31" s="254">
        <f t="shared" si="3"/>
        <v>2730000.0239999997</v>
      </c>
      <c r="N31" s="11"/>
      <c r="O31" s="11"/>
      <c r="P31" s="11"/>
      <c r="Q31" s="10">
        <f t="shared" si="4"/>
        <v>2730000.0239999997</v>
      </c>
      <c r="R31" s="11"/>
    </row>
    <row r="32" spans="1:61" s="43" customFormat="1" ht="27" hidden="1" customHeight="1">
      <c r="A32" s="3" t="s">
        <v>592</v>
      </c>
      <c r="B32" s="4" t="s">
        <v>64</v>
      </c>
      <c r="C32" s="13" t="s">
        <v>66</v>
      </c>
      <c r="D32" s="26" t="s">
        <v>67</v>
      </c>
      <c r="E32" s="7" t="s">
        <v>15</v>
      </c>
      <c r="F32" s="7" t="s">
        <v>32</v>
      </c>
      <c r="G32" s="7" t="s">
        <v>33</v>
      </c>
      <c r="H32" s="7" t="s">
        <v>18</v>
      </c>
      <c r="I32" s="9">
        <v>20</v>
      </c>
      <c r="J32" s="9">
        <v>256481.48</v>
      </c>
      <c r="K32" s="9">
        <f t="shared" si="1"/>
        <v>5129629.6000000006</v>
      </c>
      <c r="L32" s="9">
        <f t="shared" si="2"/>
        <v>410370.36800000007</v>
      </c>
      <c r="M32" s="254">
        <f t="shared" si="3"/>
        <v>5539999.9680000003</v>
      </c>
      <c r="N32" s="11"/>
      <c r="O32" s="11"/>
      <c r="P32" s="11"/>
      <c r="Q32" s="10">
        <f t="shared" si="4"/>
        <v>5539999.9680000003</v>
      </c>
      <c r="R32" s="11"/>
    </row>
    <row r="33" spans="1:41" s="43" customFormat="1" ht="27" hidden="1" customHeight="1">
      <c r="A33" s="3" t="s">
        <v>592</v>
      </c>
      <c r="B33" s="4" t="s">
        <v>64</v>
      </c>
      <c r="C33" s="13" t="s">
        <v>66</v>
      </c>
      <c r="D33" s="26" t="s">
        <v>67</v>
      </c>
      <c r="E33" s="7" t="s">
        <v>15</v>
      </c>
      <c r="F33" s="7" t="s">
        <v>34</v>
      </c>
      <c r="G33" s="7" t="s">
        <v>35</v>
      </c>
      <c r="H33" s="7" t="s">
        <v>18</v>
      </c>
      <c r="I33" s="9">
        <v>10</v>
      </c>
      <c r="J33" s="9">
        <v>227777.78</v>
      </c>
      <c r="K33" s="9">
        <f t="shared" si="1"/>
        <v>2277777.7999999998</v>
      </c>
      <c r="L33" s="9">
        <f>K33*8%</f>
        <v>182222.22399999999</v>
      </c>
      <c r="M33" s="254">
        <f t="shared" si="3"/>
        <v>2460000.0239999997</v>
      </c>
      <c r="N33" s="11"/>
      <c r="O33" s="11"/>
      <c r="P33" s="11"/>
      <c r="Q33" s="10">
        <f t="shared" si="4"/>
        <v>2460000.0239999997</v>
      </c>
      <c r="R33" s="11"/>
    </row>
    <row r="34" spans="1:41" s="43" customFormat="1" ht="27" hidden="1" customHeight="1">
      <c r="A34" s="3" t="s">
        <v>592</v>
      </c>
      <c r="B34" s="4" t="s">
        <v>64</v>
      </c>
      <c r="C34" s="13" t="s">
        <v>66</v>
      </c>
      <c r="D34" s="26" t="s">
        <v>67</v>
      </c>
      <c r="E34" s="7" t="s">
        <v>15</v>
      </c>
      <c r="F34" s="7" t="s">
        <v>36</v>
      </c>
      <c r="G34" s="7" t="s">
        <v>37</v>
      </c>
      <c r="H34" s="7" t="s">
        <v>18</v>
      </c>
      <c r="I34" s="9">
        <v>20</v>
      </c>
      <c r="J34" s="9">
        <v>252777.78</v>
      </c>
      <c r="K34" s="9">
        <f t="shared" si="1"/>
        <v>5055555.5999999996</v>
      </c>
      <c r="L34" s="9">
        <f t="shared" si="2"/>
        <v>404444.44799999997</v>
      </c>
      <c r="M34" s="254">
        <f t="shared" si="3"/>
        <v>5460000.0479999995</v>
      </c>
      <c r="N34" s="11"/>
      <c r="O34" s="11"/>
      <c r="P34" s="11"/>
      <c r="Q34" s="10">
        <f t="shared" si="4"/>
        <v>5460000.0479999995</v>
      </c>
      <c r="R34" s="11"/>
    </row>
    <row r="35" spans="1:41" s="43" customFormat="1" ht="27" hidden="1" customHeight="1">
      <c r="A35" s="3" t="s">
        <v>592</v>
      </c>
      <c r="B35" s="4" t="s">
        <v>64</v>
      </c>
      <c r="C35" s="13" t="s">
        <v>66</v>
      </c>
      <c r="D35" s="26" t="s">
        <v>67</v>
      </c>
      <c r="E35" s="7" t="s">
        <v>15</v>
      </c>
      <c r="F35" s="7" t="s">
        <v>38</v>
      </c>
      <c r="G35" s="7" t="s">
        <v>39</v>
      </c>
      <c r="H35" s="7" t="s">
        <v>18</v>
      </c>
      <c r="I35" s="9">
        <v>20</v>
      </c>
      <c r="J35" s="9">
        <v>277777.78000000003</v>
      </c>
      <c r="K35" s="9">
        <f t="shared" si="1"/>
        <v>5555555.6000000006</v>
      </c>
      <c r="L35" s="9">
        <f t="shared" si="2"/>
        <v>444444.44800000003</v>
      </c>
      <c r="M35" s="254">
        <f t="shared" si="3"/>
        <v>6000000.0480000004</v>
      </c>
      <c r="N35" s="11"/>
      <c r="O35" s="11"/>
      <c r="P35" s="11"/>
      <c r="Q35" s="10">
        <f t="shared" si="4"/>
        <v>6000000.0480000004</v>
      </c>
      <c r="R35" s="11"/>
    </row>
    <row r="36" spans="1:41" s="65" customFormat="1" ht="27" hidden="1" customHeight="1">
      <c r="A36" s="3" t="s">
        <v>592</v>
      </c>
      <c r="B36" s="4" t="s">
        <v>64</v>
      </c>
      <c r="C36" s="5" t="s">
        <v>14</v>
      </c>
      <c r="D36" s="6"/>
      <c r="E36" s="7" t="s">
        <v>15</v>
      </c>
      <c r="F36" s="7" t="s">
        <v>74</v>
      </c>
      <c r="G36" s="8" t="s">
        <v>75</v>
      </c>
      <c r="H36" s="8" t="s">
        <v>18</v>
      </c>
      <c r="I36" s="9">
        <v>8</v>
      </c>
      <c r="J36" s="9">
        <v>361111.11</v>
      </c>
      <c r="K36" s="9">
        <f>I36*J36</f>
        <v>2888888.88</v>
      </c>
      <c r="L36" s="9">
        <f t="shared" si="2"/>
        <v>231111.11040000001</v>
      </c>
      <c r="M36" s="254">
        <f>K36+L36</f>
        <v>3119999.9904</v>
      </c>
      <c r="N36" s="11"/>
      <c r="O36" s="11"/>
      <c r="P36" s="11"/>
      <c r="Q36" s="10">
        <f t="shared" si="4"/>
        <v>3119999.9904</v>
      </c>
      <c r="R36" s="11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 spans="1:41" s="43" customFormat="1" ht="27" hidden="1" customHeight="1">
      <c r="A37" s="3" t="s">
        <v>592</v>
      </c>
      <c r="B37" s="12">
        <v>46055</v>
      </c>
      <c r="C37" s="27" t="s">
        <v>76</v>
      </c>
      <c r="D37" s="6">
        <f t="shared" si="0"/>
        <v>46055</v>
      </c>
      <c r="E37" s="7" t="s">
        <v>15</v>
      </c>
      <c r="F37" s="7" t="s">
        <v>77</v>
      </c>
      <c r="G37" s="28" t="s">
        <v>78</v>
      </c>
      <c r="H37" s="8" t="s">
        <v>25</v>
      </c>
      <c r="I37" s="9">
        <v>4</v>
      </c>
      <c r="J37" s="9">
        <v>324074.07</v>
      </c>
      <c r="K37" s="9">
        <f t="shared" ref="K37:K60" si="5">I37*J37</f>
        <v>1296296.28</v>
      </c>
      <c r="L37" s="9">
        <f t="shared" si="2"/>
        <v>103703.70240000001</v>
      </c>
      <c r="M37" s="254">
        <f t="shared" si="3"/>
        <v>1399999.9824000001</v>
      </c>
      <c r="N37" s="11"/>
      <c r="O37" s="11"/>
      <c r="P37" s="11"/>
      <c r="Q37" s="10">
        <f t="shared" si="4"/>
        <v>1399999.9824000001</v>
      </c>
      <c r="R37" s="11"/>
    </row>
    <row r="38" spans="1:41" s="43" customFormat="1" ht="27" hidden="1" customHeight="1">
      <c r="A38" s="3" t="s">
        <v>592</v>
      </c>
      <c r="B38" s="12">
        <v>46055</v>
      </c>
      <c r="C38" s="27" t="s">
        <v>76</v>
      </c>
      <c r="D38" s="6">
        <f t="shared" si="0"/>
        <v>46055</v>
      </c>
      <c r="E38" s="7" t="s">
        <v>15</v>
      </c>
      <c r="F38" s="7" t="s">
        <v>68</v>
      </c>
      <c r="G38" s="7" t="s">
        <v>69</v>
      </c>
      <c r="H38" s="8" t="s">
        <v>18</v>
      </c>
      <c r="I38" s="9">
        <v>48</v>
      </c>
      <c r="J38" s="9">
        <v>111111.11</v>
      </c>
      <c r="K38" s="9">
        <f t="shared" si="5"/>
        <v>5333333.28</v>
      </c>
      <c r="L38" s="9">
        <f t="shared" si="2"/>
        <v>426666.66240000003</v>
      </c>
      <c r="M38" s="254">
        <f t="shared" si="3"/>
        <v>5759999.9424000001</v>
      </c>
      <c r="N38" s="11"/>
      <c r="O38" s="11"/>
      <c r="P38" s="11"/>
      <c r="Q38" s="10">
        <f t="shared" si="4"/>
        <v>5759999.9424000001</v>
      </c>
      <c r="R38" s="11"/>
    </row>
    <row r="39" spans="1:41" s="43" customFormat="1" ht="27" hidden="1" customHeight="1">
      <c r="A39" s="3" t="s">
        <v>592</v>
      </c>
      <c r="B39" s="12">
        <v>46055</v>
      </c>
      <c r="C39" s="27" t="s">
        <v>76</v>
      </c>
      <c r="D39" s="6">
        <f t="shared" si="0"/>
        <v>46055</v>
      </c>
      <c r="E39" s="7" t="s">
        <v>15</v>
      </c>
      <c r="F39" s="7" t="s">
        <v>70</v>
      </c>
      <c r="G39" s="7" t="s">
        <v>71</v>
      </c>
      <c r="H39" s="8" t="s">
        <v>18</v>
      </c>
      <c r="I39" s="9">
        <v>48</v>
      </c>
      <c r="J39" s="9">
        <v>120370.33</v>
      </c>
      <c r="K39" s="9">
        <f t="shared" si="5"/>
        <v>5777775.8399999999</v>
      </c>
      <c r="L39" s="9">
        <f>K39*8%</f>
        <v>462222.06719999999</v>
      </c>
      <c r="M39" s="254">
        <f t="shared" si="3"/>
        <v>6239997.9072000002</v>
      </c>
      <c r="N39" s="11"/>
      <c r="O39" s="11"/>
      <c r="P39" s="11"/>
      <c r="Q39" s="10">
        <f t="shared" si="4"/>
        <v>6239997.9072000002</v>
      </c>
      <c r="R39" s="11"/>
    </row>
    <row r="40" spans="1:41" s="43" customFormat="1" ht="27" hidden="1" customHeight="1">
      <c r="A40" s="3" t="s">
        <v>592</v>
      </c>
      <c r="B40" s="12">
        <v>46055</v>
      </c>
      <c r="C40" s="27" t="s">
        <v>76</v>
      </c>
      <c r="D40" s="6">
        <f t="shared" si="0"/>
        <v>46055</v>
      </c>
      <c r="E40" s="7" t="s">
        <v>15</v>
      </c>
      <c r="F40" s="7" t="s">
        <v>72</v>
      </c>
      <c r="G40" s="7" t="s">
        <v>73</v>
      </c>
      <c r="H40" s="8" t="s">
        <v>18</v>
      </c>
      <c r="I40" s="9">
        <v>48</v>
      </c>
      <c r="J40" s="9">
        <v>129629.63</v>
      </c>
      <c r="K40" s="9">
        <f t="shared" si="5"/>
        <v>6222222.2400000002</v>
      </c>
      <c r="L40" s="9">
        <f t="shared" si="2"/>
        <v>497777.77920000005</v>
      </c>
      <c r="M40" s="254">
        <f t="shared" si="3"/>
        <v>6720000.0192</v>
      </c>
      <c r="N40" s="11"/>
      <c r="O40" s="11"/>
      <c r="P40" s="11"/>
      <c r="Q40" s="10">
        <f t="shared" si="4"/>
        <v>6720000.0192</v>
      </c>
      <c r="R40" s="11"/>
    </row>
    <row r="41" spans="1:41" s="43" customFormat="1" ht="27" hidden="1" customHeight="1">
      <c r="A41" s="3" t="s">
        <v>592</v>
      </c>
      <c r="B41" s="12">
        <v>46055</v>
      </c>
      <c r="C41" s="27" t="s">
        <v>76</v>
      </c>
      <c r="D41" s="6">
        <f t="shared" si="0"/>
        <v>46055</v>
      </c>
      <c r="E41" s="7" t="s">
        <v>15</v>
      </c>
      <c r="F41" s="7" t="s">
        <v>40</v>
      </c>
      <c r="G41" s="7" t="s">
        <v>41</v>
      </c>
      <c r="H41" s="8" t="s">
        <v>18</v>
      </c>
      <c r="I41" s="9">
        <v>4</v>
      </c>
      <c r="J41" s="9">
        <v>844444.44</v>
      </c>
      <c r="K41" s="9">
        <f t="shared" si="5"/>
        <v>3377777.76</v>
      </c>
      <c r="L41" s="9">
        <f t="shared" si="2"/>
        <v>270222.22080000001</v>
      </c>
      <c r="M41" s="254">
        <f t="shared" si="3"/>
        <v>3647999.9808</v>
      </c>
      <c r="N41" s="11"/>
      <c r="O41" s="11"/>
      <c r="P41" s="11"/>
      <c r="Q41" s="10">
        <f t="shared" si="4"/>
        <v>3647999.9808</v>
      </c>
      <c r="R41" s="11"/>
    </row>
    <row r="42" spans="1:41" s="43" customFormat="1" ht="27" hidden="1" customHeight="1">
      <c r="A42" s="3" t="s">
        <v>592</v>
      </c>
      <c r="B42" s="12">
        <v>46055</v>
      </c>
      <c r="C42" s="27" t="s">
        <v>76</v>
      </c>
      <c r="D42" s="6">
        <f t="shared" si="0"/>
        <v>46055</v>
      </c>
      <c r="E42" s="7" t="s">
        <v>15</v>
      </c>
      <c r="F42" s="7" t="s">
        <v>58</v>
      </c>
      <c r="G42" s="7" t="s">
        <v>59</v>
      </c>
      <c r="H42" s="8" t="s">
        <v>18</v>
      </c>
      <c r="I42" s="9">
        <v>16</v>
      </c>
      <c r="J42" s="9">
        <v>1361111.11</v>
      </c>
      <c r="K42" s="9">
        <f t="shared" si="5"/>
        <v>21777777.760000002</v>
      </c>
      <c r="L42" s="9">
        <f t="shared" si="2"/>
        <v>1742222.2208000002</v>
      </c>
      <c r="M42" s="254">
        <f>K42+L42</f>
        <v>23519999.980800003</v>
      </c>
      <c r="N42" s="11"/>
      <c r="O42" s="11"/>
      <c r="P42" s="11"/>
      <c r="Q42" s="10">
        <f t="shared" si="4"/>
        <v>23519999.980800003</v>
      </c>
      <c r="R42" s="11"/>
    </row>
    <row r="43" spans="1:41" s="271" customFormat="1" ht="27" hidden="1" customHeight="1">
      <c r="A43" s="3" t="s">
        <v>592</v>
      </c>
      <c r="B43" s="16">
        <v>46064</v>
      </c>
      <c r="C43" s="29"/>
      <c r="D43" s="173"/>
      <c r="E43" s="30" t="s">
        <v>620</v>
      </c>
      <c r="F43" s="31"/>
      <c r="G43" s="31"/>
      <c r="H43" s="31"/>
      <c r="I43" s="32"/>
      <c r="J43" s="33"/>
      <c r="K43" s="33">
        <f t="shared" si="5"/>
        <v>0</v>
      </c>
      <c r="L43" s="33">
        <f t="shared" si="2"/>
        <v>0</v>
      </c>
      <c r="M43" s="34"/>
      <c r="N43" s="24">
        <v>35000000</v>
      </c>
      <c r="O43" s="24"/>
      <c r="P43" s="24"/>
      <c r="Q43" s="10">
        <f t="shared" si="4"/>
        <v>-35000000</v>
      </c>
      <c r="R43" s="35"/>
    </row>
    <row r="44" spans="1:41" s="65" customFormat="1" ht="27" hidden="1" customHeight="1">
      <c r="A44" s="3" t="s">
        <v>592</v>
      </c>
      <c r="B44" s="4">
        <v>46301</v>
      </c>
      <c r="C44" s="27" t="s">
        <v>79</v>
      </c>
      <c r="D44" s="36">
        <v>265507</v>
      </c>
      <c r="E44" s="8" t="s">
        <v>15</v>
      </c>
      <c r="F44" s="8" t="s">
        <v>80</v>
      </c>
      <c r="G44" s="8" t="s">
        <v>81</v>
      </c>
      <c r="H44" s="8" t="s">
        <v>18</v>
      </c>
      <c r="I44" s="9">
        <v>4</v>
      </c>
      <c r="J44" s="9">
        <v>824074.07</v>
      </c>
      <c r="K44" s="9">
        <f t="shared" si="5"/>
        <v>3296296.28</v>
      </c>
      <c r="L44" s="9">
        <f t="shared" si="2"/>
        <v>263703.70240000001</v>
      </c>
      <c r="M44" s="254">
        <f t="shared" ref="M44:M60" si="6">K44+L44</f>
        <v>3559999.9823999996</v>
      </c>
      <c r="N44" s="11"/>
      <c r="O44" s="11"/>
      <c r="P44" s="11"/>
      <c r="Q44" s="10">
        <f t="shared" si="4"/>
        <v>3559999.9823999996</v>
      </c>
      <c r="R44" s="37"/>
    </row>
    <row r="45" spans="1:41" s="65" customFormat="1" ht="27" hidden="1" customHeight="1">
      <c r="A45" s="3" t="s">
        <v>592</v>
      </c>
      <c r="B45" s="4">
        <v>46301</v>
      </c>
      <c r="C45" s="27" t="s">
        <v>79</v>
      </c>
      <c r="D45" s="36">
        <v>265507</v>
      </c>
      <c r="E45" s="8" t="s">
        <v>15</v>
      </c>
      <c r="F45" s="8" t="s">
        <v>23</v>
      </c>
      <c r="G45" s="8" t="s">
        <v>82</v>
      </c>
      <c r="H45" s="38" t="s">
        <v>25</v>
      </c>
      <c r="I45" s="9">
        <v>4</v>
      </c>
      <c r="J45" s="9">
        <v>1059259.25</v>
      </c>
      <c r="K45" s="9">
        <f t="shared" si="5"/>
        <v>4237037</v>
      </c>
      <c r="L45" s="9">
        <f t="shared" si="2"/>
        <v>338962.96</v>
      </c>
      <c r="M45" s="254">
        <f t="shared" si="6"/>
        <v>4575999.96</v>
      </c>
      <c r="N45" s="11"/>
      <c r="O45" s="11"/>
      <c r="P45" s="11"/>
      <c r="Q45" s="10">
        <f t="shared" si="4"/>
        <v>4575999.96</v>
      </c>
      <c r="R45" s="37"/>
    </row>
    <row r="46" spans="1:41" s="65" customFormat="1" ht="27" hidden="1" customHeight="1">
      <c r="A46" s="3" t="s">
        <v>592</v>
      </c>
      <c r="B46" s="4">
        <v>46301</v>
      </c>
      <c r="C46" s="27" t="s">
        <v>79</v>
      </c>
      <c r="D46" s="36">
        <v>265507</v>
      </c>
      <c r="E46" s="8" t="s">
        <v>15</v>
      </c>
      <c r="F46" s="8" t="s">
        <v>30</v>
      </c>
      <c r="G46" s="8" t="s">
        <v>31</v>
      </c>
      <c r="H46" s="8" t="s">
        <v>18</v>
      </c>
      <c r="I46" s="9">
        <v>10</v>
      </c>
      <c r="J46" s="9">
        <v>252777.78</v>
      </c>
      <c r="K46" s="9">
        <f t="shared" si="5"/>
        <v>2527777.7999999998</v>
      </c>
      <c r="L46" s="9">
        <f t="shared" si="2"/>
        <v>202222.22399999999</v>
      </c>
      <c r="M46" s="254">
        <f t="shared" si="6"/>
        <v>2730000.0239999997</v>
      </c>
      <c r="N46" s="11"/>
      <c r="O46" s="11"/>
      <c r="P46" s="11"/>
      <c r="Q46" s="10">
        <f t="shared" si="4"/>
        <v>2730000.0239999997</v>
      </c>
      <c r="R46" s="37"/>
    </row>
    <row r="47" spans="1:41" s="65" customFormat="1" ht="27" hidden="1" customHeight="1">
      <c r="A47" s="3" t="s">
        <v>592</v>
      </c>
      <c r="B47" s="4">
        <v>46301</v>
      </c>
      <c r="C47" s="27" t="s">
        <v>79</v>
      </c>
      <c r="D47" s="36">
        <v>265507</v>
      </c>
      <c r="E47" s="8" t="s">
        <v>15</v>
      </c>
      <c r="F47" s="8" t="s">
        <v>40</v>
      </c>
      <c r="G47" s="8" t="s">
        <v>41</v>
      </c>
      <c r="H47" s="8" t="s">
        <v>18</v>
      </c>
      <c r="I47" s="9">
        <v>2</v>
      </c>
      <c r="J47" s="9">
        <v>844444.44</v>
      </c>
      <c r="K47" s="9">
        <f t="shared" si="5"/>
        <v>1688888.88</v>
      </c>
      <c r="L47" s="9">
        <f t="shared" si="2"/>
        <v>135111.11040000001</v>
      </c>
      <c r="M47" s="254">
        <f t="shared" si="6"/>
        <v>1823999.9904</v>
      </c>
      <c r="N47" s="11"/>
      <c r="O47" s="11"/>
      <c r="P47" s="11"/>
      <c r="Q47" s="10">
        <f t="shared" si="4"/>
        <v>1823999.9904</v>
      </c>
      <c r="R47" s="37"/>
    </row>
    <row r="48" spans="1:41" s="65" customFormat="1" ht="27" hidden="1" customHeight="1">
      <c r="A48" s="3" t="s">
        <v>592</v>
      </c>
      <c r="B48" s="4">
        <v>46301</v>
      </c>
      <c r="C48" s="27" t="s">
        <v>79</v>
      </c>
      <c r="D48" s="36">
        <v>265507</v>
      </c>
      <c r="E48" s="8" t="s">
        <v>15</v>
      </c>
      <c r="F48" s="8" t="s">
        <v>83</v>
      </c>
      <c r="G48" s="8" t="s">
        <v>84</v>
      </c>
      <c r="H48" s="8" t="s">
        <v>18</v>
      </c>
      <c r="I48" s="9">
        <v>4</v>
      </c>
      <c r="J48" s="9">
        <v>1097222.22</v>
      </c>
      <c r="K48" s="9">
        <f t="shared" si="5"/>
        <v>4388888.88</v>
      </c>
      <c r="L48" s="9">
        <f t="shared" si="2"/>
        <v>351111.11040000001</v>
      </c>
      <c r="M48" s="254">
        <f t="shared" si="6"/>
        <v>4739999.9903999995</v>
      </c>
      <c r="N48" s="11"/>
      <c r="O48" s="11"/>
      <c r="P48" s="11"/>
      <c r="Q48" s="10">
        <f t="shared" si="4"/>
        <v>4739999.9903999995</v>
      </c>
      <c r="R48" s="37"/>
    </row>
    <row r="49" spans="1:18" s="65" customFormat="1" ht="27" hidden="1" customHeight="1">
      <c r="A49" s="3" t="s">
        <v>592</v>
      </c>
      <c r="B49" s="4">
        <v>46301</v>
      </c>
      <c r="C49" s="27" t="s">
        <v>79</v>
      </c>
      <c r="D49" s="36">
        <v>265507</v>
      </c>
      <c r="E49" s="8" t="s">
        <v>15</v>
      </c>
      <c r="F49" s="8" t="s">
        <v>74</v>
      </c>
      <c r="G49" s="8" t="s">
        <v>75</v>
      </c>
      <c r="H49" s="8" t="s">
        <v>18</v>
      </c>
      <c r="I49" s="9">
        <v>8</v>
      </c>
      <c r="J49" s="9">
        <v>361111.11</v>
      </c>
      <c r="K49" s="9">
        <f t="shared" si="5"/>
        <v>2888888.88</v>
      </c>
      <c r="L49" s="9">
        <f t="shared" si="2"/>
        <v>231111.11040000001</v>
      </c>
      <c r="M49" s="254">
        <f t="shared" si="6"/>
        <v>3119999.9904</v>
      </c>
      <c r="N49" s="11"/>
      <c r="O49" s="11"/>
      <c r="P49" s="11"/>
      <c r="Q49" s="10">
        <f t="shared" si="4"/>
        <v>3119999.9904</v>
      </c>
      <c r="R49" s="37"/>
    </row>
    <row r="50" spans="1:18" s="65" customFormat="1" ht="27" hidden="1" customHeight="1">
      <c r="A50" s="3" t="s">
        <v>592</v>
      </c>
      <c r="B50" s="4">
        <v>46301</v>
      </c>
      <c r="C50" s="5" t="s">
        <v>14</v>
      </c>
      <c r="D50" s="36"/>
      <c r="E50" s="8" t="s">
        <v>15</v>
      </c>
      <c r="F50" s="39" t="s">
        <v>85</v>
      </c>
      <c r="G50" s="39" t="s">
        <v>86</v>
      </c>
      <c r="H50" s="39" t="s">
        <v>18</v>
      </c>
      <c r="I50" s="40">
        <v>102</v>
      </c>
      <c r="J50" s="40">
        <v>509259.25</v>
      </c>
      <c r="K50" s="40">
        <f t="shared" si="5"/>
        <v>51944443.5</v>
      </c>
      <c r="L50" s="40">
        <f t="shared" si="2"/>
        <v>4155555.48</v>
      </c>
      <c r="M50" s="255">
        <f t="shared" si="6"/>
        <v>56099998.979999997</v>
      </c>
      <c r="N50" s="11"/>
      <c r="O50" s="11"/>
      <c r="P50" s="11"/>
      <c r="Q50" s="10">
        <f t="shared" si="4"/>
        <v>56099998.979999997</v>
      </c>
      <c r="R50" s="37"/>
    </row>
    <row r="51" spans="1:18" s="271" customFormat="1" ht="27" hidden="1" customHeight="1">
      <c r="A51" s="3" t="s">
        <v>592</v>
      </c>
      <c r="B51" s="16">
        <v>46189</v>
      </c>
      <c r="C51" s="29"/>
      <c r="D51" s="173"/>
      <c r="E51" s="30" t="s">
        <v>620</v>
      </c>
      <c r="F51" s="31"/>
      <c r="G51" s="31"/>
      <c r="H51" s="31"/>
      <c r="I51" s="32"/>
      <c r="J51" s="33"/>
      <c r="K51" s="33">
        <f t="shared" si="5"/>
        <v>0</v>
      </c>
      <c r="L51" s="33">
        <f t="shared" si="2"/>
        <v>0</v>
      </c>
      <c r="M51" s="34"/>
      <c r="N51" s="24">
        <v>15000000</v>
      </c>
      <c r="O51" s="24"/>
      <c r="P51" s="24"/>
      <c r="Q51" s="10">
        <f t="shared" si="4"/>
        <v>-15000000</v>
      </c>
      <c r="R51" s="35"/>
    </row>
    <row r="52" spans="1:18" s="271" customFormat="1" ht="27" hidden="1" customHeight="1">
      <c r="A52" s="3" t="s">
        <v>592</v>
      </c>
      <c r="B52" s="16">
        <v>46190</v>
      </c>
      <c r="C52" s="29"/>
      <c r="D52" s="173"/>
      <c r="E52" s="30" t="s">
        <v>620</v>
      </c>
      <c r="F52" s="31"/>
      <c r="G52" s="31"/>
      <c r="H52" s="31"/>
      <c r="I52" s="32"/>
      <c r="J52" s="33"/>
      <c r="K52" s="33">
        <f t="shared" si="5"/>
        <v>0</v>
      </c>
      <c r="L52" s="33">
        <f t="shared" si="2"/>
        <v>0</v>
      </c>
      <c r="M52" s="34"/>
      <c r="N52" s="24">
        <v>18300000</v>
      </c>
      <c r="O52" s="24"/>
      <c r="P52" s="24"/>
      <c r="Q52" s="10">
        <f t="shared" si="4"/>
        <v>-18300000</v>
      </c>
      <c r="R52" s="35"/>
    </row>
    <row r="53" spans="1:18" s="65" customFormat="1" ht="27" hidden="1" customHeight="1">
      <c r="A53" s="3" t="s">
        <v>592</v>
      </c>
      <c r="B53" s="4" t="s">
        <v>87</v>
      </c>
      <c r="C53" s="27" t="s">
        <v>88</v>
      </c>
      <c r="D53" s="36" t="s">
        <v>89</v>
      </c>
      <c r="E53" s="8" t="s">
        <v>15</v>
      </c>
      <c r="F53" s="8" t="s">
        <v>74</v>
      </c>
      <c r="G53" s="8" t="s">
        <v>75</v>
      </c>
      <c r="H53" s="8" t="s">
        <v>18</v>
      </c>
      <c r="I53" s="9">
        <v>16</v>
      </c>
      <c r="J53" s="9">
        <v>361111.11</v>
      </c>
      <c r="K53" s="9">
        <f t="shared" si="5"/>
        <v>5777777.7599999998</v>
      </c>
      <c r="L53" s="9">
        <f t="shared" si="2"/>
        <v>462222.22080000001</v>
      </c>
      <c r="M53" s="254">
        <f t="shared" si="6"/>
        <v>6239999.9808</v>
      </c>
      <c r="N53" s="11"/>
      <c r="O53" s="11"/>
      <c r="P53" s="11"/>
      <c r="Q53" s="10">
        <f t="shared" si="4"/>
        <v>6239999.9808</v>
      </c>
      <c r="R53" s="37"/>
    </row>
    <row r="54" spans="1:18" s="65" customFormat="1" ht="27" hidden="1" customHeight="1">
      <c r="A54" s="3" t="s">
        <v>592</v>
      </c>
      <c r="B54" s="4" t="s">
        <v>87</v>
      </c>
      <c r="C54" s="5" t="s">
        <v>14</v>
      </c>
      <c r="D54" s="36"/>
      <c r="E54" s="8" t="s">
        <v>15</v>
      </c>
      <c r="F54" s="8" t="s">
        <v>90</v>
      </c>
      <c r="G54" s="8" t="s">
        <v>91</v>
      </c>
      <c r="H54" s="8" t="s">
        <v>92</v>
      </c>
      <c r="I54" s="9">
        <v>20</v>
      </c>
      <c r="J54" s="9">
        <v>814814.81</v>
      </c>
      <c r="K54" s="9">
        <f t="shared" si="5"/>
        <v>16296296.200000001</v>
      </c>
      <c r="L54" s="9">
        <f t="shared" si="2"/>
        <v>1303703.6960000002</v>
      </c>
      <c r="M54" s="254">
        <f t="shared" si="6"/>
        <v>17599999.896000002</v>
      </c>
      <c r="N54" s="11"/>
      <c r="O54" s="11"/>
      <c r="P54" s="11"/>
      <c r="Q54" s="10">
        <f t="shared" si="4"/>
        <v>17599999.896000002</v>
      </c>
      <c r="R54" s="37"/>
    </row>
    <row r="55" spans="1:18" s="65" customFormat="1" ht="27" hidden="1" customHeight="1">
      <c r="A55" s="3" t="s">
        <v>592</v>
      </c>
      <c r="B55" s="4" t="s">
        <v>87</v>
      </c>
      <c r="C55" s="5" t="s">
        <v>14</v>
      </c>
      <c r="D55" s="36"/>
      <c r="E55" s="8" t="s">
        <v>15</v>
      </c>
      <c r="F55" s="8" t="s">
        <v>93</v>
      </c>
      <c r="G55" s="8" t="s">
        <v>94</v>
      </c>
      <c r="H55" s="8" t="s">
        <v>92</v>
      </c>
      <c r="I55" s="9">
        <v>4</v>
      </c>
      <c r="J55" s="9">
        <v>907407.41</v>
      </c>
      <c r="K55" s="9">
        <f t="shared" si="5"/>
        <v>3629629.64</v>
      </c>
      <c r="L55" s="9">
        <f t="shared" si="2"/>
        <v>290370.37119999999</v>
      </c>
      <c r="M55" s="254">
        <f t="shared" si="6"/>
        <v>3920000.0112000001</v>
      </c>
      <c r="N55" s="11"/>
      <c r="O55" s="11"/>
      <c r="P55" s="11"/>
      <c r="Q55" s="10">
        <f t="shared" si="4"/>
        <v>3920000.0112000001</v>
      </c>
      <c r="R55" s="37"/>
    </row>
    <row r="56" spans="1:18" s="65" customFormat="1" ht="27" hidden="1" customHeight="1">
      <c r="A56" s="3" t="s">
        <v>592</v>
      </c>
      <c r="B56" s="4" t="s">
        <v>87</v>
      </c>
      <c r="C56" s="27" t="s">
        <v>88</v>
      </c>
      <c r="D56" s="36" t="s">
        <v>89</v>
      </c>
      <c r="E56" s="8" t="s">
        <v>15</v>
      </c>
      <c r="F56" s="8" t="s">
        <v>80</v>
      </c>
      <c r="G56" s="8" t="s">
        <v>81</v>
      </c>
      <c r="H56" s="8" t="s">
        <v>18</v>
      </c>
      <c r="I56" s="9">
        <v>2</v>
      </c>
      <c r="J56" s="9">
        <v>824074.07</v>
      </c>
      <c r="K56" s="9">
        <f t="shared" si="5"/>
        <v>1648148.14</v>
      </c>
      <c r="L56" s="9">
        <f t="shared" si="2"/>
        <v>131851.8512</v>
      </c>
      <c r="M56" s="254">
        <f t="shared" si="6"/>
        <v>1779999.9911999998</v>
      </c>
      <c r="N56" s="11"/>
      <c r="O56" s="11"/>
      <c r="P56" s="11"/>
      <c r="Q56" s="10">
        <f t="shared" si="4"/>
        <v>1779999.9911999998</v>
      </c>
      <c r="R56" s="37"/>
    </row>
    <row r="57" spans="1:18" s="65" customFormat="1" ht="27" hidden="1" customHeight="1">
      <c r="A57" s="3" t="s">
        <v>592</v>
      </c>
      <c r="B57" s="4" t="s">
        <v>87</v>
      </c>
      <c r="C57" s="27" t="s">
        <v>88</v>
      </c>
      <c r="D57" s="36" t="s">
        <v>89</v>
      </c>
      <c r="E57" s="8" t="s">
        <v>15</v>
      </c>
      <c r="F57" s="8" t="s">
        <v>23</v>
      </c>
      <c r="G57" s="8" t="s">
        <v>82</v>
      </c>
      <c r="H57" s="8" t="s">
        <v>25</v>
      </c>
      <c r="I57" s="9">
        <v>4</v>
      </c>
      <c r="J57" s="9">
        <v>1059259.25</v>
      </c>
      <c r="K57" s="9">
        <f t="shared" si="5"/>
        <v>4237037</v>
      </c>
      <c r="L57" s="9">
        <f t="shared" si="2"/>
        <v>338962.96</v>
      </c>
      <c r="M57" s="254">
        <f t="shared" si="6"/>
        <v>4575999.96</v>
      </c>
      <c r="N57" s="11"/>
      <c r="O57" s="11"/>
      <c r="P57" s="11"/>
      <c r="Q57" s="10">
        <f t="shared" si="4"/>
        <v>4575999.96</v>
      </c>
      <c r="R57" s="37"/>
    </row>
    <row r="58" spans="1:18" s="65" customFormat="1" ht="27" hidden="1" customHeight="1">
      <c r="A58" s="3" t="s">
        <v>592</v>
      </c>
      <c r="B58" s="4" t="s">
        <v>87</v>
      </c>
      <c r="C58" s="27" t="s">
        <v>88</v>
      </c>
      <c r="D58" s="36" t="s">
        <v>89</v>
      </c>
      <c r="E58" s="8" t="s">
        <v>15</v>
      </c>
      <c r="F58" s="8" t="s">
        <v>40</v>
      </c>
      <c r="G58" s="8" t="s">
        <v>41</v>
      </c>
      <c r="H58" s="8" t="s">
        <v>18</v>
      </c>
      <c r="I58" s="9">
        <v>2</v>
      </c>
      <c r="J58" s="9">
        <v>844444.44</v>
      </c>
      <c r="K58" s="9">
        <f t="shared" si="5"/>
        <v>1688888.88</v>
      </c>
      <c r="L58" s="9">
        <f t="shared" si="2"/>
        <v>135111.11040000001</v>
      </c>
      <c r="M58" s="254">
        <f t="shared" si="6"/>
        <v>1823999.9904</v>
      </c>
      <c r="N58" s="11"/>
      <c r="O58" s="11"/>
      <c r="P58" s="11"/>
      <c r="Q58" s="10">
        <f t="shared" si="4"/>
        <v>1823999.9904</v>
      </c>
      <c r="R58" s="37"/>
    </row>
    <row r="59" spans="1:18" s="65" customFormat="1" ht="27" hidden="1" customHeight="1">
      <c r="A59" s="3" t="s">
        <v>592</v>
      </c>
      <c r="B59" s="4" t="s">
        <v>95</v>
      </c>
      <c r="C59" s="27" t="s">
        <v>88</v>
      </c>
      <c r="D59" s="36" t="s">
        <v>89</v>
      </c>
      <c r="E59" s="8" t="s">
        <v>15</v>
      </c>
      <c r="F59" s="8" t="s">
        <v>23</v>
      </c>
      <c r="G59" s="8" t="s">
        <v>82</v>
      </c>
      <c r="H59" s="8" t="s">
        <v>25</v>
      </c>
      <c r="I59" s="9">
        <v>4</v>
      </c>
      <c r="J59" s="9">
        <v>1059259.25</v>
      </c>
      <c r="K59" s="9">
        <f t="shared" si="5"/>
        <v>4237037</v>
      </c>
      <c r="L59" s="9">
        <f t="shared" si="2"/>
        <v>338962.96</v>
      </c>
      <c r="M59" s="254">
        <f t="shared" si="6"/>
        <v>4575999.96</v>
      </c>
      <c r="N59" s="11"/>
      <c r="O59" s="11"/>
      <c r="P59" s="11"/>
      <c r="Q59" s="10">
        <f t="shared" si="4"/>
        <v>4575999.96</v>
      </c>
      <c r="R59" s="37"/>
    </row>
    <row r="60" spans="1:18" s="65" customFormat="1" ht="27" hidden="1" customHeight="1">
      <c r="A60" s="3" t="s">
        <v>592</v>
      </c>
      <c r="B60" s="4" t="s">
        <v>95</v>
      </c>
      <c r="C60" s="27" t="s">
        <v>88</v>
      </c>
      <c r="D60" s="36" t="s">
        <v>89</v>
      </c>
      <c r="E60" s="8" t="s">
        <v>15</v>
      </c>
      <c r="F60" s="8" t="s">
        <v>80</v>
      </c>
      <c r="G60" s="8" t="s">
        <v>81</v>
      </c>
      <c r="H60" s="8" t="s">
        <v>92</v>
      </c>
      <c r="I60" s="9">
        <v>4</v>
      </c>
      <c r="J60" s="9">
        <v>824074.07</v>
      </c>
      <c r="K60" s="9">
        <f t="shared" si="5"/>
        <v>3296296.28</v>
      </c>
      <c r="L60" s="9">
        <f t="shared" si="2"/>
        <v>263703.70240000001</v>
      </c>
      <c r="M60" s="254">
        <f t="shared" si="6"/>
        <v>3559999.9823999996</v>
      </c>
      <c r="N60" s="11"/>
      <c r="O60" s="11"/>
      <c r="P60" s="11"/>
      <c r="Q60" s="10">
        <f t="shared" si="4"/>
        <v>3559999.9823999996</v>
      </c>
      <c r="R60" s="37"/>
    </row>
    <row r="61" spans="1:18" s="65" customFormat="1" ht="27" hidden="1" customHeight="1">
      <c r="A61" s="3" t="s">
        <v>592</v>
      </c>
      <c r="B61" s="4" t="s">
        <v>95</v>
      </c>
      <c r="C61" s="5" t="s">
        <v>14</v>
      </c>
      <c r="D61" s="36"/>
      <c r="E61" s="8" t="s">
        <v>15</v>
      </c>
      <c r="F61" s="39" t="s">
        <v>96</v>
      </c>
      <c r="G61" s="39" t="s">
        <v>97</v>
      </c>
      <c r="H61" s="39" t="s">
        <v>18</v>
      </c>
      <c r="I61" s="40">
        <v>10</v>
      </c>
      <c r="J61" s="40">
        <v>574074.06999999995</v>
      </c>
      <c r="K61" s="40">
        <f>I61*J61</f>
        <v>5740740.6999999993</v>
      </c>
      <c r="L61" s="40">
        <f>K61*8%</f>
        <v>459259.25599999994</v>
      </c>
      <c r="M61" s="255">
        <f>K61+L61</f>
        <v>6199999.9559999993</v>
      </c>
      <c r="N61" s="11"/>
      <c r="O61" s="11"/>
      <c r="P61" s="11"/>
      <c r="Q61" s="10">
        <f t="shared" si="4"/>
        <v>6199999.9559999993</v>
      </c>
      <c r="R61" s="37"/>
    </row>
    <row r="62" spans="1:18" s="65" customFormat="1" ht="27" hidden="1" customHeight="1">
      <c r="A62" s="3" t="s">
        <v>592</v>
      </c>
      <c r="B62" s="4" t="s">
        <v>95</v>
      </c>
      <c r="C62" s="5" t="s">
        <v>14</v>
      </c>
      <c r="D62" s="36"/>
      <c r="E62" s="8" t="s">
        <v>15</v>
      </c>
      <c r="F62" s="39" t="s">
        <v>98</v>
      </c>
      <c r="G62" s="39" t="s">
        <v>99</v>
      </c>
      <c r="H62" s="39" t="s">
        <v>18</v>
      </c>
      <c r="I62" s="40">
        <v>50</v>
      </c>
      <c r="J62" s="40">
        <v>694444.44</v>
      </c>
      <c r="K62" s="40">
        <f>I62*J62</f>
        <v>34722222</v>
      </c>
      <c r="L62" s="40">
        <f>K62*8%</f>
        <v>2777777.7600000002</v>
      </c>
      <c r="M62" s="255">
        <f>K62+L62</f>
        <v>37499999.759999998</v>
      </c>
      <c r="N62" s="11"/>
      <c r="O62" s="11"/>
      <c r="P62" s="11"/>
      <c r="Q62" s="10">
        <f t="shared" si="4"/>
        <v>37499999.759999998</v>
      </c>
      <c r="R62" s="37"/>
    </row>
    <row r="63" spans="1:18" s="65" customFormat="1" ht="27" hidden="1" customHeight="1">
      <c r="A63" s="3" t="s">
        <v>592</v>
      </c>
      <c r="B63" s="4" t="s">
        <v>100</v>
      </c>
      <c r="C63" s="5" t="s">
        <v>14</v>
      </c>
      <c r="D63" s="36"/>
      <c r="E63" s="8" t="s">
        <v>15</v>
      </c>
      <c r="F63" s="8" t="s">
        <v>101</v>
      </c>
      <c r="G63" s="8" t="s">
        <v>102</v>
      </c>
      <c r="H63" s="8" t="s">
        <v>18</v>
      </c>
      <c r="I63" s="9">
        <v>12</v>
      </c>
      <c r="J63" s="9">
        <v>907407.41</v>
      </c>
      <c r="K63" s="9">
        <f>I63*J63</f>
        <v>10888888.92</v>
      </c>
      <c r="L63" s="9">
        <f>K63*8%</f>
        <v>871111.11360000004</v>
      </c>
      <c r="M63" s="254">
        <f>K63+L63</f>
        <v>11760000.033600001</v>
      </c>
      <c r="N63" s="11"/>
      <c r="O63" s="11"/>
      <c r="P63" s="11"/>
      <c r="Q63" s="10">
        <f t="shared" si="4"/>
        <v>11760000.033600001</v>
      </c>
      <c r="R63" s="37"/>
    </row>
    <row r="64" spans="1:18" s="65" customFormat="1" ht="27" hidden="1" customHeight="1">
      <c r="A64" s="3" t="s">
        <v>592</v>
      </c>
      <c r="B64" s="4" t="s">
        <v>100</v>
      </c>
      <c r="C64" s="5" t="s">
        <v>14</v>
      </c>
      <c r="D64" s="36"/>
      <c r="E64" s="8" t="s">
        <v>15</v>
      </c>
      <c r="F64" s="8" t="s">
        <v>93</v>
      </c>
      <c r="G64" s="8" t="s">
        <v>94</v>
      </c>
      <c r="H64" s="8" t="s">
        <v>18</v>
      </c>
      <c r="I64" s="9">
        <v>8</v>
      </c>
      <c r="J64" s="9">
        <v>907407.41</v>
      </c>
      <c r="K64" s="9">
        <f>I64*J64</f>
        <v>7259259.2800000003</v>
      </c>
      <c r="L64" s="9">
        <f>K64*8%</f>
        <v>580740.74239999999</v>
      </c>
      <c r="M64" s="254">
        <f>K64+L64</f>
        <v>7840000.0224000001</v>
      </c>
      <c r="N64" s="11"/>
      <c r="O64" s="11"/>
      <c r="P64" s="11"/>
      <c r="Q64" s="10">
        <f t="shared" si="4"/>
        <v>7840000.0224000001</v>
      </c>
      <c r="R64" s="37"/>
    </row>
    <row r="65" spans="1:20" s="65" customFormat="1" ht="27" hidden="1" customHeight="1">
      <c r="A65" s="3" t="s">
        <v>592</v>
      </c>
      <c r="B65" s="4" t="s">
        <v>100</v>
      </c>
      <c r="C65" s="5" t="s">
        <v>14</v>
      </c>
      <c r="D65" s="36"/>
      <c r="E65" s="8" t="s">
        <v>15</v>
      </c>
      <c r="F65" s="8" t="s">
        <v>103</v>
      </c>
      <c r="G65" s="8" t="s">
        <v>104</v>
      </c>
      <c r="H65" s="8" t="s">
        <v>18</v>
      </c>
      <c r="I65" s="9">
        <v>18</v>
      </c>
      <c r="J65" s="9">
        <v>722222.22</v>
      </c>
      <c r="K65" s="9">
        <f>I65*J65</f>
        <v>12999999.959999999</v>
      </c>
      <c r="L65" s="9">
        <f>K65*8%</f>
        <v>1039999.9968</v>
      </c>
      <c r="M65" s="254">
        <f>K65+L65</f>
        <v>14039999.956799999</v>
      </c>
      <c r="N65" s="11"/>
      <c r="O65" s="11"/>
      <c r="P65" s="11"/>
      <c r="Q65" s="10">
        <f t="shared" si="4"/>
        <v>14039999.956799999</v>
      </c>
      <c r="R65" s="37"/>
    </row>
    <row r="66" spans="1:20" s="65" customFormat="1" ht="27" hidden="1" customHeight="1">
      <c r="A66" s="3" t="s">
        <v>592</v>
      </c>
      <c r="B66" s="4" t="s">
        <v>100</v>
      </c>
      <c r="C66" s="5" t="s">
        <v>14</v>
      </c>
      <c r="D66" s="36"/>
      <c r="E66" s="8" t="s">
        <v>15</v>
      </c>
      <c r="F66" s="8" t="s">
        <v>62</v>
      </c>
      <c r="G66" s="8" t="s">
        <v>63</v>
      </c>
      <c r="H66" s="8" t="s">
        <v>18</v>
      </c>
      <c r="I66" s="9">
        <v>18</v>
      </c>
      <c r="J66" s="9"/>
      <c r="K66" s="9"/>
      <c r="L66" s="9"/>
      <c r="M66" s="254"/>
      <c r="N66" s="11"/>
      <c r="O66" s="11"/>
      <c r="P66" s="11"/>
      <c r="Q66" s="10">
        <f t="shared" si="4"/>
        <v>0</v>
      </c>
      <c r="R66" s="37"/>
    </row>
    <row r="67" spans="1:20" s="65" customFormat="1" ht="27" hidden="1" customHeight="1">
      <c r="A67" s="3" t="s">
        <v>592</v>
      </c>
      <c r="B67" s="4" t="s">
        <v>100</v>
      </c>
      <c r="C67" s="27" t="s">
        <v>105</v>
      </c>
      <c r="D67" s="36" t="s">
        <v>106</v>
      </c>
      <c r="E67" s="8" t="s">
        <v>15</v>
      </c>
      <c r="F67" s="8" t="s">
        <v>40</v>
      </c>
      <c r="G67" s="8" t="s">
        <v>41</v>
      </c>
      <c r="H67" s="8" t="s">
        <v>18</v>
      </c>
      <c r="I67" s="9">
        <v>8</v>
      </c>
      <c r="J67" s="9">
        <v>844444.44</v>
      </c>
      <c r="K67" s="9">
        <f t="shared" ref="K67:K68" si="7">I67*J67</f>
        <v>6755555.5199999996</v>
      </c>
      <c r="L67" s="9">
        <f t="shared" ref="L67:L68" si="8">K67*8%</f>
        <v>540444.44160000002</v>
      </c>
      <c r="M67" s="254">
        <f t="shared" ref="M67:M68" si="9">K67+L67</f>
        <v>7295999.9616</v>
      </c>
      <c r="N67" s="11"/>
      <c r="O67" s="11"/>
      <c r="P67" s="11"/>
      <c r="Q67" s="10">
        <f t="shared" si="4"/>
        <v>7295999.9616</v>
      </c>
      <c r="R67" s="37"/>
    </row>
    <row r="68" spans="1:20" s="65" customFormat="1" ht="27" hidden="1" customHeight="1">
      <c r="A68" s="3" t="s">
        <v>592</v>
      </c>
      <c r="B68" s="4" t="s">
        <v>100</v>
      </c>
      <c r="C68" s="27" t="s">
        <v>105</v>
      </c>
      <c r="D68" s="36" t="s">
        <v>106</v>
      </c>
      <c r="E68" s="8" t="s">
        <v>15</v>
      </c>
      <c r="F68" s="14" t="s">
        <v>21</v>
      </c>
      <c r="G68" s="14" t="s">
        <v>22</v>
      </c>
      <c r="H68" s="7" t="s">
        <v>18</v>
      </c>
      <c r="I68" s="9">
        <v>6</v>
      </c>
      <c r="J68" s="9">
        <v>937962.96</v>
      </c>
      <c r="K68" s="9">
        <f t="shared" si="7"/>
        <v>5627777.7599999998</v>
      </c>
      <c r="L68" s="9">
        <f t="shared" si="8"/>
        <v>450222.22080000001</v>
      </c>
      <c r="M68" s="254">
        <f t="shared" si="9"/>
        <v>6077999.9808</v>
      </c>
      <c r="N68" s="11"/>
      <c r="O68" s="11"/>
      <c r="P68" s="11"/>
      <c r="Q68" s="10">
        <f t="shared" ref="Q68:Q131" si="10">M68-N68-O68-P68</f>
        <v>6077999.9808</v>
      </c>
      <c r="R68" s="37"/>
    </row>
    <row r="69" spans="1:20" s="65" customFormat="1" ht="27" hidden="1" customHeight="1">
      <c r="A69" s="3" t="s">
        <v>592</v>
      </c>
      <c r="B69" s="4" t="s">
        <v>100</v>
      </c>
      <c r="C69" s="27" t="s">
        <v>105</v>
      </c>
      <c r="D69" s="36" t="s">
        <v>106</v>
      </c>
      <c r="E69" s="8" t="s">
        <v>15</v>
      </c>
      <c r="F69" s="8" t="s">
        <v>107</v>
      </c>
      <c r="G69" s="8" t="s">
        <v>108</v>
      </c>
      <c r="H69" s="8"/>
      <c r="I69" s="9">
        <v>1</v>
      </c>
      <c r="J69" s="9"/>
      <c r="K69" s="9"/>
      <c r="L69" s="9"/>
      <c r="M69" s="254"/>
      <c r="N69" s="11"/>
      <c r="O69" s="11"/>
      <c r="P69" s="11"/>
      <c r="Q69" s="10">
        <f t="shared" si="10"/>
        <v>0</v>
      </c>
      <c r="R69" s="37"/>
    </row>
    <row r="70" spans="1:20" s="43" customFormat="1" ht="15.75" hidden="1">
      <c r="A70" s="3" t="s">
        <v>593</v>
      </c>
      <c r="B70" s="41" t="s">
        <v>109</v>
      </c>
      <c r="C70" s="42" t="s">
        <v>110</v>
      </c>
      <c r="D70" s="41">
        <v>46328</v>
      </c>
      <c r="E70" s="43" t="s">
        <v>111</v>
      </c>
      <c r="F70" s="44" t="s">
        <v>46</v>
      </c>
      <c r="G70" s="44" t="s">
        <v>112</v>
      </c>
      <c r="H70" s="44" t="s">
        <v>113</v>
      </c>
      <c r="I70" s="44">
        <v>25</v>
      </c>
      <c r="J70" s="45">
        <v>230000</v>
      </c>
      <c r="K70" s="45">
        <f>I70*J70</f>
        <v>5750000</v>
      </c>
      <c r="L70" s="45">
        <f>K70*8%</f>
        <v>460000</v>
      </c>
      <c r="M70" s="256">
        <f>K70+L70</f>
        <v>6210000</v>
      </c>
      <c r="N70" s="46"/>
      <c r="O70" s="46"/>
      <c r="P70" s="46"/>
      <c r="Q70" s="10">
        <f t="shared" si="10"/>
        <v>6210000</v>
      </c>
      <c r="R70" s="46"/>
      <c r="S70" s="45"/>
    </row>
    <row r="71" spans="1:20" s="43" customFormat="1" ht="15.75" hidden="1">
      <c r="A71" s="3" t="s">
        <v>593</v>
      </c>
      <c r="B71" s="41" t="s">
        <v>114</v>
      </c>
      <c r="C71" s="42" t="s">
        <v>115</v>
      </c>
      <c r="D71" s="41">
        <v>46297</v>
      </c>
      <c r="E71" s="43" t="s">
        <v>111</v>
      </c>
      <c r="F71" s="44" t="s">
        <v>80</v>
      </c>
      <c r="G71" s="44" t="s">
        <v>116</v>
      </c>
      <c r="H71" s="44" t="s">
        <v>113</v>
      </c>
      <c r="I71" s="47">
        <v>1</v>
      </c>
      <c r="J71" s="45">
        <v>1040000</v>
      </c>
      <c r="K71" s="45">
        <f t="shared" ref="K71:K90" si="11">I71*J71</f>
        <v>1040000</v>
      </c>
      <c r="L71" s="45">
        <f t="shared" ref="L71:L90" si="12">K71*8%</f>
        <v>83200</v>
      </c>
      <c r="M71" s="256">
        <f>K71+L71</f>
        <v>1123200</v>
      </c>
      <c r="N71" s="46"/>
      <c r="O71" s="46"/>
      <c r="P71" s="46"/>
      <c r="Q71" s="10">
        <f t="shared" si="10"/>
        <v>1123200</v>
      </c>
      <c r="R71" s="46"/>
      <c r="S71" s="45"/>
    </row>
    <row r="72" spans="1:20" s="43" customFormat="1" ht="15.75" hidden="1">
      <c r="A72" s="3" t="s">
        <v>593</v>
      </c>
      <c r="B72" s="41" t="s">
        <v>114</v>
      </c>
      <c r="C72" s="42" t="s">
        <v>115</v>
      </c>
      <c r="D72" s="41">
        <v>46297</v>
      </c>
      <c r="E72" s="43" t="s">
        <v>111</v>
      </c>
      <c r="F72" s="44" t="s">
        <v>44</v>
      </c>
      <c r="G72" s="44" t="s">
        <v>117</v>
      </c>
      <c r="H72" s="43" t="s">
        <v>113</v>
      </c>
      <c r="I72" s="48">
        <v>1</v>
      </c>
      <c r="J72" s="45">
        <v>610000</v>
      </c>
      <c r="K72" s="45">
        <f t="shared" si="11"/>
        <v>610000</v>
      </c>
      <c r="L72" s="45">
        <f t="shared" si="12"/>
        <v>48800</v>
      </c>
      <c r="M72" s="256">
        <f>K72+L72</f>
        <v>658800</v>
      </c>
      <c r="N72" s="46"/>
      <c r="O72" s="46"/>
      <c r="P72" s="46"/>
      <c r="Q72" s="10">
        <f t="shared" si="10"/>
        <v>658800</v>
      </c>
      <c r="R72" s="46"/>
      <c r="S72" s="45"/>
    </row>
    <row r="73" spans="1:20" s="43" customFormat="1" ht="15.75" hidden="1">
      <c r="A73" s="3" t="s">
        <v>593</v>
      </c>
      <c r="B73" s="41" t="s">
        <v>118</v>
      </c>
      <c r="C73" s="42" t="s">
        <v>115</v>
      </c>
      <c r="D73" s="41">
        <v>46297</v>
      </c>
      <c r="E73" s="43" t="s">
        <v>111</v>
      </c>
      <c r="F73" s="44" t="s">
        <v>119</v>
      </c>
      <c r="G73" s="44" t="s">
        <v>117</v>
      </c>
      <c r="H73" s="43" t="s">
        <v>113</v>
      </c>
      <c r="I73" s="48">
        <v>1</v>
      </c>
      <c r="J73" s="45">
        <v>673148</v>
      </c>
      <c r="K73" s="45">
        <f t="shared" si="11"/>
        <v>673148</v>
      </c>
      <c r="L73" s="45">
        <f t="shared" si="12"/>
        <v>53851.840000000004</v>
      </c>
      <c r="M73" s="256">
        <f t="shared" ref="M73:M87" si="13">K73+L73</f>
        <v>726999.84</v>
      </c>
      <c r="N73" s="46"/>
      <c r="O73" s="46"/>
      <c r="P73" s="46"/>
      <c r="Q73" s="10">
        <f t="shared" si="10"/>
        <v>726999.84</v>
      </c>
      <c r="R73" s="46"/>
      <c r="S73" s="45"/>
    </row>
    <row r="74" spans="1:20" s="43" customFormat="1" ht="15.75" hidden="1">
      <c r="A74" s="3" t="s">
        <v>593</v>
      </c>
      <c r="B74" s="41">
        <v>46002</v>
      </c>
      <c r="C74" s="49">
        <v>3</v>
      </c>
      <c r="D74" s="41" t="s">
        <v>120</v>
      </c>
      <c r="E74" s="43" t="s">
        <v>111</v>
      </c>
      <c r="F74" s="44" t="s">
        <v>46</v>
      </c>
      <c r="G74" s="44" t="s">
        <v>112</v>
      </c>
      <c r="H74" s="43" t="s">
        <v>113</v>
      </c>
      <c r="I74" s="48">
        <v>24</v>
      </c>
      <c r="J74" s="45">
        <v>212963</v>
      </c>
      <c r="K74" s="45">
        <f t="shared" si="11"/>
        <v>5111112</v>
      </c>
      <c r="L74" s="45">
        <f t="shared" si="12"/>
        <v>408888.96</v>
      </c>
      <c r="M74" s="256">
        <f t="shared" si="13"/>
        <v>5520000.96</v>
      </c>
      <c r="N74" s="46"/>
      <c r="O74" s="46"/>
      <c r="P74" s="46"/>
      <c r="Q74" s="10">
        <f t="shared" si="10"/>
        <v>5520000.96</v>
      </c>
      <c r="R74" s="46"/>
      <c r="S74" s="45"/>
    </row>
    <row r="75" spans="1:20" s="43" customFormat="1" ht="13.15" hidden="1" customHeight="1">
      <c r="A75" s="3" t="s">
        <v>593</v>
      </c>
      <c r="B75" s="41"/>
      <c r="C75" s="42" t="s">
        <v>115</v>
      </c>
      <c r="D75" s="41">
        <v>46297</v>
      </c>
      <c r="E75" s="43" t="s">
        <v>111</v>
      </c>
      <c r="F75" s="50" t="s">
        <v>46</v>
      </c>
      <c r="G75" s="50" t="s">
        <v>112</v>
      </c>
      <c r="H75" s="43" t="s">
        <v>113</v>
      </c>
      <c r="I75" s="48">
        <v>24</v>
      </c>
      <c r="J75" s="45">
        <v>230000</v>
      </c>
      <c r="K75" s="45">
        <f t="shared" si="11"/>
        <v>5520000</v>
      </c>
      <c r="L75" s="45">
        <f t="shared" si="12"/>
        <v>441600</v>
      </c>
      <c r="M75" s="256">
        <f>K75+L75</f>
        <v>5961600</v>
      </c>
      <c r="N75" s="46"/>
      <c r="O75" s="46"/>
      <c r="P75" s="46"/>
      <c r="Q75" s="10">
        <f t="shared" si="10"/>
        <v>5961600</v>
      </c>
      <c r="R75" s="46"/>
      <c r="S75" s="45" t="s">
        <v>121</v>
      </c>
    </row>
    <row r="76" spans="1:20" s="53" customFormat="1" ht="15.75" hidden="1">
      <c r="A76" s="3" t="s">
        <v>593</v>
      </c>
      <c r="B76" s="51">
        <v>45992</v>
      </c>
      <c r="C76" s="52"/>
      <c r="D76" s="51"/>
      <c r="E76" s="52" t="s">
        <v>619</v>
      </c>
      <c r="K76" s="54">
        <f t="shared" si="11"/>
        <v>0</v>
      </c>
      <c r="L76" s="54">
        <f t="shared" si="12"/>
        <v>0</v>
      </c>
      <c r="M76" s="55"/>
      <c r="N76" s="55">
        <v>5520000</v>
      </c>
      <c r="O76" s="55"/>
      <c r="P76" s="55"/>
      <c r="Q76" s="10">
        <f t="shared" si="10"/>
        <v>-5520000</v>
      </c>
      <c r="R76" s="56"/>
    </row>
    <row r="77" spans="1:20" s="43" customFormat="1" ht="30" hidden="1" customHeight="1">
      <c r="A77" s="3" t="s">
        <v>593</v>
      </c>
      <c r="B77" s="41" t="s">
        <v>19</v>
      </c>
      <c r="C77" s="49" t="s">
        <v>122</v>
      </c>
      <c r="D77" s="41">
        <v>46055</v>
      </c>
      <c r="E77" s="43" t="s">
        <v>111</v>
      </c>
      <c r="F77" s="44" t="s">
        <v>40</v>
      </c>
      <c r="G77" s="38" t="s">
        <v>41</v>
      </c>
      <c r="H77" s="43" t="s">
        <v>113</v>
      </c>
      <c r="I77" s="48">
        <v>11</v>
      </c>
      <c r="J77" s="45">
        <v>907407.4</v>
      </c>
      <c r="K77" s="45">
        <f>I77*J77</f>
        <v>9981481.4000000004</v>
      </c>
      <c r="L77" s="45">
        <f>K77*8%</f>
        <v>798518.5120000001</v>
      </c>
      <c r="M77" s="256">
        <f>K77+L77</f>
        <v>10779999.912</v>
      </c>
      <c r="N77" s="46"/>
      <c r="O77" s="46"/>
      <c r="P77" s="46"/>
      <c r="Q77" s="10">
        <f t="shared" si="10"/>
        <v>10779999.912</v>
      </c>
      <c r="R77" s="46"/>
      <c r="S77" s="57" t="s">
        <v>123</v>
      </c>
      <c r="T77" s="272" t="s">
        <v>124</v>
      </c>
    </row>
    <row r="78" spans="1:20" s="43" customFormat="1" ht="15.75" hidden="1">
      <c r="A78" s="3" t="s">
        <v>593</v>
      </c>
      <c r="B78" s="41" t="s">
        <v>19</v>
      </c>
      <c r="C78" s="42" t="s">
        <v>125</v>
      </c>
      <c r="D78" s="41" t="s">
        <v>126</v>
      </c>
      <c r="E78" s="43" t="s">
        <v>111</v>
      </c>
      <c r="F78" s="44" t="s">
        <v>127</v>
      </c>
      <c r="G78" s="38" t="s">
        <v>128</v>
      </c>
      <c r="H78" s="43" t="s">
        <v>113</v>
      </c>
      <c r="I78" s="48">
        <v>1</v>
      </c>
      <c r="J78" s="45">
        <v>284259.26</v>
      </c>
      <c r="K78" s="45">
        <f t="shared" si="11"/>
        <v>284259.26</v>
      </c>
      <c r="L78" s="45">
        <f t="shared" si="12"/>
        <v>22740.7408</v>
      </c>
      <c r="M78" s="256">
        <f t="shared" si="13"/>
        <v>307000.00080000004</v>
      </c>
      <c r="N78" s="46"/>
      <c r="O78" s="46"/>
      <c r="P78" s="46"/>
      <c r="Q78" s="10">
        <f t="shared" si="10"/>
        <v>307000.00080000004</v>
      </c>
      <c r="R78" s="46"/>
      <c r="S78" s="985" t="s">
        <v>129</v>
      </c>
    </row>
    <row r="79" spans="1:20" s="43" customFormat="1" ht="15.75" hidden="1">
      <c r="A79" s="3" t="s">
        <v>593</v>
      </c>
      <c r="B79" s="41" t="s">
        <v>19</v>
      </c>
      <c r="C79" s="42" t="s">
        <v>125</v>
      </c>
      <c r="D79" s="41" t="s">
        <v>126</v>
      </c>
      <c r="E79" s="43" t="s">
        <v>111</v>
      </c>
      <c r="F79" s="44" t="s">
        <v>130</v>
      </c>
      <c r="G79" s="38" t="s">
        <v>131</v>
      </c>
      <c r="H79" s="43" t="s">
        <v>113</v>
      </c>
      <c r="I79" s="48">
        <v>1</v>
      </c>
      <c r="J79" s="45">
        <v>280555.56</v>
      </c>
      <c r="K79" s="45">
        <f t="shared" si="11"/>
        <v>280555.56</v>
      </c>
      <c r="L79" s="45">
        <f t="shared" si="12"/>
        <v>22444.444800000001</v>
      </c>
      <c r="M79" s="256">
        <f t="shared" si="13"/>
        <v>303000.0048</v>
      </c>
      <c r="N79" s="46"/>
      <c r="O79" s="46"/>
      <c r="P79" s="46"/>
      <c r="Q79" s="10">
        <f t="shared" si="10"/>
        <v>303000.0048</v>
      </c>
      <c r="R79" s="46"/>
      <c r="S79" s="985"/>
    </row>
    <row r="80" spans="1:20" s="43" customFormat="1" ht="28.15" hidden="1" customHeight="1">
      <c r="A80" s="3" t="s">
        <v>593</v>
      </c>
      <c r="B80" s="41" t="s">
        <v>132</v>
      </c>
      <c r="C80" s="58" t="s">
        <v>133</v>
      </c>
      <c r="D80" s="41">
        <v>46083</v>
      </c>
      <c r="E80" s="43" t="s">
        <v>111</v>
      </c>
      <c r="F80" s="44" t="s">
        <v>40</v>
      </c>
      <c r="G80" s="38" t="s">
        <v>41</v>
      </c>
      <c r="H80" s="43" t="s">
        <v>113</v>
      </c>
      <c r="I80" s="48">
        <v>12</v>
      </c>
      <c r="J80" s="45">
        <v>907407.41</v>
      </c>
      <c r="K80" s="45">
        <f t="shared" si="11"/>
        <v>10888888.92</v>
      </c>
      <c r="L80" s="45">
        <f t="shared" si="12"/>
        <v>871111.11360000004</v>
      </c>
      <c r="M80" s="256">
        <f t="shared" si="13"/>
        <v>11760000.033600001</v>
      </c>
      <c r="N80" s="46"/>
      <c r="O80" s="46"/>
      <c r="P80" s="46"/>
      <c r="Q80" s="10">
        <f t="shared" si="10"/>
        <v>11760000.033600001</v>
      </c>
      <c r="R80" s="46"/>
      <c r="S80" s="57" t="s">
        <v>134</v>
      </c>
      <c r="T80" s="272" t="s">
        <v>135</v>
      </c>
    </row>
    <row r="81" spans="1:19" s="53" customFormat="1" ht="31.5" hidden="1" customHeight="1">
      <c r="A81" s="3" t="s">
        <v>593</v>
      </c>
      <c r="B81" s="51">
        <v>46043</v>
      </c>
      <c r="C81" s="59"/>
      <c r="D81" s="51"/>
      <c r="E81" s="52" t="s">
        <v>619</v>
      </c>
      <c r="F81" s="60"/>
      <c r="G81" s="60"/>
      <c r="I81" s="61"/>
      <c r="J81" s="54"/>
      <c r="K81" s="54">
        <f t="shared" si="11"/>
        <v>0</v>
      </c>
      <c r="L81" s="54">
        <f t="shared" si="12"/>
        <v>0</v>
      </c>
      <c r="M81" s="55"/>
      <c r="N81" s="55">
        <v>31869000</v>
      </c>
      <c r="O81" s="55"/>
      <c r="P81" s="55"/>
      <c r="Q81" s="10">
        <f t="shared" si="10"/>
        <v>-31869000</v>
      </c>
      <c r="R81" s="56"/>
    </row>
    <row r="82" spans="1:19" s="43" customFormat="1" ht="15.75" hidden="1">
      <c r="A82" s="3" t="s">
        <v>593</v>
      </c>
      <c r="B82" s="41" t="s">
        <v>136</v>
      </c>
      <c r="C82" s="62" t="s">
        <v>137</v>
      </c>
      <c r="D82" s="41">
        <v>46083</v>
      </c>
      <c r="E82" s="43" t="s">
        <v>111</v>
      </c>
      <c r="F82" s="44" t="s">
        <v>46</v>
      </c>
      <c r="G82" s="44" t="s">
        <v>47</v>
      </c>
      <c r="H82" s="43" t="s">
        <v>113</v>
      </c>
      <c r="I82" s="48">
        <v>24</v>
      </c>
      <c r="J82" s="45">
        <v>212962.96</v>
      </c>
      <c r="K82" s="45">
        <f t="shared" si="11"/>
        <v>5111111.04</v>
      </c>
      <c r="L82" s="45">
        <f t="shared" si="12"/>
        <v>408888.88320000004</v>
      </c>
      <c r="M82" s="256">
        <f t="shared" si="13"/>
        <v>5519999.9232000001</v>
      </c>
      <c r="N82" s="46"/>
      <c r="O82" s="46"/>
      <c r="P82" s="46"/>
      <c r="Q82" s="10">
        <f t="shared" si="10"/>
        <v>5519999.9232000001</v>
      </c>
      <c r="R82" s="46"/>
      <c r="S82" s="45" t="s">
        <v>138</v>
      </c>
    </row>
    <row r="83" spans="1:19" s="43" customFormat="1" ht="15.75" hidden="1">
      <c r="A83" s="3" t="s">
        <v>593</v>
      </c>
      <c r="B83" s="41" t="s">
        <v>136</v>
      </c>
      <c r="C83" s="42" t="s">
        <v>139</v>
      </c>
      <c r="D83" s="41" t="s">
        <v>140</v>
      </c>
      <c r="E83" s="43" t="s">
        <v>111</v>
      </c>
      <c r="F83" s="44" t="s">
        <v>74</v>
      </c>
      <c r="G83" s="44" t="s">
        <v>141</v>
      </c>
      <c r="H83" s="43" t="s">
        <v>113</v>
      </c>
      <c r="I83" s="48">
        <v>1</v>
      </c>
      <c r="J83" s="45">
        <v>379629.63</v>
      </c>
      <c r="K83" s="45">
        <f t="shared" si="11"/>
        <v>379629.63</v>
      </c>
      <c r="L83" s="45">
        <f t="shared" si="12"/>
        <v>30370.3704</v>
      </c>
      <c r="M83" s="256">
        <f t="shared" si="13"/>
        <v>410000.00040000002</v>
      </c>
      <c r="N83" s="46"/>
      <c r="O83" s="46"/>
      <c r="P83" s="46"/>
      <c r="Q83" s="10">
        <f t="shared" si="10"/>
        <v>410000.00040000002</v>
      </c>
      <c r="R83" s="46"/>
      <c r="S83" s="45"/>
    </row>
    <row r="84" spans="1:19" s="43" customFormat="1" ht="15.75" hidden="1">
      <c r="A84" s="3" t="s">
        <v>593</v>
      </c>
      <c r="B84" s="41" t="s">
        <v>142</v>
      </c>
      <c r="C84" s="62" t="s">
        <v>143</v>
      </c>
      <c r="D84" s="41">
        <v>46083</v>
      </c>
      <c r="E84" s="43" t="s">
        <v>111</v>
      </c>
      <c r="F84" s="44" t="s">
        <v>40</v>
      </c>
      <c r="G84" s="44" t="s">
        <v>41</v>
      </c>
      <c r="H84" s="43" t="s">
        <v>113</v>
      </c>
      <c r="I84" s="48">
        <v>10</v>
      </c>
      <c r="J84" s="45">
        <v>907407.41</v>
      </c>
      <c r="K84" s="45">
        <f t="shared" si="11"/>
        <v>9074074.0999999996</v>
      </c>
      <c r="L84" s="45">
        <f t="shared" si="12"/>
        <v>725925.92799999996</v>
      </c>
      <c r="M84" s="256">
        <f t="shared" si="13"/>
        <v>9800000.027999999</v>
      </c>
      <c r="N84" s="46"/>
      <c r="O84" s="46"/>
      <c r="P84" s="46"/>
      <c r="Q84" s="10">
        <f t="shared" si="10"/>
        <v>9800000.027999999</v>
      </c>
      <c r="R84" s="46"/>
      <c r="S84" s="45" t="s">
        <v>144</v>
      </c>
    </row>
    <row r="85" spans="1:19" s="43" customFormat="1" ht="15.75" hidden="1">
      <c r="A85" s="3" t="s">
        <v>593</v>
      </c>
      <c r="B85" s="41">
        <v>46055</v>
      </c>
      <c r="C85" s="42" t="s">
        <v>145</v>
      </c>
      <c r="D85" s="41">
        <f t="shared" ref="D85" si="14">B85</f>
        <v>46055</v>
      </c>
      <c r="E85" s="43" t="s">
        <v>111</v>
      </c>
      <c r="F85" s="44" t="s">
        <v>46</v>
      </c>
      <c r="G85" s="44" t="s">
        <v>47</v>
      </c>
      <c r="H85" s="43" t="s">
        <v>113</v>
      </c>
      <c r="I85" s="48">
        <v>142</v>
      </c>
      <c r="J85" s="45">
        <v>212962.96</v>
      </c>
      <c r="K85" s="45">
        <f t="shared" si="11"/>
        <v>30240740.32</v>
      </c>
      <c r="L85" s="45">
        <f t="shared" si="12"/>
        <v>2419259.2256</v>
      </c>
      <c r="M85" s="256">
        <f t="shared" si="13"/>
        <v>32659999.545600001</v>
      </c>
      <c r="N85" s="46"/>
      <c r="O85" s="46"/>
      <c r="P85" s="46"/>
      <c r="Q85" s="10">
        <f t="shared" si="10"/>
        <v>32659999.545600001</v>
      </c>
      <c r="R85" s="46"/>
      <c r="S85" s="45"/>
    </row>
    <row r="86" spans="1:19" s="53" customFormat="1" ht="15.75" hidden="1">
      <c r="A86" s="3" t="s">
        <v>593</v>
      </c>
      <c r="B86" s="51">
        <v>46057</v>
      </c>
      <c r="C86" s="52"/>
      <c r="D86" s="51"/>
      <c r="E86" s="52" t="s">
        <v>619</v>
      </c>
      <c r="F86" s="60"/>
      <c r="G86" s="60"/>
      <c r="I86" s="61"/>
      <c r="J86" s="54"/>
      <c r="K86" s="60">
        <f t="shared" si="11"/>
        <v>0</v>
      </c>
      <c r="L86" s="60">
        <f t="shared" si="12"/>
        <v>0</v>
      </c>
      <c r="M86" s="55"/>
      <c r="N86" s="55">
        <v>32659999</v>
      </c>
      <c r="O86" s="55"/>
      <c r="P86" s="55"/>
      <c r="Q86" s="10">
        <f t="shared" si="10"/>
        <v>-32659999</v>
      </c>
      <c r="R86" s="56"/>
    </row>
    <row r="87" spans="1:19" s="65" customFormat="1" ht="15.75" hidden="1">
      <c r="A87" s="3" t="s">
        <v>593</v>
      </c>
      <c r="B87" s="41">
        <v>46267</v>
      </c>
      <c r="C87" s="42" t="s">
        <v>146</v>
      </c>
      <c r="D87" s="63">
        <f>B87</f>
        <v>46267</v>
      </c>
      <c r="E87" s="43" t="s">
        <v>111</v>
      </c>
      <c r="F87" s="44" t="s">
        <v>40</v>
      </c>
      <c r="G87" s="64" t="s">
        <v>41</v>
      </c>
      <c r="H87" s="65" t="s">
        <v>147</v>
      </c>
      <c r="I87" s="66">
        <v>10</v>
      </c>
      <c r="J87" s="67">
        <v>907407.41</v>
      </c>
      <c r="K87" s="45">
        <f t="shared" si="11"/>
        <v>9074074.0999999996</v>
      </c>
      <c r="L87" s="45">
        <f t="shared" si="12"/>
        <v>725925.92799999996</v>
      </c>
      <c r="M87" s="256">
        <f t="shared" si="13"/>
        <v>9800000.027999999</v>
      </c>
      <c r="N87" s="46"/>
      <c r="O87" s="46"/>
      <c r="P87" s="46"/>
      <c r="Q87" s="10">
        <f t="shared" si="10"/>
        <v>9800000.027999999</v>
      </c>
      <c r="R87" s="46"/>
      <c r="S87" s="45"/>
    </row>
    <row r="88" spans="1:19" s="65" customFormat="1" ht="15.75" hidden="1">
      <c r="A88" s="3" t="s">
        <v>593</v>
      </c>
      <c r="B88" s="41">
        <v>46267</v>
      </c>
      <c r="C88" s="42" t="s">
        <v>146</v>
      </c>
      <c r="D88" s="63">
        <f>B88</f>
        <v>46267</v>
      </c>
      <c r="E88" s="43" t="s">
        <v>111</v>
      </c>
      <c r="F88" s="44" t="s">
        <v>148</v>
      </c>
      <c r="G88" s="64" t="s">
        <v>149</v>
      </c>
      <c r="H88" s="65" t="s">
        <v>113</v>
      </c>
      <c r="I88" s="66">
        <v>4</v>
      </c>
      <c r="J88" s="67">
        <v>430000</v>
      </c>
      <c r="K88" s="45">
        <f t="shared" si="11"/>
        <v>1720000</v>
      </c>
      <c r="L88" s="45">
        <f t="shared" si="12"/>
        <v>137600</v>
      </c>
      <c r="M88" s="256">
        <f>K88+L88</f>
        <v>1857600</v>
      </c>
      <c r="N88" s="46"/>
      <c r="O88" s="46"/>
      <c r="P88" s="46"/>
      <c r="Q88" s="10">
        <f t="shared" si="10"/>
        <v>1857600</v>
      </c>
      <c r="R88" s="46"/>
      <c r="S88" s="45"/>
    </row>
    <row r="89" spans="1:19" s="65" customFormat="1" ht="15.75" hidden="1">
      <c r="A89" s="3" t="s">
        <v>593</v>
      </c>
      <c r="B89" s="41" t="s">
        <v>150</v>
      </c>
      <c r="C89" s="42" t="s">
        <v>151</v>
      </c>
      <c r="D89" s="63" t="s">
        <v>152</v>
      </c>
      <c r="E89" s="43" t="s">
        <v>111</v>
      </c>
      <c r="F89" s="44" t="s">
        <v>148</v>
      </c>
      <c r="G89" s="65" t="s">
        <v>149</v>
      </c>
      <c r="H89" s="65" t="s">
        <v>113</v>
      </c>
      <c r="I89" s="66">
        <v>20</v>
      </c>
      <c r="J89" s="67">
        <v>398148.14</v>
      </c>
      <c r="K89" s="45">
        <f t="shared" si="11"/>
        <v>7962962.8000000007</v>
      </c>
      <c r="L89" s="45">
        <f t="shared" si="12"/>
        <v>637037.02400000009</v>
      </c>
      <c r="M89" s="256">
        <f>K89+L89</f>
        <v>8599999.824000001</v>
      </c>
      <c r="N89" s="46"/>
      <c r="O89" s="46"/>
      <c r="P89" s="46"/>
      <c r="Q89" s="10">
        <f t="shared" si="10"/>
        <v>8599999.824000001</v>
      </c>
      <c r="R89" s="46"/>
      <c r="S89" s="45"/>
    </row>
    <row r="90" spans="1:19" s="43" customFormat="1" ht="21.75" hidden="1" customHeight="1">
      <c r="A90" s="3" t="s">
        <v>593</v>
      </c>
      <c r="B90" s="41">
        <v>46056</v>
      </c>
      <c r="C90" s="62" t="s">
        <v>153</v>
      </c>
      <c r="D90" s="41">
        <v>46084</v>
      </c>
      <c r="E90" s="43" t="s">
        <v>111</v>
      </c>
      <c r="F90" s="44" t="s">
        <v>40</v>
      </c>
      <c r="G90" s="64" t="s">
        <v>41</v>
      </c>
      <c r="H90" s="43" t="s">
        <v>113</v>
      </c>
      <c r="I90" s="48">
        <v>12</v>
      </c>
      <c r="J90" s="45">
        <v>907407.41</v>
      </c>
      <c r="K90" s="45">
        <f t="shared" si="11"/>
        <v>10888888.92</v>
      </c>
      <c r="L90" s="45">
        <f t="shared" si="12"/>
        <v>871111.11360000004</v>
      </c>
      <c r="M90" s="256">
        <f t="shared" ref="M90" si="15">K90+L90</f>
        <v>11760000.033600001</v>
      </c>
      <c r="N90" s="46"/>
      <c r="O90" s="46"/>
      <c r="P90" s="46"/>
      <c r="Q90" s="10">
        <f t="shared" si="10"/>
        <v>11760000.033600001</v>
      </c>
      <c r="R90" s="46"/>
      <c r="S90" s="45"/>
    </row>
    <row r="91" spans="1:19" s="53" customFormat="1" ht="15.75" hidden="1">
      <c r="A91" s="3" t="s">
        <v>593</v>
      </c>
      <c r="B91" s="51">
        <v>46087</v>
      </c>
      <c r="C91" s="52"/>
      <c r="D91" s="51"/>
      <c r="E91" s="52" t="s">
        <v>619</v>
      </c>
      <c r="F91" s="60"/>
      <c r="G91" s="60"/>
      <c r="I91" s="61"/>
      <c r="J91" s="54"/>
      <c r="K91" s="60"/>
      <c r="L91" s="60"/>
      <c r="M91" s="55"/>
      <c r="N91" s="55">
        <v>11760000</v>
      </c>
      <c r="O91" s="55"/>
      <c r="P91" s="55"/>
      <c r="Q91" s="10">
        <f t="shared" si="10"/>
        <v>-11760000</v>
      </c>
      <c r="R91" s="56"/>
    </row>
    <row r="92" spans="1:19" s="65" customFormat="1" ht="15.75" hidden="1">
      <c r="A92" s="3" t="s">
        <v>593</v>
      </c>
      <c r="B92" s="41" t="s">
        <v>154</v>
      </c>
      <c r="C92" s="42" t="s">
        <v>139</v>
      </c>
      <c r="D92" s="41" t="s">
        <v>140</v>
      </c>
      <c r="E92" s="43" t="s">
        <v>111</v>
      </c>
      <c r="F92" s="44" t="s">
        <v>148</v>
      </c>
      <c r="G92" s="64" t="s">
        <v>149</v>
      </c>
      <c r="H92" s="65" t="s">
        <v>113</v>
      </c>
      <c r="I92" s="66">
        <v>20</v>
      </c>
      <c r="J92" s="67">
        <v>398148.14</v>
      </c>
      <c r="K92" s="45">
        <f t="shared" ref="K92:K93" si="16">I92*J92</f>
        <v>7962962.8000000007</v>
      </c>
      <c r="L92" s="45">
        <f t="shared" ref="L92:L93" si="17">K92*8%</f>
        <v>637037.02400000009</v>
      </c>
      <c r="M92" s="256">
        <f>K92+L92</f>
        <v>8599999.824000001</v>
      </c>
      <c r="N92" s="46"/>
      <c r="O92" s="46"/>
      <c r="P92" s="46"/>
      <c r="Q92" s="10">
        <f t="shared" si="10"/>
        <v>8599999.824000001</v>
      </c>
      <c r="R92" s="46"/>
      <c r="S92" s="45"/>
    </row>
    <row r="93" spans="1:19" s="65" customFormat="1" ht="15.75" hidden="1">
      <c r="A93" s="3" t="s">
        <v>593</v>
      </c>
      <c r="B93" s="41">
        <v>46146</v>
      </c>
      <c r="C93" s="42" t="s">
        <v>155</v>
      </c>
      <c r="D93" s="41">
        <v>46147</v>
      </c>
      <c r="E93" s="43" t="s">
        <v>111</v>
      </c>
      <c r="F93" s="44" t="s">
        <v>46</v>
      </c>
      <c r="G93" s="64" t="s">
        <v>47</v>
      </c>
      <c r="H93" s="65" t="s">
        <v>113</v>
      </c>
      <c r="I93" s="66">
        <v>16</v>
      </c>
      <c r="J93" s="67">
        <v>212962.96</v>
      </c>
      <c r="K93" s="45">
        <f t="shared" si="16"/>
        <v>3407407.36</v>
      </c>
      <c r="L93" s="45">
        <f t="shared" si="17"/>
        <v>272592.58879999997</v>
      </c>
      <c r="M93" s="256">
        <f>K93+L93</f>
        <v>3679999.9487999999</v>
      </c>
      <c r="N93" s="46"/>
      <c r="O93" s="46"/>
      <c r="P93" s="46"/>
      <c r="Q93" s="10">
        <f t="shared" si="10"/>
        <v>3679999.9487999999</v>
      </c>
      <c r="R93" s="46"/>
      <c r="S93" s="45"/>
    </row>
    <row r="94" spans="1:19" s="53" customFormat="1" ht="15.75" hidden="1">
      <c r="A94" s="3" t="s">
        <v>593</v>
      </c>
      <c r="B94" s="51">
        <v>46134</v>
      </c>
      <c r="C94" s="52"/>
      <c r="D94" s="51"/>
      <c r="E94" s="52" t="s">
        <v>619</v>
      </c>
      <c r="F94" s="60"/>
      <c r="G94" s="60"/>
      <c r="I94" s="61"/>
      <c r="J94" s="54"/>
      <c r="K94" s="60"/>
      <c r="L94" s="60"/>
      <c r="M94" s="55"/>
      <c r="N94" s="55">
        <v>45029200</v>
      </c>
      <c r="O94" s="55"/>
      <c r="P94" s="55"/>
      <c r="Q94" s="10">
        <f t="shared" si="10"/>
        <v>-45029200</v>
      </c>
      <c r="R94" s="56"/>
    </row>
    <row r="95" spans="1:19" s="65" customFormat="1" ht="15.75" hidden="1">
      <c r="A95" s="3" t="s">
        <v>593</v>
      </c>
      <c r="B95" s="63">
        <v>46059</v>
      </c>
      <c r="C95" s="42" t="s">
        <v>156</v>
      </c>
      <c r="D95" s="63">
        <v>46087</v>
      </c>
      <c r="E95" s="65" t="s">
        <v>111</v>
      </c>
      <c r="F95" s="68" t="s">
        <v>157</v>
      </c>
      <c r="G95" s="64" t="s">
        <v>158</v>
      </c>
      <c r="H95" s="65" t="s">
        <v>113</v>
      </c>
      <c r="I95" s="66">
        <v>6</v>
      </c>
      <c r="J95" s="67">
        <v>333333.33</v>
      </c>
      <c r="K95" s="67">
        <f>I95*J95</f>
        <v>1999999.98</v>
      </c>
      <c r="L95" s="67">
        <f>K95*8%</f>
        <v>159999.99840000001</v>
      </c>
      <c r="M95" s="203">
        <f>K95+L95</f>
        <v>2159999.9783999999</v>
      </c>
      <c r="N95" s="46"/>
      <c r="O95" s="46"/>
      <c r="P95" s="46"/>
      <c r="Q95" s="10">
        <f t="shared" si="10"/>
        <v>2159999.9783999999</v>
      </c>
      <c r="R95" s="46"/>
      <c r="S95" s="67"/>
    </row>
    <row r="96" spans="1:19" s="53" customFormat="1" ht="15.75" hidden="1">
      <c r="A96" s="3" t="s">
        <v>593</v>
      </c>
      <c r="B96" s="51">
        <v>46181</v>
      </c>
      <c r="C96" s="52"/>
      <c r="D96" s="51"/>
      <c r="E96" s="52" t="s">
        <v>619</v>
      </c>
      <c r="F96" s="60"/>
      <c r="I96" s="61"/>
      <c r="J96" s="54"/>
      <c r="K96" s="60"/>
      <c r="L96" s="60"/>
      <c r="M96" s="55"/>
      <c r="N96" s="55">
        <v>5840000</v>
      </c>
      <c r="O96" s="55"/>
      <c r="P96" s="55"/>
      <c r="Q96" s="10">
        <f t="shared" si="10"/>
        <v>-5840000</v>
      </c>
      <c r="R96" s="56"/>
    </row>
    <row r="97" spans="1:18" s="65" customFormat="1" ht="15.75" hidden="1">
      <c r="A97" s="3" t="s">
        <v>593</v>
      </c>
      <c r="B97" s="63" t="s">
        <v>159</v>
      </c>
      <c r="C97" s="42" t="s">
        <v>160</v>
      </c>
      <c r="D97" s="63">
        <v>46029</v>
      </c>
      <c r="E97" s="65" t="s">
        <v>111</v>
      </c>
      <c r="F97" s="65" t="s">
        <v>161</v>
      </c>
      <c r="G97" s="64" t="s">
        <v>162</v>
      </c>
      <c r="H97" s="65" t="s">
        <v>113</v>
      </c>
      <c r="I97" s="66">
        <v>1</v>
      </c>
      <c r="J97" s="67">
        <v>231481.48</v>
      </c>
      <c r="K97" s="67">
        <f t="shared" ref="K97:K104" si="18">I97*J97</f>
        <v>231481.48</v>
      </c>
      <c r="L97" s="67">
        <f t="shared" ref="L97:L104" si="19">K97*8%</f>
        <v>18518.518400000001</v>
      </c>
      <c r="M97" s="203">
        <f t="shared" ref="M97:M104" si="20">K97+L97</f>
        <v>249999.99840000001</v>
      </c>
      <c r="N97" s="46"/>
      <c r="O97" s="46"/>
      <c r="P97" s="46"/>
      <c r="Q97" s="10">
        <f t="shared" si="10"/>
        <v>249999.99840000001</v>
      </c>
      <c r="R97" s="46"/>
    </row>
    <row r="98" spans="1:18" s="65" customFormat="1" ht="15.75" hidden="1">
      <c r="A98" s="3" t="s">
        <v>593</v>
      </c>
      <c r="B98" s="63" t="s">
        <v>159</v>
      </c>
      <c r="C98" s="42" t="s">
        <v>160</v>
      </c>
      <c r="D98" s="63">
        <v>46029</v>
      </c>
      <c r="E98" s="65" t="s">
        <v>111</v>
      </c>
      <c r="F98" s="65" t="s">
        <v>163</v>
      </c>
      <c r="G98" s="65" t="s">
        <v>164</v>
      </c>
      <c r="H98" s="65" t="s">
        <v>113</v>
      </c>
      <c r="I98" s="66">
        <v>1</v>
      </c>
      <c r="J98" s="67">
        <v>231481.48</v>
      </c>
      <c r="K98" s="67">
        <f>I98*J98</f>
        <v>231481.48</v>
      </c>
      <c r="L98" s="67">
        <f t="shared" si="19"/>
        <v>18518.518400000001</v>
      </c>
      <c r="M98" s="203">
        <f t="shared" si="20"/>
        <v>249999.99840000001</v>
      </c>
      <c r="N98" s="46"/>
      <c r="O98" s="46"/>
      <c r="P98" s="46"/>
      <c r="Q98" s="10">
        <f t="shared" si="10"/>
        <v>249999.99840000001</v>
      </c>
      <c r="R98" s="46"/>
    </row>
    <row r="99" spans="1:18" s="65" customFormat="1" ht="15.75" hidden="1">
      <c r="A99" s="3" t="s">
        <v>593</v>
      </c>
      <c r="B99" s="63" t="s">
        <v>159</v>
      </c>
      <c r="C99" s="42" t="s">
        <v>160</v>
      </c>
      <c r="D99" s="63">
        <v>46029</v>
      </c>
      <c r="E99" s="65" t="s">
        <v>111</v>
      </c>
      <c r="F99" s="65" t="s">
        <v>165</v>
      </c>
      <c r="G99" s="64" t="s">
        <v>166</v>
      </c>
      <c r="H99" s="65" t="s">
        <v>113</v>
      </c>
      <c r="I99" s="66">
        <v>1</v>
      </c>
      <c r="J99" s="67">
        <v>203703.7</v>
      </c>
      <c r="K99" s="67">
        <f t="shared" si="18"/>
        <v>203703.7</v>
      </c>
      <c r="L99" s="67">
        <f t="shared" si="19"/>
        <v>16296.296000000002</v>
      </c>
      <c r="M99" s="203">
        <f t="shared" si="20"/>
        <v>219999.99600000001</v>
      </c>
      <c r="N99" s="46"/>
      <c r="O99" s="46"/>
      <c r="P99" s="46"/>
      <c r="Q99" s="10">
        <f t="shared" si="10"/>
        <v>219999.99600000001</v>
      </c>
      <c r="R99" s="46"/>
    </row>
    <row r="100" spans="1:18" s="65" customFormat="1" ht="15.75" hidden="1">
      <c r="A100" s="3" t="s">
        <v>593</v>
      </c>
      <c r="B100" s="63" t="s">
        <v>159</v>
      </c>
      <c r="C100" s="42" t="s">
        <v>160</v>
      </c>
      <c r="D100" s="63">
        <v>46029</v>
      </c>
      <c r="E100" s="65" t="s">
        <v>111</v>
      </c>
      <c r="F100" s="65" t="s">
        <v>167</v>
      </c>
      <c r="G100" s="64" t="s">
        <v>168</v>
      </c>
      <c r="H100" s="65" t="s">
        <v>113</v>
      </c>
      <c r="I100" s="66">
        <v>1</v>
      </c>
      <c r="J100" s="67">
        <v>231481.48</v>
      </c>
      <c r="K100" s="67">
        <f t="shared" si="18"/>
        <v>231481.48</v>
      </c>
      <c r="L100" s="67">
        <f t="shared" si="19"/>
        <v>18518.518400000001</v>
      </c>
      <c r="M100" s="203">
        <f t="shared" si="20"/>
        <v>249999.99840000001</v>
      </c>
      <c r="N100" s="46"/>
      <c r="O100" s="46"/>
      <c r="P100" s="46"/>
      <c r="Q100" s="10">
        <f t="shared" si="10"/>
        <v>249999.99840000001</v>
      </c>
      <c r="R100" s="46"/>
    </row>
    <row r="101" spans="1:18" s="65" customFormat="1" ht="15.75" hidden="1">
      <c r="A101" s="3" t="s">
        <v>593</v>
      </c>
      <c r="B101" s="63" t="s">
        <v>159</v>
      </c>
      <c r="C101" s="42" t="s">
        <v>160</v>
      </c>
      <c r="D101" s="63">
        <v>46029</v>
      </c>
      <c r="E101" s="65" t="s">
        <v>111</v>
      </c>
      <c r="F101" s="65" t="s">
        <v>169</v>
      </c>
      <c r="G101" s="64" t="s">
        <v>170</v>
      </c>
      <c r="H101" s="65" t="s">
        <v>113</v>
      </c>
      <c r="I101" s="66">
        <v>1</v>
      </c>
      <c r="J101" s="67">
        <v>425925.93</v>
      </c>
      <c r="K101" s="67">
        <f t="shared" si="18"/>
        <v>425925.93</v>
      </c>
      <c r="L101" s="67">
        <f t="shared" si="19"/>
        <v>34074.074399999998</v>
      </c>
      <c r="M101" s="203">
        <f t="shared" si="20"/>
        <v>460000.00439999998</v>
      </c>
      <c r="N101" s="46"/>
      <c r="O101" s="46"/>
      <c r="P101" s="46"/>
      <c r="Q101" s="10">
        <f t="shared" si="10"/>
        <v>460000.00439999998</v>
      </c>
      <c r="R101" s="46"/>
    </row>
    <row r="102" spans="1:18" s="65" customFormat="1" ht="15.75" hidden="1">
      <c r="A102" s="3" t="s">
        <v>593</v>
      </c>
      <c r="B102" s="63" t="s">
        <v>159</v>
      </c>
      <c r="C102" s="42" t="s">
        <v>160</v>
      </c>
      <c r="D102" s="63">
        <v>46029</v>
      </c>
      <c r="E102" s="65" t="s">
        <v>111</v>
      </c>
      <c r="F102" s="64" t="s">
        <v>171</v>
      </c>
      <c r="G102" s="64" t="s">
        <v>172</v>
      </c>
      <c r="H102" s="65" t="s">
        <v>113</v>
      </c>
      <c r="I102" s="66">
        <v>1</v>
      </c>
      <c r="J102" s="67">
        <v>69444.44</v>
      </c>
      <c r="K102" s="67">
        <f t="shared" si="18"/>
        <v>69444.44</v>
      </c>
      <c r="L102" s="67">
        <f t="shared" si="19"/>
        <v>5555.5552000000007</v>
      </c>
      <c r="M102" s="203">
        <f t="shared" si="20"/>
        <v>74999.995200000005</v>
      </c>
      <c r="N102" s="46"/>
      <c r="O102" s="46"/>
      <c r="P102" s="46"/>
      <c r="Q102" s="10">
        <f t="shared" si="10"/>
        <v>74999.995200000005</v>
      </c>
      <c r="R102" s="46"/>
    </row>
    <row r="103" spans="1:18" s="65" customFormat="1" ht="15.75" hidden="1">
      <c r="A103" s="3" t="s">
        <v>593</v>
      </c>
      <c r="B103" s="63" t="s">
        <v>159</v>
      </c>
      <c r="C103" s="42" t="s">
        <v>160</v>
      </c>
      <c r="D103" s="63">
        <v>46029</v>
      </c>
      <c r="E103" s="65" t="s">
        <v>111</v>
      </c>
      <c r="F103" s="65" t="s">
        <v>173</v>
      </c>
      <c r="G103" s="65" t="s">
        <v>174</v>
      </c>
      <c r="H103" s="65" t="s">
        <v>113</v>
      </c>
      <c r="I103" s="66">
        <v>1</v>
      </c>
      <c r="J103" s="67">
        <v>97222.22</v>
      </c>
      <c r="K103" s="67">
        <f t="shared" si="18"/>
        <v>97222.22</v>
      </c>
      <c r="L103" s="67">
        <f t="shared" si="19"/>
        <v>7777.7776000000003</v>
      </c>
      <c r="M103" s="203">
        <f t="shared" si="20"/>
        <v>104999.9976</v>
      </c>
      <c r="N103" s="46"/>
      <c r="O103" s="46"/>
      <c r="P103" s="46"/>
      <c r="Q103" s="10">
        <f t="shared" si="10"/>
        <v>104999.9976</v>
      </c>
      <c r="R103" s="46"/>
    </row>
    <row r="104" spans="1:18" s="65" customFormat="1" ht="15.75" hidden="1">
      <c r="A104" s="3" t="s">
        <v>593</v>
      </c>
      <c r="B104" s="63" t="s">
        <v>175</v>
      </c>
      <c r="C104" s="42" t="s">
        <v>160</v>
      </c>
      <c r="D104" s="63">
        <v>46029</v>
      </c>
      <c r="E104" s="65" t="s">
        <v>111</v>
      </c>
      <c r="F104" s="64" t="s">
        <v>173</v>
      </c>
      <c r="G104" s="64" t="s">
        <v>174</v>
      </c>
      <c r="H104" s="65" t="s">
        <v>113</v>
      </c>
      <c r="I104" s="66">
        <v>120</v>
      </c>
      <c r="J104" s="67">
        <v>83333.33</v>
      </c>
      <c r="K104" s="67">
        <f t="shared" si="18"/>
        <v>9999999.5999999996</v>
      </c>
      <c r="L104" s="67">
        <f t="shared" si="19"/>
        <v>799999.96799999999</v>
      </c>
      <c r="M104" s="203">
        <f t="shared" si="20"/>
        <v>10799999.568</v>
      </c>
      <c r="N104" s="46"/>
      <c r="O104" s="46"/>
      <c r="P104" s="46"/>
      <c r="Q104" s="10">
        <f t="shared" si="10"/>
        <v>10799999.568</v>
      </c>
      <c r="R104" s="46"/>
    </row>
    <row r="105" spans="1:18" s="53" customFormat="1" ht="15.75" hidden="1">
      <c r="A105" s="3" t="s">
        <v>593</v>
      </c>
      <c r="B105" s="51">
        <v>46209</v>
      </c>
      <c r="C105" s="52"/>
      <c r="D105" s="51"/>
      <c r="E105" s="52" t="s">
        <v>619</v>
      </c>
      <c r="F105" s="60"/>
      <c r="I105" s="61"/>
      <c r="J105" s="54"/>
      <c r="K105" s="60"/>
      <c r="L105" s="60"/>
      <c r="M105" s="55"/>
      <c r="N105" s="55">
        <v>12409998</v>
      </c>
      <c r="O105" s="55"/>
      <c r="P105" s="55"/>
      <c r="Q105" s="10">
        <f t="shared" si="10"/>
        <v>-12409998</v>
      </c>
      <c r="R105" s="56"/>
    </row>
    <row r="106" spans="1:18" s="72" customFormat="1" ht="15.75" hidden="1">
      <c r="A106" s="69" t="s">
        <v>594</v>
      </c>
      <c r="B106" s="70" t="s">
        <v>176</v>
      </c>
      <c r="C106" s="71" t="s">
        <v>177</v>
      </c>
      <c r="D106" s="70" t="s">
        <v>176</v>
      </c>
      <c r="E106" s="43" t="s">
        <v>178</v>
      </c>
      <c r="F106" s="43" t="s">
        <v>80</v>
      </c>
      <c r="G106" s="72" t="s">
        <v>81</v>
      </c>
      <c r="I106" s="43">
        <v>20</v>
      </c>
      <c r="J106" s="73">
        <v>824074.05</v>
      </c>
      <c r="K106" s="45">
        <f t="shared" ref="K106:K120" si="21">J106*I106</f>
        <v>16481481</v>
      </c>
      <c r="L106" s="45">
        <v>1318522</v>
      </c>
      <c r="M106" s="256">
        <f t="shared" ref="M106:M120" si="22">K106+L106</f>
        <v>17800003</v>
      </c>
      <c r="N106" s="43"/>
      <c r="O106" s="43"/>
      <c r="P106" s="43"/>
      <c r="Q106" s="10">
        <f t="shared" si="10"/>
        <v>17800003</v>
      </c>
      <c r="R106" s="43"/>
    </row>
    <row r="107" spans="1:18" s="72" customFormat="1" ht="15.75" hidden="1">
      <c r="A107" s="69" t="s">
        <v>594</v>
      </c>
      <c r="B107" s="70" t="s">
        <v>176</v>
      </c>
      <c r="C107" s="71" t="s">
        <v>177</v>
      </c>
      <c r="D107" s="70" t="s">
        <v>176</v>
      </c>
      <c r="E107" s="43" t="s">
        <v>178</v>
      </c>
      <c r="F107" s="43" t="s">
        <v>21</v>
      </c>
      <c r="G107" s="72" t="s">
        <v>22</v>
      </c>
      <c r="I107" s="43">
        <v>20</v>
      </c>
      <c r="J107" s="73">
        <v>937962.95</v>
      </c>
      <c r="K107" s="45">
        <f t="shared" si="21"/>
        <v>18759259</v>
      </c>
      <c r="L107" s="45">
        <f t="shared" ref="L107:L120" si="23">K107*8%</f>
        <v>1500740.72</v>
      </c>
      <c r="M107" s="256">
        <f t="shared" si="22"/>
        <v>20259999.719999999</v>
      </c>
      <c r="N107" s="43"/>
      <c r="O107" s="43"/>
      <c r="P107" s="43"/>
      <c r="Q107" s="10">
        <f t="shared" si="10"/>
        <v>20259999.719999999</v>
      </c>
      <c r="R107" s="43"/>
    </row>
    <row r="108" spans="1:18" s="72" customFormat="1" ht="13.9" hidden="1" customHeight="1">
      <c r="A108" s="69" t="s">
        <v>594</v>
      </c>
      <c r="B108" s="70" t="s">
        <v>176</v>
      </c>
      <c r="C108" s="71" t="s">
        <v>177</v>
      </c>
      <c r="D108" s="70" t="s">
        <v>176</v>
      </c>
      <c r="E108" s="43" t="s">
        <v>178</v>
      </c>
      <c r="F108" s="43" t="s">
        <v>68</v>
      </c>
      <c r="G108" s="72" t="s">
        <v>69</v>
      </c>
      <c r="I108" s="43">
        <v>60</v>
      </c>
      <c r="J108" s="73">
        <v>111111.11</v>
      </c>
      <c r="K108" s="45">
        <f t="shared" si="21"/>
        <v>6666666.5999999996</v>
      </c>
      <c r="L108" s="45">
        <f t="shared" si="23"/>
        <v>533333.32799999998</v>
      </c>
      <c r="M108" s="256">
        <f t="shared" si="22"/>
        <v>7199999.9279999994</v>
      </c>
      <c r="N108" s="43"/>
      <c r="O108" s="43"/>
      <c r="P108" s="43"/>
      <c r="Q108" s="10">
        <f t="shared" si="10"/>
        <v>7199999.9279999994</v>
      </c>
      <c r="R108" s="43"/>
    </row>
    <row r="109" spans="1:18" s="72" customFormat="1" ht="13.9" hidden="1" customHeight="1">
      <c r="A109" s="69" t="s">
        <v>594</v>
      </c>
      <c r="B109" s="70" t="s">
        <v>176</v>
      </c>
      <c r="C109" s="71" t="s">
        <v>177</v>
      </c>
      <c r="D109" s="70" t="s">
        <v>176</v>
      </c>
      <c r="E109" s="43" t="s">
        <v>178</v>
      </c>
      <c r="F109" s="43" t="s">
        <v>70</v>
      </c>
      <c r="G109" s="72" t="s">
        <v>179</v>
      </c>
      <c r="I109" s="43">
        <v>60</v>
      </c>
      <c r="J109" s="73">
        <v>120370.37</v>
      </c>
      <c r="K109" s="45">
        <f t="shared" si="21"/>
        <v>7222222.1999999993</v>
      </c>
      <c r="L109" s="45">
        <f t="shared" si="23"/>
        <v>577777.77599999995</v>
      </c>
      <c r="M109" s="256">
        <f t="shared" si="22"/>
        <v>7799999.9759999989</v>
      </c>
      <c r="N109" s="43"/>
      <c r="O109" s="43"/>
      <c r="P109" s="43"/>
      <c r="Q109" s="10">
        <f t="shared" si="10"/>
        <v>7799999.9759999989</v>
      </c>
      <c r="R109" s="43"/>
    </row>
    <row r="110" spans="1:18" s="72" customFormat="1" ht="13.9" hidden="1" customHeight="1">
      <c r="A110" s="69" t="s">
        <v>594</v>
      </c>
      <c r="B110" s="70" t="s">
        <v>176</v>
      </c>
      <c r="C110" s="71" t="s">
        <v>177</v>
      </c>
      <c r="D110" s="70" t="s">
        <v>176</v>
      </c>
      <c r="E110" s="43" t="s">
        <v>178</v>
      </c>
      <c r="F110" s="74" t="s">
        <v>72</v>
      </c>
      <c r="G110" s="72" t="s">
        <v>73</v>
      </c>
      <c r="I110" s="43">
        <v>60</v>
      </c>
      <c r="J110" s="73">
        <v>129629.63</v>
      </c>
      <c r="K110" s="45">
        <f t="shared" si="21"/>
        <v>7777777.8000000007</v>
      </c>
      <c r="L110" s="45">
        <f t="shared" si="23"/>
        <v>622222.22400000005</v>
      </c>
      <c r="M110" s="256">
        <f t="shared" si="22"/>
        <v>8400000.0240000002</v>
      </c>
      <c r="N110" s="43"/>
      <c r="O110" s="43"/>
      <c r="P110" s="43"/>
      <c r="Q110" s="10">
        <f t="shared" si="10"/>
        <v>8400000.0240000002</v>
      </c>
      <c r="R110" s="43"/>
    </row>
    <row r="111" spans="1:18" s="72" customFormat="1" ht="15.75" hidden="1">
      <c r="A111" s="69" t="s">
        <v>594</v>
      </c>
      <c r="B111" s="70" t="s">
        <v>176</v>
      </c>
      <c r="C111" s="71" t="s">
        <v>177</v>
      </c>
      <c r="D111" s="70" t="s">
        <v>176</v>
      </c>
      <c r="E111" s="43" t="s">
        <v>178</v>
      </c>
      <c r="F111" s="43" t="s">
        <v>180</v>
      </c>
      <c r="G111" s="72" t="s">
        <v>181</v>
      </c>
      <c r="I111" s="43">
        <v>20</v>
      </c>
      <c r="J111" s="73">
        <v>234259.26</v>
      </c>
      <c r="K111" s="45">
        <f t="shared" si="21"/>
        <v>4685185.2</v>
      </c>
      <c r="L111" s="45">
        <f t="shared" si="23"/>
        <v>374814.81600000005</v>
      </c>
      <c r="M111" s="256">
        <f t="shared" si="22"/>
        <v>5060000.0159999998</v>
      </c>
      <c r="N111" s="43"/>
      <c r="O111" s="43"/>
      <c r="P111" s="43"/>
      <c r="Q111" s="10">
        <f t="shared" si="10"/>
        <v>5060000.0159999998</v>
      </c>
      <c r="R111" s="43"/>
    </row>
    <row r="112" spans="1:18" s="72" customFormat="1" ht="15.75" hidden="1">
      <c r="A112" s="69" t="s">
        <v>594</v>
      </c>
      <c r="B112" s="70" t="s">
        <v>176</v>
      </c>
      <c r="C112" s="71" t="s">
        <v>177</v>
      </c>
      <c r="D112" s="70" t="s">
        <v>176</v>
      </c>
      <c r="E112" s="43" t="s">
        <v>178</v>
      </c>
      <c r="F112" s="43" t="s">
        <v>26</v>
      </c>
      <c r="G112" s="72" t="s">
        <v>182</v>
      </c>
      <c r="I112" s="43">
        <v>20</v>
      </c>
      <c r="J112" s="73">
        <v>256481.48</v>
      </c>
      <c r="K112" s="45">
        <f t="shared" si="21"/>
        <v>5129629.6000000006</v>
      </c>
      <c r="L112" s="45">
        <f t="shared" si="23"/>
        <v>410370.36800000007</v>
      </c>
      <c r="M112" s="256">
        <f t="shared" si="22"/>
        <v>5539999.9680000003</v>
      </c>
      <c r="N112" s="43"/>
      <c r="O112" s="43"/>
      <c r="P112" s="43"/>
      <c r="Q112" s="10">
        <f t="shared" si="10"/>
        <v>5539999.9680000003</v>
      </c>
      <c r="R112" s="43"/>
    </row>
    <row r="113" spans="1:18" s="72" customFormat="1" ht="15.75" hidden="1">
      <c r="A113" s="69" t="s">
        <v>594</v>
      </c>
      <c r="B113" s="70" t="s">
        <v>176</v>
      </c>
      <c r="C113" s="71" t="s">
        <v>177</v>
      </c>
      <c r="D113" s="70" t="s">
        <v>176</v>
      </c>
      <c r="E113" s="43" t="s">
        <v>178</v>
      </c>
      <c r="F113" s="43" t="s">
        <v>28</v>
      </c>
      <c r="G113" s="72" t="s">
        <v>183</v>
      </c>
      <c r="I113" s="43">
        <v>20</v>
      </c>
      <c r="J113" s="73">
        <v>281481.48</v>
      </c>
      <c r="K113" s="45">
        <f t="shared" si="21"/>
        <v>5629629.5999999996</v>
      </c>
      <c r="L113" s="45">
        <f t="shared" si="23"/>
        <v>450370.36799999996</v>
      </c>
      <c r="M113" s="256">
        <f t="shared" si="22"/>
        <v>6079999.9679999994</v>
      </c>
      <c r="N113" s="43"/>
      <c r="O113" s="43"/>
      <c r="P113" s="43"/>
      <c r="Q113" s="10">
        <f t="shared" si="10"/>
        <v>6079999.9679999994</v>
      </c>
      <c r="R113" s="43"/>
    </row>
    <row r="114" spans="1:18" s="72" customFormat="1" ht="15.75" hidden="1">
      <c r="A114" s="69" t="s">
        <v>594</v>
      </c>
      <c r="B114" s="70" t="s">
        <v>176</v>
      </c>
      <c r="C114" s="71" t="s">
        <v>177</v>
      </c>
      <c r="D114" s="70" t="s">
        <v>176</v>
      </c>
      <c r="E114" s="43" t="s">
        <v>178</v>
      </c>
      <c r="F114" s="43" t="s">
        <v>184</v>
      </c>
      <c r="G114" s="72" t="s">
        <v>185</v>
      </c>
      <c r="I114" s="43">
        <v>20</v>
      </c>
      <c r="J114" s="73">
        <v>227777.78</v>
      </c>
      <c r="K114" s="45">
        <f t="shared" si="21"/>
        <v>4555555.5999999996</v>
      </c>
      <c r="L114" s="45">
        <f t="shared" si="23"/>
        <v>364444.44799999997</v>
      </c>
      <c r="M114" s="256">
        <f t="shared" si="22"/>
        <v>4920000.0479999995</v>
      </c>
      <c r="N114" s="43"/>
      <c r="O114" s="43"/>
      <c r="P114" s="43"/>
      <c r="Q114" s="10">
        <f t="shared" si="10"/>
        <v>4920000.0479999995</v>
      </c>
      <c r="R114" s="43"/>
    </row>
    <row r="115" spans="1:18" s="72" customFormat="1" ht="30" hidden="1">
      <c r="A115" s="69" t="s">
        <v>594</v>
      </c>
      <c r="B115" s="70" t="s">
        <v>176</v>
      </c>
      <c r="C115" s="71" t="s">
        <v>177</v>
      </c>
      <c r="D115" s="70" t="s">
        <v>176</v>
      </c>
      <c r="E115" s="43" t="s">
        <v>178</v>
      </c>
      <c r="F115" s="74" t="s">
        <v>30</v>
      </c>
      <c r="G115" s="75" t="s">
        <v>186</v>
      </c>
      <c r="I115" s="43">
        <v>20</v>
      </c>
      <c r="J115" s="73">
        <v>252777.78</v>
      </c>
      <c r="K115" s="45">
        <f t="shared" si="21"/>
        <v>5055555.5999999996</v>
      </c>
      <c r="L115" s="45">
        <f t="shared" si="23"/>
        <v>404444.44799999997</v>
      </c>
      <c r="M115" s="256">
        <f t="shared" si="22"/>
        <v>5460000.0479999995</v>
      </c>
      <c r="N115" s="43"/>
      <c r="O115" s="43"/>
      <c r="P115" s="43"/>
      <c r="Q115" s="10">
        <f t="shared" si="10"/>
        <v>5460000.0479999995</v>
      </c>
      <c r="R115" s="43"/>
    </row>
    <row r="116" spans="1:18" s="72" customFormat="1" ht="15.75" hidden="1">
      <c r="A116" s="69" t="s">
        <v>594</v>
      </c>
      <c r="B116" s="70" t="s">
        <v>176</v>
      </c>
      <c r="C116" s="71" t="s">
        <v>177</v>
      </c>
      <c r="D116" s="70" t="s">
        <v>176</v>
      </c>
      <c r="E116" s="43" t="s">
        <v>178</v>
      </c>
      <c r="F116" s="74" t="s">
        <v>32</v>
      </c>
      <c r="G116" s="72" t="s">
        <v>187</v>
      </c>
      <c r="I116" s="43">
        <v>20</v>
      </c>
      <c r="J116" s="73">
        <v>256481.48</v>
      </c>
      <c r="K116" s="45">
        <f t="shared" si="21"/>
        <v>5129629.6000000006</v>
      </c>
      <c r="L116" s="45">
        <f t="shared" si="23"/>
        <v>410370.36800000007</v>
      </c>
      <c r="M116" s="256">
        <f t="shared" si="22"/>
        <v>5539999.9680000003</v>
      </c>
      <c r="N116" s="43"/>
      <c r="O116" s="43"/>
      <c r="P116" s="43"/>
      <c r="Q116" s="10">
        <f t="shared" si="10"/>
        <v>5539999.9680000003</v>
      </c>
      <c r="R116" s="43"/>
    </row>
    <row r="117" spans="1:18" s="72" customFormat="1" ht="15.75" hidden="1">
      <c r="A117" s="69" t="s">
        <v>594</v>
      </c>
      <c r="B117" s="70" t="s">
        <v>176</v>
      </c>
      <c r="C117" s="71" t="s">
        <v>177</v>
      </c>
      <c r="D117" s="70" t="s">
        <v>176</v>
      </c>
      <c r="E117" s="43" t="s">
        <v>178</v>
      </c>
      <c r="F117" s="43" t="s">
        <v>34</v>
      </c>
      <c r="G117" s="72" t="s">
        <v>188</v>
      </c>
      <c r="I117" s="43">
        <v>20</v>
      </c>
      <c r="J117" s="73">
        <v>227777.78</v>
      </c>
      <c r="K117" s="45">
        <f t="shared" si="21"/>
        <v>4555555.5999999996</v>
      </c>
      <c r="L117" s="45">
        <f t="shared" si="23"/>
        <v>364444.44799999997</v>
      </c>
      <c r="M117" s="256">
        <f t="shared" si="22"/>
        <v>4920000.0479999995</v>
      </c>
      <c r="N117" s="43"/>
      <c r="O117" s="43"/>
      <c r="P117" s="43"/>
      <c r="Q117" s="10">
        <f t="shared" si="10"/>
        <v>4920000.0479999995</v>
      </c>
      <c r="R117" s="43"/>
    </row>
    <row r="118" spans="1:18" s="72" customFormat="1" ht="15.75" hidden="1">
      <c r="A118" s="69" t="s">
        <v>594</v>
      </c>
      <c r="B118" s="70" t="s">
        <v>176</v>
      </c>
      <c r="C118" s="71" t="s">
        <v>177</v>
      </c>
      <c r="D118" s="70" t="s">
        <v>176</v>
      </c>
      <c r="E118" s="43" t="s">
        <v>178</v>
      </c>
      <c r="F118" s="74" t="s">
        <v>36</v>
      </c>
      <c r="G118" s="72" t="s">
        <v>189</v>
      </c>
      <c r="I118" s="43">
        <v>20</v>
      </c>
      <c r="J118" s="73">
        <v>252777.78</v>
      </c>
      <c r="K118" s="45">
        <f t="shared" si="21"/>
        <v>5055555.5999999996</v>
      </c>
      <c r="L118" s="45">
        <f t="shared" si="23"/>
        <v>404444.44799999997</v>
      </c>
      <c r="M118" s="256">
        <f t="shared" si="22"/>
        <v>5460000.0479999995</v>
      </c>
      <c r="N118" s="43"/>
      <c r="O118" s="43"/>
      <c r="P118" s="43"/>
      <c r="Q118" s="10">
        <f t="shared" si="10"/>
        <v>5460000.0479999995</v>
      </c>
      <c r="R118" s="43"/>
    </row>
    <row r="119" spans="1:18" s="72" customFormat="1" ht="15.75" hidden="1">
      <c r="A119" s="69" t="s">
        <v>594</v>
      </c>
      <c r="B119" s="70" t="s">
        <v>176</v>
      </c>
      <c r="C119" s="71" t="s">
        <v>177</v>
      </c>
      <c r="D119" s="70" t="s">
        <v>176</v>
      </c>
      <c r="E119" s="43" t="s">
        <v>178</v>
      </c>
      <c r="F119" s="43" t="s">
        <v>38</v>
      </c>
      <c r="G119" s="72" t="s">
        <v>190</v>
      </c>
      <c r="I119" s="43">
        <v>20</v>
      </c>
      <c r="J119" s="73">
        <v>277777.78000000003</v>
      </c>
      <c r="K119" s="45">
        <f t="shared" si="21"/>
        <v>5555555.6000000006</v>
      </c>
      <c r="L119" s="45">
        <f t="shared" si="23"/>
        <v>444444.44800000003</v>
      </c>
      <c r="M119" s="256">
        <f t="shared" si="22"/>
        <v>6000000.0480000004</v>
      </c>
      <c r="N119" s="43"/>
      <c r="O119" s="43"/>
      <c r="P119" s="43"/>
      <c r="Q119" s="10">
        <f t="shared" si="10"/>
        <v>6000000.0480000004</v>
      </c>
      <c r="R119" s="43"/>
    </row>
    <row r="120" spans="1:18" s="72" customFormat="1" ht="15.75" hidden="1">
      <c r="A120" s="69" t="s">
        <v>594</v>
      </c>
      <c r="B120" s="70" t="s">
        <v>176</v>
      </c>
      <c r="C120" s="71" t="s">
        <v>177</v>
      </c>
      <c r="D120" s="70" t="s">
        <v>176</v>
      </c>
      <c r="E120" s="43" t="s">
        <v>178</v>
      </c>
      <c r="F120" s="74" t="s">
        <v>40</v>
      </c>
      <c r="G120" s="72" t="s">
        <v>41</v>
      </c>
      <c r="I120" s="43">
        <v>20</v>
      </c>
      <c r="J120" s="73">
        <v>844444.44</v>
      </c>
      <c r="K120" s="45">
        <f t="shared" si="21"/>
        <v>16888888.799999997</v>
      </c>
      <c r="L120" s="45">
        <f t="shared" si="23"/>
        <v>1351111.1039999998</v>
      </c>
      <c r="M120" s="256">
        <f t="shared" si="22"/>
        <v>18239999.903999995</v>
      </c>
      <c r="N120" s="43"/>
      <c r="O120" s="43"/>
      <c r="P120" s="43"/>
      <c r="Q120" s="10">
        <f t="shared" si="10"/>
        <v>18239999.903999995</v>
      </c>
      <c r="R120" s="43"/>
    </row>
    <row r="121" spans="1:18" s="72" customFormat="1" ht="15.75" hidden="1">
      <c r="A121" s="69" t="s">
        <v>594</v>
      </c>
      <c r="B121" s="70" t="s">
        <v>176</v>
      </c>
      <c r="C121" s="71" t="s">
        <v>177</v>
      </c>
      <c r="D121" s="70" t="s">
        <v>176</v>
      </c>
      <c r="E121" s="43" t="s">
        <v>178</v>
      </c>
      <c r="F121" s="74" t="s">
        <v>119</v>
      </c>
      <c r="G121" s="72" t="s">
        <v>191</v>
      </c>
      <c r="I121" s="43">
        <v>6</v>
      </c>
      <c r="J121" s="73">
        <v>659259.26</v>
      </c>
      <c r="K121" s="45">
        <v>3955555.56</v>
      </c>
      <c r="L121" s="45">
        <v>316444.44</v>
      </c>
      <c r="M121" s="256">
        <v>4272000</v>
      </c>
      <c r="N121" s="43"/>
      <c r="O121" s="43"/>
      <c r="P121" s="43"/>
      <c r="Q121" s="10">
        <f t="shared" si="10"/>
        <v>4272000</v>
      </c>
      <c r="R121" s="43"/>
    </row>
    <row r="122" spans="1:18" s="72" customFormat="1" ht="15.75" hidden="1">
      <c r="A122" s="69" t="s">
        <v>594</v>
      </c>
      <c r="B122" s="70" t="s">
        <v>176</v>
      </c>
      <c r="C122" s="71" t="s">
        <v>177</v>
      </c>
      <c r="D122" s="70" t="s">
        <v>176</v>
      </c>
      <c r="E122" s="43" t="s">
        <v>178</v>
      </c>
      <c r="F122" s="74" t="s">
        <v>42</v>
      </c>
      <c r="G122" s="72" t="s">
        <v>43</v>
      </c>
      <c r="I122" s="43">
        <v>6</v>
      </c>
      <c r="J122" s="73">
        <v>569444.43999999994</v>
      </c>
      <c r="K122" s="45">
        <f>I122*J122</f>
        <v>3416666.6399999997</v>
      </c>
      <c r="L122" s="45">
        <f t="shared" ref="L122:L129" si="24">K122*8%</f>
        <v>273333.33119999996</v>
      </c>
      <c r="M122" s="256">
        <f t="shared" ref="M122:M129" si="25">K122+L122</f>
        <v>3689999.9711999996</v>
      </c>
      <c r="N122" s="43"/>
      <c r="O122" s="43"/>
      <c r="P122" s="43"/>
      <c r="Q122" s="10">
        <f t="shared" si="10"/>
        <v>3689999.9711999996</v>
      </c>
      <c r="R122" s="43"/>
    </row>
    <row r="123" spans="1:18" s="72" customFormat="1" ht="15.75" hidden="1">
      <c r="A123" s="69" t="s">
        <v>594</v>
      </c>
      <c r="B123" s="70" t="s">
        <v>176</v>
      </c>
      <c r="C123" s="71" t="s">
        <v>177</v>
      </c>
      <c r="D123" s="70" t="s">
        <v>176</v>
      </c>
      <c r="E123" s="43" t="s">
        <v>178</v>
      </c>
      <c r="F123" s="74" t="s">
        <v>44</v>
      </c>
      <c r="G123" s="72" t="s">
        <v>45</v>
      </c>
      <c r="I123" s="43">
        <v>20</v>
      </c>
      <c r="J123" s="73">
        <v>564814.81000000006</v>
      </c>
      <c r="K123" s="45">
        <f>I123*J123</f>
        <v>11296296.200000001</v>
      </c>
      <c r="L123" s="45">
        <f t="shared" si="24"/>
        <v>903703.69600000011</v>
      </c>
      <c r="M123" s="256">
        <f t="shared" si="25"/>
        <v>12199999.896000002</v>
      </c>
      <c r="N123" s="43"/>
      <c r="O123" s="43"/>
      <c r="P123" s="43"/>
      <c r="Q123" s="10">
        <f t="shared" si="10"/>
        <v>12199999.896000002</v>
      </c>
      <c r="R123" s="43"/>
    </row>
    <row r="124" spans="1:18" s="72" customFormat="1" ht="15.75" hidden="1">
      <c r="A124" s="69" t="s">
        <v>594</v>
      </c>
      <c r="B124" s="70" t="s">
        <v>176</v>
      </c>
      <c r="C124" s="71" t="s">
        <v>177</v>
      </c>
      <c r="D124" s="70" t="s">
        <v>176</v>
      </c>
      <c r="E124" s="43" t="s">
        <v>178</v>
      </c>
      <c r="F124" s="74" t="s">
        <v>148</v>
      </c>
      <c r="G124" s="72" t="s">
        <v>149</v>
      </c>
      <c r="I124" s="43">
        <v>20</v>
      </c>
      <c r="J124" s="73">
        <v>358333.33</v>
      </c>
      <c r="K124" s="45">
        <f>I124*J124</f>
        <v>7166666.6000000006</v>
      </c>
      <c r="L124" s="45">
        <f t="shared" si="24"/>
        <v>573333.3280000001</v>
      </c>
      <c r="M124" s="256">
        <f t="shared" si="25"/>
        <v>7739999.9280000003</v>
      </c>
      <c r="N124" s="43"/>
      <c r="O124" s="43"/>
      <c r="P124" s="43"/>
      <c r="Q124" s="10">
        <f t="shared" si="10"/>
        <v>7739999.9280000003</v>
      </c>
      <c r="R124" s="43"/>
    </row>
    <row r="125" spans="1:18" s="72" customFormat="1" ht="15.75" hidden="1">
      <c r="A125" s="69" t="s">
        <v>594</v>
      </c>
      <c r="B125" s="70" t="s">
        <v>176</v>
      </c>
      <c r="C125" s="71" t="s">
        <v>177</v>
      </c>
      <c r="D125" s="70" t="s">
        <v>176</v>
      </c>
      <c r="E125" s="43" t="s">
        <v>178</v>
      </c>
      <c r="F125" s="74" t="s">
        <v>192</v>
      </c>
      <c r="G125" s="72" t="s">
        <v>193</v>
      </c>
      <c r="I125" s="43">
        <v>20</v>
      </c>
      <c r="J125" s="73">
        <v>398148.15</v>
      </c>
      <c r="K125" s="45">
        <f>J125*I125</f>
        <v>7962963</v>
      </c>
      <c r="L125" s="45">
        <f t="shared" si="24"/>
        <v>637037.04</v>
      </c>
      <c r="M125" s="256">
        <f t="shared" si="25"/>
        <v>8600000.0399999991</v>
      </c>
      <c r="N125" s="43"/>
      <c r="O125" s="43"/>
      <c r="P125" s="43"/>
      <c r="Q125" s="10">
        <f t="shared" si="10"/>
        <v>8600000.0399999991</v>
      </c>
      <c r="R125" s="43"/>
    </row>
    <row r="126" spans="1:18" s="72" customFormat="1" ht="15.75" hidden="1">
      <c r="A126" s="69" t="s">
        <v>594</v>
      </c>
      <c r="B126" s="70" t="s">
        <v>176</v>
      </c>
      <c r="C126" s="71" t="s">
        <v>177</v>
      </c>
      <c r="D126" s="70" t="s">
        <v>176</v>
      </c>
      <c r="E126" s="43" t="s">
        <v>178</v>
      </c>
      <c r="F126" s="74" t="s">
        <v>46</v>
      </c>
      <c r="G126" s="72" t="s">
        <v>47</v>
      </c>
      <c r="I126" s="43">
        <v>30</v>
      </c>
      <c r="J126" s="73">
        <v>194444.44</v>
      </c>
      <c r="K126" s="45">
        <f>J126*I126</f>
        <v>5833333.2000000002</v>
      </c>
      <c r="L126" s="45">
        <f t="shared" si="24"/>
        <v>466666.65600000002</v>
      </c>
      <c r="M126" s="256">
        <f t="shared" si="25"/>
        <v>6299999.8560000006</v>
      </c>
      <c r="N126" s="43"/>
      <c r="O126" s="43"/>
      <c r="P126" s="43"/>
      <c r="Q126" s="10">
        <f t="shared" si="10"/>
        <v>6299999.8560000006</v>
      </c>
      <c r="R126" s="43"/>
    </row>
    <row r="127" spans="1:18" s="72" customFormat="1" ht="16.149999999999999" hidden="1" customHeight="1">
      <c r="A127" s="69" t="s">
        <v>594</v>
      </c>
      <c r="B127" s="70" t="s">
        <v>176</v>
      </c>
      <c r="C127" s="71" t="s">
        <v>177</v>
      </c>
      <c r="D127" s="70" t="s">
        <v>176</v>
      </c>
      <c r="E127" s="43" t="s">
        <v>178</v>
      </c>
      <c r="F127" s="74" t="s">
        <v>194</v>
      </c>
      <c r="G127" s="75" t="s">
        <v>195</v>
      </c>
      <c r="I127" s="43">
        <v>10</v>
      </c>
      <c r="J127" s="73">
        <v>1203703.7</v>
      </c>
      <c r="K127" s="45">
        <f>J127*I127</f>
        <v>12037037</v>
      </c>
      <c r="L127" s="45">
        <f t="shared" si="24"/>
        <v>962962.96</v>
      </c>
      <c r="M127" s="256">
        <f t="shared" si="25"/>
        <v>12999999.960000001</v>
      </c>
      <c r="N127" s="43"/>
      <c r="O127" s="43"/>
      <c r="P127" s="43"/>
      <c r="Q127" s="10">
        <f t="shared" si="10"/>
        <v>12999999.960000001</v>
      </c>
      <c r="R127" s="43"/>
    </row>
    <row r="128" spans="1:18" s="72" customFormat="1" ht="15.6" hidden="1" customHeight="1">
      <c r="A128" s="69" t="s">
        <v>594</v>
      </c>
      <c r="B128" s="70" t="s">
        <v>176</v>
      </c>
      <c r="C128" s="71" t="s">
        <v>177</v>
      </c>
      <c r="D128" s="70" t="s">
        <v>176</v>
      </c>
      <c r="E128" s="43" t="s">
        <v>178</v>
      </c>
      <c r="F128" s="74" t="s">
        <v>58</v>
      </c>
      <c r="G128" s="75" t="s">
        <v>196</v>
      </c>
      <c r="I128" s="43">
        <v>10</v>
      </c>
      <c r="J128" s="73">
        <v>1361111.11</v>
      </c>
      <c r="K128" s="45">
        <f>J128*I128</f>
        <v>13611111.100000001</v>
      </c>
      <c r="L128" s="45">
        <f t="shared" si="24"/>
        <v>1088888.888</v>
      </c>
      <c r="M128" s="256">
        <f t="shared" si="25"/>
        <v>14699999.988000002</v>
      </c>
      <c r="N128" s="43"/>
      <c r="O128" s="43"/>
      <c r="P128" s="43"/>
      <c r="Q128" s="10">
        <f t="shared" si="10"/>
        <v>14699999.988000002</v>
      </c>
      <c r="R128" s="43"/>
    </row>
    <row r="129" spans="1:19" s="72" customFormat="1" ht="15.75" hidden="1">
      <c r="A129" s="69" t="s">
        <v>594</v>
      </c>
      <c r="B129" s="70" t="s">
        <v>176</v>
      </c>
      <c r="C129" s="71" t="s">
        <v>177</v>
      </c>
      <c r="D129" s="70" t="s">
        <v>176</v>
      </c>
      <c r="E129" s="43" t="s">
        <v>178</v>
      </c>
      <c r="F129" s="43" t="s">
        <v>77</v>
      </c>
      <c r="G129" s="72" t="s">
        <v>197</v>
      </c>
      <c r="I129" s="43">
        <v>40</v>
      </c>
      <c r="J129" s="73">
        <v>324074</v>
      </c>
      <c r="K129" s="45">
        <f>J129*I129</f>
        <v>12962960</v>
      </c>
      <c r="L129" s="45">
        <f t="shared" si="24"/>
        <v>1037036.8</v>
      </c>
      <c r="M129" s="256">
        <f t="shared" si="25"/>
        <v>13999996.800000001</v>
      </c>
      <c r="N129" s="43"/>
      <c r="O129" s="43"/>
      <c r="P129" s="43"/>
      <c r="Q129" s="10">
        <f t="shared" si="10"/>
        <v>13999996.800000001</v>
      </c>
      <c r="R129" s="43"/>
    </row>
    <row r="130" spans="1:19" s="84" customFormat="1" ht="15.75" hidden="1">
      <c r="A130" s="69" t="s">
        <v>594</v>
      </c>
      <c r="B130" s="76" t="s">
        <v>176</v>
      </c>
      <c r="C130" s="77"/>
      <c r="D130" s="76"/>
      <c r="E130" s="78" t="s">
        <v>198</v>
      </c>
      <c r="F130" s="78"/>
      <c r="G130" s="79"/>
      <c r="I130" s="80"/>
      <c r="J130" s="80"/>
      <c r="K130" s="81"/>
      <c r="L130" s="81"/>
      <c r="M130" s="120"/>
      <c r="N130" s="81"/>
      <c r="O130" s="81">
        <v>500000</v>
      </c>
      <c r="P130" s="81"/>
      <c r="Q130" s="10">
        <f t="shared" si="10"/>
        <v>-500000</v>
      </c>
      <c r="R130" s="78"/>
      <c r="S130" s="84" t="s">
        <v>199</v>
      </c>
    </row>
    <row r="131" spans="1:19" s="72" customFormat="1" ht="15.75" hidden="1">
      <c r="A131" s="69" t="s">
        <v>594</v>
      </c>
      <c r="B131" s="70" t="s">
        <v>19</v>
      </c>
      <c r="C131" s="71" t="s">
        <v>200</v>
      </c>
      <c r="D131" s="70" t="s">
        <v>19</v>
      </c>
      <c r="E131" s="43" t="s">
        <v>178</v>
      </c>
      <c r="F131" s="43" t="s">
        <v>77</v>
      </c>
      <c r="G131" s="72" t="s">
        <v>197</v>
      </c>
      <c r="I131" s="43">
        <v>100</v>
      </c>
      <c r="J131" s="73">
        <v>324074.07</v>
      </c>
      <c r="K131" s="45">
        <f>J131*I131</f>
        <v>32407407</v>
      </c>
      <c r="L131" s="45">
        <f>K131*8%</f>
        <v>2592592.56</v>
      </c>
      <c r="M131" s="256">
        <f>K131+L131</f>
        <v>34999999.560000002</v>
      </c>
      <c r="N131" s="43"/>
      <c r="O131" s="43"/>
      <c r="P131" s="43"/>
      <c r="Q131" s="10">
        <f t="shared" si="10"/>
        <v>34999999.560000002</v>
      </c>
      <c r="R131" s="43"/>
    </row>
    <row r="132" spans="1:19" s="84" customFormat="1" ht="15.75" hidden="1">
      <c r="A132" s="69" t="s">
        <v>594</v>
      </c>
      <c r="B132" s="76" t="s">
        <v>19</v>
      </c>
      <c r="C132" s="77"/>
      <c r="D132" s="76"/>
      <c r="E132" s="78" t="s">
        <v>198</v>
      </c>
      <c r="F132" s="78"/>
      <c r="G132" s="79"/>
      <c r="I132" s="80"/>
      <c r="J132" s="80"/>
      <c r="K132" s="81"/>
      <c r="L132" s="81"/>
      <c r="M132" s="120"/>
      <c r="N132" s="81"/>
      <c r="O132" s="81">
        <v>500000</v>
      </c>
      <c r="P132" s="81"/>
      <c r="Q132" s="10">
        <f t="shared" ref="Q132:Q195" si="26">M132-N132-O132-P132</f>
        <v>-500000</v>
      </c>
      <c r="R132" s="78"/>
      <c r="S132" s="84" t="s">
        <v>199</v>
      </c>
    </row>
    <row r="133" spans="1:19" s="84" customFormat="1" ht="16.899999999999999" hidden="1" customHeight="1">
      <c r="A133" s="69" t="s">
        <v>594</v>
      </c>
      <c r="B133" s="76" t="s">
        <v>19</v>
      </c>
      <c r="C133" s="82" t="s">
        <v>201</v>
      </c>
      <c r="D133" s="76"/>
      <c r="E133" s="83" t="s">
        <v>202</v>
      </c>
      <c r="F133" s="78"/>
      <c r="I133" s="78"/>
      <c r="J133" s="80"/>
      <c r="K133" s="81"/>
      <c r="L133" s="81"/>
      <c r="M133" s="120"/>
      <c r="N133" s="81">
        <v>50000000</v>
      </c>
      <c r="O133" s="81"/>
      <c r="P133" s="81"/>
      <c r="Q133" s="10">
        <f t="shared" si="26"/>
        <v>-50000000</v>
      </c>
      <c r="R133" s="78"/>
    </row>
    <row r="134" spans="1:19" s="72" customFormat="1" ht="19.149999999999999" hidden="1" customHeight="1">
      <c r="A134" s="69" t="s">
        <v>594</v>
      </c>
      <c r="B134" s="70">
        <v>46082</v>
      </c>
      <c r="C134" s="71" t="s">
        <v>203</v>
      </c>
      <c r="D134" s="70">
        <v>46357</v>
      </c>
      <c r="E134" s="43" t="s">
        <v>178</v>
      </c>
      <c r="F134" s="43" t="s">
        <v>204</v>
      </c>
      <c r="G134" s="75" t="s">
        <v>205</v>
      </c>
      <c r="I134" s="43">
        <v>20</v>
      </c>
      <c r="J134" s="73">
        <v>480555.55</v>
      </c>
      <c r="K134" s="45">
        <f>J134*I134</f>
        <v>9611111</v>
      </c>
      <c r="L134" s="45">
        <f>K134*8%</f>
        <v>768888.88</v>
      </c>
      <c r="M134" s="256">
        <f>K134+L134</f>
        <v>10379999.880000001</v>
      </c>
      <c r="N134" s="43"/>
      <c r="O134" s="43"/>
      <c r="P134" s="43"/>
      <c r="Q134" s="10">
        <f t="shared" si="26"/>
        <v>10379999.880000001</v>
      </c>
      <c r="R134" s="43"/>
    </row>
    <row r="135" spans="1:19" s="72" customFormat="1" ht="18.600000000000001" hidden="1" customHeight="1">
      <c r="A135" s="69" t="s">
        <v>594</v>
      </c>
      <c r="B135" s="70">
        <v>46082</v>
      </c>
      <c r="C135" s="71" t="s">
        <v>203</v>
      </c>
      <c r="D135" s="70">
        <v>46357</v>
      </c>
      <c r="E135" s="43" t="s">
        <v>178</v>
      </c>
      <c r="F135" s="43" t="s">
        <v>206</v>
      </c>
      <c r="G135" s="75" t="s">
        <v>207</v>
      </c>
      <c r="I135" s="43">
        <v>20</v>
      </c>
      <c r="J135" s="73">
        <v>483333.33</v>
      </c>
      <c r="K135" s="45">
        <f>J135*I135</f>
        <v>9666666.5999999996</v>
      </c>
      <c r="L135" s="45">
        <f>K135*8%</f>
        <v>773333.32799999998</v>
      </c>
      <c r="M135" s="256">
        <f>K135+L135</f>
        <v>10439999.927999999</v>
      </c>
      <c r="N135" s="43"/>
      <c r="O135" s="43"/>
      <c r="P135" s="43"/>
      <c r="Q135" s="10">
        <f t="shared" si="26"/>
        <v>10439999.927999999</v>
      </c>
      <c r="R135" s="43"/>
    </row>
    <row r="136" spans="1:19" s="72" customFormat="1" ht="15.75" hidden="1">
      <c r="A136" s="69" t="s">
        <v>594</v>
      </c>
      <c r="B136" s="70">
        <v>46082</v>
      </c>
      <c r="C136" s="71" t="s">
        <v>203</v>
      </c>
      <c r="D136" s="70">
        <v>46357</v>
      </c>
      <c r="E136" s="43" t="s">
        <v>178</v>
      </c>
      <c r="F136" s="43" t="s">
        <v>208</v>
      </c>
      <c r="G136" s="72" t="s">
        <v>209</v>
      </c>
      <c r="I136" s="43">
        <v>10</v>
      </c>
      <c r="J136" s="73">
        <v>647222.22</v>
      </c>
      <c r="K136" s="45">
        <f>J136*I136</f>
        <v>6472222.1999999993</v>
      </c>
      <c r="L136" s="45">
        <f>K136*8%</f>
        <v>517777.77599999995</v>
      </c>
      <c r="M136" s="256">
        <f>K136+L136</f>
        <v>6989999.9759999989</v>
      </c>
      <c r="N136" s="43"/>
      <c r="O136" s="43"/>
      <c r="P136" s="43"/>
      <c r="Q136" s="10">
        <f t="shared" si="26"/>
        <v>6989999.9759999989</v>
      </c>
      <c r="R136" s="43"/>
    </row>
    <row r="137" spans="1:19" s="72" customFormat="1" ht="15.75" hidden="1">
      <c r="A137" s="69" t="s">
        <v>594</v>
      </c>
      <c r="B137" s="70">
        <v>46082</v>
      </c>
      <c r="C137" s="71" t="s">
        <v>203</v>
      </c>
      <c r="D137" s="70">
        <v>46357</v>
      </c>
      <c r="E137" s="43" t="s">
        <v>178</v>
      </c>
      <c r="F137" s="43" t="s">
        <v>23</v>
      </c>
      <c r="G137" s="72" t="s">
        <v>24</v>
      </c>
      <c r="I137" s="43">
        <v>10</v>
      </c>
      <c r="J137" s="73">
        <v>1185185.18</v>
      </c>
      <c r="K137" s="45">
        <f>J137*I137</f>
        <v>11851851.799999999</v>
      </c>
      <c r="L137" s="45">
        <f>K137*8%</f>
        <v>948148.14399999997</v>
      </c>
      <c r="M137" s="256">
        <f>K137+L137</f>
        <v>12799999.943999998</v>
      </c>
      <c r="N137" s="43"/>
      <c r="O137" s="43"/>
      <c r="P137" s="43"/>
      <c r="Q137" s="10">
        <f t="shared" si="26"/>
        <v>12799999.943999998</v>
      </c>
      <c r="R137" s="43"/>
    </row>
    <row r="138" spans="1:19" s="72" customFormat="1" ht="15.6" hidden="1" customHeight="1">
      <c r="A138" s="69" t="s">
        <v>594</v>
      </c>
      <c r="B138" s="70">
        <v>46082</v>
      </c>
      <c r="C138" s="71" t="s">
        <v>203</v>
      </c>
      <c r="D138" s="70">
        <v>46357</v>
      </c>
      <c r="E138" s="43" t="s">
        <v>178</v>
      </c>
      <c r="F138" s="43" t="s">
        <v>77</v>
      </c>
      <c r="G138" s="75" t="s">
        <v>210</v>
      </c>
      <c r="I138" s="43">
        <v>100</v>
      </c>
      <c r="J138" s="73">
        <v>324074.07</v>
      </c>
      <c r="K138" s="45">
        <f>J138*I138</f>
        <v>32407407</v>
      </c>
      <c r="L138" s="45">
        <f>K138*8%</f>
        <v>2592592.56</v>
      </c>
      <c r="M138" s="256">
        <f>K138+L138</f>
        <v>34999999.560000002</v>
      </c>
      <c r="N138" s="43"/>
      <c r="O138" s="43"/>
      <c r="P138" s="43"/>
      <c r="Q138" s="10">
        <f t="shared" si="26"/>
        <v>34999999.560000002</v>
      </c>
      <c r="R138" s="43"/>
    </row>
    <row r="139" spans="1:19" s="84" customFormat="1" ht="15.75" hidden="1">
      <c r="A139" s="69" t="s">
        <v>594</v>
      </c>
      <c r="B139" s="76">
        <v>46082</v>
      </c>
      <c r="C139" s="77"/>
      <c r="D139" s="76"/>
      <c r="E139" s="78" t="s">
        <v>198</v>
      </c>
      <c r="F139" s="78"/>
      <c r="G139" s="79"/>
      <c r="I139" s="80"/>
      <c r="J139" s="80"/>
      <c r="K139" s="81"/>
      <c r="L139" s="81"/>
      <c r="M139" s="120"/>
      <c r="N139" s="81"/>
      <c r="O139" s="81">
        <v>500000</v>
      </c>
      <c r="P139" s="81"/>
      <c r="Q139" s="10">
        <f t="shared" si="26"/>
        <v>-500000</v>
      </c>
      <c r="R139" s="78"/>
    </row>
    <row r="140" spans="1:19" s="72" customFormat="1" ht="15.75" hidden="1">
      <c r="A140" s="69" t="s">
        <v>594</v>
      </c>
      <c r="B140" s="70">
        <v>46235</v>
      </c>
      <c r="C140" s="71" t="s">
        <v>211</v>
      </c>
      <c r="D140" s="70">
        <v>46357</v>
      </c>
      <c r="E140" s="43" t="s">
        <v>178</v>
      </c>
      <c r="F140" s="43" t="s">
        <v>23</v>
      </c>
      <c r="G140" s="72" t="s">
        <v>24</v>
      </c>
      <c r="I140" s="43">
        <v>20</v>
      </c>
      <c r="J140" s="73">
        <v>1185185.18</v>
      </c>
      <c r="K140" s="45">
        <f>J140*I140</f>
        <v>23703703.599999998</v>
      </c>
      <c r="L140" s="45">
        <f>K140*8%</f>
        <v>1896296.2879999999</v>
      </c>
      <c r="M140" s="256">
        <f>K140+L140</f>
        <v>25599999.887999997</v>
      </c>
      <c r="N140" s="43"/>
      <c r="O140" s="43"/>
      <c r="P140" s="43"/>
      <c r="Q140" s="10">
        <f t="shared" si="26"/>
        <v>25599999.887999997</v>
      </c>
      <c r="R140" s="43"/>
    </row>
    <row r="141" spans="1:19" s="84" customFormat="1" ht="15.75" hidden="1">
      <c r="A141" s="69" t="s">
        <v>594</v>
      </c>
      <c r="B141" s="76">
        <v>46235</v>
      </c>
      <c r="C141" s="77"/>
      <c r="D141" s="76"/>
      <c r="E141" s="78" t="s">
        <v>198</v>
      </c>
      <c r="F141" s="78"/>
      <c r="G141" s="79"/>
      <c r="I141" s="80"/>
      <c r="J141" s="80"/>
      <c r="K141" s="81"/>
      <c r="L141" s="81"/>
      <c r="M141" s="120"/>
      <c r="N141" s="81"/>
      <c r="O141" s="81">
        <v>500000</v>
      </c>
      <c r="P141" s="81"/>
      <c r="Q141" s="10">
        <f t="shared" si="26"/>
        <v>-500000</v>
      </c>
      <c r="R141" s="78"/>
    </row>
    <row r="142" spans="1:19" s="72" customFormat="1" ht="15.75" hidden="1">
      <c r="A142" s="69" t="s">
        <v>594</v>
      </c>
      <c r="B142" s="70" t="s">
        <v>212</v>
      </c>
      <c r="C142" s="71" t="s">
        <v>213</v>
      </c>
      <c r="D142" s="70">
        <v>46144</v>
      </c>
      <c r="E142" s="43" t="s">
        <v>178</v>
      </c>
      <c r="F142" s="43" t="s">
        <v>40</v>
      </c>
      <c r="G142" s="72" t="s">
        <v>41</v>
      </c>
      <c r="I142" s="43">
        <v>10</v>
      </c>
      <c r="J142" s="73">
        <v>844444.45</v>
      </c>
      <c r="K142" s="45">
        <f>J142*I142</f>
        <v>8444444.5</v>
      </c>
      <c r="L142" s="45">
        <f>K142*8%</f>
        <v>675555.56</v>
      </c>
      <c r="M142" s="256">
        <f>K142+L142</f>
        <v>9120000.0600000005</v>
      </c>
      <c r="N142" s="43"/>
      <c r="O142" s="43"/>
      <c r="P142" s="43"/>
      <c r="Q142" s="10">
        <f t="shared" si="26"/>
        <v>9120000.0600000005</v>
      </c>
      <c r="R142" s="43"/>
    </row>
    <row r="143" spans="1:19" s="72" customFormat="1" ht="15.75" hidden="1">
      <c r="A143" s="69" t="s">
        <v>594</v>
      </c>
      <c r="B143" s="70" t="s">
        <v>212</v>
      </c>
      <c r="C143" s="71" t="s">
        <v>213</v>
      </c>
      <c r="D143" s="70">
        <v>46144</v>
      </c>
      <c r="E143" s="43" t="s">
        <v>178</v>
      </c>
      <c r="F143" s="43" t="s">
        <v>23</v>
      </c>
      <c r="G143" s="72" t="s">
        <v>82</v>
      </c>
      <c r="I143" s="43">
        <v>8</v>
      </c>
      <c r="J143" s="73">
        <v>1185185.18</v>
      </c>
      <c r="K143" s="45">
        <f>J143*I143</f>
        <v>9481481.4399999995</v>
      </c>
      <c r="L143" s="45">
        <f>K143*8%</f>
        <v>758518.51520000002</v>
      </c>
      <c r="M143" s="256">
        <f>K143+L143</f>
        <v>10239999.9552</v>
      </c>
      <c r="N143" s="43"/>
      <c r="O143" s="43"/>
      <c r="P143" s="43"/>
      <c r="Q143" s="10">
        <f t="shared" si="26"/>
        <v>10239999.9552</v>
      </c>
      <c r="R143" s="43"/>
    </row>
    <row r="144" spans="1:19" s="87" customFormat="1" ht="15.75" hidden="1">
      <c r="A144" s="69" t="s">
        <v>594</v>
      </c>
      <c r="B144" s="85" t="s">
        <v>212</v>
      </c>
      <c r="C144" s="86" t="s">
        <v>215</v>
      </c>
      <c r="D144" s="85" t="s">
        <v>214</v>
      </c>
      <c r="E144" s="65" t="s">
        <v>178</v>
      </c>
      <c r="F144" s="65" t="s">
        <v>74</v>
      </c>
      <c r="G144" s="87" t="s">
        <v>141</v>
      </c>
      <c r="I144" s="65">
        <v>64</v>
      </c>
      <c r="J144" s="88">
        <v>361111.11</v>
      </c>
      <c r="K144" s="67">
        <f>J144*I144</f>
        <v>23111111.039999999</v>
      </c>
      <c r="L144" s="67">
        <f>K144*8%</f>
        <v>1848888.8832</v>
      </c>
      <c r="M144" s="203">
        <f>K144+L144</f>
        <v>24959999.9232</v>
      </c>
      <c r="N144" s="65"/>
      <c r="O144" s="65"/>
      <c r="P144" s="65"/>
      <c r="Q144" s="10">
        <f t="shared" si="26"/>
        <v>24959999.9232</v>
      </c>
      <c r="R144" s="65"/>
    </row>
    <row r="145" spans="1:18" s="84" customFormat="1" ht="15.75" hidden="1">
      <c r="A145" s="69" t="s">
        <v>594</v>
      </c>
      <c r="B145" s="76" t="s">
        <v>212</v>
      </c>
      <c r="C145" s="77"/>
      <c r="D145" s="76"/>
      <c r="E145" s="78" t="s">
        <v>198</v>
      </c>
      <c r="F145" s="78"/>
      <c r="G145" s="79"/>
      <c r="I145" s="80"/>
      <c r="J145" s="80"/>
      <c r="K145" s="81"/>
      <c r="L145" s="81"/>
      <c r="M145" s="120"/>
      <c r="N145" s="81"/>
      <c r="O145" s="81">
        <v>500000</v>
      </c>
      <c r="P145" s="81"/>
      <c r="Q145" s="10">
        <f t="shared" si="26"/>
        <v>-500000</v>
      </c>
      <c r="R145" s="78"/>
    </row>
    <row r="146" spans="1:18" s="84" customFormat="1" ht="15.75" hidden="1">
      <c r="A146" s="69" t="s">
        <v>594</v>
      </c>
      <c r="B146" s="76">
        <v>46328</v>
      </c>
      <c r="C146" s="82" t="s">
        <v>216</v>
      </c>
      <c r="D146" s="76"/>
      <c r="E146" s="78" t="s">
        <v>202</v>
      </c>
      <c r="F146" s="78"/>
      <c r="I146" s="78"/>
      <c r="J146" s="80"/>
      <c r="K146" s="81"/>
      <c r="L146" s="81"/>
      <c r="M146" s="120"/>
      <c r="N146" s="81">
        <v>300000000</v>
      </c>
      <c r="O146" s="81"/>
      <c r="P146" s="81"/>
      <c r="Q146" s="10">
        <f t="shared" si="26"/>
        <v>-300000000</v>
      </c>
      <c r="R146" s="78"/>
    </row>
    <row r="147" spans="1:18" s="87" customFormat="1" ht="19.149999999999999" hidden="1" customHeight="1">
      <c r="A147" s="69" t="s">
        <v>594</v>
      </c>
      <c r="B147" s="85">
        <v>46298</v>
      </c>
      <c r="C147" s="58" t="s">
        <v>595</v>
      </c>
      <c r="D147" s="85">
        <v>46298</v>
      </c>
      <c r="E147" s="65" t="s">
        <v>178</v>
      </c>
      <c r="F147" s="43" t="s">
        <v>77</v>
      </c>
      <c r="G147" s="75" t="s">
        <v>210</v>
      </c>
      <c r="I147" s="43">
        <v>40</v>
      </c>
      <c r="J147" s="73">
        <v>324074.07</v>
      </c>
      <c r="K147" s="67">
        <f>J147*I147</f>
        <v>12962962.800000001</v>
      </c>
      <c r="L147" s="67">
        <f>K147*8%</f>
        <v>1037037.0240000001</v>
      </c>
      <c r="M147" s="203">
        <f>K147+L147</f>
        <v>13999999.824000001</v>
      </c>
      <c r="N147" s="67"/>
      <c r="O147" s="67"/>
      <c r="P147" s="67"/>
      <c r="Q147" s="10">
        <f t="shared" si="26"/>
        <v>13999999.824000001</v>
      </c>
      <c r="R147" s="65"/>
    </row>
    <row r="148" spans="1:18" s="84" customFormat="1" ht="15.75" hidden="1">
      <c r="A148" s="69" t="s">
        <v>594</v>
      </c>
      <c r="B148" s="76">
        <v>46298</v>
      </c>
      <c r="C148" s="77"/>
      <c r="D148" s="76"/>
      <c r="E148" s="78" t="s">
        <v>198</v>
      </c>
      <c r="F148" s="78"/>
      <c r="G148" s="79"/>
      <c r="I148" s="80"/>
      <c r="J148" s="80"/>
      <c r="K148" s="81"/>
      <c r="L148" s="81"/>
      <c r="M148" s="120"/>
      <c r="N148" s="81"/>
      <c r="O148" s="81">
        <v>500000</v>
      </c>
      <c r="P148" s="81"/>
      <c r="Q148" s="10">
        <f t="shared" si="26"/>
        <v>-500000</v>
      </c>
      <c r="R148" s="78"/>
    </row>
    <row r="149" spans="1:18" s="87" customFormat="1" ht="17.45" hidden="1" customHeight="1">
      <c r="A149" s="69" t="s">
        <v>594</v>
      </c>
      <c r="B149" s="85" t="s">
        <v>217</v>
      </c>
      <c r="C149" s="58" t="s">
        <v>595</v>
      </c>
      <c r="D149" s="85">
        <v>46298</v>
      </c>
      <c r="E149" s="65" t="s">
        <v>178</v>
      </c>
      <c r="F149" s="65" t="s">
        <v>56</v>
      </c>
      <c r="G149" s="89" t="s">
        <v>218</v>
      </c>
      <c r="I149" s="65">
        <v>36</v>
      </c>
      <c r="J149" s="88">
        <v>325925.93</v>
      </c>
      <c r="K149" s="67">
        <f t="shared" ref="K149:K164" si="27">J149*I149</f>
        <v>11733333.48</v>
      </c>
      <c r="L149" s="67">
        <f t="shared" ref="L149:L164" si="28">K149*8%</f>
        <v>938666.67840000009</v>
      </c>
      <c r="M149" s="203">
        <f t="shared" ref="M149:M164" si="29">K149+L149</f>
        <v>12672000.158400001</v>
      </c>
      <c r="N149" s="67"/>
      <c r="O149" s="67"/>
      <c r="P149" s="67"/>
      <c r="Q149" s="10">
        <f t="shared" si="26"/>
        <v>12672000.158400001</v>
      </c>
      <c r="R149" s="65"/>
    </row>
    <row r="150" spans="1:18" s="87" customFormat="1" ht="15.75" hidden="1">
      <c r="A150" s="69" t="s">
        <v>594</v>
      </c>
      <c r="B150" s="85" t="s">
        <v>217</v>
      </c>
      <c r="C150" s="58" t="s">
        <v>595</v>
      </c>
      <c r="D150" s="85">
        <v>46298</v>
      </c>
      <c r="E150" s="65" t="s">
        <v>178</v>
      </c>
      <c r="F150" s="65" t="s">
        <v>219</v>
      </c>
      <c r="G150" s="87" t="s">
        <v>220</v>
      </c>
      <c r="I150" s="65">
        <v>36</v>
      </c>
      <c r="J150" s="88">
        <v>263888.89</v>
      </c>
      <c r="K150" s="67">
        <f t="shared" si="27"/>
        <v>9500000.040000001</v>
      </c>
      <c r="L150" s="67">
        <f t="shared" si="28"/>
        <v>760000.00320000004</v>
      </c>
      <c r="M150" s="203">
        <f t="shared" si="29"/>
        <v>10260000.043200001</v>
      </c>
      <c r="N150" s="67"/>
      <c r="O150" s="67"/>
      <c r="P150" s="67"/>
      <c r="Q150" s="10">
        <f t="shared" si="26"/>
        <v>10260000.043200001</v>
      </c>
      <c r="R150" s="65"/>
    </row>
    <row r="151" spans="1:18" s="87" customFormat="1" ht="17.45" hidden="1" customHeight="1">
      <c r="A151" s="69" t="s">
        <v>594</v>
      </c>
      <c r="B151" s="85" t="s">
        <v>217</v>
      </c>
      <c r="C151" s="86" t="s">
        <v>222</v>
      </c>
      <c r="D151" s="85" t="s">
        <v>221</v>
      </c>
      <c r="E151" s="65" t="s">
        <v>178</v>
      </c>
      <c r="F151" s="65" t="s">
        <v>77</v>
      </c>
      <c r="G151" s="89" t="s">
        <v>210</v>
      </c>
      <c r="I151" s="65">
        <v>40</v>
      </c>
      <c r="J151" s="88">
        <v>324074.07</v>
      </c>
      <c r="K151" s="67">
        <f t="shared" si="27"/>
        <v>12962962.800000001</v>
      </c>
      <c r="L151" s="67">
        <f t="shared" si="28"/>
        <v>1037037.0240000001</v>
      </c>
      <c r="M151" s="203">
        <f t="shared" si="29"/>
        <v>13999999.824000001</v>
      </c>
      <c r="N151" s="67"/>
      <c r="O151" s="67"/>
      <c r="P151" s="67"/>
      <c r="Q151" s="10">
        <f t="shared" si="26"/>
        <v>13999999.824000001</v>
      </c>
      <c r="R151" s="65"/>
    </row>
    <row r="152" spans="1:18" s="87" customFormat="1" ht="45" hidden="1">
      <c r="A152" s="69" t="s">
        <v>594</v>
      </c>
      <c r="B152" s="85" t="s">
        <v>217</v>
      </c>
      <c r="C152" s="86" t="s">
        <v>222</v>
      </c>
      <c r="D152" s="85" t="s">
        <v>221</v>
      </c>
      <c r="E152" s="65" t="s">
        <v>178</v>
      </c>
      <c r="F152" s="65" t="s">
        <v>60</v>
      </c>
      <c r="G152" s="89" t="s">
        <v>223</v>
      </c>
      <c r="I152" s="65">
        <v>4</v>
      </c>
      <c r="J152" s="88">
        <v>1138888.8899999999</v>
      </c>
      <c r="K152" s="67">
        <f t="shared" si="27"/>
        <v>4555555.5599999996</v>
      </c>
      <c r="L152" s="67">
        <f t="shared" si="28"/>
        <v>364444.4448</v>
      </c>
      <c r="M152" s="203">
        <f t="shared" si="29"/>
        <v>4920000.0047999993</v>
      </c>
      <c r="N152" s="67"/>
      <c r="O152" s="67"/>
      <c r="P152" s="67"/>
      <c r="Q152" s="10">
        <f t="shared" si="26"/>
        <v>4920000.0047999993</v>
      </c>
      <c r="R152" s="65"/>
    </row>
    <row r="153" spans="1:18" s="87" customFormat="1" ht="45" hidden="1">
      <c r="A153" s="69" t="s">
        <v>594</v>
      </c>
      <c r="B153" s="85" t="s">
        <v>217</v>
      </c>
      <c r="C153" s="86" t="s">
        <v>222</v>
      </c>
      <c r="D153" s="85" t="s">
        <v>221</v>
      </c>
      <c r="E153" s="65" t="s">
        <v>178</v>
      </c>
      <c r="F153" s="65" t="s">
        <v>16</v>
      </c>
      <c r="G153" s="89" t="s">
        <v>224</v>
      </c>
      <c r="I153" s="65">
        <v>8</v>
      </c>
      <c r="J153" s="88">
        <v>851851.85</v>
      </c>
      <c r="K153" s="67">
        <f t="shared" si="27"/>
        <v>6814814.7999999998</v>
      </c>
      <c r="L153" s="67">
        <f t="shared" si="28"/>
        <v>545185.18400000001</v>
      </c>
      <c r="M153" s="203">
        <f t="shared" si="29"/>
        <v>7359999.9840000002</v>
      </c>
      <c r="N153" s="67"/>
      <c r="O153" s="67"/>
      <c r="P153" s="67"/>
      <c r="Q153" s="10">
        <f t="shared" si="26"/>
        <v>7359999.9840000002</v>
      </c>
      <c r="R153" s="65"/>
    </row>
    <row r="154" spans="1:18" s="87" customFormat="1" ht="15.75" hidden="1">
      <c r="A154" s="69" t="s">
        <v>594</v>
      </c>
      <c r="B154" s="85" t="s">
        <v>217</v>
      </c>
      <c r="C154" s="86" t="s">
        <v>222</v>
      </c>
      <c r="D154" s="85" t="s">
        <v>221</v>
      </c>
      <c r="E154" s="65" t="s">
        <v>178</v>
      </c>
      <c r="F154" s="65" t="s">
        <v>34</v>
      </c>
      <c r="G154" s="87" t="s">
        <v>188</v>
      </c>
      <c r="I154" s="65">
        <v>30</v>
      </c>
      <c r="J154" s="88">
        <v>240740.74</v>
      </c>
      <c r="K154" s="67">
        <f t="shared" si="27"/>
        <v>7222222.1999999993</v>
      </c>
      <c r="L154" s="67">
        <f t="shared" si="28"/>
        <v>577777.77599999995</v>
      </c>
      <c r="M154" s="203">
        <f t="shared" si="29"/>
        <v>7799999.9759999989</v>
      </c>
      <c r="N154" s="67"/>
      <c r="O154" s="67"/>
      <c r="P154" s="67"/>
      <c r="Q154" s="10">
        <f t="shared" si="26"/>
        <v>7799999.9759999989</v>
      </c>
      <c r="R154" s="65"/>
    </row>
    <row r="155" spans="1:18" s="87" customFormat="1" ht="15.75" hidden="1">
      <c r="A155" s="69" t="s">
        <v>594</v>
      </c>
      <c r="B155" s="85" t="s">
        <v>217</v>
      </c>
      <c r="C155" s="86" t="s">
        <v>222</v>
      </c>
      <c r="D155" s="85" t="s">
        <v>221</v>
      </c>
      <c r="E155" s="65" t="s">
        <v>178</v>
      </c>
      <c r="F155" s="64" t="s">
        <v>36</v>
      </c>
      <c r="G155" s="87" t="s">
        <v>189</v>
      </c>
      <c r="I155" s="65">
        <v>30</v>
      </c>
      <c r="J155" s="88">
        <v>259259.26</v>
      </c>
      <c r="K155" s="67">
        <f t="shared" si="27"/>
        <v>7777777.8000000007</v>
      </c>
      <c r="L155" s="67">
        <f t="shared" si="28"/>
        <v>622222.22400000005</v>
      </c>
      <c r="M155" s="203">
        <f t="shared" si="29"/>
        <v>8400000.0240000002</v>
      </c>
      <c r="N155" s="67"/>
      <c r="O155" s="67"/>
      <c r="P155" s="67"/>
      <c r="Q155" s="10">
        <f t="shared" si="26"/>
        <v>8400000.0240000002</v>
      </c>
      <c r="R155" s="65"/>
    </row>
    <row r="156" spans="1:18" s="87" customFormat="1" ht="15.75" hidden="1">
      <c r="A156" s="69" t="s">
        <v>594</v>
      </c>
      <c r="B156" s="85" t="s">
        <v>217</v>
      </c>
      <c r="C156" s="86" t="s">
        <v>222</v>
      </c>
      <c r="D156" s="85" t="s">
        <v>221</v>
      </c>
      <c r="E156" s="65" t="s">
        <v>178</v>
      </c>
      <c r="F156" s="65" t="s">
        <v>38</v>
      </c>
      <c r="G156" s="87" t="s">
        <v>190</v>
      </c>
      <c r="I156" s="65">
        <v>30</v>
      </c>
      <c r="J156" s="88">
        <v>277777.78000000003</v>
      </c>
      <c r="K156" s="67">
        <f t="shared" si="27"/>
        <v>8333333.4000000004</v>
      </c>
      <c r="L156" s="67">
        <f t="shared" si="28"/>
        <v>666666.67200000002</v>
      </c>
      <c r="M156" s="203">
        <f t="shared" si="29"/>
        <v>9000000.0720000006</v>
      </c>
      <c r="N156" s="67"/>
      <c r="O156" s="67"/>
      <c r="P156" s="67"/>
      <c r="Q156" s="10">
        <f t="shared" si="26"/>
        <v>9000000.0720000006</v>
      </c>
      <c r="R156" s="65"/>
    </row>
    <row r="157" spans="1:18" s="87" customFormat="1" ht="45" hidden="1">
      <c r="A157" s="69" t="s">
        <v>594</v>
      </c>
      <c r="B157" s="85" t="s">
        <v>217</v>
      </c>
      <c r="C157" s="86" t="s">
        <v>222</v>
      </c>
      <c r="D157" s="85" t="s">
        <v>221</v>
      </c>
      <c r="E157" s="65" t="s">
        <v>178</v>
      </c>
      <c r="F157" s="64" t="s">
        <v>48</v>
      </c>
      <c r="G157" s="89" t="s">
        <v>225</v>
      </c>
      <c r="I157" s="65">
        <v>6</v>
      </c>
      <c r="J157" s="88">
        <v>601851.85</v>
      </c>
      <c r="K157" s="67">
        <f t="shared" si="27"/>
        <v>3611111.0999999996</v>
      </c>
      <c r="L157" s="67">
        <f t="shared" si="28"/>
        <v>288888.88799999998</v>
      </c>
      <c r="M157" s="203">
        <f t="shared" si="29"/>
        <v>3899999.9879999994</v>
      </c>
      <c r="N157" s="67"/>
      <c r="O157" s="67"/>
      <c r="P157" s="67"/>
      <c r="Q157" s="10">
        <f t="shared" si="26"/>
        <v>3899999.9879999994</v>
      </c>
      <c r="R157" s="65"/>
    </row>
    <row r="158" spans="1:18" s="87" customFormat="1" ht="15.75" hidden="1">
      <c r="A158" s="69" t="s">
        <v>594</v>
      </c>
      <c r="B158" s="85" t="s">
        <v>217</v>
      </c>
      <c r="C158" s="86" t="s">
        <v>222</v>
      </c>
      <c r="D158" s="85" t="s">
        <v>221</v>
      </c>
      <c r="E158" s="65" t="s">
        <v>178</v>
      </c>
      <c r="F158" s="64" t="s">
        <v>50</v>
      </c>
      <c r="G158" s="89" t="s">
        <v>51</v>
      </c>
      <c r="I158" s="65">
        <v>6</v>
      </c>
      <c r="J158" s="88">
        <v>937962.96</v>
      </c>
      <c r="K158" s="67">
        <f t="shared" si="27"/>
        <v>5627777.7599999998</v>
      </c>
      <c r="L158" s="67">
        <f t="shared" si="28"/>
        <v>450222.22080000001</v>
      </c>
      <c r="M158" s="203">
        <f t="shared" si="29"/>
        <v>6077999.9808</v>
      </c>
      <c r="N158" s="67"/>
      <c r="O158" s="67"/>
      <c r="P158" s="67"/>
      <c r="Q158" s="10">
        <f t="shared" si="26"/>
        <v>6077999.9808</v>
      </c>
      <c r="R158" s="65"/>
    </row>
    <row r="159" spans="1:18" s="87" customFormat="1" ht="15.75" hidden="1">
      <c r="A159" s="69" t="s">
        <v>594</v>
      </c>
      <c r="B159" s="85" t="s">
        <v>217</v>
      </c>
      <c r="C159" s="86" t="s">
        <v>222</v>
      </c>
      <c r="D159" s="85" t="s">
        <v>221</v>
      </c>
      <c r="E159" s="65" t="s">
        <v>178</v>
      </c>
      <c r="F159" s="65" t="s">
        <v>226</v>
      </c>
      <c r="G159" s="87" t="s">
        <v>227</v>
      </c>
      <c r="I159" s="65">
        <v>6</v>
      </c>
      <c r="J159" s="88">
        <v>799074.07</v>
      </c>
      <c r="K159" s="67">
        <f t="shared" si="27"/>
        <v>4794444.42</v>
      </c>
      <c r="L159" s="67">
        <f t="shared" si="28"/>
        <v>383555.55359999998</v>
      </c>
      <c r="M159" s="203">
        <f t="shared" si="29"/>
        <v>5177999.9736000001</v>
      </c>
      <c r="N159" s="67"/>
      <c r="O159" s="67"/>
      <c r="P159" s="67"/>
      <c r="Q159" s="10">
        <f t="shared" si="26"/>
        <v>5177999.9736000001</v>
      </c>
      <c r="R159" s="65"/>
    </row>
    <row r="160" spans="1:18" s="87" customFormat="1" ht="15.75" hidden="1">
      <c r="A160" s="69" t="s">
        <v>594</v>
      </c>
      <c r="B160" s="85" t="s">
        <v>217</v>
      </c>
      <c r="C160" s="86" t="s">
        <v>222</v>
      </c>
      <c r="D160" s="85" t="s">
        <v>221</v>
      </c>
      <c r="E160" s="65" t="s">
        <v>178</v>
      </c>
      <c r="F160" s="64" t="s">
        <v>52</v>
      </c>
      <c r="G160" s="87" t="s">
        <v>228</v>
      </c>
      <c r="I160" s="65">
        <v>6</v>
      </c>
      <c r="J160" s="88">
        <v>1007407.41</v>
      </c>
      <c r="K160" s="67">
        <f t="shared" si="27"/>
        <v>6044444.46</v>
      </c>
      <c r="L160" s="67">
        <f t="shared" si="28"/>
        <v>483555.55680000002</v>
      </c>
      <c r="M160" s="203">
        <f t="shared" si="29"/>
        <v>6528000.0168000003</v>
      </c>
      <c r="N160" s="67"/>
      <c r="O160" s="67"/>
      <c r="P160" s="67"/>
      <c r="Q160" s="10">
        <f t="shared" si="26"/>
        <v>6528000.0168000003</v>
      </c>
      <c r="R160" s="65"/>
    </row>
    <row r="161" spans="1:18" s="87" customFormat="1" ht="15.75" hidden="1">
      <c r="A161" s="69" t="s">
        <v>594</v>
      </c>
      <c r="B161" s="85" t="s">
        <v>217</v>
      </c>
      <c r="C161" s="86" t="s">
        <v>222</v>
      </c>
      <c r="D161" s="85" t="s">
        <v>221</v>
      </c>
      <c r="E161" s="65" t="s">
        <v>178</v>
      </c>
      <c r="F161" s="65" t="s">
        <v>54</v>
      </c>
      <c r="G161" s="87" t="s">
        <v>229</v>
      </c>
      <c r="I161" s="65">
        <v>12</v>
      </c>
      <c r="J161" s="88">
        <v>324074.07</v>
      </c>
      <c r="K161" s="67">
        <f t="shared" si="27"/>
        <v>3888888.84</v>
      </c>
      <c r="L161" s="67">
        <f t="shared" si="28"/>
        <v>311111.10719999997</v>
      </c>
      <c r="M161" s="203">
        <f t="shared" si="29"/>
        <v>4199999.9472000003</v>
      </c>
      <c r="N161" s="67"/>
      <c r="O161" s="67"/>
      <c r="P161" s="67"/>
      <c r="Q161" s="10">
        <f t="shared" si="26"/>
        <v>4199999.9472000003</v>
      </c>
      <c r="R161" s="65"/>
    </row>
    <row r="162" spans="1:18" s="87" customFormat="1" ht="15.75" hidden="1">
      <c r="A162" s="69" t="s">
        <v>594</v>
      </c>
      <c r="B162" s="85" t="s">
        <v>217</v>
      </c>
      <c r="C162" s="86" t="s">
        <v>222</v>
      </c>
      <c r="D162" s="85" t="s">
        <v>221</v>
      </c>
      <c r="E162" s="65" t="s">
        <v>178</v>
      </c>
      <c r="F162" s="65" t="s">
        <v>107</v>
      </c>
      <c r="G162" s="87" t="s">
        <v>108</v>
      </c>
      <c r="I162" s="65">
        <v>12</v>
      </c>
      <c r="J162" s="88">
        <v>349074.07</v>
      </c>
      <c r="K162" s="67">
        <f t="shared" si="27"/>
        <v>4188888.84</v>
      </c>
      <c r="L162" s="67">
        <f t="shared" si="28"/>
        <v>335111.10719999997</v>
      </c>
      <c r="M162" s="203">
        <f t="shared" si="29"/>
        <v>4523999.9472000003</v>
      </c>
      <c r="N162" s="67"/>
      <c r="O162" s="67"/>
      <c r="P162" s="67"/>
      <c r="Q162" s="10">
        <f t="shared" si="26"/>
        <v>4523999.9472000003</v>
      </c>
      <c r="R162" s="65"/>
    </row>
    <row r="163" spans="1:18" s="87" customFormat="1" ht="15.75" hidden="1">
      <c r="A163" s="69" t="s">
        <v>594</v>
      </c>
      <c r="B163" s="85" t="s">
        <v>217</v>
      </c>
      <c r="C163" s="86" t="s">
        <v>222</v>
      </c>
      <c r="D163" s="85" t="s">
        <v>221</v>
      </c>
      <c r="E163" s="65" t="s">
        <v>178</v>
      </c>
      <c r="F163" s="64" t="s">
        <v>127</v>
      </c>
      <c r="G163" s="89" t="s">
        <v>230</v>
      </c>
      <c r="I163" s="65">
        <v>12</v>
      </c>
      <c r="J163" s="88">
        <v>284259.26</v>
      </c>
      <c r="K163" s="67">
        <f t="shared" si="27"/>
        <v>3411111.12</v>
      </c>
      <c r="L163" s="67">
        <f t="shared" si="28"/>
        <v>272888.88959999999</v>
      </c>
      <c r="M163" s="203">
        <f t="shared" si="29"/>
        <v>3684000.0096</v>
      </c>
      <c r="N163" s="67"/>
      <c r="O163" s="67"/>
      <c r="P163" s="67"/>
      <c r="Q163" s="10">
        <f t="shared" si="26"/>
        <v>3684000.0096</v>
      </c>
      <c r="R163" s="65"/>
    </row>
    <row r="164" spans="1:18" s="87" customFormat="1" ht="15.75" hidden="1">
      <c r="A164" s="69" t="s">
        <v>594</v>
      </c>
      <c r="B164" s="85" t="s">
        <v>217</v>
      </c>
      <c r="C164" s="86" t="s">
        <v>222</v>
      </c>
      <c r="D164" s="85" t="s">
        <v>221</v>
      </c>
      <c r="E164" s="65" t="s">
        <v>178</v>
      </c>
      <c r="F164" s="65" t="s">
        <v>130</v>
      </c>
      <c r="G164" s="87" t="s">
        <v>231</v>
      </c>
      <c r="I164" s="65">
        <v>12</v>
      </c>
      <c r="J164" s="88">
        <v>280555.56</v>
      </c>
      <c r="K164" s="67">
        <f t="shared" si="27"/>
        <v>3366666.7199999997</v>
      </c>
      <c r="L164" s="67">
        <f t="shared" si="28"/>
        <v>269333.33759999997</v>
      </c>
      <c r="M164" s="203">
        <f t="shared" si="29"/>
        <v>3636000.0575999999</v>
      </c>
      <c r="N164" s="67"/>
      <c r="O164" s="67"/>
      <c r="P164" s="67"/>
      <c r="Q164" s="10">
        <f t="shared" si="26"/>
        <v>3636000.0575999999</v>
      </c>
      <c r="R164" s="65"/>
    </row>
    <row r="165" spans="1:18" s="87" customFormat="1" ht="15.75" hidden="1">
      <c r="A165" s="69" t="s">
        <v>594</v>
      </c>
      <c r="B165" s="85" t="s">
        <v>217</v>
      </c>
      <c r="C165" s="86" t="s">
        <v>233</v>
      </c>
      <c r="D165" s="85" t="s">
        <v>232</v>
      </c>
      <c r="E165" s="65" t="s">
        <v>178</v>
      </c>
      <c r="F165" s="65" t="s">
        <v>62</v>
      </c>
      <c r="G165" s="90" t="s">
        <v>234</v>
      </c>
      <c r="I165" s="91">
        <v>24</v>
      </c>
      <c r="J165" s="88"/>
      <c r="K165" s="67"/>
      <c r="L165" s="67"/>
      <c r="M165" s="203"/>
      <c r="N165" s="67"/>
      <c r="O165" s="67"/>
      <c r="P165" s="67"/>
      <c r="Q165" s="10">
        <f t="shared" si="26"/>
        <v>0</v>
      </c>
      <c r="R165" s="65"/>
    </row>
    <row r="166" spans="1:18" s="84" customFormat="1" ht="15.75" hidden="1">
      <c r="A166" s="69" t="s">
        <v>594</v>
      </c>
      <c r="B166" s="76" t="s">
        <v>217</v>
      </c>
      <c r="C166" s="77"/>
      <c r="D166" s="76"/>
      <c r="E166" s="78" t="s">
        <v>198</v>
      </c>
      <c r="F166" s="78"/>
      <c r="G166" s="79"/>
      <c r="I166" s="80"/>
      <c r="J166" s="80"/>
      <c r="K166" s="81"/>
      <c r="L166" s="81"/>
      <c r="M166" s="120"/>
      <c r="N166" s="81"/>
      <c r="O166" s="81">
        <v>500000</v>
      </c>
      <c r="P166" s="81"/>
      <c r="Q166" s="10">
        <f t="shared" si="26"/>
        <v>-500000</v>
      </c>
      <c r="R166" s="78"/>
    </row>
    <row r="167" spans="1:18" s="87" customFormat="1" ht="15.75" hidden="1">
      <c r="A167" s="69" t="s">
        <v>594</v>
      </c>
      <c r="B167" s="85" t="s">
        <v>235</v>
      </c>
      <c r="C167" s="86" t="s">
        <v>236</v>
      </c>
      <c r="D167" s="85" t="s">
        <v>235</v>
      </c>
      <c r="E167" s="65" t="s">
        <v>237</v>
      </c>
      <c r="F167" s="74" t="s">
        <v>46</v>
      </c>
      <c r="G167" s="72" t="s">
        <v>47</v>
      </c>
      <c r="I167" s="92">
        <v>-22</v>
      </c>
      <c r="J167" s="73">
        <v>194444.44</v>
      </c>
      <c r="K167" s="93">
        <f t="shared" ref="K167:K173" si="30">I167*J167</f>
        <v>-4277777.68</v>
      </c>
      <c r="L167" s="93">
        <f t="shared" ref="L167:L173" si="31">K167*8%</f>
        <v>-342222.2144</v>
      </c>
      <c r="M167" s="203">
        <f t="shared" ref="M167:M173" si="32">K167+L167</f>
        <v>-4619999.8943999996</v>
      </c>
      <c r="N167" s="67"/>
      <c r="O167" s="67"/>
      <c r="P167" s="67"/>
      <c r="Q167" s="10">
        <f t="shared" si="26"/>
        <v>-4619999.8943999996</v>
      </c>
      <c r="R167" s="65"/>
    </row>
    <row r="168" spans="1:18" s="87" customFormat="1" ht="15.75" hidden="1">
      <c r="A168" s="69" t="s">
        <v>594</v>
      </c>
      <c r="B168" s="85" t="s">
        <v>235</v>
      </c>
      <c r="C168" s="86" t="s">
        <v>238</v>
      </c>
      <c r="D168" s="85">
        <v>46117</v>
      </c>
      <c r="E168" s="65" t="s">
        <v>178</v>
      </c>
      <c r="F168" s="64" t="s">
        <v>180</v>
      </c>
      <c r="G168" s="87" t="s">
        <v>239</v>
      </c>
      <c r="I168" s="92">
        <v>40</v>
      </c>
      <c r="J168" s="88">
        <v>234259.26</v>
      </c>
      <c r="K168" s="93">
        <f t="shared" si="30"/>
        <v>9370370.4000000004</v>
      </c>
      <c r="L168" s="93">
        <f t="shared" si="31"/>
        <v>749629.6320000001</v>
      </c>
      <c r="M168" s="203">
        <f t="shared" si="32"/>
        <v>10120000.032</v>
      </c>
      <c r="N168" s="67"/>
      <c r="O168" s="67"/>
      <c r="P168" s="67"/>
      <c r="Q168" s="10">
        <f t="shared" si="26"/>
        <v>10120000.032</v>
      </c>
      <c r="R168" s="65"/>
    </row>
    <row r="169" spans="1:18" s="87" customFormat="1" ht="15.75" hidden="1">
      <c r="A169" s="69" t="s">
        <v>594</v>
      </c>
      <c r="B169" s="85" t="s">
        <v>235</v>
      </c>
      <c r="C169" s="86" t="s">
        <v>238</v>
      </c>
      <c r="D169" s="85">
        <v>46117</v>
      </c>
      <c r="E169" s="65" t="s">
        <v>178</v>
      </c>
      <c r="F169" s="64" t="s">
        <v>26</v>
      </c>
      <c r="G169" s="87" t="s">
        <v>182</v>
      </c>
      <c r="I169" s="92">
        <v>40</v>
      </c>
      <c r="J169" s="88">
        <v>256481.48</v>
      </c>
      <c r="K169" s="93">
        <f t="shared" si="30"/>
        <v>10259259.200000001</v>
      </c>
      <c r="L169" s="93">
        <f t="shared" si="31"/>
        <v>820740.73600000015</v>
      </c>
      <c r="M169" s="203">
        <f t="shared" si="32"/>
        <v>11079999.936000001</v>
      </c>
      <c r="N169" s="67"/>
      <c r="O169" s="67"/>
      <c r="P169" s="67"/>
      <c r="Q169" s="10">
        <f t="shared" si="26"/>
        <v>11079999.936000001</v>
      </c>
      <c r="R169" s="65"/>
    </row>
    <row r="170" spans="1:18" s="87" customFormat="1" ht="15.75" hidden="1">
      <c r="A170" s="69" t="s">
        <v>594</v>
      </c>
      <c r="B170" s="85" t="s">
        <v>235</v>
      </c>
      <c r="C170" s="86" t="s">
        <v>238</v>
      </c>
      <c r="D170" s="85">
        <v>46117</v>
      </c>
      <c r="E170" s="65" t="s">
        <v>178</v>
      </c>
      <c r="F170" s="64" t="s">
        <v>28</v>
      </c>
      <c r="G170" s="87" t="s">
        <v>183</v>
      </c>
      <c r="I170" s="92">
        <v>40</v>
      </c>
      <c r="J170" s="88">
        <v>281481.48</v>
      </c>
      <c r="K170" s="93">
        <f t="shared" si="30"/>
        <v>11259259.199999999</v>
      </c>
      <c r="L170" s="93">
        <f t="shared" si="31"/>
        <v>900740.73599999992</v>
      </c>
      <c r="M170" s="203">
        <f t="shared" si="32"/>
        <v>12159999.935999999</v>
      </c>
      <c r="N170" s="67"/>
      <c r="O170" s="67"/>
      <c r="P170" s="67"/>
      <c r="Q170" s="10">
        <f t="shared" si="26"/>
        <v>12159999.935999999</v>
      </c>
      <c r="R170" s="65"/>
    </row>
    <row r="171" spans="1:18" s="87" customFormat="1" ht="45" hidden="1">
      <c r="A171" s="69" t="s">
        <v>594</v>
      </c>
      <c r="B171" s="85" t="s">
        <v>235</v>
      </c>
      <c r="C171" s="86" t="s">
        <v>238</v>
      </c>
      <c r="D171" s="85">
        <v>46117</v>
      </c>
      <c r="E171" s="65" t="s">
        <v>178</v>
      </c>
      <c r="F171" s="65" t="s">
        <v>60</v>
      </c>
      <c r="G171" s="89" t="s">
        <v>223</v>
      </c>
      <c r="I171" s="92">
        <v>16</v>
      </c>
      <c r="J171" s="88">
        <v>1138888.8899999999</v>
      </c>
      <c r="K171" s="93">
        <f t="shared" si="30"/>
        <v>18222222.239999998</v>
      </c>
      <c r="L171" s="93">
        <f t="shared" si="31"/>
        <v>1457777.7792</v>
      </c>
      <c r="M171" s="203">
        <f t="shared" si="32"/>
        <v>19680000.019199997</v>
      </c>
      <c r="N171" s="67"/>
      <c r="O171" s="67"/>
      <c r="P171" s="67"/>
      <c r="Q171" s="10">
        <f t="shared" si="26"/>
        <v>19680000.019199997</v>
      </c>
      <c r="R171" s="65"/>
    </row>
    <row r="172" spans="1:18" s="87" customFormat="1" ht="45" hidden="1">
      <c r="A172" s="69" t="s">
        <v>594</v>
      </c>
      <c r="B172" s="85" t="s">
        <v>235</v>
      </c>
      <c r="C172" s="86" t="s">
        <v>238</v>
      </c>
      <c r="D172" s="85">
        <v>46117</v>
      </c>
      <c r="E172" s="65" t="s">
        <v>178</v>
      </c>
      <c r="F172" s="65" t="s">
        <v>83</v>
      </c>
      <c r="G172" s="89" t="s">
        <v>240</v>
      </c>
      <c r="I172" s="92">
        <v>16</v>
      </c>
      <c r="J172" s="88">
        <v>1097222.22</v>
      </c>
      <c r="K172" s="93">
        <f t="shared" si="30"/>
        <v>17555555.52</v>
      </c>
      <c r="L172" s="93">
        <f t="shared" si="31"/>
        <v>1404444.4416</v>
      </c>
      <c r="M172" s="203">
        <f t="shared" si="32"/>
        <v>18959999.961599998</v>
      </c>
      <c r="N172" s="67"/>
      <c r="O172" s="67"/>
      <c r="P172" s="67"/>
      <c r="Q172" s="10">
        <f t="shared" si="26"/>
        <v>18959999.961599998</v>
      </c>
      <c r="R172" s="65"/>
    </row>
    <row r="173" spans="1:18" s="87" customFormat="1" ht="15.75" hidden="1">
      <c r="A173" s="69" t="s">
        <v>594</v>
      </c>
      <c r="B173" s="85"/>
      <c r="C173" s="86" t="s">
        <v>238</v>
      </c>
      <c r="D173" s="85">
        <v>46117</v>
      </c>
      <c r="E173" s="65" t="s">
        <v>178</v>
      </c>
      <c r="F173" s="65" t="s">
        <v>226</v>
      </c>
      <c r="G173" s="87" t="s">
        <v>227</v>
      </c>
      <c r="I173" s="92">
        <v>12</v>
      </c>
      <c r="J173" s="88">
        <v>799074.07</v>
      </c>
      <c r="K173" s="93">
        <f t="shared" si="30"/>
        <v>9588888.8399999999</v>
      </c>
      <c r="L173" s="93">
        <f t="shared" si="31"/>
        <v>767111.10719999997</v>
      </c>
      <c r="M173" s="203">
        <f t="shared" si="32"/>
        <v>10355999.9472</v>
      </c>
      <c r="N173" s="67"/>
      <c r="O173" s="67"/>
      <c r="P173" s="67"/>
      <c r="Q173" s="10">
        <f t="shared" si="26"/>
        <v>10355999.9472</v>
      </c>
      <c r="R173" s="65"/>
    </row>
    <row r="174" spans="1:18" s="87" customFormat="1" ht="15.75" hidden="1">
      <c r="A174" s="69" t="s">
        <v>594</v>
      </c>
      <c r="B174" s="85" t="s">
        <v>235</v>
      </c>
      <c r="C174" s="86" t="s">
        <v>238</v>
      </c>
      <c r="D174" s="85">
        <v>46117</v>
      </c>
      <c r="E174" s="65" t="s">
        <v>178</v>
      </c>
      <c r="F174" s="65" t="s">
        <v>62</v>
      </c>
      <c r="G174" s="90" t="s">
        <v>234</v>
      </c>
      <c r="I174" s="92">
        <v>12</v>
      </c>
      <c r="J174" s="88"/>
      <c r="K174" s="93"/>
      <c r="L174" s="93"/>
      <c r="M174" s="203"/>
      <c r="N174" s="67"/>
      <c r="O174" s="67"/>
      <c r="P174" s="67"/>
      <c r="Q174" s="10">
        <f t="shared" si="26"/>
        <v>0</v>
      </c>
      <c r="R174" s="65"/>
    </row>
    <row r="175" spans="1:18" s="87" customFormat="1" ht="15.75" hidden="1">
      <c r="A175" s="69" t="s">
        <v>594</v>
      </c>
      <c r="B175" s="85" t="s">
        <v>235</v>
      </c>
      <c r="C175" s="86" t="s">
        <v>242</v>
      </c>
      <c r="D175" s="85" t="s">
        <v>241</v>
      </c>
      <c r="E175" s="65" t="s">
        <v>178</v>
      </c>
      <c r="F175" s="64" t="s">
        <v>243</v>
      </c>
      <c r="G175" s="87" t="s">
        <v>244</v>
      </c>
      <c r="I175" s="92">
        <v>40</v>
      </c>
      <c r="J175" s="88">
        <v>298148.15000000002</v>
      </c>
      <c r="K175" s="93">
        <f>I175*J175</f>
        <v>11925926</v>
      </c>
      <c r="L175" s="93">
        <f>K175*8%</f>
        <v>954074.08000000007</v>
      </c>
      <c r="M175" s="203">
        <f>K175+L175</f>
        <v>12880000.08</v>
      </c>
      <c r="N175" s="67"/>
      <c r="O175" s="67"/>
      <c r="P175" s="67"/>
      <c r="Q175" s="10">
        <f t="shared" si="26"/>
        <v>12880000.08</v>
      </c>
      <c r="R175" s="65"/>
    </row>
    <row r="176" spans="1:18" s="84" customFormat="1" ht="15.75" hidden="1">
      <c r="A176" s="69" t="s">
        <v>594</v>
      </c>
      <c r="B176" s="76" t="s">
        <v>235</v>
      </c>
      <c r="C176" s="77"/>
      <c r="D176" s="76"/>
      <c r="E176" s="78" t="s">
        <v>198</v>
      </c>
      <c r="F176" s="78"/>
      <c r="G176" s="79"/>
      <c r="I176" s="80"/>
      <c r="J176" s="80"/>
      <c r="K176" s="81"/>
      <c r="L176" s="81"/>
      <c r="M176" s="120"/>
      <c r="N176" s="81"/>
      <c r="O176" s="81">
        <v>500000</v>
      </c>
      <c r="P176" s="81"/>
      <c r="Q176" s="10">
        <f t="shared" si="26"/>
        <v>-500000</v>
      </c>
      <c r="R176" s="78"/>
    </row>
    <row r="177" spans="1:20" s="65" customFormat="1" ht="15.75" hidden="1">
      <c r="A177" s="69" t="s">
        <v>594</v>
      </c>
      <c r="B177" s="85">
        <v>46087</v>
      </c>
      <c r="C177" s="86" t="s">
        <v>245</v>
      </c>
      <c r="D177" s="85">
        <v>46087</v>
      </c>
      <c r="E177" s="65" t="s">
        <v>246</v>
      </c>
      <c r="F177" s="74" t="s">
        <v>77</v>
      </c>
      <c r="G177" s="72" t="s">
        <v>210</v>
      </c>
      <c r="I177" s="92">
        <v>-20</v>
      </c>
      <c r="J177" s="73">
        <v>324074.07</v>
      </c>
      <c r="K177" s="93">
        <f t="shared" ref="K177:K187" si="33">J177*I177</f>
        <v>-6481481.4000000004</v>
      </c>
      <c r="L177" s="93">
        <f t="shared" ref="L177:L187" si="34">K177*8%</f>
        <v>-518518.51200000005</v>
      </c>
      <c r="M177" s="203">
        <f t="shared" ref="M177:M187" si="35">K177+L177</f>
        <v>-6999999.9120000005</v>
      </c>
      <c r="N177" s="67"/>
      <c r="O177" s="67"/>
      <c r="P177" s="67"/>
      <c r="Q177" s="10">
        <f t="shared" si="26"/>
        <v>-6999999.9120000005</v>
      </c>
      <c r="R177" s="46"/>
      <c r="S177" s="46"/>
      <c r="T177" s="67"/>
    </row>
    <row r="178" spans="1:20" s="87" customFormat="1" ht="15.75" hidden="1">
      <c r="A178" s="69" t="s">
        <v>594</v>
      </c>
      <c r="B178" s="85" t="s">
        <v>247</v>
      </c>
      <c r="C178" s="86" t="s">
        <v>248</v>
      </c>
      <c r="D178" s="85" t="s">
        <v>89</v>
      </c>
      <c r="E178" s="65" t="s">
        <v>178</v>
      </c>
      <c r="F178" s="43" t="s">
        <v>74</v>
      </c>
      <c r="G178" s="75" t="s">
        <v>141</v>
      </c>
      <c r="I178" s="92">
        <v>96</v>
      </c>
      <c r="J178" s="88">
        <v>361111.11</v>
      </c>
      <c r="K178" s="93">
        <f t="shared" si="33"/>
        <v>34666666.560000002</v>
      </c>
      <c r="L178" s="93">
        <f t="shared" si="34"/>
        <v>2773333.3248000001</v>
      </c>
      <c r="M178" s="203">
        <f t="shared" si="35"/>
        <v>37439999.884800002</v>
      </c>
      <c r="N178" s="67"/>
      <c r="O178" s="67"/>
      <c r="P178" s="67"/>
      <c r="Q178" s="10">
        <f t="shared" si="26"/>
        <v>37439999.884800002</v>
      </c>
      <c r="R178" s="65"/>
    </row>
    <row r="179" spans="1:20" s="87" customFormat="1" ht="30" hidden="1">
      <c r="A179" s="69" t="s">
        <v>594</v>
      </c>
      <c r="B179" s="85" t="s">
        <v>247</v>
      </c>
      <c r="C179" s="86" t="s">
        <v>248</v>
      </c>
      <c r="D179" s="85" t="s">
        <v>89</v>
      </c>
      <c r="E179" s="65" t="s">
        <v>178</v>
      </c>
      <c r="F179" s="43" t="s">
        <v>180</v>
      </c>
      <c r="G179" s="75" t="s">
        <v>181</v>
      </c>
      <c r="I179" s="92">
        <v>30</v>
      </c>
      <c r="J179" s="88">
        <v>234259.26</v>
      </c>
      <c r="K179" s="93">
        <f t="shared" si="33"/>
        <v>7027777.8000000007</v>
      </c>
      <c r="L179" s="93">
        <f t="shared" si="34"/>
        <v>562222.22400000005</v>
      </c>
      <c r="M179" s="203">
        <f t="shared" si="35"/>
        <v>7590000.0240000011</v>
      </c>
      <c r="N179" s="67"/>
      <c r="O179" s="67"/>
      <c r="P179" s="67"/>
      <c r="Q179" s="10">
        <f t="shared" si="26"/>
        <v>7590000.0240000011</v>
      </c>
      <c r="R179" s="65"/>
    </row>
    <row r="180" spans="1:20" s="87" customFormat="1" ht="30" hidden="1">
      <c r="A180" s="69" t="s">
        <v>594</v>
      </c>
      <c r="B180" s="85" t="s">
        <v>247</v>
      </c>
      <c r="C180" s="86" t="s">
        <v>248</v>
      </c>
      <c r="D180" s="85" t="s">
        <v>89</v>
      </c>
      <c r="E180" s="65" t="s">
        <v>178</v>
      </c>
      <c r="F180" s="43" t="s">
        <v>26</v>
      </c>
      <c r="G180" s="75" t="s">
        <v>27</v>
      </c>
      <c r="I180" s="92">
        <v>30</v>
      </c>
      <c r="J180" s="88">
        <v>256481.48</v>
      </c>
      <c r="K180" s="93">
        <f t="shared" si="33"/>
        <v>7694444.4000000004</v>
      </c>
      <c r="L180" s="93">
        <f t="shared" si="34"/>
        <v>615555.55200000003</v>
      </c>
      <c r="M180" s="203">
        <f t="shared" si="35"/>
        <v>8309999.9520000005</v>
      </c>
      <c r="N180" s="67"/>
      <c r="O180" s="67"/>
      <c r="P180" s="67"/>
      <c r="Q180" s="10">
        <f t="shared" si="26"/>
        <v>8309999.9520000005</v>
      </c>
      <c r="R180" s="65"/>
    </row>
    <row r="181" spans="1:20" s="87" customFormat="1" ht="30" hidden="1">
      <c r="A181" s="69" t="s">
        <v>594</v>
      </c>
      <c r="B181" s="85" t="s">
        <v>247</v>
      </c>
      <c r="C181" s="86" t="s">
        <v>248</v>
      </c>
      <c r="D181" s="85" t="s">
        <v>89</v>
      </c>
      <c r="E181" s="65" t="s">
        <v>178</v>
      </c>
      <c r="F181" s="43" t="s">
        <v>28</v>
      </c>
      <c r="G181" s="75" t="s">
        <v>29</v>
      </c>
      <c r="I181" s="92">
        <v>30</v>
      </c>
      <c r="J181" s="88">
        <v>281481.48</v>
      </c>
      <c r="K181" s="93">
        <f t="shared" si="33"/>
        <v>8444444.3999999985</v>
      </c>
      <c r="L181" s="93">
        <f t="shared" si="34"/>
        <v>675555.55199999991</v>
      </c>
      <c r="M181" s="203">
        <f t="shared" si="35"/>
        <v>9119999.9519999977</v>
      </c>
      <c r="N181" s="67"/>
      <c r="O181" s="67"/>
      <c r="P181" s="67"/>
      <c r="Q181" s="10">
        <f t="shared" si="26"/>
        <v>9119999.9519999977</v>
      </c>
      <c r="R181" s="65"/>
    </row>
    <row r="182" spans="1:20" s="87" customFormat="1" ht="30" hidden="1">
      <c r="A182" s="69" t="s">
        <v>594</v>
      </c>
      <c r="B182" s="85" t="s">
        <v>247</v>
      </c>
      <c r="C182" s="86" t="s">
        <v>248</v>
      </c>
      <c r="D182" s="85" t="s">
        <v>89</v>
      </c>
      <c r="E182" s="65" t="s">
        <v>178</v>
      </c>
      <c r="F182" s="43" t="s">
        <v>243</v>
      </c>
      <c r="G182" s="75" t="s">
        <v>249</v>
      </c>
      <c r="I182" s="92">
        <v>30</v>
      </c>
      <c r="J182" s="88">
        <v>298148.15000000002</v>
      </c>
      <c r="K182" s="93">
        <f t="shared" si="33"/>
        <v>8944444.5</v>
      </c>
      <c r="L182" s="93">
        <f t="shared" si="34"/>
        <v>715555.56</v>
      </c>
      <c r="M182" s="203">
        <f t="shared" si="35"/>
        <v>9660000.0600000005</v>
      </c>
      <c r="N182" s="67"/>
      <c r="O182" s="67"/>
      <c r="P182" s="67"/>
      <c r="Q182" s="10">
        <f t="shared" si="26"/>
        <v>9660000.0600000005</v>
      </c>
      <c r="R182" s="65"/>
    </row>
    <row r="183" spans="1:20" s="87" customFormat="1" ht="30" hidden="1">
      <c r="A183" s="69" t="s">
        <v>594</v>
      </c>
      <c r="B183" s="85" t="s">
        <v>247</v>
      </c>
      <c r="C183" s="86" t="s">
        <v>248</v>
      </c>
      <c r="D183" s="85" t="s">
        <v>89</v>
      </c>
      <c r="E183" s="65" t="s">
        <v>178</v>
      </c>
      <c r="F183" s="43" t="s">
        <v>48</v>
      </c>
      <c r="G183" s="75" t="s">
        <v>49</v>
      </c>
      <c r="I183" s="92">
        <v>18</v>
      </c>
      <c r="J183" s="88">
        <v>601851.85</v>
      </c>
      <c r="K183" s="93">
        <f t="shared" si="33"/>
        <v>10833333.299999999</v>
      </c>
      <c r="L183" s="93">
        <f t="shared" si="34"/>
        <v>866666.66399999987</v>
      </c>
      <c r="M183" s="203">
        <f t="shared" si="35"/>
        <v>11699999.963999998</v>
      </c>
      <c r="N183" s="67"/>
      <c r="O183" s="67"/>
      <c r="P183" s="67"/>
      <c r="Q183" s="10">
        <f t="shared" si="26"/>
        <v>11699999.963999998</v>
      </c>
      <c r="R183" s="65"/>
    </row>
    <row r="184" spans="1:20" s="87" customFormat="1" ht="15.75" hidden="1">
      <c r="A184" s="69" t="s">
        <v>594</v>
      </c>
      <c r="B184" s="85" t="s">
        <v>247</v>
      </c>
      <c r="C184" s="86" t="s">
        <v>248</v>
      </c>
      <c r="D184" s="85" t="s">
        <v>89</v>
      </c>
      <c r="E184" s="65" t="s">
        <v>178</v>
      </c>
      <c r="F184" s="43" t="s">
        <v>62</v>
      </c>
      <c r="G184" s="75" t="s">
        <v>63</v>
      </c>
      <c r="I184" s="92">
        <v>18</v>
      </c>
      <c r="J184" s="88">
        <v>0</v>
      </c>
      <c r="K184" s="93">
        <f t="shared" si="33"/>
        <v>0</v>
      </c>
      <c r="L184" s="93">
        <f t="shared" si="34"/>
        <v>0</v>
      </c>
      <c r="M184" s="203">
        <f t="shared" si="35"/>
        <v>0</v>
      </c>
      <c r="N184" s="67"/>
      <c r="O184" s="67"/>
      <c r="P184" s="67"/>
      <c r="Q184" s="10">
        <f t="shared" si="26"/>
        <v>0</v>
      </c>
      <c r="R184" s="65"/>
    </row>
    <row r="185" spans="1:20" s="87" customFormat="1" ht="15.75" hidden="1">
      <c r="A185" s="69" t="s">
        <v>594</v>
      </c>
      <c r="B185" s="85" t="s">
        <v>247</v>
      </c>
      <c r="C185" s="86" t="s">
        <v>250</v>
      </c>
      <c r="D185" s="85">
        <v>46029</v>
      </c>
      <c r="E185" s="65" t="s">
        <v>178</v>
      </c>
      <c r="F185" s="94" t="s">
        <v>98</v>
      </c>
      <c r="G185" s="95" t="s">
        <v>251</v>
      </c>
      <c r="I185" s="96">
        <v>20</v>
      </c>
      <c r="J185" s="97">
        <v>694444.44</v>
      </c>
      <c r="K185" s="98">
        <f t="shared" si="33"/>
        <v>13888888.799999999</v>
      </c>
      <c r="L185" s="98">
        <f t="shared" si="34"/>
        <v>1111111.1039999998</v>
      </c>
      <c r="M185" s="257">
        <f t="shared" si="35"/>
        <v>14999999.903999999</v>
      </c>
      <c r="N185" s="67"/>
      <c r="O185" s="67"/>
      <c r="P185" s="67"/>
      <c r="Q185" s="10">
        <f t="shared" si="26"/>
        <v>14999999.903999999</v>
      </c>
      <c r="R185" s="65"/>
    </row>
    <row r="186" spans="1:20" s="107" customFormat="1" ht="15.75" hidden="1">
      <c r="A186" s="69" t="s">
        <v>594</v>
      </c>
      <c r="B186" s="99" t="s">
        <v>247</v>
      </c>
      <c r="C186" s="100" t="s">
        <v>252</v>
      </c>
      <c r="D186" s="99"/>
      <c r="E186" s="101" t="s">
        <v>178</v>
      </c>
      <c r="F186" s="101" t="s">
        <v>90</v>
      </c>
      <c r="G186" s="102" t="s">
        <v>91</v>
      </c>
      <c r="I186" s="103">
        <v>10</v>
      </c>
      <c r="J186" s="104">
        <v>814814.81</v>
      </c>
      <c r="K186" s="105">
        <f t="shared" si="33"/>
        <v>8148148.1000000006</v>
      </c>
      <c r="L186" s="105">
        <f t="shared" si="34"/>
        <v>651851.84800000011</v>
      </c>
      <c r="M186" s="258">
        <f t="shared" si="35"/>
        <v>8799999.9480000008</v>
      </c>
      <c r="N186" s="106"/>
      <c r="O186" s="106"/>
      <c r="P186" s="106"/>
      <c r="Q186" s="10">
        <f t="shared" si="26"/>
        <v>8799999.9480000008</v>
      </c>
      <c r="R186" s="101"/>
    </row>
    <row r="187" spans="1:20" s="107" customFormat="1" ht="15.75" hidden="1">
      <c r="A187" s="69" t="s">
        <v>594</v>
      </c>
      <c r="B187" s="99" t="s">
        <v>247</v>
      </c>
      <c r="C187" s="100" t="s">
        <v>252</v>
      </c>
      <c r="D187" s="99"/>
      <c r="E187" s="101" t="s">
        <v>178</v>
      </c>
      <c r="F187" s="101" t="s">
        <v>93</v>
      </c>
      <c r="G187" s="102" t="s">
        <v>94</v>
      </c>
      <c r="I187" s="103">
        <v>6</v>
      </c>
      <c r="J187" s="104">
        <v>907407.4</v>
      </c>
      <c r="K187" s="105">
        <f t="shared" si="33"/>
        <v>5444444.4000000004</v>
      </c>
      <c r="L187" s="105">
        <f t="shared" si="34"/>
        <v>435555.55200000003</v>
      </c>
      <c r="M187" s="258">
        <f t="shared" si="35"/>
        <v>5879999.9520000005</v>
      </c>
      <c r="N187" s="106"/>
      <c r="O187" s="106"/>
      <c r="P187" s="106"/>
      <c r="Q187" s="10">
        <f t="shared" si="26"/>
        <v>5879999.9520000005</v>
      </c>
      <c r="R187" s="101"/>
    </row>
    <row r="188" spans="1:20" s="84" customFormat="1" ht="15.75" hidden="1">
      <c r="A188" s="69" t="s">
        <v>594</v>
      </c>
      <c r="B188" s="76" t="s">
        <v>247</v>
      </c>
      <c r="C188" s="77"/>
      <c r="D188" s="76"/>
      <c r="E188" s="78" t="s">
        <v>198</v>
      </c>
      <c r="F188" s="78"/>
      <c r="G188" s="79"/>
      <c r="I188" s="80"/>
      <c r="J188" s="80"/>
      <c r="K188" s="81"/>
      <c r="L188" s="81"/>
      <c r="M188" s="120"/>
      <c r="N188" s="81"/>
      <c r="O188" s="81">
        <v>500000</v>
      </c>
      <c r="P188" s="81"/>
      <c r="Q188" s="10">
        <f t="shared" si="26"/>
        <v>-500000</v>
      </c>
      <c r="R188" s="78"/>
    </row>
    <row r="189" spans="1:20" s="84" customFormat="1" ht="15.75" hidden="1">
      <c r="A189" s="69" t="s">
        <v>594</v>
      </c>
      <c r="B189" s="76" t="s">
        <v>95</v>
      </c>
      <c r="C189" s="82"/>
      <c r="D189" s="76"/>
      <c r="E189" s="78" t="s">
        <v>202</v>
      </c>
      <c r="F189" s="78"/>
      <c r="I189" s="78"/>
      <c r="J189" s="80"/>
      <c r="K189" s="81"/>
      <c r="L189" s="81"/>
      <c r="M189" s="120"/>
      <c r="N189" s="81">
        <v>150000000</v>
      </c>
      <c r="O189" s="81"/>
      <c r="P189" s="81"/>
      <c r="Q189" s="10">
        <f t="shared" si="26"/>
        <v>-150000000</v>
      </c>
      <c r="R189" s="78"/>
    </row>
    <row r="190" spans="1:20" s="107" customFormat="1" ht="15.75" hidden="1">
      <c r="A190" s="69" t="s">
        <v>594</v>
      </c>
      <c r="B190" s="99">
        <v>46302</v>
      </c>
      <c r="C190" s="100" t="s">
        <v>252</v>
      </c>
      <c r="D190" s="99"/>
      <c r="E190" s="101" t="s">
        <v>178</v>
      </c>
      <c r="F190" s="101" t="s">
        <v>90</v>
      </c>
      <c r="G190" s="102" t="s">
        <v>91</v>
      </c>
      <c r="I190" s="101">
        <v>20</v>
      </c>
      <c r="J190" s="105">
        <v>814814.81</v>
      </c>
      <c r="K190" s="105">
        <f>I190*J190</f>
        <v>16296296.200000001</v>
      </c>
      <c r="L190" s="105">
        <f>K190*8%</f>
        <v>1303703.6960000002</v>
      </c>
      <c r="M190" s="258">
        <f>K190+L190</f>
        <v>17599999.896000002</v>
      </c>
      <c r="N190" s="106"/>
      <c r="O190" s="106"/>
      <c r="P190" s="106"/>
      <c r="Q190" s="10">
        <f t="shared" si="26"/>
        <v>17599999.896000002</v>
      </c>
      <c r="R190" s="101"/>
    </row>
    <row r="191" spans="1:20" s="87" customFormat="1" ht="15.75" hidden="1">
      <c r="A191" s="69" t="s">
        <v>594</v>
      </c>
      <c r="B191" s="85">
        <v>46302</v>
      </c>
      <c r="C191" s="86" t="s">
        <v>253</v>
      </c>
      <c r="D191" s="85" t="s">
        <v>100</v>
      </c>
      <c r="E191" s="65" t="s">
        <v>178</v>
      </c>
      <c r="F191" s="65" t="s">
        <v>40</v>
      </c>
      <c r="G191" s="87" t="s">
        <v>41</v>
      </c>
      <c r="I191" s="65">
        <v>8</v>
      </c>
      <c r="J191" s="88">
        <v>844444.45</v>
      </c>
      <c r="K191" s="67">
        <f>J191*I191</f>
        <v>6755555.5999999996</v>
      </c>
      <c r="L191" s="67">
        <f>K191*8%</f>
        <v>540444.44799999997</v>
      </c>
      <c r="M191" s="203">
        <f>K191+L191</f>
        <v>7296000.0479999995</v>
      </c>
      <c r="N191" s="67"/>
      <c r="O191" s="67"/>
      <c r="P191" s="67"/>
      <c r="Q191" s="10">
        <f t="shared" si="26"/>
        <v>7296000.0479999995</v>
      </c>
      <c r="R191" s="65"/>
    </row>
    <row r="192" spans="1:20" s="84" customFormat="1" ht="15.75" hidden="1">
      <c r="A192" s="69" t="s">
        <v>594</v>
      </c>
      <c r="B192" s="76">
        <v>46302</v>
      </c>
      <c r="C192" s="77"/>
      <c r="D192" s="76"/>
      <c r="E192" s="78" t="s">
        <v>198</v>
      </c>
      <c r="F192" s="78"/>
      <c r="G192" s="79"/>
      <c r="I192" s="80"/>
      <c r="J192" s="80"/>
      <c r="K192" s="81"/>
      <c r="L192" s="81"/>
      <c r="M192" s="120"/>
      <c r="N192" s="81"/>
      <c r="O192" s="81">
        <v>500000</v>
      </c>
      <c r="P192" s="81"/>
      <c r="Q192" s="10">
        <f t="shared" si="26"/>
        <v>-500000</v>
      </c>
      <c r="R192" s="78"/>
    </row>
    <row r="193" spans="1:19" s="87" customFormat="1" ht="30" hidden="1">
      <c r="A193" s="69" t="s">
        <v>594</v>
      </c>
      <c r="B193" s="85" t="s">
        <v>254</v>
      </c>
      <c r="C193" s="86" t="s">
        <v>253</v>
      </c>
      <c r="D193" s="85" t="s">
        <v>100</v>
      </c>
      <c r="E193" s="65" t="s">
        <v>178</v>
      </c>
      <c r="F193" s="65" t="s">
        <v>243</v>
      </c>
      <c r="G193" s="89" t="s">
        <v>249</v>
      </c>
      <c r="I193" s="92">
        <v>40</v>
      </c>
      <c r="J193" s="88">
        <v>298148.15000000002</v>
      </c>
      <c r="K193" s="93">
        <f>J193*I193</f>
        <v>11925926</v>
      </c>
      <c r="L193" s="93">
        <f t="shared" ref="L193:L204" si="36">K193*8%</f>
        <v>954074.08000000007</v>
      </c>
      <c r="M193" s="203">
        <f t="shared" ref="M193:M204" si="37">K193+L193</f>
        <v>12880000.08</v>
      </c>
      <c r="N193" s="67"/>
      <c r="O193" s="67"/>
      <c r="P193" s="67"/>
      <c r="Q193" s="10">
        <f t="shared" si="26"/>
        <v>12880000.08</v>
      </c>
      <c r="R193" s="65"/>
      <c r="S193" s="87" t="s">
        <v>255</v>
      </c>
    </row>
    <row r="194" spans="1:19" s="87" customFormat="1" ht="15.75" hidden="1">
      <c r="A194" s="69" t="s">
        <v>594</v>
      </c>
      <c r="B194" s="85" t="s">
        <v>254</v>
      </c>
      <c r="C194" s="86" t="s">
        <v>253</v>
      </c>
      <c r="D194" s="85" t="s">
        <v>100</v>
      </c>
      <c r="E194" s="65" t="s">
        <v>178</v>
      </c>
      <c r="F194" s="94" t="s">
        <v>98</v>
      </c>
      <c r="G194" s="95" t="s">
        <v>251</v>
      </c>
      <c r="I194" s="96">
        <v>16</v>
      </c>
      <c r="J194" s="97">
        <v>694444.44</v>
      </c>
      <c r="K194" s="98">
        <f>I194*J194</f>
        <v>11111111.039999999</v>
      </c>
      <c r="L194" s="98">
        <f t="shared" si="36"/>
        <v>888888.88319999992</v>
      </c>
      <c r="M194" s="257">
        <f t="shared" si="37"/>
        <v>11999999.923199998</v>
      </c>
      <c r="N194" s="67"/>
      <c r="O194" s="67"/>
      <c r="P194" s="67"/>
      <c r="Q194" s="10">
        <f t="shared" si="26"/>
        <v>11999999.923199998</v>
      </c>
      <c r="R194" s="65"/>
    </row>
    <row r="195" spans="1:19" s="87" customFormat="1" ht="15.75" hidden="1">
      <c r="A195" s="69" t="s">
        <v>594</v>
      </c>
      <c r="B195" s="85" t="s">
        <v>254</v>
      </c>
      <c r="C195" s="86" t="s">
        <v>253</v>
      </c>
      <c r="D195" s="85" t="s">
        <v>100</v>
      </c>
      <c r="E195" s="65" t="s">
        <v>178</v>
      </c>
      <c r="F195" s="65" t="s">
        <v>226</v>
      </c>
      <c r="G195" s="87" t="s">
        <v>227</v>
      </c>
      <c r="I195" s="65">
        <v>12</v>
      </c>
      <c r="J195" s="88">
        <v>799074.07</v>
      </c>
      <c r="K195" s="67">
        <f t="shared" ref="K195:K201" si="38">J195*I195</f>
        <v>9588888.8399999999</v>
      </c>
      <c r="L195" s="67">
        <f t="shared" si="36"/>
        <v>767111.10719999997</v>
      </c>
      <c r="M195" s="203">
        <f t="shared" si="37"/>
        <v>10355999.9472</v>
      </c>
      <c r="N195" s="67"/>
      <c r="O195" s="67"/>
      <c r="P195" s="67"/>
      <c r="Q195" s="10">
        <f t="shared" si="26"/>
        <v>10355999.9472</v>
      </c>
      <c r="R195" s="65"/>
    </row>
    <row r="196" spans="1:19" s="87" customFormat="1" ht="15.75" hidden="1">
      <c r="A196" s="69" t="s">
        <v>594</v>
      </c>
      <c r="B196" s="85" t="s">
        <v>254</v>
      </c>
      <c r="C196" s="86" t="s">
        <v>253</v>
      </c>
      <c r="D196" s="85" t="s">
        <v>100</v>
      </c>
      <c r="E196" s="65" t="s">
        <v>178</v>
      </c>
      <c r="F196" s="65" t="s">
        <v>62</v>
      </c>
      <c r="G196" s="90" t="s">
        <v>234</v>
      </c>
      <c r="I196" s="91">
        <v>12</v>
      </c>
      <c r="J196" s="88">
        <v>0</v>
      </c>
      <c r="K196" s="67">
        <f t="shared" si="38"/>
        <v>0</v>
      </c>
      <c r="L196" s="67">
        <f t="shared" si="36"/>
        <v>0</v>
      </c>
      <c r="M196" s="203">
        <f t="shared" si="37"/>
        <v>0</v>
      </c>
      <c r="N196" s="67"/>
      <c r="O196" s="67"/>
      <c r="P196" s="67"/>
      <c r="Q196" s="10">
        <f t="shared" ref="Q196:Q259" si="39">M196-N196-O196-P196</f>
        <v>0</v>
      </c>
      <c r="R196" s="65"/>
    </row>
    <row r="197" spans="1:19" s="87" customFormat="1" ht="15.75" hidden="1">
      <c r="A197" s="69" t="s">
        <v>594</v>
      </c>
      <c r="B197" s="85" t="s">
        <v>254</v>
      </c>
      <c r="C197" s="86" t="s">
        <v>253</v>
      </c>
      <c r="D197" s="85" t="s">
        <v>100</v>
      </c>
      <c r="E197" s="65" t="s">
        <v>178</v>
      </c>
      <c r="F197" s="65" t="s">
        <v>107</v>
      </c>
      <c r="G197" s="87" t="s">
        <v>108</v>
      </c>
      <c r="I197" s="65">
        <v>3</v>
      </c>
      <c r="J197" s="88">
        <v>0</v>
      </c>
      <c r="K197" s="67">
        <f t="shared" si="38"/>
        <v>0</v>
      </c>
      <c r="L197" s="67">
        <f t="shared" si="36"/>
        <v>0</v>
      </c>
      <c r="M197" s="203">
        <f t="shared" si="37"/>
        <v>0</v>
      </c>
      <c r="N197" s="67"/>
      <c r="O197" s="67"/>
      <c r="P197" s="67"/>
      <c r="Q197" s="10">
        <f t="shared" si="39"/>
        <v>0</v>
      </c>
      <c r="R197" s="65"/>
    </row>
    <row r="198" spans="1:19" s="87" customFormat="1" ht="15.75" hidden="1">
      <c r="A198" s="69" t="s">
        <v>594</v>
      </c>
      <c r="B198" s="85" t="s">
        <v>100</v>
      </c>
      <c r="C198" s="86" t="s">
        <v>257</v>
      </c>
      <c r="D198" s="85" t="s">
        <v>256</v>
      </c>
      <c r="E198" s="65" t="s">
        <v>178</v>
      </c>
      <c r="F198" s="65" t="s">
        <v>258</v>
      </c>
      <c r="G198" s="87" t="s">
        <v>259</v>
      </c>
      <c r="I198" s="65">
        <v>4</v>
      </c>
      <c r="J198" s="88">
        <v>472222.22</v>
      </c>
      <c r="K198" s="67">
        <f t="shared" si="38"/>
        <v>1888888.88</v>
      </c>
      <c r="L198" s="67">
        <f t="shared" si="36"/>
        <v>151111.11040000001</v>
      </c>
      <c r="M198" s="203">
        <f t="shared" si="37"/>
        <v>2039999.9904</v>
      </c>
      <c r="N198" s="67"/>
      <c r="O198" s="67"/>
      <c r="P198" s="67"/>
      <c r="Q198" s="10">
        <f t="shared" si="39"/>
        <v>2039999.9904</v>
      </c>
      <c r="R198" s="65"/>
    </row>
    <row r="199" spans="1:19" s="87" customFormat="1" ht="15.75" hidden="1">
      <c r="A199" s="69" t="s">
        <v>594</v>
      </c>
      <c r="B199" s="85" t="s">
        <v>100</v>
      </c>
      <c r="C199" s="86" t="s">
        <v>257</v>
      </c>
      <c r="D199" s="85" t="s">
        <v>256</v>
      </c>
      <c r="E199" s="65" t="s">
        <v>178</v>
      </c>
      <c r="F199" s="65" t="s">
        <v>260</v>
      </c>
      <c r="G199" s="87" t="s">
        <v>261</v>
      </c>
      <c r="I199" s="65">
        <v>4</v>
      </c>
      <c r="J199" s="88">
        <v>492592.59</v>
      </c>
      <c r="K199" s="67">
        <f t="shared" si="38"/>
        <v>1970370.36</v>
      </c>
      <c r="L199" s="67">
        <f t="shared" si="36"/>
        <v>157629.62880000001</v>
      </c>
      <c r="M199" s="203">
        <f t="shared" si="37"/>
        <v>2127999.9887999999</v>
      </c>
      <c r="N199" s="67"/>
      <c r="O199" s="67"/>
      <c r="P199" s="67"/>
      <c r="Q199" s="10">
        <f t="shared" si="39"/>
        <v>2127999.9887999999</v>
      </c>
      <c r="R199" s="65"/>
    </row>
    <row r="200" spans="1:19" s="87" customFormat="1" ht="15.75" hidden="1">
      <c r="A200" s="69" t="s">
        <v>594</v>
      </c>
      <c r="B200" s="85" t="s">
        <v>100</v>
      </c>
      <c r="C200" s="86" t="s">
        <v>257</v>
      </c>
      <c r="D200" s="85" t="s">
        <v>256</v>
      </c>
      <c r="E200" s="65" t="s">
        <v>178</v>
      </c>
      <c r="F200" s="65" t="s">
        <v>262</v>
      </c>
      <c r="G200" s="87" t="s">
        <v>263</v>
      </c>
      <c r="I200" s="65">
        <v>4</v>
      </c>
      <c r="J200" s="88">
        <v>851851.85</v>
      </c>
      <c r="K200" s="67">
        <f t="shared" si="38"/>
        <v>3407407.4</v>
      </c>
      <c r="L200" s="67">
        <f t="shared" si="36"/>
        <v>272592.592</v>
      </c>
      <c r="M200" s="203">
        <f t="shared" si="37"/>
        <v>3679999.9920000001</v>
      </c>
      <c r="N200" s="67"/>
      <c r="O200" s="67"/>
      <c r="P200" s="67"/>
      <c r="Q200" s="10">
        <f t="shared" si="39"/>
        <v>3679999.9920000001</v>
      </c>
      <c r="R200" s="65"/>
    </row>
    <row r="201" spans="1:19" s="87" customFormat="1" ht="15.75" hidden="1">
      <c r="A201" s="69" t="s">
        <v>594</v>
      </c>
      <c r="B201" s="85" t="s">
        <v>100</v>
      </c>
      <c r="C201" s="86" t="s">
        <v>257</v>
      </c>
      <c r="D201" s="85" t="s">
        <v>256</v>
      </c>
      <c r="E201" s="65" t="s">
        <v>178</v>
      </c>
      <c r="F201" s="65" t="s">
        <v>23</v>
      </c>
      <c r="G201" s="87" t="s">
        <v>82</v>
      </c>
      <c r="I201" s="65">
        <v>16</v>
      </c>
      <c r="J201" s="88">
        <v>1185185.18</v>
      </c>
      <c r="K201" s="67">
        <f t="shared" si="38"/>
        <v>18962962.879999999</v>
      </c>
      <c r="L201" s="67">
        <f t="shared" si="36"/>
        <v>1517037.0304</v>
      </c>
      <c r="M201" s="203">
        <f t="shared" si="37"/>
        <v>20479999.910399999</v>
      </c>
      <c r="N201" s="67"/>
      <c r="O201" s="67"/>
      <c r="P201" s="67"/>
      <c r="Q201" s="10">
        <f t="shared" si="39"/>
        <v>20479999.910399999</v>
      </c>
      <c r="R201" s="65"/>
    </row>
    <row r="202" spans="1:19" s="87" customFormat="1" ht="15.75" hidden="1">
      <c r="A202" s="69" t="s">
        <v>594</v>
      </c>
      <c r="B202" s="85" t="s">
        <v>100</v>
      </c>
      <c r="C202" s="86" t="s">
        <v>257</v>
      </c>
      <c r="D202" s="85" t="s">
        <v>256</v>
      </c>
      <c r="E202" s="65" t="s">
        <v>178</v>
      </c>
      <c r="F202" s="94" t="s">
        <v>98</v>
      </c>
      <c r="G202" s="95" t="s">
        <v>251</v>
      </c>
      <c r="I202" s="96">
        <v>20</v>
      </c>
      <c r="J202" s="97">
        <v>694444.44</v>
      </c>
      <c r="K202" s="98">
        <f>I202*J202</f>
        <v>13888888.799999999</v>
      </c>
      <c r="L202" s="98">
        <f t="shared" si="36"/>
        <v>1111111.1039999998</v>
      </c>
      <c r="M202" s="257">
        <f t="shared" si="37"/>
        <v>14999999.903999999</v>
      </c>
      <c r="N202" s="67"/>
      <c r="O202" s="67"/>
      <c r="P202" s="67"/>
      <c r="Q202" s="10">
        <f t="shared" si="39"/>
        <v>14999999.903999999</v>
      </c>
      <c r="R202" s="65"/>
    </row>
    <row r="203" spans="1:19" s="107" customFormat="1" ht="15.75" hidden="1">
      <c r="A203" s="69" t="s">
        <v>594</v>
      </c>
      <c r="B203" s="99" t="s">
        <v>100</v>
      </c>
      <c r="C203" s="100"/>
      <c r="D203" s="99"/>
      <c r="E203" s="101" t="s">
        <v>178</v>
      </c>
      <c r="F203" s="101" t="s">
        <v>90</v>
      </c>
      <c r="G203" s="102" t="s">
        <v>91</v>
      </c>
      <c r="I203" s="103">
        <v>12</v>
      </c>
      <c r="J203" s="104">
        <v>814814.81</v>
      </c>
      <c r="K203" s="105">
        <f>J203*I203</f>
        <v>9777777.7200000007</v>
      </c>
      <c r="L203" s="105">
        <f t="shared" si="36"/>
        <v>782222.21760000009</v>
      </c>
      <c r="M203" s="258">
        <f t="shared" si="37"/>
        <v>10559999.937600002</v>
      </c>
      <c r="N203" s="106"/>
      <c r="O203" s="106"/>
      <c r="P203" s="106"/>
      <c r="Q203" s="10">
        <f t="shared" si="39"/>
        <v>10559999.937600002</v>
      </c>
      <c r="R203" s="101"/>
    </row>
    <row r="204" spans="1:19" s="107" customFormat="1" ht="15.75" hidden="1">
      <c r="A204" s="69" t="s">
        <v>594</v>
      </c>
      <c r="B204" s="99" t="s">
        <v>100</v>
      </c>
      <c r="C204" s="100"/>
      <c r="D204" s="99"/>
      <c r="E204" s="101" t="s">
        <v>178</v>
      </c>
      <c r="F204" s="101" t="s">
        <v>101</v>
      </c>
      <c r="G204" s="107" t="s">
        <v>102</v>
      </c>
      <c r="I204" s="101">
        <v>20</v>
      </c>
      <c r="J204" s="104">
        <v>861111.11</v>
      </c>
      <c r="K204" s="106">
        <f>J204*I204</f>
        <v>17222222.199999999</v>
      </c>
      <c r="L204" s="106">
        <f t="shared" si="36"/>
        <v>1377777.7760000001</v>
      </c>
      <c r="M204" s="258">
        <f t="shared" si="37"/>
        <v>18599999.976</v>
      </c>
      <c r="N204" s="106"/>
      <c r="O204" s="106"/>
      <c r="P204" s="106"/>
      <c r="Q204" s="10">
        <f t="shared" si="39"/>
        <v>18599999.976</v>
      </c>
      <c r="R204" s="101"/>
    </row>
    <row r="205" spans="1:19" s="84" customFormat="1" ht="15.75" hidden="1">
      <c r="A205" s="69" t="s">
        <v>594</v>
      </c>
      <c r="B205" s="76" t="s">
        <v>100</v>
      </c>
      <c r="C205" s="77"/>
      <c r="D205" s="76"/>
      <c r="E205" s="78" t="s">
        <v>198</v>
      </c>
      <c r="F205" s="78"/>
      <c r="G205" s="79"/>
      <c r="I205" s="80"/>
      <c r="J205" s="80"/>
      <c r="K205" s="81"/>
      <c r="L205" s="81"/>
      <c r="M205" s="120"/>
      <c r="N205" s="81"/>
      <c r="O205" s="81">
        <v>500000</v>
      </c>
      <c r="P205" s="81"/>
      <c r="Q205" s="10">
        <f t="shared" si="39"/>
        <v>-500000</v>
      </c>
      <c r="R205" s="78"/>
    </row>
    <row r="206" spans="1:19" s="87" customFormat="1" ht="15.75" hidden="1">
      <c r="A206" s="69" t="s">
        <v>594</v>
      </c>
      <c r="B206" s="85" t="s">
        <v>256</v>
      </c>
      <c r="C206" s="86" t="s">
        <v>265</v>
      </c>
      <c r="D206" s="85" t="s">
        <v>264</v>
      </c>
      <c r="E206" s="65" t="s">
        <v>178</v>
      </c>
      <c r="F206" s="94" t="s">
        <v>98</v>
      </c>
      <c r="G206" s="95" t="s">
        <v>251</v>
      </c>
      <c r="I206" s="96">
        <v>6</v>
      </c>
      <c r="J206" s="97">
        <v>694444.44</v>
      </c>
      <c r="K206" s="98">
        <f>I206*J206</f>
        <v>4166666.6399999997</v>
      </c>
      <c r="L206" s="98">
        <f t="shared" ref="L206:L211" si="40">K206*8%</f>
        <v>333333.33119999996</v>
      </c>
      <c r="M206" s="257">
        <f t="shared" ref="M206:M211" si="41">K206+L206</f>
        <v>4499999.9711999996</v>
      </c>
      <c r="N206" s="67"/>
      <c r="O206" s="67"/>
      <c r="P206" s="67"/>
      <c r="Q206" s="10">
        <f t="shared" si="39"/>
        <v>4499999.9711999996</v>
      </c>
      <c r="R206" s="65"/>
      <c r="S206" s="87" t="s">
        <v>255</v>
      </c>
    </row>
    <row r="207" spans="1:19" s="107" customFormat="1" ht="15.75" hidden="1">
      <c r="A207" s="69" t="s">
        <v>594</v>
      </c>
      <c r="B207" s="99" t="s">
        <v>256</v>
      </c>
      <c r="C207" s="100" t="s">
        <v>252</v>
      </c>
      <c r="D207" s="99"/>
      <c r="E207" s="101" t="s">
        <v>178</v>
      </c>
      <c r="F207" s="101" t="s">
        <v>101</v>
      </c>
      <c r="G207" s="107" t="s">
        <v>102</v>
      </c>
      <c r="I207" s="101">
        <v>12</v>
      </c>
      <c r="J207" s="104">
        <v>861111.11</v>
      </c>
      <c r="K207" s="106">
        <f>J207*I207</f>
        <v>10333333.32</v>
      </c>
      <c r="L207" s="106">
        <f t="shared" si="40"/>
        <v>826666.66560000007</v>
      </c>
      <c r="M207" s="258">
        <f t="shared" si="41"/>
        <v>11159999.9856</v>
      </c>
      <c r="N207" s="106"/>
      <c r="O207" s="106"/>
      <c r="P207" s="106"/>
      <c r="Q207" s="10">
        <f t="shared" si="39"/>
        <v>11159999.9856</v>
      </c>
      <c r="R207" s="101"/>
    </row>
    <row r="208" spans="1:19" s="107" customFormat="1" ht="15.75" hidden="1">
      <c r="A208" s="69" t="s">
        <v>594</v>
      </c>
      <c r="B208" s="99" t="s">
        <v>256</v>
      </c>
      <c r="C208" s="100" t="s">
        <v>252</v>
      </c>
      <c r="D208" s="99"/>
      <c r="E208" s="101" t="s">
        <v>178</v>
      </c>
      <c r="F208" s="101" t="s">
        <v>90</v>
      </c>
      <c r="G208" s="102" t="s">
        <v>91</v>
      </c>
      <c r="I208" s="103">
        <v>6</v>
      </c>
      <c r="J208" s="104">
        <v>814814.81</v>
      </c>
      <c r="K208" s="105">
        <f>J208*I208</f>
        <v>4888888.8600000003</v>
      </c>
      <c r="L208" s="105">
        <f t="shared" si="40"/>
        <v>391111.10880000005</v>
      </c>
      <c r="M208" s="258">
        <f t="shared" si="41"/>
        <v>5279999.9688000008</v>
      </c>
      <c r="N208" s="106"/>
      <c r="O208" s="106"/>
      <c r="P208" s="106"/>
      <c r="Q208" s="10">
        <f t="shared" si="39"/>
        <v>5279999.9688000008</v>
      </c>
      <c r="R208" s="101"/>
    </row>
    <row r="209" spans="1:18" s="107" customFormat="1" ht="15.75" hidden="1">
      <c r="A209" s="69" t="s">
        <v>594</v>
      </c>
      <c r="B209" s="99" t="s">
        <v>256</v>
      </c>
      <c r="C209" s="100" t="s">
        <v>252</v>
      </c>
      <c r="D209" s="99"/>
      <c r="E209" s="101" t="s">
        <v>178</v>
      </c>
      <c r="F209" s="101" t="s">
        <v>93</v>
      </c>
      <c r="G209" s="102" t="s">
        <v>94</v>
      </c>
      <c r="I209" s="103">
        <v>4</v>
      </c>
      <c r="J209" s="104">
        <v>907407.4</v>
      </c>
      <c r="K209" s="105">
        <f>J209*I209</f>
        <v>3629629.6</v>
      </c>
      <c r="L209" s="105">
        <f t="shared" si="40"/>
        <v>290370.36800000002</v>
      </c>
      <c r="M209" s="258">
        <f t="shared" si="41"/>
        <v>3919999.9680000003</v>
      </c>
      <c r="N209" s="106"/>
      <c r="O209" s="106"/>
      <c r="P209" s="106"/>
      <c r="Q209" s="10">
        <f t="shared" si="39"/>
        <v>3919999.9680000003</v>
      </c>
      <c r="R209" s="101"/>
    </row>
    <row r="210" spans="1:18" s="107" customFormat="1" ht="15.75" hidden="1">
      <c r="A210" s="69" t="s">
        <v>594</v>
      </c>
      <c r="B210" s="99" t="s">
        <v>256</v>
      </c>
      <c r="C210" s="100" t="s">
        <v>252</v>
      </c>
      <c r="D210" s="99"/>
      <c r="E210" s="101" t="s">
        <v>178</v>
      </c>
      <c r="F210" s="101" t="s">
        <v>103</v>
      </c>
      <c r="G210" s="102" t="s">
        <v>104</v>
      </c>
      <c r="I210" s="103">
        <v>24</v>
      </c>
      <c r="J210" s="104">
        <v>629629.63</v>
      </c>
      <c r="K210" s="105">
        <f>I210*J210</f>
        <v>15111111.120000001</v>
      </c>
      <c r="L210" s="105">
        <f t="shared" si="40"/>
        <v>1208888.8896000001</v>
      </c>
      <c r="M210" s="258">
        <f t="shared" si="41"/>
        <v>16320000.0096</v>
      </c>
      <c r="N210" s="106"/>
      <c r="O210" s="106"/>
      <c r="P210" s="106"/>
      <c r="Q210" s="10">
        <f t="shared" si="39"/>
        <v>16320000.0096</v>
      </c>
      <c r="R210" s="101"/>
    </row>
    <row r="211" spans="1:18" s="107" customFormat="1" ht="15.75" hidden="1">
      <c r="A211" s="69" t="s">
        <v>594</v>
      </c>
      <c r="B211" s="99" t="s">
        <v>256</v>
      </c>
      <c r="C211" s="100" t="s">
        <v>252</v>
      </c>
      <c r="D211" s="99"/>
      <c r="E211" s="101" t="s">
        <v>178</v>
      </c>
      <c r="F211" s="101" t="s">
        <v>62</v>
      </c>
      <c r="G211" s="108" t="s">
        <v>234</v>
      </c>
      <c r="I211" s="109">
        <v>24</v>
      </c>
      <c r="J211" s="104">
        <v>0</v>
      </c>
      <c r="K211" s="106">
        <f>J211*I211</f>
        <v>0</v>
      </c>
      <c r="L211" s="106">
        <f t="shared" si="40"/>
        <v>0</v>
      </c>
      <c r="M211" s="258">
        <f t="shared" si="41"/>
        <v>0</v>
      </c>
      <c r="N211" s="106"/>
      <c r="O211" s="106"/>
      <c r="P211" s="106"/>
      <c r="Q211" s="10">
        <f t="shared" si="39"/>
        <v>0</v>
      </c>
      <c r="R211" s="101"/>
    </row>
    <row r="212" spans="1:18" s="72" customFormat="1" ht="25.5" hidden="1">
      <c r="A212" s="3" t="s">
        <v>596</v>
      </c>
      <c r="B212" s="70">
        <v>46269</v>
      </c>
      <c r="C212" s="49" t="s">
        <v>266</v>
      </c>
      <c r="D212" s="41" t="s">
        <v>267</v>
      </c>
      <c r="E212" s="68" t="s">
        <v>268</v>
      </c>
      <c r="F212" s="68" t="s">
        <v>204</v>
      </c>
      <c r="G212" s="68" t="s">
        <v>269</v>
      </c>
      <c r="H212" s="50" t="s">
        <v>25</v>
      </c>
      <c r="I212" s="47">
        <v>6</v>
      </c>
      <c r="J212" s="110">
        <v>480555.55</v>
      </c>
      <c r="K212" s="45">
        <v>2883333</v>
      </c>
      <c r="L212" s="45">
        <v>230666</v>
      </c>
      <c r="M212" s="256">
        <f t="shared" ref="M212:M253" si="42">K212+L212</f>
        <v>3113999</v>
      </c>
      <c r="N212" s="111"/>
      <c r="O212" s="111"/>
      <c r="P212" s="111"/>
      <c r="Q212" s="10">
        <f t="shared" si="39"/>
        <v>3113999</v>
      </c>
      <c r="R212" s="112"/>
    </row>
    <row r="213" spans="1:18" s="72" customFormat="1" ht="25.5" hidden="1">
      <c r="A213" s="3" t="s">
        <v>596</v>
      </c>
      <c r="B213" s="70">
        <v>46269</v>
      </c>
      <c r="C213" s="49" t="s">
        <v>266</v>
      </c>
      <c r="D213" s="41" t="s">
        <v>267</v>
      </c>
      <c r="E213" s="68" t="s">
        <v>268</v>
      </c>
      <c r="F213" s="68" t="s">
        <v>208</v>
      </c>
      <c r="G213" s="68" t="s">
        <v>209</v>
      </c>
      <c r="H213" s="68" t="s">
        <v>113</v>
      </c>
      <c r="I213" s="47">
        <v>6</v>
      </c>
      <c r="J213" s="110">
        <v>647222.22</v>
      </c>
      <c r="K213" s="45">
        <v>3883333</v>
      </c>
      <c r="L213" s="45">
        <v>310667</v>
      </c>
      <c r="M213" s="256">
        <f t="shared" si="42"/>
        <v>4194000</v>
      </c>
      <c r="N213" s="111"/>
      <c r="O213" s="111"/>
      <c r="P213" s="111"/>
      <c r="Q213" s="10">
        <f t="shared" si="39"/>
        <v>4194000</v>
      </c>
      <c r="R213" s="112"/>
    </row>
    <row r="214" spans="1:18" s="72" customFormat="1" ht="25.5" hidden="1">
      <c r="A214" s="3" t="s">
        <v>596</v>
      </c>
      <c r="B214" s="70">
        <v>46269</v>
      </c>
      <c r="C214" s="49" t="s">
        <v>266</v>
      </c>
      <c r="D214" s="41" t="s">
        <v>267</v>
      </c>
      <c r="E214" s="68" t="s">
        <v>268</v>
      </c>
      <c r="F214" s="68" t="s">
        <v>77</v>
      </c>
      <c r="G214" s="68" t="s">
        <v>78</v>
      </c>
      <c r="H214" s="68" t="s">
        <v>113</v>
      </c>
      <c r="I214" s="47">
        <v>20</v>
      </c>
      <c r="J214" s="110">
        <v>324074.07</v>
      </c>
      <c r="K214" s="45">
        <v>6481481</v>
      </c>
      <c r="L214" s="45">
        <v>518518</v>
      </c>
      <c r="M214" s="256">
        <f t="shared" si="42"/>
        <v>6999999</v>
      </c>
      <c r="N214" s="111"/>
      <c r="O214" s="111"/>
      <c r="P214" s="111"/>
      <c r="Q214" s="10">
        <f t="shared" si="39"/>
        <v>6999999</v>
      </c>
      <c r="R214" s="112"/>
    </row>
    <row r="215" spans="1:18" s="72" customFormat="1" ht="25.5" hidden="1">
      <c r="A215" s="3" t="s">
        <v>596</v>
      </c>
      <c r="B215" s="70">
        <v>46269</v>
      </c>
      <c r="C215" s="49" t="s">
        <v>266</v>
      </c>
      <c r="D215" s="41" t="s">
        <v>267</v>
      </c>
      <c r="E215" s="68" t="s">
        <v>268</v>
      </c>
      <c r="F215" s="68" t="s">
        <v>262</v>
      </c>
      <c r="G215" s="68" t="s">
        <v>270</v>
      </c>
      <c r="H215" s="68" t="s">
        <v>113</v>
      </c>
      <c r="I215" s="47">
        <v>5</v>
      </c>
      <c r="J215" s="110">
        <v>851851.85</v>
      </c>
      <c r="K215" s="45">
        <v>4259259</v>
      </c>
      <c r="L215" s="45">
        <v>340741</v>
      </c>
      <c r="M215" s="256">
        <f t="shared" si="42"/>
        <v>4600000</v>
      </c>
      <c r="N215" s="111"/>
      <c r="O215" s="111"/>
      <c r="P215" s="111"/>
      <c r="Q215" s="10">
        <f t="shared" si="39"/>
        <v>4600000</v>
      </c>
      <c r="R215" s="112"/>
    </row>
    <row r="216" spans="1:18" s="87" customFormat="1" ht="25.5" hidden="1">
      <c r="A216" s="3" t="s">
        <v>596</v>
      </c>
      <c r="B216" s="70">
        <v>46269</v>
      </c>
      <c r="C216" s="49" t="s">
        <v>266</v>
      </c>
      <c r="D216" s="41" t="s">
        <v>267</v>
      </c>
      <c r="E216" s="68" t="s">
        <v>268</v>
      </c>
      <c r="F216" s="68" t="s">
        <v>23</v>
      </c>
      <c r="G216" s="68" t="s">
        <v>271</v>
      </c>
      <c r="H216" s="68" t="s">
        <v>113</v>
      </c>
      <c r="I216" s="113">
        <v>4</v>
      </c>
      <c r="J216" s="114">
        <v>1185185.18</v>
      </c>
      <c r="K216" s="45">
        <v>4740741</v>
      </c>
      <c r="L216" s="45">
        <v>379259</v>
      </c>
      <c r="M216" s="256">
        <f t="shared" si="42"/>
        <v>5120000</v>
      </c>
      <c r="N216" s="111"/>
      <c r="O216" s="111"/>
      <c r="P216" s="111"/>
      <c r="Q216" s="10">
        <f t="shared" si="39"/>
        <v>5120000</v>
      </c>
      <c r="R216" s="112"/>
    </row>
    <row r="217" spans="1:18" s="87" customFormat="1" ht="25.5" hidden="1">
      <c r="A217" s="3" t="s">
        <v>596</v>
      </c>
      <c r="B217" s="70">
        <v>46269</v>
      </c>
      <c r="C217" s="49" t="s">
        <v>266</v>
      </c>
      <c r="D217" s="41" t="s">
        <v>267</v>
      </c>
      <c r="E217" s="68" t="s">
        <v>268</v>
      </c>
      <c r="F217" s="68" t="s">
        <v>184</v>
      </c>
      <c r="G217" s="68" t="s">
        <v>272</v>
      </c>
      <c r="H217" s="68" t="s">
        <v>113</v>
      </c>
      <c r="I217" s="113">
        <v>10</v>
      </c>
      <c r="J217" s="114">
        <v>240740.74</v>
      </c>
      <c r="K217" s="45">
        <v>2407407</v>
      </c>
      <c r="L217" s="45">
        <v>192593</v>
      </c>
      <c r="M217" s="256">
        <f t="shared" si="42"/>
        <v>2600000</v>
      </c>
      <c r="N217" s="111"/>
      <c r="O217" s="111"/>
      <c r="P217" s="111"/>
      <c r="Q217" s="10">
        <f t="shared" si="39"/>
        <v>2600000</v>
      </c>
      <c r="R217" s="112"/>
    </row>
    <row r="218" spans="1:18" s="87" customFormat="1" ht="25.5" hidden="1">
      <c r="A218" s="3" t="s">
        <v>596</v>
      </c>
      <c r="B218" s="70">
        <v>46269</v>
      </c>
      <c r="C218" s="49" t="s">
        <v>266</v>
      </c>
      <c r="D218" s="41" t="s">
        <v>267</v>
      </c>
      <c r="E218" s="68" t="s">
        <v>268</v>
      </c>
      <c r="F218" s="68" t="s">
        <v>30</v>
      </c>
      <c r="G218" s="68" t="s">
        <v>31</v>
      </c>
      <c r="H218" s="68" t="s">
        <v>113</v>
      </c>
      <c r="I218" s="113">
        <v>10</v>
      </c>
      <c r="J218" s="114">
        <v>259259.25</v>
      </c>
      <c r="K218" s="45">
        <v>2592593</v>
      </c>
      <c r="L218" s="45">
        <v>207407</v>
      </c>
      <c r="M218" s="256">
        <f t="shared" si="42"/>
        <v>2800000</v>
      </c>
      <c r="N218" s="111"/>
      <c r="O218" s="111"/>
      <c r="P218" s="111"/>
      <c r="Q218" s="10">
        <f t="shared" si="39"/>
        <v>2800000</v>
      </c>
      <c r="R218" s="112"/>
    </row>
    <row r="219" spans="1:18" s="72" customFormat="1" ht="25.5" hidden="1">
      <c r="A219" s="3" t="s">
        <v>596</v>
      </c>
      <c r="B219" s="70">
        <v>46269</v>
      </c>
      <c r="C219" s="49" t="s">
        <v>266</v>
      </c>
      <c r="D219" s="41" t="s">
        <v>267</v>
      </c>
      <c r="E219" s="68" t="s">
        <v>268</v>
      </c>
      <c r="F219" s="68" t="s">
        <v>34</v>
      </c>
      <c r="G219" s="68" t="s">
        <v>35</v>
      </c>
      <c r="H219" s="68" t="s">
        <v>113</v>
      </c>
      <c r="I219" s="113">
        <v>10</v>
      </c>
      <c r="J219" s="110">
        <v>240740.74</v>
      </c>
      <c r="K219" s="45">
        <v>2407407</v>
      </c>
      <c r="L219" s="45">
        <v>192593</v>
      </c>
      <c r="M219" s="256">
        <f t="shared" si="42"/>
        <v>2600000</v>
      </c>
      <c r="N219" s="111"/>
      <c r="O219" s="111"/>
      <c r="P219" s="111"/>
      <c r="Q219" s="10">
        <f t="shared" si="39"/>
        <v>2600000</v>
      </c>
      <c r="R219" s="112"/>
    </row>
    <row r="220" spans="1:18" s="72" customFormat="1" ht="38.25" hidden="1">
      <c r="A220" s="3" t="s">
        <v>596</v>
      </c>
      <c r="B220" s="70">
        <v>46269</v>
      </c>
      <c r="C220" s="49" t="s">
        <v>266</v>
      </c>
      <c r="D220" s="41" t="s">
        <v>267</v>
      </c>
      <c r="E220" s="68" t="s">
        <v>268</v>
      </c>
      <c r="F220" s="68" t="s">
        <v>36</v>
      </c>
      <c r="G220" s="68" t="s">
        <v>273</v>
      </c>
      <c r="H220" s="68" t="s">
        <v>113</v>
      </c>
      <c r="I220" s="113">
        <v>10</v>
      </c>
      <c r="J220" s="110">
        <v>259259.25</v>
      </c>
      <c r="K220" s="45">
        <v>2592593</v>
      </c>
      <c r="L220" s="45">
        <v>207407</v>
      </c>
      <c r="M220" s="256">
        <f t="shared" si="42"/>
        <v>2800000</v>
      </c>
      <c r="N220" s="111"/>
      <c r="O220" s="111"/>
      <c r="P220" s="111"/>
      <c r="Q220" s="10">
        <f t="shared" si="39"/>
        <v>2800000</v>
      </c>
      <c r="R220" s="112"/>
    </row>
    <row r="221" spans="1:18" s="72" customFormat="1" ht="25.5" hidden="1">
      <c r="A221" s="3" t="s">
        <v>596</v>
      </c>
      <c r="B221" s="70">
        <v>46269</v>
      </c>
      <c r="C221" s="49" t="s">
        <v>266</v>
      </c>
      <c r="D221" s="41" t="s">
        <v>267</v>
      </c>
      <c r="E221" s="68" t="s">
        <v>268</v>
      </c>
      <c r="F221" s="68" t="s">
        <v>38</v>
      </c>
      <c r="G221" s="68" t="s">
        <v>39</v>
      </c>
      <c r="H221" s="68" t="s">
        <v>113</v>
      </c>
      <c r="I221" s="113">
        <v>10</v>
      </c>
      <c r="J221" s="110">
        <v>277777.77</v>
      </c>
      <c r="K221" s="45">
        <v>2777778</v>
      </c>
      <c r="L221" s="45">
        <v>222222</v>
      </c>
      <c r="M221" s="256">
        <f t="shared" si="42"/>
        <v>3000000</v>
      </c>
      <c r="N221" s="111"/>
      <c r="O221" s="111"/>
      <c r="P221" s="111"/>
      <c r="Q221" s="10">
        <f t="shared" si="39"/>
        <v>3000000</v>
      </c>
      <c r="R221" s="112"/>
    </row>
    <row r="222" spans="1:18" s="72" customFormat="1" ht="25.5" hidden="1">
      <c r="A222" s="3" t="s">
        <v>596</v>
      </c>
      <c r="B222" s="70">
        <v>46269</v>
      </c>
      <c r="C222" s="49" t="s">
        <v>266</v>
      </c>
      <c r="D222" s="41" t="s">
        <v>267</v>
      </c>
      <c r="E222" s="68" t="s">
        <v>268</v>
      </c>
      <c r="F222" s="68" t="s">
        <v>274</v>
      </c>
      <c r="G222" s="68" t="s">
        <v>275</v>
      </c>
      <c r="H222" s="68" t="s">
        <v>113</v>
      </c>
      <c r="I222" s="47">
        <v>20</v>
      </c>
      <c r="J222" s="110">
        <v>416666.66</v>
      </c>
      <c r="K222" s="45">
        <v>8333333</v>
      </c>
      <c r="L222" s="45">
        <v>666667</v>
      </c>
      <c r="M222" s="256">
        <f t="shared" si="42"/>
        <v>9000000</v>
      </c>
      <c r="N222" s="111"/>
      <c r="O222" s="111"/>
      <c r="P222" s="111"/>
      <c r="Q222" s="10">
        <f t="shared" si="39"/>
        <v>9000000</v>
      </c>
      <c r="R222" s="112"/>
    </row>
    <row r="223" spans="1:18" s="72" customFormat="1" ht="25.5" hidden="1">
      <c r="A223" s="3" t="s">
        <v>596</v>
      </c>
      <c r="B223" s="70">
        <v>46269</v>
      </c>
      <c r="C223" s="49" t="s">
        <v>266</v>
      </c>
      <c r="D223" s="41" t="s">
        <v>267</v>
      </c>
      <c r="E223" s="68" t="s">
        <v>268</v>
      </c>
      <c r="F223" s="68" t="s">
        <v>60</v>
      </c>
      <c r="G223" s="68" t="s">
        <v>61</v>
      </c>
      <c r="H223" s="68" t="s">
        <v>113</v>
      </c>
      <c r="I223" s="47">
        <v>10</v>
      </c>
      <c r="J223" s="110">
        <v>1138889</v>
      </c>
      <c r="K223" s="45">
        <f>I223*J223</f>
        <v>11388890</v>
      </c>
      <c r="L223" s="45">
        <v>911111</v>
      </c>
      <c r="M223" s="256">
        <f t="shared" si="42"/>
        <v>12300001</v>
      </c>
      <c r="N223" s="111"/>
      <c r="O223" s="111"/>
      <c r="P223" s="111"/>
      <c r="Q223" s="10">
        <f t="shared" si="39"/>
        <v>12300001</v>
      </c>
      <c r="R223" s="112"/>
    </row>
    <row r="224" spans="1:18" s="72" customFormat="1" ht="25.5" hidden="1">
      <c r="A224" s="3" t="s">
        <v>596</v>
      </c>
      <c r="B224" s="70">
        <v>46269</v>
      </c>
      <c r="C224" s="49" t="s">
        <v>266</v>
      </c>
      <c r="D224" s="41" t="s">
        <v>267</v>
      </c>
      <c r="E224" s="68" t="s">
        <v>268</v>
      </c>
      <c r="F224" s="68" t="s">
        <v>16</v>
      </c>
      <c r="G224" s="68" t="s">
        <v>17</v>
      </c>
      <c r="H224" s="68" t="s">
        <v>113</v>
      </c>
      <c r="I224" s="47">
        <v>4</v>
      </c>
      <c r="J224" s="110">
        <v>851851.85</v>
      </c>
      <c r="K224" s="45">
        <v>3407407</v>
      </c>
      <c r="L224" s="45">
        <v>272593</v>
      </c>
      <c r="M224" s="256">
        <f t="shared" si="42"/>
        <v>3680000</v>
      </c>
      <c r="N224" s="111"/>
      <c r="O224" s="111"/>
      <c r="P224" s="111"/>
      <c r="Q224" s="10">
        <f t="shared" si="39"/>
        <v>3680000</v>
      </c>
      <c r="R224" s="112"/>
    </row>
    <row r="225" spans="1:18" s="72" customFormat="1" ht="25.5" hidden="1">
      <c r="A225" s="3" t="s">
        <v>596</v>
      </c>
      <c r="B225" s="70">
        <v>46269</v>
      </c>
      <c r="C225" s="49" t="s">
        <v>266</v>
      </c>
      <c r="D225" s="41" t="s">
        <v>267</v>
      </c>
      <c r="E225" s="68" t="s">
        <v>268</v>
      </c>
      <c r="F225" s="68" t="s">
        <v>56</v>
      </c>
      <c r="G225" s="68" t="s">
        <v>57</v>
      </c>
      <c r="H225" s="68" t="s">
        <v>113</v>
      </c>
      <c r="I225" s="47">
        <v>30</v>
      </c>
      <c r="J225" s="110">
        <v>325925.92</v>
      </c>
      <c r="K225" s="45">
        <v>9777778</v>
      </c>
      <c r="L225" s="45">
        <v>782222</v>
      </c>
      <c r="M225" s="256">
        <f t="shared" si="42"/>
        <v>10560000</v>
      </c>
      <c r="N225" s="111"/>
      <c r="O225" s="111"/>
      <c r="P225" s="111"/>
      <c r="Q225" s="10">
        <f t="shared" si="39"/>
        <v>10560000</v>
      </c>
      <c r="R225" s="112"/>
    </row>
    <row r="226" spans="1:18" s="72" customFormat="1" ht="25.5" hidden="1">
      <c r="A226" s="3" t="s">
        <v>596</v>
      </c>
      <c r="B226" s="70">
        <v>46269</v>
      </c>
      <c r="C226" s="49" t="s">
        <v>266</v>
      </c>
      <c r="D226" s="41" t="s">
        <v>267</v>
      </c>
      <c r="E226" s="68" t="s">
        <v>268</v>
      </c>
      <c r="F226" s="68" t="s">
        <v>194</v>
      </c>
      <c r="G226" s="68" t="s">
        <v>276</v>
      </c>
      <c r="H226" s="68" t="s">
        <v>277</v>
      </c>
      <c r="I226" s="47">
        <v>2</v>
      </c>
      <c r="J226" s="110">
        <v>1203703.7</v>
      </c>
      <c r="K226" s="45">
        <v>2407407</v>
      </c>
      <c r="L226" s="45">
        <v>192593</v>
      </c>
      <c r="M226" s="256">
        <f t="shared" si="42"/>
        <v>2600000</v>
      </c>
      <c r="N226" s="111"/>
      <c r="O226" s="111"/>
      <c r="P226" s="111"/>
      <c r="Q226" s="10">
        <f t="shared" si="39"/>
        <v>2600000</v>
      </c>
      <c r="R226" s="112"/>
    </row>
    <row r="227" spans="1:18" s="72" customFormat="1" ht="25.5" hidden="1">
      <c r="A227" s="3" t="s">
        <v>596</v>
      </c>
      <c r="B227" s="70">
        <v>46269</v>
      </c>
      <c r="C227" s="49" t="s">
        <v>266</v>
      </c>
      <c r="D227" s="41" t="s">
        <v>267</v>
      </c>
      <c r="E227" s="68" t="s">
        <v>268</v>
      </c>
      <c r="F227" s="68" t="s">
        <v>58</v>
      </c>
      <c r="G227" s="68" t="s">
        <v>278</v>
      </c>
      <c r="H227" s="68"/>
      <c r="I227" s="47">
        <v>2</v>
      </c>
      <c r="J227" s="110">
        <v>1361111.11</v>
      </c>
      <c r="K227" s="45">
        <v>2722222</v>
      </c>
      <c r="L227" s="45">
        <v>217778</v>
      </c>
      <c r="M227" s="256">
        <f t="shared" si="42"/>
        <v>2940000</v>
      </c>
      <c r="N227" s="111"/>
      <c r="O227" s="111"/>
      <c r="P227" s="111"/>
      <c r="Q227" s="10">
        <f t="shared" si="39"/>
        <v>2940000</v>
      </c>
      <c r="R227" s="112"/>
    </row>
    <row r="228" spans="1:18" s="72" customFormat="1" ht="25.5" hidden="1">
      <c r="A228" s="3" t="s">
        <v>596</v>
      </c>
      <c r="B228" s="70">
        <v>46269</v>
      </c>
      <c r="C228" s="49" t="s">
        <v>266</v>
      </c>
      <c r="D228" s="41" t="s">
        <v>267</v>
      </c>
      <c r="E228" s="68" t="s">
        <v>268</v>
      </c>
      <c r="F228" s="68" t="s">
        <v>74</v>
      </c>
      <c r="G228" s="68" t="s">
        <v>141</v>
      </c>
      <c r="H228" s="68" t="s">
        <v>113</v>
      </c>
      <c r="I228" s="47">
        <v>16</v>
      </c>
      <c r="J228" s="110">
        <v>361111.11</v>
      </c>
      <c r="K228" s="45">
        <v>5777778</v>
      </c>
      <c r="L228" s="45">
        <v>462222</v>
      </c>
      <c r="M228" s="256">
        <f t="shared" si="42"/>
        <v>6240000</v>
      </c>
      <c r="N228" s="111"/>
      <c r="O228" s="111"/>
      <c r="P228" s="111"/>
      <c r="Q228" s="10">
        <f t="shared" si="39"/>
        <v>6240000</v>
      </c>
      <c r="R228" s="112"/>
    </row>
    <row r="229" spans="1:18" s="72" customFormat="1" ht="25.5" hidden="1">
      <c r="A229" s="3" t="s">
        <v>596</v>
      </c>
      <c r="B229" s="70">
        <v>46269</v>
      </c>
      <c r="C229" s="49" t="s">
        <v>266</v>
      </c>
      <c r="D229" s="41" t="s">
        <v>267</v>
      </c>
      <c r="E229" s="68" t="s">
        <v>268</v>
      </c>
      <c r="F229" s="68" t="s">
        <v>279</v>
      </c>
      <c r="G229" s="68" t="s">
        <v>280</v>
      </c>
      <c r="H229" s="68" t="s">
        <v>113</v>
      </c>
      <c r="I229" s="47">
        <v>4</v>
      </c>
      <c r="J229" s="110">
        <v>387962.96</v>
      </c>
      <c r="K229" s="45">
        <v>1551852</v>
      </c>
      <c r="L229" s="45">
        <v>124148</v>
      </c>
      <c r="M229" s="256">
        <f t="shared" si="42"/>
        <v>1676000</v>
      </c>
      <c r="N229" s="111"/>
      <c r="O229" s="111"/>
      <c r="P229" s="111"/>
      <c r="Q229" s="10">
        <f t="shared" si="39"/>
        <v>1676000</v>
      </c>
      <c r="R229" s="112"/>
    </row>
    <row r="230" spans="1:18" s="72" customFormat="1" ht="25.5" hidden="1">
      <c r="A230" s="3" t="s">
        <v>596</v>
      </c>
      <c r="B230" s="70">
        <v>46269</v>
      </c>
      <c r="C230" s="49" t="s">
        <v>266</v>
      </c>
      <c r="D230" s="41" t="s">
        <v>267</v>
      </c>
      <c r="E230" s="68" t="s">
        <v>268</v>
      </c>
      <c r="F230" s="68" t="s">
        <v>258</v>
      </c>
      <c r="G230" s="68" t="s">
        <v>259</v>
      </c>
      <c r="H230" s="68" t="s">
        <v>113</v>
      </c>
      <c r="I230" s="47">
        <v>4</v>
      </c>
      <c r="J230" s="110">
        <v>472222.22</v>
      </c>
      <c r="K230" s="45">
        <v>1888889</v>
      </c>
      <c r="L230" s="45">
        <v>151111</v>
      </c>
      <c r="M230" s="256">
        <f t="shared" si="42"/>
        <v>2040000</v>
      </c>
      <c r="N230" s="111"/>
      <c r="O230" s="111"/>
      <c r="P230" s="111"/>
      <c r="Q230" s="10">
        <f t="shared" si="39"/>
        <v>2040000</v>
      </c>
      <c r="R230" s="112"/>
    </row>
    <row r="231" spans="1:18" s="72" customFormat="1" ht="25.5" hidden="1">
      <c r="A231" s="3" t="s">
        <v>596</v>
      </c>
      <c r="B231" s="70">
        <v>46269</v>
      </c>
      <c r="C231" s="49" t="s">
        <v>266</v>
      </c>
      <c r="D231" s="41" t="s">
        <v>267</v>
      </c>
      <c r="E231" s="68" t="s">
        <v>268</v>
      </c>
      <c r="F231" s="68" t="s">
        <v>260</v>
      </c>
      <c r="G231" s="68" t="s">
        <v>261</v>
      </c>
      <c r="H231" s="68" t="s">
        <v>113</v>
      </c>
      <c r="I231" s="47">
        <v>4</v>
      </c>
      <c r="J231" s="110">
        <v>492592.59</v>
      </c>
      <c r="K231" s="45">
        <v>1970370</v>
      </c>
      <c r="L231" s="45">
        <v>157630</v>
      </c>
      <c r="M231" s="256">
        <f t="shared" si="42"/>
        <v>2128000</v>
      </c>
      <c r="N231" s="111"/>
      <c r="O231" s="111"/>
      <c r="P231" s="111"/>
      <c r="Q231" s="10">
        <f t="shared" si="39"/>
        <v>2128000</v>
      </c>
      <c r="R231" s="112"/>
    </row>
    <row r="232" spans="1:18" s="72" customFormat="1" ht="25.5" hidden="1">
      <c r="A232" s="3" t="s">
        <v>596</v>
      </c>
      <c r="B232" s="70">
        <v>46269</v>
      </c>
      <c r="C232" s="49" t="s">
        <v>266</v>
      </c>
      <c r="D232" s="41" t="s">
        <v>267</v>
      </c>
      <c r="E232" s="68" t="s">
        <v>268</v>
      </c>
      <c r="F232" s="68" t="s">
        <v>83</v>
      </c>
      <c r="G232" s="68" t="s">
        <v>84</v>
      </c>
      <c r="H232" s="68" t="s">
        <v>113</v>
      </c>
      <c r="I232" s="47">
        <v>10</v>
      </c>
      <c r="J232" s="110">
        <v>1097222.22</v>
      </c>
      <c r="K232" s="45">
        <v>10972222</v>
      </c>
      <c r="L232" s="45">
        <v>877778</v>
      </c>
      <c r="M232" s="256">
        <f t="shared" si="42"/>
        <v>11850000</v>
      </c>
      <c r="N232" s="111"/>
      <c r="O232" s="111"/>
      <c r="P232" s="111"/>
      <c r="Q232" s="10">
        <f t="shared" si="39"/>
        <v>11850000</v>
      </c>
      <c r="R232" s="112"/>
    </row>
    <row r="233" spans="1:18" s="84" customFormat="1" ht="15.75" hidden="1">
      <c r="A233" s="3" t="s">
        <v>596</v>
      </c>
      <c r="B233" s="76">
        <v>46330</v>
      </c>
      <c r="C233" s="115"/>
      <c r="D233" s="116"/>
      <c r="E233" s="117" t="s">
        <v>281</v>
      </c>
      <c r="F233" s="117"/>
      <c r="G233" s="117"/>
      <c r="H233" s="117"/>
      <c r="I233" s="118"/>
      <c r="J233" s="119"/>
      <c r="K233" s="81"/>
      <c r="L233" s="81"/>
      <c r="M233" s="120"/>
      <c r="O233" s="120">
        <v>820000</v>
      </c>
      <c r="P233" s="120"/>
      <c r="Q233" s="10">
        <f t="shared" si="39"/>
        <v>-820000</v>
      </c>
      <c r="R233" s="121"/>
    </row>
    <row r="234" spans="1:18" s="87" customFormat="1" ht="25.5" hidden="1">
      <c r="A234" s="3" t="s">
        <v>596</v>
      </c>
      <c r="B234" s="85" t="s">
        <v>282</v>
      </c>
      <c r="C234" s="58" t="s">
        <v>283</v>
      </c>
      <c r="D234" s="63" t="s">
        <v>284</v>
      </c>
      <c r="E234" s="68" t="s">
        <v>268</v>
      </c>
      <c r="F234" s="68" t="s">
        <v>30</v>
      </c>
      <c r="G234" s="68" t="s">
        <v>31</v>
      </c>
      <c r="H234" s="68" t="s">
        <v>113</v>
      </c>
      <c r="I234" s="113">
        <v>20</v>
      </c>
      <c r="J234" s="114">
        <v>259259.25</v>
      </c>
      <c r="K234" s="67">
        <v>5185185</v>
      </c>
      <c r="L234" s="67">
        <v>414815</v>
      </c>
      <c r="M234" s="203">
        <f t="shared" si="42"/>
        <v>5600000</v>
      </c>
      <c r="N234" s="111"/>
      <c r="O234" s="111"/>
      <c r="P234" s="111"/>
      <c r="Q234" s="10">
        <f t="shared" si="39"/>
        <v>5600000</v>
      </c>
      <c r="R234" s="112"/>
    </row>
    <row r="235" spans="1:18" s="87" customFormat="1" ht="18.600000000000001" hidden="1" customHeight="1">
      <c r="A235" s="3" t="s">
        <v>596</v>
      </c>
      <c r="B235" s="85" t="s">
        <v>282</v>
      </c>
      <c r="C235" s="58" t="s">
        <v>283</v>
      </c>
      <c r="D235" s="63" t="s">
        <v>284</v>
      </c>
      <c r="E235" s="68" t="s">
        <v>268</v>
      </c>
      <c r="F235" s="68" t="s">
        <v>32</v>
      </c>
      <c r="G235" s="68" t="s">
        <v>33</v>
      </c>
      <c r="H235" s="68" t="s">
        <v>113</v>
      </c>
      <c r="I235" s="113">
        <v>10</v>
      </c>
      <c r="J235" s="114">
        <v>226851.85</v>
      </c>
      <c r="K235" s="67">
        <v>2268519</v>
      </c>
      <c r="L235" s="67">
        <v>181482</v>
      </c>
      <c r="M235" s="203">
        <f t="shared" si="42"/>
        <v>2450001</v>
      </c>
      <c r="N235" s="111"/>
      <c r="O235" s="111"/>
      <c r="P235" s="111"/>
      <c r="Q235" s="10">
        <f t="shared" si="39"/>
        <v>2450001</v>
      </c>
      <c r="R235" s="112"/>
    </row>
    <row r="236" spans="1:18" s="87" customFormat="1" ht="25.5" hidden="1">
      <c r="A236" s="3" t="s">
        <v>596</v>
      </c>
      <c r="B236" s="85" t="s">
        <v>282</v>
      </c>
      <c r="C236" s="58" t="s">
        <v>283</v>
      </c>
      <c r="D236" s="63" t="s">
        <v>284</v>
      </c>
      <c r="E236" s="68" t="s">
        <v>268</v>
      </c>
      <c r="F236" s="68" t="s">
        <v>34</v>
      </c>
      <c r="G236" s="68" t="s">
        <v>35</v>
      </c>
      <c r="H236" s="68" t="s">
        <v>113</v>
      </c>
      <c r="I236" s="113">
        <v>10</v>
      </c>
      <c r="J236" s="114">
        <v>240740.74</v>
      </c>
      <c r="K236" s="67">
        <v>2407407</v>
      </c>
      <c r="L236" s="67">
        <v>192593</v>
      </c>
      <c r="M236" s="203">
        <f t="shared" si="42"/>
        <v>2600000</v>
      </c>
      <c r="N236" s="111"/>
      <c r="O236" s="111"/>
      <c r="P236" s="111"/>
      <c r="Q236" s="10">
        <f t="shared" si="39"/>
        <v>2600000</v>
      </c>
      <c r="R236" s="112"/>
    </row>
    <row r="237" spans="1:18" s="87" customFormat="1" ht="25.5" hidden="1">
      <c r="A237" s="3" t="s">
        <v>596</v>
      </c>
      <c r="B237" s="85" t="s">
        <v>282</v>
      </c>
      <c r="C237" s="58" t="s">
        <v>283</v>
      </c>
      <c r="D237" s="63" t="s">
        <v>284</v>
      </c>
      <c r="E237" s="68" t="s">
        <v>268</v>
      </c>
      <c r="F237" s="68" t="s">
        <v>36</v>
      </c>
      <c r="G237" s="68" t="s">
        <v>37</v>
      </c>
      <c r="H237" s="68" t="s">
        <v>113</v>
      </c>
      <c r="I237" s="113">
        <v>20</v>
      </c>
      <c r="J237" s="114">
        <v>259259.25</v>
      </c>
      <c r="K237" s="67">
        <v>5185185</v>
      </c>
      <c r="L237" s="67">
        <v>414815</v>
      </c>
      <c r="M237" s="203">
        <f t="shared" si="42"/>
        <v>5600000</v>
      </c>
      <c r="N237" s="111"/>
      <c r="O237" s="111"/>
      <c r="P237" s="111"/>
      <c r="Q237" s="10">
        <f t="shared" si="39"/>
        <v>5600000</v>
      </c>
      <c r="R237" s="112"/>
    </row>
    <row r="238" spans="1:18" s="87" customFormat="1" ht="25.5" hidden="1">
      <c r="A238" s="3" t="s">
        <v>596</v>
      </c>
      <c r="B238" s="85" t="s">
        <v>282</v>
      </c>
      <c r="C238" s="58" t="s">
        <v>283</v>
      </c>
      <c r="D238" s="63" t="s">
        <v>284</v>
      </c>
      <c r="E238" s="68" t="s">
        <v>268</v>
      </c>
      <c r="F238" s="68" t="s">
        <v>38</v>
      </c>
      <c r="G238" s="68" t="s">
        <v>39</v>
      </c>
      <c r="H238" s="68" t="s">
        <v>113</v>
      </c>
      <c r="I238" s="113">
        <v>20</v>
      </c>
      <c r="J238" s="114">
        <v>277777.8</v>
      </c>
      <c r="K238" s="67">
        <v>5555556</v>
      </c>
      <c r="L238" s="67">
        <v>444444</v>
      </c>
      <c r="M238" s="203">
        <f t="shared" si="42"/>
        <v>6000000</v>
      </c>
      <c r="N238" s="111"/>
      <c r="O238" s="111"/>
      <c r="P238" s="111"/>
      <c r="Q238" s="10">
        <f t="shared" si="39"/>
        <v>6000000</v>
      </c>
      <c r="R238" s="112"/>
    </row>
    <row r="239" spans="1:18" s="87" customFormat="1" ht="25.5" hidden="1">
      <c r="A239" s="3" t="s">
        <v>596</v>
      </c>
      <c r="B239" s="85" t="s">
        <v>282</v>
      </c>
      <c r="C239" s="58" t="s">
        <v>283</v>
      </c>
      <c r="D239" s="63" t="s">
        <v>284</v>
      </c>
      <c r="E239" s="68" t="s">
        <v>268</v>
      </c>
      <c r="F239" s="68" t="s">
        <v>180</v>
      </c>
      <c r="G239" s="68" t="s">
        <v>181</v>
      </c>
      <c r="H239" s="68" t="s">
        <v>113</v>
      </c>
      <c r="I239" s="113">
        <v>10</v>
      </c>
      <c r="J239" s="114">
        <v>234259.26</v>
      </c>
      <c r="K239" s="67">
        <v>2342593</v>
      </c>
      <c r="L239" s="67">
        <v>187407</v>
      </c>
      <c r="M239" s="203">
        <f t="shared" si="42"/>
        <v>2530000</v>
      </c>
      <c r="N239" s="111"/>
      <c r="O239" s="111"/>
      <c r="P239" s="111"/>
      <c r="Q239" s="10">
        <f t="shared" si="39"/>
        <v>2530000</v>
      </c>
      <c r="R239" s="112"/>
    </row>
    <row r="240" spans="1:18" s="87" customFormat="1" ht="25.5" hidden="1">
      <c r="A240" s="3" t="s">
        <v>596</v>
      </c>
      <c r="B240" s="85" t="s">
        <v>282</v>
      </c>
      <c r="C240" s="58" t="s">
        <v>283</v>
      </c>
      <c r="D240" s="63" t="s">
        <v>284</v>
      </c>
      <c r="E240" s="68" t="s">
        <v>268</v>
      </c>
      <c r="F240" s="68" t="s">
        <v>26</v>
      </c>
      <c r="G240" s="68" t="s">
        <v>27</v>
      </c>
      <c r="H240" s="68" t="s">
        <v>113</v>
      </c>
      <c r="I240" s="113">
        <v>10</v>
      </c>
      <c r="J240" s="114">
        <v>256481.48</v>
      </c>
      <c r="K240" s="67">
        <v>2564815</v>
      </c>
      <c r="L240" s="67">
        <v>205185</v>
      </c>
      <c r="M240" s="203">
        <f t="shared" si="42"/>
        <v>2770000</v>
      </c>
      <c r="N240" s="111"/>
      <c r="O240" s="111"/>
      <c r="P240" s="111"/>
      <c r="Q240" s="10">
        <f t="shared" si="39"/>
        <v>2770000</v>
      </c>
      <c r="R240" s="112"/>
    </row>
    <row r="241" spans="1:19" s="87" customFormat="1" ht="25.5" hidden="1">
      <c r="A241" s="3" t="s">
        <v>596</v>
      </c>
      <c r="B241" s="85" t="s">
        <v>282</v>
      </c>
      <c r="C241" s="58" t="s">
        <v>283</v>
      </c>
      <c r="D241" s="63" t="s">
        <v>284</v>
      </c>
      <c r="E241" s="68" t="s">
        <v>268</v>
      </c>
      <c r="F241" s="68" t="s">
        <v>28</v>
      </c>
      <c r="G241" s="68" t="s">
        <v>29</v>
      </c>
      <c r="H241" s="68" t="s">
        <v>113</v>
      </c>
      <c r="I241" s="113">
        <v>30</v>
      </c>
      <c r="J241" s="114">
        <v>281481.48</v>
      </c>
      <c r="K241" s="67">
        <v>8444444</v>
      </c>
      <c r="L241" s="67">
        <v>675556</v>
      </c>
      <c r="M241" s="203">
        <f t="shared" si="42"/>
        <v>9120000</v>
      </c>
      <c r="N241" s="111"/>
      <c r="O241" s="111"/>
      <c r="P241" s="111"/>
      <c r="Q241" s="10">
        <f t="shared" si="39"/>
        <v>9120000</v>
      </c>
      <c r="R241" s="112"/>
    </row>
    <row r="242" spans="1:19" s="87" customFormat="1" ht="25.5" hidden="1">
      <c r="A242" s="3" t="s">
        <v>596</v>
      </c>
      <c r="B242" s="85" t="s">
        <v>282</v>
      </c>
      <c r="C242" s="58" t="s">
        <v>283</v>
      </c>
      <c r="D242" s="63" t="s">
        <v>284</v>
      </c>
      <c r="E242" s="68" t="s">
        <v>268</v>
      </c>
      <c r="F242" s="68" t="s">
        <v>204</v>
      </c>
      <c r="G242" s="68" t="s">
        <v>269</v>
      </c>
      <c r="H242" s="68" t="s">
        <v>113</v>
      </c>
      <c r="I242" s="113">
        <v>10</v>
      </c>
      <c r="J242" s="114">
        <v>480555.55</v>
      </c>
      <c r="K242" s="67">
        <v>4805556</v>
      </c>
      <c r="L242" s="67">
        <v>384444</v>
      </c>
      <c r="M242" s="203">
        <f t="shared" si="42"/>
        <v>5190000</v>
      </c>
      <c r="N242" s="111"/>
      <c r="O242" s="111"/>
      <c r="P242" s="111"/>
      <c r="Q242" s="10">
        <f t="shared" si="39"/>
        <v>5190000</v>
      </c>
      <c r="R242" s="112"/>
    </row>
    <row r="243" spans="1:19" s="87" customFormat="1" ht="25.5" hidden="1">
      <c r="A243" s="3" t="s">
        <v>596</v>
      </c>
      <c r="B243" s="85" t="s">
        <v>282</v>
      </c>
      <c r="C243" s="58" t="s">
        <v>283</v>
      </c>
      <c r="D243" s="63" t="s">
        <v>284</v>
      </c>
      <c r="E243" s="68" t="s">
        <v>268</v>
      </c>
      <c r="F243" s="68" t="s">
        <v>208</v>
      </c>
      <c r="G243" s="68" t="s">
        <v>209</v>
      </c>
      <c r="H243" s="68" t="s">
        <v>113</v>
      </c>
      <c r="I243" s="113">
        <v>10</v>
      </c>
      <c r="J243" s="114">
        <v>647222.22</v>
      </c>
      <c r="K243" s="67">
        <v>6472222</v>
      </c>
      <c r="L243" s="67">
        <v>517778</v>
      </c>
      <c r="M243" s="203">
        <f t="shared" si="42"/>
        <v>6990000</v>
      </c>
      <c r="N243" s="111"/>
      <c r="O243" s="111"/>
      <c r="P243" s="111"/>
      <c r="Q243" s="10">
        <f t="shared" si="39"/>
        <v>6990000</v>
      </c>
      <c r="R243" s="112"/>
    </row>
    <row r="244" spans="1:19" s="87" customFormat="1" ht="25.5" hidden="1">
      <c r="A244" s="3" t="s">
        <v>596</v>
      </c>
      <c r="B244" s="85" t="s">
        <v>282</v>
      </c>
      <c r="C244" s="58" t="s">
        <v>285</v>
      </c>
      <c r="D244" s="63" t="s">
        <v>284</v>
      </c>
      <c r="E244" s="68" t="s">
        <v>268</v>
      </c>
      <c r="F244" s="68" t="s">
        <v>34</v>
      </c>
      <c r="G244" s="68" t="s">
        <v>35</v>
      </c>
      <c r="H244" s="68" t="s">
        <v>113</v>
      </c>
      <c r="I244" s="113">
        <v>1</v>
      </c>
      <c r="J244" s="114">
        <v>240740.74</v>
      </c>
      <c r="K244" s="67">
        <v>240741</v>
      </c>
      <c r="L244" s="67">
        <v>19259</v>
      </c>
      <c r="M244" s="203">
        <f t="shared" si="42"/>
        <v>260000</v>
      </c>
      <c r="N244" s="111"/>
      <c r="O244" s="111"/>
      <c r="P244" s="111"/>
      <c r="Q244" s="10">
        <f t="shared" si="39"/>
        <v>260000</v>
      </c>
      <c r="R244" s="112"/>
      <c r="S244" s="87" t="s">
        <v>286</v>
      </c>
    </row>
    <row r="245" spans="1:19" s="87" customFormat="1" ht="25.5" hidden="1">
      <c r="A245" s="3" t="s">
        <v>596</v>
      </c>
      <c r="B245" s="85" t="s">
        <v>282</v>
      </c>
      <c r="C245" s="58" t="s">
        <v>285</v>
      </c>
      <c r="D245" s="63" t="s">
        <v>284</v>
      </c>
      <c r="E245" s="68" t="s">
        <v>268</v>
      </c>
      <c r="F245" s="68" t="s">
        <v>30</v>
      </c>
      <c r="G245" s="68" t="s">
        <v>31</v>
      </c>
      <c r="H245" s="68" t="s">
        <v>113</v>
      </c>
      <c r="I245" s="113">
        <v>1</v>
      </c>
      <c r="J245" s="114">
        <v>259259.25</v>
      </c>
      <c r="K245" s="67">
        <v>259259</v>
      </c>
      <c r="L245" s="67">
        <v>20741</v>
      </c>
      <c r="M245" s="203">
        <f t="shared" si="42"/>
        <v>280000</v>
      </c>
      <c r="N245" s="111"/>
      <c r="O245" s="111"/>
      <c r="P245" s="111"/>
      <c r="Q245" s="10">
        <f t="shared" si="39"/>
        <v>280000</v>
      </c>
      <c r="R245" s="112"/>
      <c r="S245" s="87" t="s">
        <v>286</v>
      </c>
    </row>
    <row r="246" spans="1:19" s="87" customFormat="1" ht="25.5" hidden="1">
      <c r="A246" s="3" t="s">
        <v>596</v>
      </c>
      <c r="B246" s="85" t="s">
        <v>282</v>
      </c>
      <c r="C246" s="58" t="s">
        <v>285</v>
      </c>
      <c r="D246" s="63" t="s">
        <v>284</v>
      </c>
      <c r="E246" s="68" t="s">
        <v>268</v>
      </c>
      <c r="F246" s="68" t="s">
        <v>38</v>
      </c>
      <c r="G246" s="68" t="s">
        <v>39</v>
      </c>
      <c r="H246" s="68" t="s">
        <v>113</v>
      </c>
      <c r="I246" s="113">
        <v>1</v>
      </c>
      <c r="J246" s="114">
        <v>277777.78000000003</v>
      </c>
      <c r="K246" s="67">
        <v>277778</v>
      </c>
      <c r="L246" s="67">
        <v>22222</v>
      </c>
      <c r="M246" s="203">
        <f t="shared" si="42"/>
        <v>300000</v>
      </c>
      <c r="N246" s="111"/>
      <c r="O246" s="111"/>
      <c r="P246" s="111"/>
      <c r="Q246" s="10">
        <f t="shared" si="39"/>
        <v>300000</v>
      </c>
      <c r="R246" s="112"/>
      <c r="S246" s="87" t="s">
        <v>286</v>
      </c>
    </row>
    <row r="247" spans="1:19" s="84" customFormat="1" ht="15.75" hidden="1">
      <c r="A247" s="3" t="s">
        <v>596</v>
      </c>
      <c r="B247" s="76" t="s">
        <v>232</v>
      </c>
      <c r="C247" s="115"/>
      <c r="D247" s="116"/>
      <c r="E247" s="117" t="s">
        <v>281</v>
      </c>
      <c r="F247" s="117"/>
      <c r="G247" s="117"/>
      <c r="H247" s="117"/>
      <c r="I247" s="118"/>
      <c r="J247" s="119"/>
      <c r="K247" s="81"/>
      <c r="L247" s="81"/>
      <c r="M247" s="120"/>
      <c r="O247" s="120">
        <v>460000</v>
      </c>
      <c r="P247" s="120"/>
      <c r="Q247" s="10">
        <f t="shared" si="39"/>
        <v>-460000</v>
      </c>
      <c r="R247" s="121"/>
    </row>
    <row r="248" spans="1:19" s="87" customFormat="1" ht="15.75" hidden="1">
      <c r="A248" s="3" t="s">
        <v>596</v>
      </c>
      <c r="B248" s="85" t="s">
        <v>287</v>
      </c>
      <c r="C248" s="58" t="s">
        <v>288</v>
      </c>
      <c r="D248" s="85" t="s">
        <v>287</v>
      </c>
      <c r="E248" s="68" t="s">
        <v>289</v>
      </c>
      <c r="F248" s="68" t="s">
        <v>194</v>
      </c>
      <c r="G248" s="68" t="s">
        <v>276</v>
      </c>
      <c r="H248" s="68" t="s">
        <v>277</v>
      </c>
      <c r="I248" s="92">
        <v>-2</v>
      </c>
      <c r="J248" s="110">
        <v>1203703.7</v>
      </c>
      <c r="K248" s="93">
        <v>-2407407</v>
      </c>
      <c r="L248" s="93">
        <v>-192593</v>
      </c>
      <c r="M248" s="203">
        <f t="shared" si="42"/>
        <v>-2600000</v>
      </c>
      <c r="N248" s="67"/>
      <c r="O248" s="67"/>
      <c r="P248" s="67"/>
      <c r="Q248" s="10">
        <f t="shared" si="39"/>
        <v>-2600000</v>
      </c>
      <c r="R248" s="112"/>
    </row>
    <row r="249" spans="1:19" s="87" customFormat="1" ht="15.75" hidden="1">
      <c r="A249" s="3" t="s">
        <v>596</v>
      </c>
      <c r="B249" s="85" t="s">
        <v>287</v>
      </c>
      <c r="C249" s="58" t="s">
        <v>288</v>
      </c>
      <c r="D249" s="85" t="s">
        <v>287</v>
      </c>
      <c r="E249" s="68" t="s">
        <v>289</v>
      </c>
      <c r="F249" s="68" t="s">
        <v>58</v>
      </c>
      <c r="G249" s="68" t="s">
        <v>278</v>
      </c>
      <c r="H249" s="68" t="s">
        <v>277</v>
      </c>
      <c r="I249" s="92">
        <v>-2</v>
      </c>
      <c r="J249" s="110">
        <v>1361111.11</v>
      </c>
      <c r="K249" s="93">
        <v>-2722222</v>
      </c>
      <c r="L249" s="93">
        <v>-217778</v>
      </c>
      <c r="M249" s="203">
        <f t="shared" si="42"/>
        <v>-2940000</v>
      </c>
      <c r="N249" s="67"/>
      <c r="O249" s="67"/>
      <c r="P249" s="67"/>
      <c r="Q249" s="10">
        <f t="shared" si="39"/>
        <v>-2940000</v>
      </c>
      <c r="R249" s="112"/>
    </row>
    <row r="250" spans="1:19" s="87" customFormat="1" ht="25.5" hidden="1">
      <c r="A250" s="3" t="s">
        <v>596</v>
      </c>
      <c r="B250" s="85" t="s">
        <v>287</v>
      </c>
      <c r="C250" s="58" t="s">
        <v>288</v>
      </c>
      <c r="D250" s="85" t="s">
        <v>287</v>
      </c>
      <c r="E250" s="68" t="s">
        <v>289</v>
      </c>
      <c r="F250" s="68" t="s">
        <v>60</v>
      </c>
      <c r="G250" s="68" t="s">
        <v>61</v>
      </c>
      <c r="H250" s="68" t="s">
        <v>113</v>
      </c>
      <c r="I250" s="92">
        <v>-9</v>
      </c>
      <c r="J250" s="110">
        <v>1138889</v>
      </c>
      <c r="K250" s="93">
        <v>-10250001</v>
      </c>
      <c r="L250" s="93">
        <v>-820000</v>
      </c>
      <c r="M250" s="203">
        <f t="shared" si="42"/>
        <v>-11070001</v>
      </c>
      <c r="N250" s="67"/>
      <c r="O250" s="67"/>
      <c r="P250" s="67"/>
      <c r="Q250" s="10">
        <f t="shared" si="39"/>
        <v>-11070001</v>
      </c>
      <c r="R250" s="112"/>
    </row>
    <row r="251" spans="1:19" s="87" customFormat="1" ht="25.5" hidden="1">
      <c r="A251" s="3" t="s">
        <v>596</v>
      </c>
      <c r="B251" s="85" t="s">
        <v>287</v>
      </c>
      <c r="C251" s="58" t="s">
        <v>288</v>
      </c>
      <c r="D251" s="85" t="s">
        <v>287</v>
      </c>
      <c r="E251" s="68" t="s">
        <v>289</v>
      </c>
      <c r="F251" s="68" t="s">
        <v>83</v>
      </c>
      <c r="G251" s="68" t="s">
        <v>84</v>
      </c>
      <c r="H251" s="68" t="s">
        <v>113</v>
      </c>
      <c r="I251" s="92">
        <v>-10</v>
      </c>
      <c r="J251" s="110">
        <v>1097222.22</v>
      </c>
      <c r="K251" s="93">
        <v>-10972222</v>
      </c>
      <c r="L251" s="93">
        <v>-877778</v>
      </c>
      <c r="M251" s="203">
        <f t="shared" si="42"/>
        <v>-11850000</v>
      </c>
      <c r="N251" s="67"/>
      <c r="O251" s="67"/>
      <c r="P251" s="67"/>
      <c r="Q251" s="10">
        <f t="shared" si="39"/>
        <v>-11850000</v>
      </c>
      <c r="R251" s="112"/>
    </row>
    <row r="252" spans="1:19" s="87" customFormat="1" ht="25.5" hidden="1">
      <c r="A252" s="3" t="s">
        <v>596</v>
      </c>
      <c r="B252" s="85" t="s">
        <v>287</v>
      </c>
      <c r="C252" s="58" t="s">
        <v>288</v>
      </c>
      <c r="D252" s="85" t="s">
        <v>287</v>
      </c>
      <c r="E252" s="68" t="s">
        <v>289</v>
      </c>
      <c r="F252" s="68" t="s">
        <v>16</v>
      </c>
      <c r="G252" s="68" t="s">
        <v>17</v>
      </c>
      <c r="H252" s="68" t="s">
        <v>113</v>
      </c>
      <c r="I252" s="92">
        <v>-3</v>
      </c>
      <c r="J252" s="110">
        <v>851851.85</v>
      </c>
      <c r="K252" s="93">
        <v>-2555556</v>
      </c>
      <c r="L252" s="93">
        <v>-204444</v>
      </c>
      <c r="M252" s="203">
        <f t="shared" si="42"/>
        <v>-2760000</v>
      </c>
      <c r="N252" s="67"/>
      <c r="O252" s="67"/>
      <c r="P252" s="67"/>
      <c r="Q252" s="10">
        <f t="shared" si="39"/>
        <v>-2760000</v>
      </c>
      <c r="R252" s="112"/>
    </row>
    <row r="253" spans="1:19" s="87" customFormat="1" ht="15.75" hidden="1">
      <c r="A253" s="3" t="s">
        <v>596</v>
      </c>
      <c r="B253" s="85" t="s">
        <v>287</v>
      </c>
      <c r="C253" s="58" t="s">
        <v>288</v>
      </c>
      <c r="D253" s="85" t="s">
        <v>287</v>
      </c>
      <c r="E253" s="68" t="s">
        <v>289</v>
      </c>
      <c r="F253" s="68" t="s">
        <v>56</v>
      </c>
      <c r="G253" s="68" t="s">
        <v>57</v>
      </c>
      <c r="H253" s="68" t="s">
        <v>113</v>
      </c>
      <c r="I253" s="92">
        <v>-29</v>
      </c>
      <c r="J253" s="110">
        <v>325925.92</v>
      </c>
      <c r="K253" s="93">
        <v>-9451852</v>
      </c>
      <c r="L253" s="93">
        <v>-756148</v>
      </c>
      <c r="M253" s="203">
        <f t="shared" si="42"/>
        <v>-10208000</v>
      </c>
      <c r="N253" s="67"/>
      <c r="O253" s="67"/>
      <c r="P253" s="67"/>
      <c r="Q253" s="10">
        <f t="shared" si="39"/>
        <v>-10208000</v>
      </c>
      <c r="R253" s="112"/>
    </row>
    <row r="254" spans="1:19" s="87" customFormat="1" ht="25.5" hidden="1">
      <c r="A254" s="3" t="s">
        <v>596</v>
      </c>
      <c r="B254" s="85" t="s">
        <v>287</v>
      </c>
      <c r="C254" s="58" t="s">
        <v>290</v>
      </c>
      <c r="D254" s="63" t="s">
        <v>291</v>
      </c>
      <c r="E254" s="68" t="s">
        <v>268</v>
      </c>
      <c r="F254" s="68" t="s">
        <v>74</v>
      </c>
      <c r="G254" s="68" t="s">
        <v>141</v>
      </c>
      <c r="H254" s="68" t="s">
        <v>113</v>
      </c>
      <c r="I254" s="47">
        <v>10</v>
      </c>
      <c r="J254" s="110">
        <v>361111.11</v>
      </c>
      <c r="K254" s="45">
        <v>3611111</v>
      </c>
      <c r="L254" s="45">
        <v>288889</v>
      </c>
      <c r="M254" s="256">
        <f>K254+L254</f>
        <v>3900000</v>
      </c>
      <c r="N254" s="67"/>
      <c r="O254" s="67"/>
      <c r="P254" s="67"/>
      <c r="Q254" s="10">
        <f t="shared" si="39"/>
        <v>3900000</v>
      </c>
      <c r="R254" s="112"/>
    </row>
    <row r="255" spans="1:19" s="87" customFormat="1" ht="25.5" hidden="1">
      <c r="A255" s="3" t="s">
        <v>596</v>
      </c>
      <c r="B255" s="85" t="s">
        <v>287</v>
      </c>
      <c r="C255" s="58" t="s">
        <v>290</v>
      </c>
      <c r="D255" s="63" t="s">
        <v>291</v>
      </c>
      <c r="E255" s="68" t="s">
        <v>268</v>
      </c>
      <c r="F255" s="68" t="s">
        <v>34</v>
      </c>
      <c r="G255" s="68" t="s">
        <v>35</v>
      </c>
      <c r="H255" s="68" t="s">
        <v>113</v>
      </c>
      <c r="I255" s="113">
        <v>5</v>
      </c>
      <c r="J255" s="114">
        <v>240740.74</v>
      </c>
      <c r="K255" s="67">
        <v>1203704</v>
      </c>
      <c r="L255" s="67">
        <v>96296</v>
      </c>
      <c r="M255" s="203">
        <f t="shared" ref="M255:M262" si="43">K255+L255</f>
        <v>1300000</v>
      </c>
      <c r="N255" s="67"/>
      <c r="O255" s="67"/>
      <c r="P255" s="67"/>
      <c r="Q255" s="10">
        <f t="shared" si="39"/>
        <v>1300000</v>
      </c>
      <c r="R255" s="112"/>
    </row>
    <row r="256" spans="1:19" s="87" customFormat="1" ht="25.5" hidden="1">
      <c r="A256" s="3" t="s">
        <v>596</v>
      </c>
      <c r="B256" s="85" t="s">
        <v>287</v>
      </c>
      <c r="C256" s="58" t="s">
        <v>290</v>
      </c>
      <c r="D256" s="63" t="s">
        <v>291</v>
      </c>
      <c r="E256" s="68" t="s">
        <v>268</v>
      </c>
      <c r="F256" s="68" t="s">
        <v>36</v>
      </c>
      <c r="G256" s="68" t="s">
        <v>37</v>
      </c>
      <c r="H256" s="68" t="s">
        <v>113</v>
      </c>
      <c r="I256" s="113">
        <v>5</v>
      </c>
      <c r="J256" s="114">
        <v>259259.25</v>
      </c>
      <c r="K256" s="67">
        <v>1296296</v>
      </c>
      <c r="L256" s="67">
        <v>103704</v>
      </c>
      <c r="M256" s="203">
        <f t="shared" si="43"/>
        <v>1400000</v>
      </c>
      <c r="N256" s="67"/>
      <c r="O256" s="67"/>
      <c r="P256" s="67"/>
      <c r="Q256" s="10">
        <f t="shared" si="39"/>
        <v>1400000</v>
      </c>
      <c r="R256" s="112"/>
    </row>
    <row r="257" spans="1:18" s="87" customFormat="1" ht="25.5" hidden="1">
      <c r="A257" s="3" t="s">
        <v>596</v>
      </c>
      <c r="B257" s="85" t="s">
        <v>287</v>
      </c>
      <c r="C257" s="58" t="s">
        <v>290</v>
      </c>
      <c r="D257" s="63" t="s">
        <v>291</v>
      </c>
      <c r="E257" s="68" t="s">
        <v>268</v>
      </c>
      <c r="F257" s="68" t="s">
        <v>38</v>
      </c>
      <c r="G257" s="68" t="s">
        <v>39</v>
      </c>
      <c r="H257" s="68" t="s">
        <v>113</v>
      </c>
      <c r="I257" s="113">
        <v>5</v>
      </c>
      <c r="J257" s="114">
        <v>277777.78000000003</v>
      </c>
      <c r="K257" s="67">
        <v>1388889</v>
      </c>
      <c r="L257" s="45">
        <v>111111</v>
      </c>
      <c r="M257" s="203">
        <f t="shared" si="43"/>
        <v>1500000</v>
      </c>
      <c r="N257" s="67"/>
      <c r="O257" s="67"/>
      <c r="P257" s="67"/>
      <c r="Q257" s="10">
        <f t="shared" si="39"/>
        <v>1500000</v>
      </c>
      <c r="R257" s="112"/>
    </row>
    <row r="258" spans="1:18" s="87" customFormat="1" ht="25.5" hidden="1">
      <c r="A258" s="3" t="s">
        <v>596</v>
      </c>
      <c r="B258" s="85" t="s">
        <v>287</v>
      </c>
      <c r="C258" s="58" t="s">
        <v>290</v>
      </c>
      <c r="D258" s="63" t="s">
        <v>291</v>
      </c>
      <c r="E258" s="68" t="s">
        <v>268</v>
      </c>
      <c r="F258" s="68" t="s">
        <v>77</v>
      </c>
      <c r="G258" s="68" t="s">
        <v>78</v>
      </c>
      <c r="H258" s="68" t="s">
        <v>113</v>
      </c>
      <c r="I258" s="47">
        <v>10</v>
      </c>
      <c r="J258" s="110">
        <v>324074.07</v>
      </c>
      <c r="K258" s="45">
        <v>3240741</v>
      </c>
      <c r="L258" s="45">
        <v>259259</v>
      </c>
      <c r="M258" s="256">
        <f t="shared" si="43"/>
        <v>3500000</v>
      </c>
      <c r="N258" s="67"/>
      <c r="O258" s="67"/>
      <c r="P258" s="67"/>
      <c r="Q258" s="10">
        <f t="shared" si="39"/>
        <v>3500000</v>
      </c>
      <c r="R258" s="112"/>
    </row>
    <row r="259" spans="1:18" s="87" customFormat="1" ht="25.5" hidden="1">
      <c r="A259" s="3" t="s">
        <v>596</v>
      </c>
      <c r="B259" s="85" t="s">
        <v>287</v>
      </c>
      <c r="C259" s="58" t="s">
        <v>290</v>
      </c>
      <c r="D259" s="63" t="s">
        <v>291</v>
      </c>
      <c r="E259" s="68" t="s">
        <v>268</v>
      </c>
      <c r="F259" s="68" t="s">
        <v>204</v>
      </c>
      <c r="G259" s="68" t="s">
        <v>269</v>
      </c>
      <c r="H259" s="50" t="s">
        <v>25</v>
      </c>
      <c r="I259" s="47">
        <v>10</v>
      </c>
      <c r="J259" s="110">
        <v>480555.55</v>
      </c>
      <c r="K259" s="45">
        <v>4805556</v>
      </c>
      <c r="L259" s="45">
        <v>384444</v>
      </c>
      <c r="M259" s="256">
        <f t="shared" si="43"/>
        <v>5190000</v>
      </c>
      <c r="N259" s="67"/>
      <c r="O259" s="67"/>
      <c r="P259" s="67"/>
      <c r="Q259" s="10">
        <f t="shared" si="39"/>
        <v>5190000</v>
      </c>
      <c r="R259" s="112"/>
    </row>
    <row r="260" spans="1:18" s="87" customFormat="1" ht="25.5" hidden="1">
      <c r="A260" s="3" t="s">
        <v>596</v>
      </c>
      <c r="B260" s="85" t="s">
        <v>287</v>
      </c>
      <c r="C260" s="58" t="s">
        <v>290</v>
      </c>
      <c r="D260" s="63" t="s">
        <v>291</v>
      </c>
      <c r="E260" s="68" t="s">
        <v>268</v>
      </c>
      <c r="F260" s="68" t="s">
        <v>279</v>
      </c>
      <c r="G260" s="68" t="s">
        <v>280</v>
      </c>
      <c r="H260" s="68" t="s">
        <v>113</v>
      </c>
      <c r="I260" s="47">
        <v>6</v>
      </c>
      <c r="J260" s="110">
        <v>387962.96</v>
      </c>
      <c r="K260" s="45">
        <v>2327778</v>
      </c>
      <c r="L260" s="45">
        <v>186222</v>
      </c>
      <c r="M260" s="256">
        <f t="shared" si="43"/>
        <v>2514000</v>
      </c>
      <c r="N260" s="67"/>
      <c r="O260" s="67"/>
      <c r="P260" s="67"/>
      <c r="Q260" s="10">
        <f t="shared" ref="Q260:Q323" si="44">M260-N260-O260-P260</f>
        <v>2514000</v>
      </c>
      <c r="R260" s="112"/>
    </row>
    <row r="261" spans="1:18" s="87" customFormat="1" ht="25.5" hidden="1">
      <c r="A261" s="3" t="s">
        <v>596</v>
      </c>
      <c r="B261" s="85" t="s">
        <v>287</v>
      </c>
      <c r="C261" s="58" t="s">
        <v>290</v>
      </c>
      <c r="D261" s="63" t="s">
        <v>291</v>
      </c>
      <c r="E261" s="68" t="s">
        <v>268</v>
      </c>
      <c r="F261" s="68" t="s">
        <v>258</v>
      </c>
      <c r="G261" s="68" t="s">
        <v>259</v>
      </c>
      <c r="H261" s="68" t="s">
        <v>113</v>
      </c>
      <c r="I261" s="47">
        <v>6</v>
      </c>
      <c r="J261" s="110">
        <v>472222.22</v>
      </c>
      <c r="K261" s="45">
        <v>2833333</v>
      </c>
      <c r="L261" s="45">
        <v>226667</v>
      </c>
      <c r="M261" s="256">
        <f t="shared" si="43"/>
        <v>3060000</v>
      </c>
      <c r="N261" s="67"/>
      <c r="O261" s="67"/>
      <c r="P261" s="67"/>
      <c r="Q261" s="10">
        <f t="shared" si="44"/>
        <v>3060000</v>
      </c>
      <c r="R261" s="112"/>
    </row>
    <row r="262" spans="1:18" s="87" customFormat="1" ht="25.5" hidden="1">
      <c r="A262" s="3" t="s">
        <v>596</v>
      </c>
      <c r="B262" s="85" t="s">
        <v>287</v>
      </c>
      <c r="C262" s="58" t="s">
        <v>290</v>
      </c>
      <c r="D262" s="63" t="s">
        <v>291</v>
      </c>
      <c r="E262" s="68" t="s">
        <v>268</v>
      </c>
      <c r="F262" s="68" t="s">
        <v>260</v>
      </c>
      <c r="G262" s="68" t="s">
        <v>261</v>
      </c>
      <c r="H262" s="68" t="s">
        <v>113</v>
      </c>
      <c r="I262" s="47">
        <v>6</v>
      </c>
      <c r="J262" s="110">
        <v>492592.59</v>
      </c>
      <c r="K262" s="45">
        <v>2955556</v>
      </c>
      <c r="L262" s="45">
        <v>236444</v>
      </c>
      <c r="M262" s="256">
        <f t="shared" si="43"/>
        <v>3192000</v>
      </c>
      <c r="N262" s="67"/>
      <c r="O262" s="67"/>
      <c r="P262" s="67"/>
      <c r="Q262" s="10">
        <f t="shared" si="44"/>
        <v>3192000</v>
      </c>
      <c r="R262" s="112"/>
    </row>
    <row r="263" spans="1:18" s="84" customFormat="1" ht="15.75" hidden="1">
      <c r="A263" s="3" t="s">
        <v>596</v>
      </c>
      <c r="B263" s="76" t="s">
        <v>287</v>
      </c>
      <c r="C263" s="115"/>
      <c r="D263" s="116"/>
      <c r="E263" s="117" t="s">
        <v>281</v>
      </c>
      <c r="F263" s="117"/>
      <c r="G263" s="117"/>
      <c r="H263" s="117"/>
      <c r="I263" s="118"/>
      <c r="J263" s="119"/>
      <c r="K263" s="81"/>
      <c r="L263" s="81"/>
      <c r="M263" s="120"/>
      <c r="O263" s="120">
        <v>300000</v>
      </c>
      <c r="P263" s="120"/>
      <c r="Q263" s="10">
        <f t="shared" si="44"/>
        <v>-300000</v>
      </c>
      <c r="R263" s="121"/>
    </row>
    <row r="264" spans="1:18" s="84" customFormat="1" ht="30" hidden="1">
      <c r="A264" s="3" t="s">
        <v>596</v>
      </c>
      <c r="B264" s="76" t="s">
        <v>292</v>
      </c>
      <c r="C264" s="115"/>
      <c r="D264" s="116"/>
      <c r="E264" s="289" t="s">
        <v>293</v>
      </c>
      <c r="F264" s="117"/>
      <c r="G264" s="117"/>
      <c r="H264" s="117"/>
      <c r="I264" s="118"/>
      <c r="J264" s="119"/>
      <c r="K264" s="81"/>
      <c r="L264" s="81"/>
      <c r="M264" s="120"/>
      <c r="N264" s="120">
        <v>50000000</v>
      </c>
      <c r="O264" s="120"/>
      <c r="P264" s="120"/>
      <c r="Q264" s="10">
        <f t="shared" si="44"/>
        <v>-50000000</v>
      </c>
      <c r="R264" s="121"/>
    </row>
    <row r="265" spans="1:18" s="87" customFormat="1" ht="25.5" hidden="1">
      <c r="A265" s="3" t="s">
        <v>596</v>
      </c>
      <c r="B265" s="85" t="s">
        <v>95</v>
      </c>
      <c r="C265" s="58" t="s">
        <v>294</v>
      </c>
      <c r="D265" s="63" t="s">
        <v>295</v>
      </c>
      <c r="E265" s="68" t="s">
        <v>268</v>
      </c>
      <c r="F265" s="68" t="s">
        <v>204</v>
      </c>
      <c r="G265" s="68" t="s">
        <v>269</v>
      </c>
      <c r="H265" s="50" t="s">
        <v>25</v>
      </c>
      <c r="I265" s="47">
        <v>10</v>
      </c>
      <c r="J265" s="110">
        <v>480555.55</v>
      </c>
      <c r="K265" s="45">
        <v>4805556</v>
      </c>
      <c r="L265" s="45">
        <v>384444</v>
      </c>
      <c r="M265" s="256">
        <f t="shared" ref="M265:M283" si="45">K265+L265</f>
        <v>5190000</v>
      </c>
      <c r="N265" s="67"/>
      <c r="O265" s="67"/>
      <c r="P265" s="67"/>
      <c r="Q265" s="10">
        <f t="shared" si="44"/>
        <v>5190000</v>
      </c>
      <c r="R265" s="112"/>
    </row>
    <row r="266" spans="1:18" s="87" customFormat="1" ht="25.5" hidden="1">
      <c r="A266" s="3" t="s">
        <v>596</v>
      </c>
      <c r="B266" s="85" t="s">
        <v>95</v>
      </c>
      <c r="C266" s="58" t="s">
        <v>294</v>
      </c>
      <c r="D266" s="63" t="s">
        <v>295</v>
      </c>
      <c r="E266" s="68" t="s">
        <v>268</v>
      </c>
      <c r="F266" s="68" t="s">
        <v>208</v>
      </c>
      <c r="G266" s="68" t="s">
        <v>209</v>
      </c>
      <c r="H266" s="68" t="s">
        <v>25</v>
      </c>
      <c r="I266" s="47">
        <v>2</v>
      </c>
      <c r="J266" s="110">
        <v>647222.22</v>
      </c>
      <c r="K266" s="45">
        <v>1294444</v>
      </c>
      <c r="L266" s="45">
        <v>103556</v>
      </c>
      <c r="M266" s="256">
        <f t="shared" si="45"/>
        <v>1398000</v>
      </c>
      <c r="N266" s="67"/>
      <c r="O266" s="67"/>
      <c r="P266" s="67"/>
      <c r="Q266" s="10">
        <f t="shared" si="44"/>
        <v>1398000</v>
      </c>
      <c r="R266" s="112"/>
    </row>
    <row r="267" spans="1:18" s="87" customFormat="1" ht="25.5" hidden="1">
      <c r="A267" s="3" t="s">
        <v>596</v>
      </c>
      <c r="B267" s="85" t="s">
        <v>95</v>
      </c>
      <c r="C267" s="58" t="s">
        <v>294</v>
      </c>
      <c r="D267" s="63" t="s">
        <v>295</v>
      </c>
      <c r="E267" s="68" t="s">
        <v>268</v>
      </c>
      <c r="F267" s="68" t="s">
        <v>206</v>
      </c>
      <c r="G267" s="68" t="s">
        <v>296</v>
      </c>
      <c r="H267" s="68" t="s">
        <v>25</v>
      </c>
      <c r="I267" s="113">
        <v>10</v>
      </c>
      <c r="J267" s="114">
        <v>483333.33</v>
      </c>
      <c r="K267" s="45">
        <v>4833333</v>
      </c>
      <c r="L267" s="67">
        <v>386667</v>
      </c>
      <c r="M267" s="256">
        <f t="shared" si="45"/>
        <v>5220000</v>
      </c>
      <c r="N267" s="67"/>
      <c r="O267" s="67"/>
      <c r="P267" s="67"/>
      <c r="Q267" s="10">
        <f t="shared" si="44"/>
        <v>5220000</v>
      </c>
      <c r="R267" s="112"/>
    </row>
    <row r="268" spans="1:18" s="87" customFormat="1" ht="27.6" hidden="1" customHeight="1">
      <c r="A268" s="3" t="s">
        <v>596</v>
      </c>
      <c r="B268" s="85" t="s">
        <v>95</v>
      </c>
      <c r="C268" s="58" t="s">
        <v>294</v>
      </c>
      <c r="D268" s="63" t="s">
        <v>295</v>
      </c>
      <c r="E268" s="68" t="s">
        <v>268</v>
      </c>
      <c r="F268" s="68" t="s">
        <v>262</v>
      </c>
      <c r="G268" s="68" t="s">
        <v>270</v>
      </c>
      <c r="H268" s="50" t="s">
        <v>25</v>
      </c>
      <c r="I268" s="47">
        <v>6</v>
      </c>
      <c r="J268" s="110">
        <v>851851.85</v>
      </c>
      <c r="K268" s="45">
        <v>5111111</v>
      </c>
      <c r="L268" s="45">
        <v>408889</v>
      </c>
      <c r="M268" s="256">
        <f t="shared" si="45"/>
        <v>5520000</v>
      </c>
      <c r="N268" s="67"/>
      <c r="O268" s="67"/>
      <c r="P268" s="67"/>
      <c r="Q268" s="10">
        <f t="shared" si="44"/>
        <v>5520000</v>
      </c>
      <c r="R268" s="112"/>
    </row>
    <row r="269" spans="1:18" s="87" customFormat="1" ht="25.5" hidden="1">
      <c r="A269" s="3" t="s">
        <v>596</v>
      </c>
      <c r="B269" s="85" t="s">
        <v>95</v>
      </c>
      <c r="C269" s="58" t="s">
        <v>294</v>
      </c>
      <c r="D269" s="63" t="s">
        <v>295</v>
      </c>
      <c r="E269" s="68" t="s">
        <v>268</v>
      </c>
      <c r="F269" s="68" t="s">
        <v>23</v>
      </c>
      <c r="G269" s="68" t="s">
        <v>271</v>
      </c>
      <c r="H269" s="68" t="s">
        <v>25</v>
      </c>
      <c r="I269" s="113">
        <v>2</v>
      </c>
      <c r="J269" s="114">
        <v>1185185.18</v>
      </c>
      <c r="K269" s="45">
        <v>2370370</v>
      </c>
      <c r="L269" s="45">
        <v>189630</v>
      </c>
      <c r="M269" s="256">
        <f t="shared" si="45"/>
        <v>2560000</v>
      </c>
      <c r="N269" s="67"/>
      <c r="O269" s="67"/>
      <c r="P269" s="67"/>
      <c r="Q269" s="10">
        <f t="shared" si="44"/>
        <v>2560000</v>
      </c>
      <c r="R269" s="112"/>
    </row>
    <row r="270" spans="1:18" s="87" customFormat="1" ht="25.5" hidden="1">
      <c r="A270" s="3" t="s">
        <v>596</v>
      </c>
      <c r="B270" s="85" t="s">
        <v>95</v>
      </c>
      <c r="C270" s="58" t="s">
        <v>294</v>
      </c>
      <c r="D270" s="63" t="s">
        <v>295</v>
      </c>
      <c r="E270" s="68" t="s">
        <v>268</v>
      </c>
      <c r="F270" s="68" t="s">
        <v>28</v>
      </c>
      <c r="G270" s="68" t="s">
        <v>29</v>
      </c>
      <c r="H270" s="68" t="s">
        <v>113</v>
      </c>
      <c r="I270" s="113">
        <v>10</v>
      </c>
      <c r="J270" s="114">
        <v>281481.48</v>
      </c>
      <c r="K270" s="45">
        <v>2814815</v>
      </c>
      <c r="L270" s="67">
        <v>225185</v>
      </c>
      <c r="M270" s="256">
        <f t="shared" si="45"/>
        <v>3040000</v>
      </c>
      <c r="N270" s="67"/>
      <c r="O270" s="67"/>
      <c r="P270" s="67"/>
      <c r="Q270" s="10">
        <f t="shared" si="44"/>
        <v>3040000</v>
      </c>
      <c r="R270" s="112"/>
    </row>
    <row r="271" spans="1:18" s="87" customFormat="1" ht="25.5" hidden="1">
      <c r="A271" s="3" t="s">
        <v>596</v>
      </c>
      <c r="B271" s="85" t="s">
        <v>95</v>
      </c>
      <c r="C271" s="58" t="s">
        <v>294</v>
      </c>
      <c r="D271" s="63" t="s">
        <v>295</v>
      </c>
      <c r="E271" s="68" t="s">
        <v>268</v>
      </c>
      <c r="F271" s="68" t="s">
        <v>34</v>
      </c>
      <c r="G271" s="68" t="s">
        <v>35</v>
      </c>
      <c r="H271" s="68" t="s">
        <v>113</v>
      </c>
      <c r="I271" s="113">
        <v>10</v>
      </c>
      <c r="J271" s="114">
        <v>240740.74</v>
      </c>
      <c r="K271" s="45">
        <v>2407407</v>
      </c>
      <c r="L271" s="67">
        <v>192593</v>
      </c>
      <c r="M271" s="256">
        <f t="shared" si="45"/>
        <v>2600000</v>
      </c>
      <c r="N271" s="67"/>
      <c r="O271" s="67"/>
      <c r="P271" s="67"/>
      <c r="Q271" s="10">
        <f t="shared" si="44"/>
        <v>2600000</v>
      </c>
      <c r="R271" s="112"/>
    </row>
    <row r="272" spans="1:18" s="87" customFormat="1" ht="25.5" hidden="1">
      <c r="A272" s="3" t="s">
        <v>596</v>
      </c>
      <c r="B272" s="85" t="s">
        <v>95</v>
      </c>
      <c r="C272" s="58" t="s">
        <v>294</v>
      </c>
      <c r="D272" s="63" t="s">
        <v>295</v>
      </c>
      <c r="E272" s="68" t="s">
        <v>268</v>
      </c>
      <c r="F272" s="68" t="s">
        <v>36</v>
      </c>
      <c r="G272" s="68" t="s">
        <v>37</v>
      </c>
      <c r="H272" s="68" t="s">
        <v>113</v>
      </c>
      <c r="I272" s="113">
        <v>10</v>
      </c>
      <c r="J272" s="114">
        <v>259259.25</v>
      </c>
      <c r="K272" s="45">
        <v>2592593</v>
      </c>
      <c r="L272" s="67">
        <v>207407</v>
      </c>
      <c r="M272" s="256">
        <f t="shared" si="45"/>
        <v>2800000</v>
      </c>
      <c r="N272" s="67"/>
      <c r="O272" s="67"/>
      <c r="P272" s="67"/>
      <c r="Q272" s="10">
        <f t="shared" si="44"/>
        <v>2800000</v>
      </c>
      <c r="R272" s="112"/>
    </row>
    <row r="273" spans="1:18" s="87" customFormat="1" ht="25.5" hidden="1">
      <c r="A273" s="3" t="s">
        <v>596</v>
      </c>
      <c r="B273" s="85" t="s">
        <v>95</v>
      </c>
      <c r="C273" s="58" t="s">
        <v>294</v>
      </c>
      <c r="D273" s="63" t="s">
        <v>295</v>
      </c>
      <c r="E273" s="68" t="s">
        <v>268</v>
      </c>
      <c r="F273" s="68" t="s">
        <v>38</v>
      </c>
      <c r="G273" s="68" t="s">
        <v>39</v>
      </c>
      <c r="H273" s="68" t="s">
        <v>113</v>
      </c>
      <c r="I273" s="113">
        <v>10</v>
      </c>
      <c r="J273" s="114">
        <v>277777.78000000003</v>
      </c>
      <c r="K273" s="45">
        <v>2777778</v>
      </c>
      <c r="L273" s="67">
        <v>222222</v>
      </c>
      <c r="M273" s="256">
        <f t="shared" si="45"/>
        <v>3000000</v>
      </c>
      <c r="N273" s="67"/>
      <c r="O273" s="67"/>
      <c r="P273" s="67"/>
      <c r="Q273" s="10">
        <f t="shared" si="44"/>
        <v>3000000</v>
      </c>
      <c r="R273" s="112"/>
    </row>
    <row r="274" spans="1:18" s="87" customFormat="1" ht="25.5" hidden="1">
      <c r="A274" s="3" t="s">
        <v>596</v>
      </c>
      <c r="B274" s="85" t="s">
        <v>95</v>
      </c>
      <c r="C274" s="42" t="s">
        <v>252</v>
      </c>
      <c r="D274" s="63"/>
      <c r="E274" s="68" t="s">
        <v>268</v>
      </c>
      <c r="F274" s="68" t="s">
        <v>274</v>
      </c>
      <c r="G274" s="68" t="s">
        <v>297</v>
      </c>
      <c r="H274" s="68" t="s">
        <v>113</v>
      </c>
      <c r="I274" s="113">
        <v>10</v>
      </c>
      <c r="J274" s="114">
        <v>416666.66</v>
      </c>
      <c r="K274" s="45">
        <v>4166667</v>
      </c>
      <c r="L274" s="67">
        <v>333333</v>
      </c>
      <c r="M274" s="256">
        <f t="shared" si="45"/>
        <v>4500000</v>
      </c>
      <c r="N274" s="67"/>
      <c r="O274" s="67"/>
      <c r="P274" s="67"/>
      <c r="Q274" s="10">
        <f t="shared" si="44"/>
        <v>4500000</v>
      </c>
      <c r="R274" s="112"/>
    </row>
    <row r="275" spans="1:18" s="87" customFormat="1" ht="25.5" hidden="1">
      <c r="A275" s="3" t="s">
        <v>596</v>
      </c>
      <c r="B275" s="85" t="s">
        <v>95</v>
      </c>
      <c r="C275" s="42" t="s">
        <v>252</v>
      </c>
      <c r="D275" s="63"/>
      <c r="E275" s="68" t="s">
        <v>268</v>
      </c>
      <c r="F275" s="68" t="s">
        <v>90</v>
      </c>
      <c r="G275" s="68" t="s">
        <v>91</v>
      </c>
      <c r="H275" s="68" t="s">
        <v>92</v>
      </c>
      <c r="I275" s="113">
        <v>2</v>
      </c>
      <c r="J275" s="114">
        <v>814814.81</v>
      </c>
      <c r="K275" s="45">
        <v>1629630</v>
      </c>
      <c r="L275" s="67">
        <v>130371</v>
      </c>
      <c r="M275" s="256">
        <f t="shared" si="45"/>
        <v>1760001</v>
      </c>
      <c r="N275" s="67"/>
      <c r="O275" s="67"/>
      <c r="P275" s="67"/>
      <c r="Q275" s="10">
        <f t="shared" si="44"/>
        <v>1760001</v>
      </c>
      <c r="R275" s="112"/>
    </row>
    <row r="276" spans="1:18" s="87" customFormat="1" ht="25.5" hidden="1">
      <c r="A276" s="3" t="s">
        <v>596</v>
      </c>
      <c r="B276" s="85" t="s">
        <v>95</v>
      </c>
      <c r="C276" s="42" t="s">
        <v>252</v>
      </c>
      <c r="D276" s="63"/>
      <c r="E276" s="68" t="s">
        <v>268</v>
      </c>
      <c r="F276" s="68" t="s">
        <v>93</v>
      </c>
      <c r="G276" s="68" t="s">
        <v>94</v>
      </c>
      <c r="H276" s="68" t="s">
        <v>92</v>
      </c>
      <c r="I276" s="113">
        <v>2</v>
      </c>
      <c r="J276" s="114">
        <v>907407.4</v>
      </c>
      <c r="K276" s="45">
        <v>1814815</v>
      </c>
      <c r="L276" s="67">
        <v>145185</v>
      </c>
      <c r="M276" s="256">
        <f t="shared" si="45"/>
        <v>1960000</v>
      </c>
      <c r="N276" s="67"/>
      <c r="O276" s="67"/>
      <c r="P276" s="67"/>
      <c r="Q276" s="10">
        <f t="shared" si="44"/>
        <v>1960000</v>
      </c>
      <c r="R276" s="112"/>
    </row>
    <row r="277" spans="1:18" s="87" customFormat="1" ht="25.5" hidden="1">
      <c r="A277" s="3" t="s">
        <v>596</v>
      </c>
      <c r="B277" s="85" t="s">
        <v>298</v>
      </c>
      <c r="C277" s="42" t="s">
        <v>252</v>
      </c>
      <c r="D277" s="63"/>
      <c r="E277" s="68" t="s">
        <v>268</v>
      </c>
      <c r="F277" s="68" t="s">
        <v>74</v>
      </c>
      <c r="G277" s="68" t="s">
        <v>141</v>
      </c>
      <c r="H277" s="68" t="s">
        <v>113</v>
      </c>
      <c r="I277" s="113">
        <v>16</v>
      </c>
      <c r="J277" s="114">
        <v>361111.11</v>
      </c>
      <c r="K277" s="45">
        <f>I277*J277</f>
        <v>5777777.7599999998</v>
      </c>
      <c r="L277" s="67">
        <f>K277*8%</f>
        <v>462222.22080000001</v>
      </c>
      <c r="M277" s="256">
        <f t="shared" si="45"/>
        <v>6239999.9808</v>
      </c>
      <c r="N277" s="67"/>
      <c r="O277" s="67"/>
      <c r="P277" s="67"/>
      <c r="Q277" s="10">
        <f t="shared" si="44"/>
        <v>6239999.9808</v>
      </c>
      <c r="R277" s="112"/>
    </row>
    <row r="278" spans="1:18" s="87" customFormat="1" ht="25.5" hidden="1">
      <c r="A278" s="3" t="s">
        <v>596</v>
      </c>
      <c r="B278" s="85" t="s">
        <v>298</v>
      </c>
      <c r="C278" s="42" t="s">
        <v>252</v>
      </c>
      <c r="D278" s="63"/>
      <c r="E278" s="68" t="s">
        <v>268</v>
      </c>
      <c r="F278" s="68" t="s">
        <v>299</v>
      </c>
      <c r="G278" s="68" t="s">
        <v>300</v>
      </c>
      <c r="H278" s="68"/>
      <c r="I278" s="113">
        <v>20</v>
      </c>
      <c r="J278" s="114">
        <v>298148.15000000002</v>
      </c>
      <c r="K278" s="45">
        <f t="shared" ref="K278:K283" si="46">I278*J278</f>
        <v>5962963</v>
      </c>
      <c r="L278" s="67">
        <f t="shared" ref="L278:L283" si="47">K278*8%</f>
        <v>477037.04000000004</v>
      </c>
      <c r="M278" s="256">
        <f t="shared" si="45"/>
        <v>6440000.04</v>
      </c>
      <c r="N278" s="67"/>
      <c r="O278" s="67"/>
      <c r="P278" s="67"/>
      <c r="Q278" s="10">
        <f t="shared" si="44"/>
        <v>6440000.04</v>
      </c>
      <c r="R278" s="112"/>
    </row>
    <row r="279" spans="1:18" s="87" customFormat="1" ht="25.5" hidden="1">
      <c r="A279" s="3" t="s">
        <v>596</v>
      </c>
      <c r="B279" s="85" t="s">
        <v>298</v>
      </c>
      <c r="C279" s="42" t="s">
        <v>252</v>
      </c>
      <c r="D279" s="63"/>
      <c r="E279" s="68" t="s">
        <v>268</v>
      </c>
      <c r="F279" s="68" t="s">
        <v>301</v>
      </c>
      <c r="G279" s="68" t="s">
        <v>302</v>
      </c>
      <c r="H279" s="68" t="s">
        <v>113</v>
      </c>
      <c r="I279" s="113">
        <v>20</v>
      </c>
      <c r="J279" s="114">
        <v>277777.78000000003</v>
      </c>
      <c r="K279" s="45">
        <f t="shared" si="46"/>
        <v>5555555.6000000006</v>
      </c>
      <c r="L279" s="67">
        <f t="shared" si="47"/>
        <v>444444.44800000003</v>
      </c>
      <c r="M279" s="256">
        <f t="shared" si="45"/>
        <v>6000000.0480000004</v>
      </c>
      <c r="N279" s="67"/>
      <c r="O279" s="67"/>
      <c r="P279" s="67"/>
      <c r="Q279" s="10">
        <f t="shared" si="44"/>
        <v>6000000.0480000004</v>
      </c>
      <c r="R279" s="112"/>
    </row>
    <row r="280" spans="1:18" s="87" customFormat="1" ht="25.5" hidden="1">
      <c r="A280" s="3" t="s">
        <v>596</v>
      </c>
      <c r="B280" s="85" t="s">
        <v>298</v>
      </c>
      <c r="C280" s="42" t="s">
        <v>252</v>
      </c>
      <c r="D280" s="63"/>
      <c r="E280" s="68" t="s">
        <v>268</v>
      </c>
      <c r="F280" s="68" t="s">
        <v>38</v>
      </c>
      <c r="G280" s="68" t="s">
        <v>39</v>
      </c>
      <c r="H280" s="68" t="s">
        <v>113</v>
      </c>
      <c r="I280" s="113">
        <v>20</v>
      </c>
      <c r="J280" s="114">
        <v>277777.78000000003</v>
      </c>
      <c r="K280" s="45">
        <f t="shared" si="46"/>
        <v>5555555.6000000006</v>
      </c>
      <c r="L280" s="67">
        <f t="shared" si="47"/>
        <v>444444.44800000003</v>
      </c>
      <c r="M280" s="256">
        <f t="shared" si="45"/>
        <v>6000000.0480000004</v>
      </c>
      <c r="N280" s="67"/>
      <c r="O280" s="67"/>
      <c r="P280" s="67"/>
      <c r="Q280" s="10">
        <f t="shared" si="44"/>
        <v>6000000.0480000004</v>
      </c>
      <c r="R280" s="112"/>
    </row>
    <row r="281" spans="1:18" s="87" customFormat="1" ht="25.5" hidden="1">
      <c r="A281" s="3" t="s">
        <v>596</v>
      </c>
      <c r="B281" s="85" t="s">
        <v>298</v>
      </c>
      <c r="C281" s="42" t="s">
        <v>252</v>
      </c>
      <c r="D281" s="63"/>
      <c r="E281" s="68" t="s">
        <v>268</v>
      </c>
      <c r="F281" s="68" t="s">
        <v>274</v>
      </c>
      <c r="G281" s="68" t="s">
        <v>297</v>
      </c>
      <c r="H281" s="68" t="s">
        <v>113</v>
      </c>
      <c r="I281" s="113">
        <v>5</v>
      </c>
      <c r="J281" s="114">
        <v>416666.66</v>
      </c>
      <c r="K281" s="45">
        <f t="shared" si="46"/>
        <v>2083333.2999999998</v>
      </c>
      <c r="L281" s="67">
        <f t="shared" si="47"/>
        <v>166666.66399999999</v>
      </c>
      <c r="M281" s="256">
        <f t="shared" si="45"/>
        <v>2249999.9639999997</v>
      </c>
      <c r="N281" s="67"/>
      <c r="O281" s="67"/>
      <c r="P281" s="67"/>
      <c r="Q281" s="10">
        <f t="shared" si="44"/>
        <v>2249999.9639999997</v>
      </c>
      <c r="R281" s="112"/>
    </row>
    <row r="282" spans="1:18" s="87" customFormat="1" ht="26.45" hidden="1" customHeight="1">
      <c r="A282" s="3" t="s">
        <v>596</v>
      </c>
      <c r="B282" s="85" t="s">
        <v>298</v>
      </c>
      <c r="C282" s="42" t="s">
        <v>252</v>
      </c>
      <c r="D282" s="63"/>
      <c r="E282" s="68" t="s">
        <v>268</v>
      </c>
      <c r="F282" s="68" t="s">
        <v>262</v>
      </c>
      <c r="G282" s="68" t="s">
        <v>270</v>
      </c>
      <c r="H282" s="68" t="s">
        <v>25</v>
      </c>
      <c r="I282" s="113">
        <v>16</v>
      </c>
      <c r="J282" s="114">
        <v>851851.85</v>
      </c>
      <c r="K282" s="45">
        <f t="shared" si="46"/>
        <v>13629629.6</v>
      </c>
      <c r="L282" s="67">
        <f t="shared" si="47"/>
        <v>1090370.368</v>
      </c>
      <c r="M282" s="256">
        <f t="shared" si="45"/>
        <v>14719999.968</v>
      </c>
      <c r="N282" s="67"/>
      <c r="O282" s="67"/>
      <c r="P282" s="67"/>
      <c r="Q282" s="10">
        <f t="shared" si="44"/>
        <v>14719999.968</v>
      </c>
      <c r="R282" s="112"/>
    </row>
    <row r="283" spans="1:18" s="87" customFormat="1" ht="25.5" hidden="1">
      <c r="A283" s="3" t="s">
        <v>596</v>
      </c>
      <c r="B283" s="85" t="s">
        <v>298</v>
      </c>
      <c r="C283" s="42" t="s">
        <v>252</v>
      </c>
      <c r="D283" s="63"/>
      <c r="E283" s="68" t="s">
        <v>268</v>
      </c>
      <c r="F283" s="68" t="s">
        <v>303</v>
      </c>
      <c r="G283" s="68" t="s">
        <v>304</v>
      </c>
      <c r="H283" s="68" t="s">
        <v>113</v>
      </c>
      <c r="I283" s="113">
        <v>30</v>
      </c>
      <c r="J283" s="114">
        <v>78703.7</v>
      </c>
      <c r="K283" s="45">
        <f t="shared" si="46"/>
        <v>2361111</v>
      </c>
      <c r="L283" s="67">
        <f t="shared" si="47"/>
        <v>188888.88</v>
      </c>
      <c r="M283" s="256">
        <f t="shared" si="45"/>
        <v>2549999.88</v>
      </c>
      <c r="N283" s="67"/>
      <c r="O283" s="67"/>
      <c r="P283" s="67"/>
      <c r="Q283" s="10">
        <f t="shared" si="44"/>
        <v>2549999.88</v>
      </c>
      <c r="R283" s="112"/>
    </row>
    <row r="284" spans="1:18" s="274" customFormat="1" ht="15.6" customHeight="1">
      <c r="A284" s="122" t="s">
        <v>597</v>
      </c>
      <c r="B284" s="70" t="s">
        <v>305</v>
      </c>
      <c r="C284" s="71" t="s">
        <v>306</v>
      </c>
      <c r="D284" s="70" t="s">
        <v>305</v>
      </c>
      <c r="E284" s="43" t="s">
        <v>307</v>
      </c>
      <c r="F284" s="74" t="s">
        <v>308</v>
      </c>
      <c r="G284" s="75" t="s">
        <v>210</v>
      </c>
      <c r="H284" s="273"/>
      <c r="I284" s="43">
        <v>100</v>
      </c>
      <c r="J284" s="73">
        <v>324074.07</v>
      </c>
      <c r="K284" s="45">
        <f t="shared" ref="K284:K291" si="48">J284*I284</f>
        <v>32407407</v>
      </c>
      <c r="L284" s="45">
        <f t="shared" ref="L284:L291" si="49">K284*8%</f>
        <v>2592592.56</v>
      </c>
      <c r="M284" s="256">
        <f t="shared" ref="M284:M291" si="50">K284+L284</f>
        <v>34999999.560000002</v>
      </c>
      <c r="N284" s="43"/>
      <c r="O284" s="43"/>
      <c r="P284" s="43"/>
      <c r="Q284" s="10">
        <f t="shared" si="44"/>
        <v>34999999.560000002</v>
      </c>
      <c r="R284" s="43"/>
    </row>
    <row r="285" spans="1:18" s="274" customFormat="1" ht="15" customHeight="1">
      <c r="A285" s="122" t="s">
        <v>597</v>
      </c>
      <c r="B285" s="70" t="s">
        <v>305</v>
      </c>
      <c r="C285" s="71" t="s">
        <v>306</v>
      </c>
      <c r="D285" s="70" t="s">
        <v>305</v>
      </c>
      <c r="E285" s="43" t="s">
        <v>307</v>
      </c>
      <c r="F285" s="74" t="s">
        <v>309</v>
      </c>
      <c r="G285" s="75" t="s">
        <v>47</v>
      </c>
      <c r="H285" s="273"/>
      <c r="I285" s="43">
        <v>12</v>
      </c>
      <c r="J285" s="73">
        <v>194444.44</v>
      </c>
      <c r="K285" s="45">
        <f t="shared" si="48"/>
        <v>2333333.2800000003</v>
      </c>
      <c r="L285" s="45">
        <f t="shared" si="49"/>
        <v>186666.66240000003</v>
      </c>
      <c r="M285" s="256">
        <f t="shared" si="50"/>
        <v>2519999.9424000001</v>
      </c>
      <c r="N285" s="43"/>
      <c r="O285" s="43"/>
      <c r="P285" s="43"/>
      <c r="Q285" s="10">
        <f t="shared" si="44"/>
        <v>2519999.9424000001</v>
      </c>
      <c r="R285" s="43"/>
    </row>
    <row r="286" spans="1:18" s="274" customFormat="1" ht="15.75">
      <c r="A286" s="122" t="s">
        <v>597</v>
      </c>
      <c r="B286" s="70" t="s">
        <v>305</v>
      </c>
      <c r="C286" s="71" t="s">
        <v>306</v>
      </c>
      <c r="D286" s="70" t="s">
        <v>305</v>
      </c>
      <c r="E286" s="43" t="s">
        <v>307</v>
      </c>
      <c r="F286" s="74" t="s">
        <v>68</v>
      </c>
      <c r="G286" s="72" t="s">
        <v>69</v>
      </c>
      <c r="H286" s="273"/>
      <c r="I286" s="43">
        <v>12</v>
      </c>
      <c r="J286" s="73">
        <v>120370.37</v>
      </c>
      <c r="K286" s="45">
        <f t="shared" si="48"/>
        <v>1444444.44</v>
      </c>
      <c r="L286" s="45">
        <f t="shared" si="49"/>
        <v>115555.5552</v>
      </c>
      <c r="M286" s="256">
        <f t="shared" si="50"/>
        <v>1559999.9952</v>
      </c>
      <c r="N286" s="43"/>
      <c r="O286" s="43"/>
      <c r="P286" s="43"/>
      <c r="Q286" s="10">
        <f t="shared" si="44"/>
        <v>1559999.9952</v>
      </c>
      <c r="R286" s="43"/>
    </row>
    <row r="287" spans="1:18" s="274" customFormat="1" ht="15.75">
      <c r="A287" s="122" t="s">
        <v>597</v>
      </c>
      <c r="B287" s="70" t="s">
        <v>305</v>
      </c>
      <c r="C287" s="71" t="s">
        <v>306</v>
      </c>
      <c r="D287" s="70" t="s">
        <v>305</v>
      </c>
      <c r="E287" s="43" t="s">
        <v>307</v>
      </c>
      <c r="F287" s="43" t="s">
        <v>70</v>
      </c>
      <c r="G287" s="72" t="s">
        <v>71</v>
      </c>
      <c r="H287" s="273"/>
      <c r="I287" s="43">
        <v>12</v>
      </c>
      <c r="J287" s="73">
        <v>129629.63</v>
      </c>
      <c r="K287" s="45">
        <f t="shared" si="48"/>
        <v>1555555.56</v>
      </c>
      <c r="L287" s="45">
        <f t="shared" si="49"/>
        <v>124444.44480000001</v>
      </c>
      <c r="M287" s="256">
        <f t="shared" si="50"/>
        <v>1680000.0048</v>
      </c>
      <c r="N287" s="43"/>
      <c r="O287" s="43"/>
      <c r="P287" s="43"/>
      <c r="Q287" s="10">
        <f t="shared" si="44"/>
        <v>1680000.0048</v>
      </c>
      <c r="R287" s="43"/>
    </row>
    <row r="288" spans="1:18" s="274" customFormat="1" ht="15.75">
      <c r="A288" s="122" t="s">
        <v>597</v>
      </c>
      <c r="B288" s="70" t="s">
        <v>305</v>
      </c>
      <c r="C288" s="71" t="s">
        <v>306</v>
      </c>
      <c r="D288" s="70" t="s">
        <v>305</v>
      </c>
      <c r="E288" s="43" t="s">
        <v>307</v>
      </c>
      <c r="F288" s="74" t="s">
        <v>72</v>
      </c>
      <c r="G288" s="72" t="s">
        <v>73</v>
      </c>
      <c r="H288" s="273"/>
      <c r="I288" s="43">
        <v>12</v>
      </c>
      <c r="J288" s="73">
        <v>138888.89000000001</v>
      </c>
      <c r="K288" s="45">
        <f t="shared" si="48"/>
        <v>1666666.6800000002</v>
      </c>
      <c r="L288" s="45">
        <f t="shared" si="49"/>
        <v>133333.33440000002</v>
      </c>
      <c r="M288" s="256">
        <f t="shared" si="50"/>
        <v>1800000.0144000002</v>
      </c>
      <c r="N288" s="43"/>
      <c r="O288" s="43"/>
      <c r="P288" s="43"/>
      <c r="Q288" s="10">
        <f t="shared" si="44"/>
        <v>1800000.0144000002</v>
      </c>
      <c r="R288" s="43"/>
    </row>
    <row r="289" spans="1:18" s="124" customFormat="1" ht="15.75">
      <c r="A289" s="122" t="s">
        <v>597</v>
      </c>
      <c r="B289" s="85" t="s">
        <v>305</v>
      </c>
      <c r="C289" s="86" t="s">
        <v>311</v>
      </c>
      <c r="D289" s="85" t="s">
        <v>310</v>
      </c>
      <c r="E289" s="65" t="s">
        <v>307</v>
      </c>
      <c r="F289" s="64" t="s">
        <v>74</v>
      </c>
      <c r="G289" s="87" t="s">
        <v>312</v>
      </c>
      <c r="I289" s="65">
        <v>8</v>
      </c>
      <c r="J289" s="88">
        <v>361111.11</v>
      </c>
      <c r="K289" s="67">
        <f t="shared" si="48"/>
        <v>2888888.88</v>
      </c>
      <c r="L289" s="67">
        <f t="shared" si="49"/>
        <v>231111.11040000001</v>
      </c>
      <c r="M289" s="203">
        <f t="shared" si="50"/>
        <v>3119999.9904</v>
      </c>
      <c r="N289" s="65"/>
      <c r="O289" s="65"/>
      <c r="P289" s="65"/>
      <c r="Q289" s="10">
        <f t="shared" si="44"/>
        <v>3119999.9904</v>
      </c>
      <c r="R289" s="65"/>
    </row>
    <row r="290" spans="1:18" s="124" customFormat="1" ht="15.75">
      <c r="A290" s="122" t="s">
        <v>597</v>
      </c>
      <c r="B290" s="85" t="s">
        <v>305</v>
      </c>
      <c r="C290" s="86" t="s">
        <v>313</v>
      </c>
      <c r="D290" s="85">
        <v>46115</v>
      </c>
      <c r="E290" s="65" t="s">
        <v>307</v>
      </c>
      <c r="F290" s="65" t="s">
        <v>50</v>
      </c>
      <c r="G290" s="87" t="s">
        <v>314</v>
      </c>
      <c r="I290" s="65">
        <v>6</v>
      </c>
      <c r="J290" s="88">
        <v>937963</v>
      </c>
      <c r="K290" s="67">
        <f t="shared" si="48"/>
        <v>5627778</v>
      </c>
      <c r="L290" s="67">
        <f t="shared" si="49"/>
        <v>450222.24</v>
      </c>
      <c r="M290" s="203">
        <f t="shared" si="50"/>
        <v>6078000.2400000002</v>
      </c>
      <c r="N290" s="65"/>
      <c r="O290" s="65"/>
      <c r="P290" s="65"/>
      <c r="Q290" s="10">
        <f t="shared" si="44"/>
        <v>6078000.2400000002</v>
      </c>
      <c r="R290" s="65"/>
    </row>
    <row r="291" spans="1:18" s="124" customFormat="1" ht="15.75">
      <c r="A291" s="122" t="s">
        <v>597</v>
      </c>
      <c r="B291" s="85" t="s">
        <v>305</v>
      </c>
      <c r="C291" s="86" t="s">
        <v>313</v>
      </c>
      <c r="D291" s="85">
        <v>46115</v>
      </c>
      <c r="E291" s="65" t="s">
        <v>307</v>
      </c>
      <c r="F291" s="64" t="s">
        <v>52</v>
      </c>
      <c r="G291" s="87" t="s">
        <v>228</v>
      </c>
      <c r="I291" s="65">
        <v>6</v>
      </c>
      <c r="J291" s="88">
        <v>1007407.4</v>
      </c>
      <c r="K291" s="67">
        <f t="shared" si="48"/>
        <v>6044444.4000000004</v>
      </c>
      <c r="L291" s="67">
        <f t="shared" si="49"/>
        <v>483555.55200000003</v>
      </c>
      <c r="M291" s="203">
        <f t="shared" si="50"/>
        <v>6527999.9520000005</v>
      </c>
      <c r="N291" s="65"/>
      <c r="O291" s="65"/>
      <c r="P291" s="65"/>
      <c r="Q291" s="10">
        <f t="shared" si="44"/>
        <v>6527999.9520000005</v>
      </c>
      <c r="R291" s="65"/>
    </row>
    <row r="292" spans="1:18" s="124" customFormat="1" ht="16.149999999999999" customHeight="1">
      <c r="A292" s="122" t="s">
        <v>597</v>
      </c>
      <c r="B292" s="85" t="s">
        <v>305</v>
      </c>
      <c r="C292" s="86" t="s">
        <v>311</v>
      </c>
      <c r="D292" s="85" t="s">
        <v>310</v>
      </c>
      <c r="E292" s="65" t="s">
        <v>307</v>
      </c>
      <c r="F292" s="64" t="s">
        <v>62</v>
      </c>
      <c r="G292" s="89" t="s">
        <v>234</v>
      </c>
      <c r="I292" s="65">
        <v>12</v>
      </c>
      <c r="J292" s="88"/>
      <c r="K292" s="67"/>
      <c r="L292" s="67"/>
      <c r="M292" s="203"/>
      <c r="N292" s="65"/>
      <c r="O292" s="65"/>
      <c r="P292" s="65"/>
      <c r="Q292" s="10">
        <f t="shared" si="44"/>
        <v>0</v>
      </c>
      <c r="R292" s="65"/>
    </row>
    <row r="293" spans="1:18" s="275" customFormat="1" ht="15.75">
      <c r="A293" s="122" t="s">
        <v>597</v>
      </c>
      <c r="B293" s="76" t="s">
        <v>315</v>
      </c>
      <c r="C293" s="82" t="s">
        <v>316</v>
      </c>
      <c r="D293" s="76"/>
      <c r="E293" s="78" t="s">
        <v>317</v>
      </c>
      <c r="F293" s="78"/>
      <c r="G293" s="84"/>
      <c r="I293" s="78"/>
      <c r="J293" s="80"/>
      <c r="K293" s="81"/>
      <c r="L293" s="81"/>
      <c r="M293" s="120"/>
      <c r="N293" s="81">
        <v>20000000</v>
      </c>
      <c r="O293" s="81"/>
      <c r="P293" s="81"/>
      <c r="Q293" s="10">
        <f t="shared" si="44"/>
        <v>-20000000</v>
      </c>
      <c r="R293" s="78"/>
    </row>
    <row r="294" spans="1:18" s="274" customFormat="1" ht="15.75">
      <c r="A294" s="122" t="s">
        <v>597</v>
      </c>
      <c r="B294" s="70" t="s">
        <v>318</v>
      </c>
      <c r="C294" s="71" t="s">
        <v>319</v>
      </c>
      <c r="D294" s="70">
        <v>46084</v>
      </c>
      <c r="E294" s="43" t="s">
        <v>307</v>
      </c>
      <c r="F294" s="74" t="s">
        <v>77</v>
      </c>
      <c r="G294" s="72" t="s">
        <v>320</v>
      </c>
      <c r="H294" s="273"/>
      <c r="I294" s="43">
        <v>120</v>
      </c>
      <c r="J294" s="73">
        <v>324074.08</v>
      </c>
      <c r="K294" s="45">
        <f t="shared" ref="K294:K304" si="51">J294*I294</f>
        <v>38888889.600000001</v>
      </c>
      <c r="L294" s="45">
        <f t="shared" ref="L294:L304" si="52">K294*8%</f>
        <v>3111111.1680000001</v>
      </c>
      <c r="M294" s="256">
        <f t="shared" ref="M294:M304" si="53">K294+L294</f>
        <v>42000000.767999999</v>
      </c>
      <c r="N294" s="43"/>
      <c r="O294" s="43"/>
      <c r="P294" s="43"/>
      <c r="Q294" s="10">
        <f t="shared" si="44"/>
        <v>42000000.767999999</v>
      </c>
      <c r="R294" s="43"/>
    </row>
    <row r="295" spans="1:18" s="275" customFormat="1" ht="15.75">
      <c r="A295" s="122" t="s">
        <v>597</v>
      </c>
      <c r="B295" s="76" t="s">
        <v>321</v>
      </c>
      <c r="C295" s="82" t="s">
        <v>322</v>
      </c>
      <c r="D295" s="76"/>
      <c r="E295" s="78" t="s">
        <v>317</v>
      </c>
      <c r="F295" s="78"/>
      <c r="G295" s="84"/>
      <c r="I295" s="78"/>
      <c r="J295" s="80"/>
      <c r="K295" s="81">
        <f t="shared" si="51"/>
        <v>0</v>
      </c>
      <c r="L295" s="81">
        <f t="shared" si="52"/>
        <v>0</v>
      </c>
      <c r="M295" s="120"/>
      <c r="N295" s="81">
        <v>22560000</v>
      </c>
      <c r="O295" s="81"/>
      <c r="P295" s="81"/>
      <c r="Q295" s="10">
        <f t="shared" si="44"/>
        <v>-22560000</v>
      </c>
      <c r="R295" s="78"/>
    </row>
    <row r="296" spans="1:18" s="274" customFormat="1" ht="30">
      <c r="A296" s="122" t="s">
        <v>597</v>
      </c>
      <c r="B296" s="70">
        <v>46056</v>
      </c>
      <c r="C296" s="71" t="s">
        <v>319</v>
      </c>
      <c r="D296" s="70">
        <v>46084</v>
      </c>
      <c r="E296" s="43" t="s">
        <v>307</v>
      </c>
      <c r="F296" s="43" t="s">
        <v>180</v>
      </c>
      <c r="G296" s="75" t="s">
        <v>323</v>
      </c>
      <c r="I296" s="43">
        <v>30</v>
      </c>
      <c r="J296" s="73">
        <v>234259.25</v>
      </c>
      <c r="K296" s="45">
        <f t="shared" si="51"/>
        <v>7027777.5</v>
      </c>
      <c r="L296" s="45">
        <f t="shared" si="52"/>
        <v>562222.20000000007</v>
      </c>
      <c r="M296" s="256">
        <f t="shared" si="53"/>
        <v>7589999.7000000002</v>
      </c>
      <c r="N296" s="45"/>
      <c r="O296" s="45"/>
      <c r="P296" s="45"/>
      <c r="Q296" s="10">
        <f t="shared" si="44"/>
        <v>7589999.7000000002</v>
      </c>
      <c r="R296" s="43"/>
    </row>
    <row r="297" spans="1:18" s="274" customFormat="1" ht="30">
      <c r="A297" s="122" t="s">
        <v>597</v>
      </c>
      <c r="B297" s="70">
        <v>46056</v>
      </c>
      <c r="C297" s="71" t="s">
        <v>319</v>
      </c>
      <c r="D297" s="70">
        <v>46084</v>
      </c>
      <c r="E297" s="43" t="s">
        <v>307</v>
      </c>
      <c r="F297" s="43" t="s">
        <v>26</v>
      </c>
      <c r="G297" s="75" t="s">
        <v>324</v>
      </c>
      <c r="I297" s="43">
        <v>30</v>
      </c>
      <c r="J297" s="73">
        <v>256481.48</v>
      </c>
      <c r="K297" s="45">
        <f t="shared" si="51"/>
        <v>7694444.4000000004</v>
      </c>
      <c r="L297" s="45">
        <f t="shared" si="52"/>
        <v>615555.55200000003</v>
      </c>
      <c r="M297" s="256">
        <f t="shared" si="53"/>
        <v>8309999.9520000005</v>
      </c>
      <c r="N297" s="45"/>
      <c r="O297" s="45"/>
      <c r="P297" s="45"/>
      <c r="Q297" s="10">
        <f t="shared" si="44"/>
        <v>8309999.9520000005</v>
      </c>
      <c r="R297" s="43"/>
    </row>
    <row r="298" spans="1:18" s="274" customFormat="1" ht="30">
      <c r="A298" s="122" t="s">
        <v>597</v>
      </c>
      <c r="B298" s="70">
        <v>46056</v>
      </c>
      <c r="C298" s="71" t="s">
        <v>319</v>
      </c>
      <c r="D298" s="70">
        <v>46084</v>
      </c>
      <c r="E298" s="43" t="s">
        <v>307</v>
      </c>
      <c r="F298" s="43" t="s">
        <v>28</v>
      </c>
      <c r="G298" s="75" t="s">
        <v>325</v>
      </c>
      <c r="I298" s="43">
        <v>40</v>
      </c>
      <c r="J298" s="73">
        <v>281481.48</v>
      </c>
      <c r="K298" s="45">
        <f t="shared" si="51"/>
        <v>11259259.199999999</v>
      </c>
      <c r="L298" s="45">
        <f t="shared" si="52"/>
        <v>900740.73599999992</v>
      </c>
      <c r="M298" s="256">
        <f t="shared" si="53"/>
        <v>12159999.935999999</v>
      </c>
      <c r="N298" s="45"/>
      <c r="O298" s="45"/>
      <c r="P298" s="45"/>
      <c r="Q298" s="10">
        <f t="shared" si="44"/>
        <v>12159999.935999999</v>
      </c>
      <c r="R298" s="43"/>
    </row>
    <row r="299" spans="1:18" s="274" customFormat="1" ht="45">
      <c r="A299" s="122" t="s">
        <v>597</v>
      </c>
      <c r="B299" s="70">
        <v>46056</v>
      </c>
      <c r="C299" s="71" t="s">
        <v>319</v>
      </c>
      <c r="D299" s="70">
        <v>46084</v>
      </c>
      <c r="E299" s="43" t="s">
        <v>307</v>
      </c>
      <c r="F299" s="43" t="s">
        <v>60</v>
      </c>
      <c r="G299" s="75" t="s">
        <v>223</v>
      </c>
      <c r="I299" s="43">
        <v>20</v>
      </c>
      <c r="J299" s="73">
        <v>1138888.8799999999</v>
      </c>
      <c r="K299" s="45">
        <f t="shared" si="51"/>
        <v>22777777.599999998</v>
      </c>
      <c r="L299" s="45">
        <f t="shared" si="52"/>
        <v>1822222.2079999999</v>
      </c>
      <c r="M299" s="256">
        <f t="shared" si="53"/>
        <v>24599999.807999998</v>
      </c>
      <c r="N299" s="45"/>
      <c r="O299" s="45"/>
      <c r="P299" s="45"/>
      <c r="Q299" s="10">
        <f t="shared" si="44"/>
        <v>24599999.807999998</v>
      </c>
      <c r="R299" s="43"/>
    </row>
    <row r="300" spans="1:18" s="274" customFormat="1" ht="19.899999999999999" customHeight="1">
      <c r="A300" s="122" t="s">
        <v>597</v>
      </c>
      <c r="B300" s="70">
        <v>46056</v>
      </c>
      <c r="C300" s="71" t="s">
        <v>319</v>
      </c>
      <c r="D300" s="70">
        <v>46084</v>
      </c>
      <c r="E300" s="43" t="s">
        <v>307</v>
      </c>
      <c r="F300" s="43" t="s">
        <v>54</v>
      </c>
      <c r="G300" s="72" t="s">
        <v>229</v>
      </c>
      <c r="I300" s="43">
        <v>12</v>
      </c>
      <c r="J300" s="73">
        <v>324074.07</v>
      </c>
      <c r="K300" s="45">
        <f t="shared" si="51"/>
        <v>3888888.84</v>
      </c>
      <c r="L300" s="45">
        <f t="shared" si="52"/>
        <v>311111.10719999997</v>
      </c>
      <c r="M300" s="256">
        <f t="shared" si="53"/>
        <v>4199999.9472000003</v>
      </c>
      <c r="N300" s="45"/>
      <c r="O300" s="45"/>
      <c r="P300" s="45"/>
      <c r="Q300" s="10">
        <f t="shared" si="44"/>
        <v>4199999.9472000003</v>
      </c>
      <c r="R300" s="43"/>
    </row>
    <row r="301" spans="1:18" s="274" customFormat="1" ht="23.45" customHeight="1">
      <c r="A301" s="122" t="s">
        <v>597</v>
      </c>
      <c r="B301" s="70">
        <v>46056</v>
      </c>
      <c r="C301" s="71" t="s">
        <v>319</v>
      </c>
      <c r="D301" s="70">
        <v>46084</v>
      </c>
      <c r="E301" s="43" t="s">
        <v>307</v>
      </c>
      <c r="F301" s="43" t="s">
        <v>56</v>
      </c>
      <c r="G301" s="75" t="s">
        <v>218</v>
      </c>
      <c r="I301" s="43">
        <v>12</v>
      </c>
      <c r="J301" s="73">
        <v>325925.92</v>
      </c>
      <c r="K301" s="45">
        <f t="shared" si="51"/>
        <v>3911111.04</v>
      </c>
      <c r="L301" s="45">
        <f t="shared" si="52"/>
        <v>312888.88319999998</v>
      </c>
      <c r="M301" s="256">
        <f t="shared" si="53"/>
        <v>4223999.9232000001</v>
      </c>
      <c r="N301" s="45"/>
      <c r="O301" s="45"/>
      <c r="P301" s="45"/>
      <c r="Q301" s="10">
        <f t="shared" si="44"/>
        <v>4223999.9232000001</v>
      </c>
      <c r="R301" s="43"/>
    </row>
    <row r="302" spans="1:18" s="274" customFormat="1" ht="21" customHeight="1">
      <c r="A302" s="122" t="s">
        <v>597</v>
      </c>
      <c r="B302" s="70">
        <v>46056</v>
      </c>
      <c r="C302" s="71" t="s">
        <v>319</v>
      </c>
      <c r="D302" s="70">
        <v>46084</v>
      </c>
      <c r="E302" s="43" t="s">
        <v>307</v>
      </c>
      <c r="F302" s="43" t="s">
        <v>107</v>
      </c>
      <c r="G302" s="72" t="s">
        <v>108</v>
      </c>
      <c r="I302" s="43">
        <v>12</v>
      </c>
      <c r="J302" s="73">
        <v>312037.03000000003</v>
      </c>
      <c r="K302" s="45">
        <f t="shared" si="51"/>
        <v>3744444.3600000003</v>
      </c>
      <c r="L302" s="45">
        <f t="shared" si="52"/>
        <v>299555.54880000005</v>
      </c>
      <c r="M302" s="256">
        <f t="shared" si="53"/>
        <v>4043999.9088000003</v>
      </c>
      <c r="N302" s="45"/>
      <c r="O302" s="45"/>
      <c r="P302" s="45"/>
      <c r="Q302" s="10">
        <f t="shared" si="44"/>
        <v>4043999.9088000003</v>
      </c>
      <c r="R302" s="43"/>
    </row>
    <row r="303" spans="1:18" s="124" customFormat="1" ht="30">
      <c r="A303" s="122" t="s">
        <v>597</v>
      </c>
      <c r="B303" s="85">
        <v>46056</v>
      </c>
      <c r="C303" s="86" t="s">
        <v>311</v>
      </c>
      <c r="D303" s="85" t="s">
        <v>310</v>
      </c>
      <c r="E303" s="65" t="s">
        <v>307</v>
      </c>
      <c r="F303" s="64" t="s">
        <v>326</v>
      </c>
      <c r="G303" s="87" t="s">
        <v>141</v>
      </c>
      <c r="I303" s="65">
        <v>32</v>
      </c>
      <c r="J303" s="88">
        <v>361111.11</v>
      </c>
      <c r="K303" s="67">
        <f t="shared" si="51"/>
        <v>11555555.52</v>
      </c>
      <c r="L303" s="67">
        <f t="shared" si="52"/>
        <v>924444.44160000002</v>
      </c>
      <c r="M303" s="203">
        <f t="shared" si="53"/>
        <v>12479999.9616</v>
      </c>
      <c r="N303" s="65"/>
      <c r="O303" s="65"/>
      <c r="P303" s="65"/>
      <c r="Q303" s="10">
        <f t="shared" si="44"/>
        <v>12479999.9616</v>
      </c>
      <c r="R303" s="65"/>
    </row>
    <row r="304" spans="1:18" s="124" customFormat="1" ht="45">
      <c r="A304" s="122" t="s">
        <v>597</v>
      </c>
      <c r="B304" s="85">
        <v>46056</v>
      </c>
      <c r="C304" s="86" t="s">
        <v>311</v>
      </c>
      <c r="D304" s="85" t="s">
        <v>310</v>
      </c>
      <c r="E304" s="65" t="s">
        <v>307</v>
      </c>
      <c r="F304" s="65" t="s">
        <v>83</v>
      </c>
      <c r="G304" s="89" t="s">
        <v>240</v>
      </c>
      <c r="I304" s="65">
        <v>24</v>
      </c>
      <c r="J304" s="88">
        <v>1097222.22</v>
      </c>
      <c r="K304" s="67">
        <f t="shared" si="51"/>
        <v>26333333.280000001</v>
      </c>
      <c r="L304" s="67">
        <f t="shared" si="52"/>
        <v>2106666.6624000003</v>
      </c>
      <c r="M304" s="203">
        <f t="shared" si="53"/>
        <v>28439999.942400001</v>
      </c>
      <c r="N304" s="67"/>
      <c r="O304" s="67"/>
      <c r="P304" s="67"/>
      <c r="Q304" s="10">
        <f t="shared" si="44"/>
        <v>28439999.942400001</v>
      </c>
      <c r="R304" s="65"/>
    </row>
    <row r="305" spans="1:18" s="275" customFormat="1" ht="15.75">
      <c r="A305" s="122" t="s">
        <v>597</v>
      </c>
      <c r="B305" s="76">
        <v>46359</v>
      </c>
      <c r="C305" s="78"/>
      <c r="D305" s="76"/>
      <c r="E305" s="78" t="s">
        <v>317</v>
      </c>
      <c r="F305" s="83"/>
      <c r="G305" s="84"/>
      <c r="I305" s="78"/>
      <c r="J305" s="80"/>
      <c r="K305" s="81"/>
      <c r="L305" s="81"/>
      <c r="M305" s="120"/>
      <c r="N305" s="81">
        <v>35000000</v>
      </c>
      <c r="O305" s="81"/>
      <c r="P305" s="81"/>
      <c r="Q305" s="10">
        <f t="shared" si="44"/>
        <v>-35000000</v>
      </c>
      <c r="R305" s="78"/>
    </row>
    <row r="306" spans="1:18" s="124" customFormat="1" ht="30">
      <c r="A306" s="122" t="s">
        <v>597</v>
      </c>
      <c r="B306" s="85">
        <v>46359</v>
      </c>
      <c r="C306" s="86" t="s">
        <v>311</v>
      </c>
      <c r="D306" s="85" t="s">
        <v>310</v>
      </c>
      <c r="E306" s="65" t="s">
        <v>307</v>
      </c>
      <c r="F306" s="65" t="s">
        <v>180</v>
      </c>
      <c r="G306" s="89" t="s">
        <v>323</v>
      </c>
      <c r="I306" s="65">
        <v>50</v>
      </c>
      <c r="J306" s="88">
        <v>234259.25</v>
      </c>
      <c r="K306" s="67">
        <f t="shared" ref="K306:K320" si="54">J306*I306</f>
        <v>11712962.5</v>
      </c>
      <c r="L306" s="67">
        <f t="shared" ref="L306:L320" si="55">K306*8%</f>
        <v>937037</v>
      </c>
      <c r="M306" s="203">
        <f t="shared" ref="M306:M320" si="56">K306+L306</f>
        <v>12649999.5</v>
      </c>
      <c r="N306" s="65"/>
      <c r="O306" s="65"/>
      <c r="P306" s="65"/>
      <c r="Q306" s="10">
        <f t="shared" si="44"/>
        <v>12649999.5</v>
      </c>
      <c r="R306" s="65"/>
    </row>
    <row r="307" spans="1:18" s="124" customFormat="1" ht="30">
      <c r="A307" s="122" t="s">
        <v>597</v>
      </c>
      <c r="B307" s="85">
        <v>46359</v>
      </c>
      <c r="C307" s="86" t="s">
        <v>311</v>
      </c>
      <c r="D307" s="85" t="s">
        <v>310</v>
      </c>
      <c r="E307" s="65" t="s">
        <v>307</v>
      </c>
      <c r="F307" s="65" t="s">
        <v>26</v>
      </c>
      <c r="G307" s="89" t="s">
        <v>324</v>
      </c>
      <c r="I307" s="65">
        <v>50</v>
      </c>
      <c r="J307" s="88">
        <v>256481.48</v>
      </c>
      <c r="K307" s="67">
        <f t="shared" si="54"/>
        <v>12824074</v>
      </c>
      <c r="L307" s="67">
        <f t="shared" si="55"/>
        <v>1025925.92</v>
      </c>
      <c r="M307" s="203">
        <f t="shared" si="56"/>
        <v>13849999.92</v>
      </c>
      <c r="N307" s="65"/>
      <c r="O307" s="65"/>
      <c r="P307" s="65"/>
      <c r="Q307" s="10">
        <f t="shared" si="44"/>
        <v>13849999.92</v>
      </c>
      <c r="R307" s="65"/>
    </row>
    <row r="308" spans="1:18" s="124" customFormat="1" ht="30">
      <c r="A308" s="122" t="s">
        <v>597</v>
      </c>
      <c r="B308" s="85">
        <v>46359</v>
      </c>
      <c r="C308" s="86" t="s">
        <v>311</v>
      </c>
      <c r="D308" s="85" t="s">
        <v>310</v>
      </c>
      <c r="E308" s="65" t="s">
        <v>307</v>
      </c>
      <c r="F308" s="65" t="s">
        <v>28</v>
      </c>
      <c r="G308" s="89" t="s">
        <v>325</v>
      </c>
      <c r="I308" s="65">
        <v>100</v>
      </c>
      <c r="J308" s="88">
        <v>281481.48</v>
      </c>
      <c r="K308" s="67">
        <f t="shared" si="54"/>
        <v>28148148</v>
      </c>
      <c r="L308" s="67">
        <f t="shared" si="55"/>
        <v>2251851.84</v>
      </c>
      <c r="M308" s="203">
        <f t="shared" si="56"/>
        <v>30399999.84</v>
      </c>
      <c r="N308" s="65"/>
      <c r="O308" s="65"/>
      <c r="P308" s="65"/>
      <c r="Q308" s="10">
        <f t="shared" si="44"/>
        <v>30399999.84</v>
      </c>
      <c r="R308" s="65"/>
    </row>
    <row r="309" spans="1:18" s="124" customFormat="1" ht="45">
      <c r="A309" s="122" t="s">
        <v>597</v>
      </c>
      <c r="B309" s="85">
        <v>46359</v>
      </c>
      <c r="C309" s="86" t="s">
        <v>311</v>
      </c>
      <c r="D309" s="85" t="s">
        <v>310</v>
      </c>
      <c r="E309" s="65" t="s">
        <v>307</v>
      </c>
      <c r="F309" s="65" t="s">
        <v>60</v>
      </c>
      <c r="G309" s="89" t="s">
        <v>223</v>
      </c>
      <c r="I309" s="65">
        <v>16</v>
      </c>
      <c r="J309" s="88">
        <v>1138888.8799999999</v>
      </c>
      <c r="K309" s="67">
        <f>J309*I309</f>
        <v>18222222.079999998</v>
      </c>
      <c r="L309" s="67">
        <f t="shared" si="55"/>
        <v>1457777.7663999998</v>
      </c>
      <c r="M309" s="203">
        <f>K309+L309</f>
        <v>19679999.846399996</v>
      </c>
      <c r="N309" s="65"/>
      <c r="O309" s="65"/>
      <c r="P309" s="65"/>
      <c r="Q309" s="10">
        <f t="shared" si="44"/>
        <v>19679999.846399996</v>
      </c>
      <c r="R309" s="65"/>
    </row>
    <row r="310" spans="1:18" s="124" customFormat="1" ht="45">
      <c r="A310" s="122" t="s">
        <v>597</v>
      </c>
      <c r="B310" s="85">
        <v>46359</v>
      </c>
      <c r="C310" s="86" t="s">
        <v>311</v>
      </c>
      <c r="D310" s="85" t="s">
        <v>310</v>
      </c>
      <c r="E310" s="65" t="s">
        <v>307</v>
      </c>
      <c r="F310" s="65" t="s">
        <v>16</v>
      </c>
      <c r="G310" s="89" t="s">
        <v>224</v>
      </c>
      <c r="I310" s="65">
        <v>8</v>
      </c>
      <c r="J310" s="88">
        <v>851851.85</v>
      </c>
      <c r="K310" s="67">
        <f t="shared" si="54"/>
        <v>6814814.7999999998</v>
      </c>
      <c r="L310" s="67">
        <f t="shared" si="55"/>
        <v>545185.18400000001</v>
      </c>
      <c r="M310" s="203">
        <f t="shared" si="56"/>
        <v>7359999.9840000002</v>
      </c>
      <c r="N310" s="65"/>
      <c r="O310" s="65"/>
      <c r="P310" s="65"/>
      <c r="Q310" s="10">
        <f t="shared" si="44"/>
        <v>7359999.9840000002</v>
      </c>
      <c r="R310" s="65"/>
    </row>
    <row r="311" spans="1:18" s="124" customFormat="1" ht="30">
      <c r="A311" s="122" t="s">
        <v>597</v>
      </c>
      <c r="B311" s="85">
        <v>46359</v>
      </c>
      <c r="C311" s="86" t="s">
        <v>311</v>
      </c>
      <c r="D311" s="85" t="s">
        <v>310</v>
      </c>
      <c r="E311" s="65" t="s">
        <v>307</v>
      </c>
      <c r="F311" s="64" t="s">
        <v>326</v>
      </c>
      <c r="G311" s="87" t="s">
        <v>141</v>
      </c>
      <c r="I311" s="65">
        <v>40</v>
      </c>
      <c r="J311" s="88">
        <v>361111.11</v>
      </c>
      <c r="K311" s="67">
        <f>J311*I311</f>
        <v>14444444.399999999</v>
      </c>
      <c r="L311" s="67">
        <f t="shared" si="55"/>
        <v>1155555.5519999999</v>
      </c>
      <c r="M311" s="203">
        <f>K311+L311</f>
        <v>15599999.951999998</v>
      </c>
      <c r="N311" s="65"/>
      <c r="O311" s="65"/>
      <c r="P311" s="65"/>
      <c r="Q311" s="10">
        <f t="shared" si="44"/>
        <v>15599999.951999998</v>
      </c>
      <c r="R311" s="65"/>
    </row>
    <row r="312" spans="1:18" s="124" customFormat="1" ht="45">
      <c r="A312" s="122" t="s">
        <v>597</v>
      </c>
      <c r="B312" s="85">
        <v>46359</v>
      </c>
      <c r="C312" s="86" t="s">
        <v>311</v>
      </c>
      <c r="D312" s="85" t="s">
        <v>310</v>
      </c>
      <c r="E312" s="65" t="s">
        <v>307</v>
      </c>
      <c r="F312" s="65" t="s">
        <v>83</v>
      </c>
      <c r="G312" s="89" t="s">
        <v>240</v>
      </c>
      <c r="I312" s="65">
        <v>4</v>
      </c>
      <c r="J312" s="88">
        <v>1097222.22</v>
      </c>
      <c r="K312" s="67">
        <f t="shared" si="54"/>
        <v>4388888.88</v>
      </c>
      <c r="L312" s="67">
        <f t="shared" si="55"/>
        <v>351111.11040000001</v>
      </c>
      <c r="M312" s="203">
        <f t="shared" si="56"/>
        <v>4739999.9903999995</v>
      </c>
      <c r="N312" s="67"/>
      <c r="O312" s="67"/>
      <c r="P312" s="67"/>
      <c r="Q312" s="10">
        <f t="shared" si="44"/>
        <v>4739999.9903999995</v>
      </c>
      <c r="R312" s="65"/>
    </row>
    <row r="313" spans="1:18" s="275" customFormat="1" ht="15.75">
      <c r="A313" s="122" t="s">
        <v>597</v>
      </c>
      <c r="B313" s="76">
        <v>46330</v>
      </c>
      <c r="C313" s="78"/>
      <c r="D313" s="76"/>
      <c r="E313" s="78" t="s">
        <v>317</v>
      </c>
      <c r="F313" s="83"/>
      <c r="G313" s="84"/>
      <c r="I313" s="78"/>
      <c r="J313" s="80"/>
      <c r="K313" s="81"/>
      <c r="L313" s="81"/>
      <c r="M313" s="120"/>
      <c r="N313" s="81">
        <v>100000000</v>
      </c>
      <c r="O313" s="81"/>
      <c r="P313" s="81"/>
      <c r="Q313" s="10">
        <f t="shared" si="44"/>
        <v>-100000000</v>
      </c>
      <c r="R313" s="78"/>
    </row>
    <row r="314" spans="1:18" s="124" customFormat="1" ht="21.6" customHeight="1">
      <c r="A314" s="122" t="s">
        <v>597</v>
      </c>
      <c r="B314" s="85" t="s">
        <v>327</v>
      </c>
      <c r="C314" s="86" t="s">
        <v>328</v>
      </c>
      <c r="D314" s="85">
        <v>46117</v>
      </c>
      <c r="E314" s="65" t="s">
        <v>307</v>
      </c>
      <c r="F314" s="64" t="s">
        <v>62</v>
      </c>
      <c r="G314" s="89" t="s">
        <v>234</v>
      </c>
      <c r="I314" s="65">
        <v>50</v>
      </c>
      <c r="J314" s="88">
        <v>81730.759999999995</v>
      </c>
      <c r="K314" s="67">
        <f t="shared" si="54"/>
        <v>4086537.9999999995</v>
      </c>
      <c r="L314" s="67">
        <f t="shared" si="55"/>
        <v>326923.03999999998</v>
      </c>
      <c r="M314" s="203">
        <f t="shared" si="56"/>
        <v>4413461.0399999991</v>
      </c>
      <c r="N314" s="67"/>
      <c r="O314" s="67"/>
      <c r="P314" s="67"/>
      <c r="Q314" s="10">
        <f t="shared" si="44"/>
        <v>4413461.0399999991</v>
      </c>
      <c r="R314" s="65"/>
    </row>
    <row r="315" spans="1:18" s="124" customFormat="1" ht="30">
      <c r="A315" s="122" t="s">
        <v>597</v>
      </c>
      <c r="B315" s="85" t="s">
        <v>327</v>
      </c>
      <c r="C315" s="86" t="s">
        <v>328</v>
      </c>
      <c r="D315" s="85">
        <v>46117</v>
      </c>
      <c r="E315" s="65" t="s">
        <v>307</v>
      </c>
      <c r="F315" s="65" t="s">
        <v>180</v>
      </c>
      <c r="G315" s="89" t="s">
        <v>323</v>
      </c>
      <c r="I315" s="65">
        <v>30</v>
      </c>
      <c r="J315" s="88">
        <v>234259.25</v>
      </c>
      <c r="K315" s="67">
        <f t="shared" si="54"/>
        <v>7027777.5</v>
      </c>
      <c r="L315" s="67">
        <f t="shared" si="55"/>
        <v>562222.20000000007</v>
      </c>
      <c r="M315" s="203">
        <f t="shared" si="56"/>
        <v>7589999.7000000002</v>
      </c>
      <c r="N315" s="67"/>
      <c r="O315" s="67"/>
      <c r="P315" s="67"/>
      <c r="Q315" s="10">
        <f t="shared" si="44"/>
        <v>7589999.7000000002</v>
      </c>
      <c r="R315" s="65"/>
    </row>
    <row r="316" spans="1:18" s="124" customFormat="1" ht="30">
      <c r="A316" s="122" t="s">
        <v>597</v>
      </c>
      <c r="B316" s="85" t="s">
        <v>327</v>
      </c>
      <c r="C316" s="86" t="s">
        <v>328</v>
      </c>
      <c r="D316" s="85">
        <v>46117</v>
      </c>
      <c r="E316" s="65" t="s">
        <v>307</v>
      </c>
      <c r="F316" s="65" t="s">
        <v>26</v>
      </c>
      <c r="G316" s="89" t="s">
        <v>324</v>
      </c>
      <c r="I316" s="65">
        <v>80</v>
      </c>
      <c r="J316" s="88">
        <v>256481.48</v>
      </c>
      <c r="K316" s="67">
        <f t="shared" si="54"/>
        <v>20518518.400000002</v>
      </c>
      <c r="L316" s="67">
        <f t="shared" si="55"/>
        <v>1641481.4720000003</v>
      </c>
      <c r="M316" s="203">
        <f t="shared" si="56"/>
        <v>22159999.872000001</v>
      </c>
      <c r="N316" s="67"/>
      <c r="O316" s="67"/>
      <c r="P316" s="67"/>
      <c r="Q316" s="10">
        <f t="shared" si="44"/>
        <v>22159999.872000001</v>
      </c>
      <c r="R316" s="65"/>
    </row>
    <row r="317" spans="1:18" s="124" customFormat="1" ht="30">
      <c r="A317" s="122" t="s">
        <v>597</v>
      </c>
      <c r="B317" s="85" t="s">
        <v>327</v>
      </c>
      <c r="C317" s="86" t="s">
        <v>328</v>
      </c>
      <c r="D317" s="85">
        <v>46117</v>
      </c>
      <c r="E317" s="65" t="s">
        <v>307</v>
      </c>
      <c r="F317" s="65" t="s">
        <v>28</v>
      </c>
      <c r="G317" s="89" t="s">
        <v>325</v>
      </c>
      <c r="I317" s="65">
        <v>160</v>
      </c>
      <c r="J317" s="88">
        <v>281481.48</v>
      </c>
      <c r="K317" s="67">
        <f t="shared" si="54"/>
        <v>45037036.799999997</v>
      </c>
      <c r="L317" s="67">
        <f t="shared" si="55"/>
        <v>3602962.9439999997</v>
      </c>
      <c r="M317" s="203">
        <f t="shared" si="56"/>
        <v>48639999.743999995</v>
      </c>
      <c r="N317" s="67"/>
      <c r="O317" s="67"/>
      <c r="P317" s="67"/>
      <c r="Q317" s="10">
        <f t="shared" si="44"/>
        <v>48639999.743999995</v>
      </c>
      <c r="R317" s="65"/>
    </row>
    <row r="318" spans="1:18" s="124" customFormat="1" ht="25.15" customHeight="1">
      <c r="A318" s="122" t="s">
        <v>597</v>
      </c>
      <c r="B318" s="85" t="s">
        <v>327</v>
      </c>
      <c r="C318" s="86" t="s">
        <v>328</v>
      </c>
      <c r="D318" s="85">
        <v>46117</v>
      </c>
      <c r="E318" s="65" t="s">
        <v>307</v>
      </c>
      <c r="F318" s="64" t="s">
        <v>54</v>
      </c>
      <c r="G318" s="87" t="s">
        <v>329</v>
      </c>
      <c r="I318" s="65">
        <v>36</v>
      </c>
      <c r="J318" s="88">
        <v>324074.07</v>
      </c>
      <c r="K318" s="67">
        <f t="shared" si="54"/>
        <v>11666666.52</v>
      </c>
      <c r="L318" s="67">
        <f t="shared" si="55"/>
        <v>933333.32160000002</v>
      </c>
      <c r="M318" s="203">
        <f t="shared" si="56"/>
        <v>12599999.841599999</v>
      </c>
      <c r="N318" s="67"/>
      <c r="O318" s="67"/>
      <c r="P318" s="67"/>
      <c r="Q318" s="10">
        <f t="shared" si="44"/>
        <v>12599999.841599999</v>
      </c>
      <c r="R318" s="65"/>
    </row>
    <row r="319" spans="1:18" s="124" customFormat="1" ht="24" customHeight="1">
      <c r="A319" s="122" t="s">
        <v>597</v>
      </c>
      <c r="B319" s="85" t="s">
        <v>327</v>
      </c>
      <c r="C319" s="86" t="s">
        <v>328</v>
      </c>
      <c r="D319" s="85">
        <v>46117</v>
      </c>
      <c r="E319" s="65" t="s">
        <v>307</v>
      </c>
      <c r="F319" s="64" t="s">
        <v>56</v>
      </c>
      <c r="G319" s="87" t="s">
        <v>330</v>
      </c>
      <c r="I319" s="65">
        <v>120</v>
      </c>
      <c r="J319" s="88">
        <v>325925.92</v>
      </c>
      <c r="K319" s="67">
        <f t="shared" si="54"/>
        <v>39111110.399999999</v>
      </c>
      <c r="L319" s="67">
        <f t="shared" si="55"/>
        <v>3128888.8319999999</v>
      </c>
      <c r="M319" s="203">
        <f t="shared" si="56"/>
        <v>42239999.232000001</v>
      </c>
      <c r="N319" s="67"/>
      <c r="O319" s="67"/>
      <c r="P319" s="67"/>
      <c r="Q319" s="10">
        <f t="shared" si="44"/>
        <v>42239999.232000001</v>
      </c>
      <c r="R319" s="65"/>
    </row>
    <row r="320" spans="1:18" s="124" customFormat="1" ht="25.15" customHeight="1">
      <c r="A320" s="122" t="s">
        <v>597</v>
      </c>
      <c r="B320" s="85" t="s">
        <v>327</v>
      </c>
      <c r="C320" s="86" t="s">
        <v>328</v>
      </c>
      <c r="D320" s="85">
        <v>46117</v>
      </c>
      <c r="E320" s="65" t="s">
        <v>307</v>
      </c>
      <c r="F320" s="64" t="s">
        <v>326</v>
      </c>
      <c r="G320" s="87" t="s">
        <v>141</v>
      </c>
      <c r="I320" s="65">
        <v>200</v>
      </c>
      <c r="J320" s="88">
        <v>361111.11</v>
      </c>
      <c r="K320" s="67">
        <f t="shared" si="54"/>
        <v>72222222</v>
      </c>
      <c r="L320" s="67">
        <f t="shared" si="55"/>
        <v>5777777.7599999998</v>
      </c>
      <c r="M320" s="203">
        <f t="shared" si="56"/>
        <v>77999999.760000005</v>
      </c>
      <c r="N320" s="67"/>
      <c r="O320" s="67"/>
      <c r="P320" s="67"/>
      <c r="Q320" s="10">
        <f t="shared" si="44"/>
        <v>77999999.760000005</v>
      </c>
      <c r="R320" s="65"/>
    </row>
    <row r="321" spans="1:18" s="124" customFormat="1" ht="30">
      <c r="A321" s="122" t="s">
        <v>597</v>
      </c>
      <c r="B321" s="85" t="s">
        <v>327</v>
      </c>
      <c r="C321" s="86" t="s">
        <v>332</v>
      </c>
      <c r="D321" s="85" t="s">
        <v>331</v>
      </c>
      <c r="E321" s="65" t="s">
        <v>307</v>
      </c>
      <c r="F321" s="65" t="s">
        <v>243</v>
      </c>
      <c r="G321" s="89" t="s">
        <v>333</v>
      </c>
      <c r="I321" s="65">
        <v>220</v>
      </c>
      <c r="J321" s="88">
        <v>298148.14</v>
      </c>
      <c r="K321" s="67">
        <f>J321*I321</f>
        <v>65592590.800000004</v>
      </c>
      <c r="L321" s="67">
        <f>K321*8%</f>
        <v>5247407.2640000004</v>
      </c>
      <c r="M321" s="203">
        <f>K321+L321</f>
        <v>70839998.06400001</v>
      </c>
      <c r="N321" s="67"/>
      <c r="O321" s="67"/>
      <c r="P321" s="67"/>
      <c r="Q321" s="10">
        <f t="shared" si="44"/>
        <v>70839998.06400001</v>
      </c>
      <c r="R321" s="65"/>
    </row>
    <row r="322" spans="1:18" s="124" customFormat="1" ht="30">
      <c r="A322" s="122" t="s">
        <v>597</v>
      </c>
      <c r="B322" s="85" t="s">
        <v>334</v>
      </c>
      <c r="C322" s="86" t="s">
        <v>332</v>
      </c>
      <c r="D322" s="85" t="s">
        <v>331</v>
      </c>
      <c r="E322" s="65" t="s">
        <v>307</v>
      </c>
      <c r="F322" s="65" t="s">
        <v>243</v>
      </c>
      <c r="G322" s="89" t="s">
        <v>333</v>
      </c>
      <c r="I322" s="65">
        <v>10</v>
      </c>
      <c r="J322" s="88">
        <v>298148.14</v>
      </c>
      <c r="K322" s="67">
        <f>J322*I322</f>
        <v>2981481.4000000004</v>
      </c>
      <c r="L322" s="67">
        <f>K322*8%</f>
        <v>238518.51200000005</v>
      </c>
      <c r="M322" s="203">
        <f>K322+L322</f>
        <v>3219999.9120000005</v>
      </c>
      <c r="N322" s="67"/>
      <c r="O322" s="67"/>
      <c r="P322" s="67"/>
      <c r="Q322" s="10">
        <f t="shared" si="44"/>
        <v>3219999.9120000005</v>
      </c>
      <c r="R322" s="65"/>
    </row>
    <row r="323" spans="1:18" s="124" customFormat="1" ht="15.75">
      <c r="A323" s="122" t="s">
        <v>597</v>
      </c>
      <c r="B323" s="276"/>
      <c r="C323" s="85"/>
      <c r="D323" s="213"/>
      <c r="E323" s="65" t="s">
        <v>307</v>
      </c>
      <c r="F323" s="65"/>
      <c r="G323" s="123" t="s">
        <v>598</v>
      </c>
      <c r="H323" s="65"/>
      <c r="I323" s="88"/>
      <c r="J323" s="67"/>
      <c r="K323" s="67">
        <f>J323*8%</f>
        <v>0</v>
      </c>
      <c r="M323" s="259"/>
      <c r="O323" s="67"/>
      <c r="P323" s="67">
        <f>500031455.28*3%</f>
        <v>15000943.658399999</v>
      </c>
      <c r="Q323" s="10">
        <f t="shared" si="44"/>
        <v>-15000943.658399999</v>
      </c>
    </row>
    <row r="324" spans="1:18" s="275" customFormat="1" ht="15.75">
      <c r="A324" s="122" t="s">
        <v>597</v>
      </c>
      <c r="B324" s="76">
        <v>46331</v>
      </c>
      <c r="C324" s="78"/>
      <c r="D324" s="76"/>
      <c r="E324" s="78" t="s">
        <v>317</v>
      </c>
      <c r="F324" s="83"/>
      <c r="G324" s="84"/>
      <c r="I324" s="78"/>
      <c r="J324" s="80"/>
      <c r="K324" s="78"/>
      <c r="L324" s="78"/>
      <c r="M324" s="260"/>
      <c r="N324" s="81">
        <v>100000000</v>
      </c>
      <c r="O324" s="81"/>
      <c r="P324" s="81"/>
      <c r="Q324" s="10">
        <f t="shared" ref="Q324:Q387" si="57">M324-N324-O324-P324</f>
        <v>-100000000</v>
      </c>
      <c r="R324" s="78"/>
    </row>
    <row r="325" spans="1:18" s="124" customFormat="1" ht="15.75">
      <c r="A325" s="122" t="s">
        <v>597</v>
      </c>
      <c r="B325" s="85">
        <v>46148</v>
      </c>
      <c r="C325" s="65"/>
      <c r="D325" s="99" t="s">
        <v>335</v>
      </c>
      <c r="E325" s="65" t="s">
        <v>307</v>
      </c>
      <c r="F325" s="125" t="s">
        <v>85</v>
      </c>
      <c r="G325" s="126" t="s">
        <v>86</v>
      </c>
      <c r="I325" s="94">
        <v>100</v>
      </c>
      <c r="J325" s="97">
        <v>509259.26</v>
      </c>
      <c r="K325" s="127">
        <f>J325*I325</f>
        <v>50925926</v>
      </c>
      <c r="L325" s="127">
        <f t="shared" ref="L325" si="58">K325*8%</f>
        <v>4074074.08</v>
      </c>
      <c r="M325" s="257">
        <f t="shared" ref="M325" si="59">K325+L325</f>
        <v>55000000.079999998</v>
      </c>
      <c r="N325" s="67"/>
      <c r="O325" s="67"/>
      <c r="P325" s="67"/>
      <c r="Q325" s="10">
        <f t="shared" si="57"/>
        <v>55000000.079999998</v>
      </c>
      <c r="R325" s="65"/>
    </row>
    <row r="326" spans="1:18" s="275" customFormat="1" ht="15.75">
      <c r="A326" s="122" t="s">
        <v>597</v>
      </c>
      <c r="B326" s="76" t="s">
        <v>87</v>
      </c>
      <c r="C326" s="78"/>
      <c r="D326" s="76"/>
      <c r="E326" s="78" t="s">
        <v>317</v>
      </c>
      <c r="F326" s="83"/>
      <c r="G326" s="84"/>
      <c r="I326" s="78"/>
      <c r="J326" s="80"/>
      <c r="K326" s="78"/>
      <c r="L326" s="78"/>
      <c r="M326" s="260"/>
      <c r="N326" s="81">
        <v>100000000</v>
      </c>
      <c r="O326" s="81"/>
      <c r="P326" s="81"/>
      <c r="Q326" s="10">
        <f t="shared" si="57"/>
        <v>-100000000</v>
      </c>
      <c r="R326" s="78"/>
    </row>
    <row r="327" spans="1:18" s="275" customFormat="1" ht="15.75">
      <c r="A327" s="122" t="s">
        <v>597</v>
      </c>
      <c r="B327" s="76">
        <v>46233</v>
      </c>
      <c r="C327" s="78"/>
      <c r="D327" s="76"/>
      <c r="E327" s="78" t="s">
        <v>317</v>
      </c>
      <c r="F327" s="83"/>
      <c r="G327" s="84"/>
      <c r="I327" s="78"/>
      <c r="J327" s="80"/>
      <c r="K327" s="78"/>
      <c r="L327" s="78"/>
      <c r="M327" s="260"/>
      <c r="N327" s="81">
        <v>100000000</v>
      </c>
      <c r="O327" s="81"/>
      <c r="P327" s="81"/>
      <c r="Q327" s="10">
        <f t="shared" si="57"/>
        <v>-100000000</v>
      </c>
      <c r="R327" s="78"/>
    </row>
    <row r="328" spans="1:18" s="124" customFormat="1" ht="17.45" customHeight="1">
      <c r="A328" s="122" t="s">
        <v>597</v>
      </c>
      <c r="B328" s="85" t="s">
        <v>336</v>
      </c>
      <c r="C328" s="86" t="s">
        <v>337</v>
      </c>
      <c r="D328" s="85" t="s">
        <v>89</v>
      </c>
      <c r="E328" s="65" t="s">
        <v>307</v>
      </c>
      <c r="F328" s="64" t="s">
        <v>80</v>
      </c>
      <c r="G328" s="89" t="s">
        <v>81</v>
      </c>
      <c r="I328" s="65">
        <v>10</v>
      </c>
      <c r="J328" s="88">
        <v>824074.07</v>
      </c>
      <c r="K328" s="67">
        <f>I328*J328</f>
        <v>8240740.6999999993</v>
      </c>
      <c r="L328" s="67">
        <f>K328*8%</f>
        <v>659259.25599999994</v>
      </c>
      <c r="M328" s="203">
        <f>K328+L328</f>
        <v>8899999.9559999984</v>
      </c>
      <c r="N328" s="67"/>
      <c r="O328" s="67"/>
      <c r="P328" s="67"/>
      <c r="Q328" s="10">
        <f t="shared" si="57"/>
        <v>8899999.9559999984</v>
      </c>
      <c r="R328" s="65"/>
    </row>
    <row r="329" spans="1:18" s="124" customFormat="1" ht="16.149999999999999" customHeight="1">
      <c r="A329" s="122" t="s">
        <v>597</v>
      </c>
      <c r="B329" s="85" t="s">
        <v>336</v>
      </c>
      <c r="C329" s="86" t="s">
        <v>337</v>
      </c>
      <c r="D329" s="85" t="s">
        <v>89</v>
      </c>
      <c r="E329" s="65" t="s">
        <v>307</v>
      </c>
      <c r="F329" s="64" t="s">
        <v>21</v>
      </c>
      <c r="G329" s="89" t="s">
        <v>338</v>
      </c>
      <c r="I329" s="65">
        <v>10</v>
      </c>
      <c r="J329" s="88">
        <v>937963.96</v>
      </c>
      <c r="K329" s="67">
        <f>I329*J329</f>
        <v>9379639.5999999996</v>
      </c>
      <c r="L329" s="67">
        <f>K329*8%</f>
        <v>750371.16799999995</v>
      </c>
      <c r="M329" s="203">
        <f>K329+L329</f>
        <v>10130010.767999999</v>
      </c>
      <c r="N329" s="67"/>
      <c r="O329" s="67"/>
      <c r="P329" s="67"/>
      <c r="Q329" s="10">
        <f t="shared" si="57"/>
        <v>10130010.767999999</v>
      </c>
      <c r="R329" s="65"/>
    </row>
    <row r="330" spans="1:18" s="124" customFormat="1" ht="17.45" customHeight="1">
      <c r="A330" s="122" t="s">
        <v>597</v>
      </c>
      <c r="B330" s="85" t="s">
        <v>336</v>
      </c>
      <c r="C330" s="86"/>
      <c r="D330" s="99" t="s">
        <v>335</v>
      </c>
      <c r="E330" s="65" t="s">
        <v>307</v>
      </c>
      <c r="F330" s="125" t="s">
        <v>96</v>
      </c>
      <c r="G330" s="95" t="s">
        <v>97</v>
      </c>
      <c r="I330" s="94">
        <v>10</v>
      </c>
      <c r="J330" s="97">
        <v>574074.06999999995</v>
      </c>
      <c r="K330" s="127">
        <f>I330*J330</f>
        <v>5740740.6999999993</v>
      </c>
      <c r="L330" s="127">
        <f>K330*8%</f>
        <v>459259.25599999994</v>
      </c>
      <c r="M330" s="257">
        <f>K330+L330</f>
        <v>6199999.9559999993</v>
      </c>
      <c r="N330" s="67"/>
      <c r="O330" s="67"/>
      <c r="P330" s="67"/>
      <c r="Q330" s="10">
        <f t="shared" si="57"/>
        <v>6199999.9559999993</v>
      </c>
      <c r="R330" s="65"/>
    </row>
    <row r="331" spans="1:18" s="124" customFormat="1" ht="16.149999999999999" customHeight="1">
      <c r="A331" s="122" t="s">
        <v>597</v>
      </c>
      <c r="B331" s="85" t="s">
        <v>336</v>
      </c>
      <c r="C331" s="65"/>
      <c r="D331" s="99" t="s">
        <v>335</v>
      </c>
      <c r="E331" s="65" t="s">
        <v>307</v>
      </c>
      <c r="F331" s="125" t="s">
        <v>98</v>
      </c>
      <c r="G331" s="95" t="s">
        <v>99</v>
      </c>
      <c r="I331" s="94">
        <v>100</v>
      </c>
      <c r="J331" s="97">
        <v>694444.44</v>
      </c>
      <c r="K331" s="127">
        <f>I331*J331</f>
        <v>69444444</v>
      </c>
      <c r="L331" s="127">
        <f>K331*8%</f>
        <v>5555555.5200000005</v>
      </c>
      <c r="M331" s="257">
        <f>K331+L331</f>
        <v>74999999.519999996</v>
      </c>
      <c r="N331" s="67"/>
      <c r="O331" s="67"/>
      <c r="P331" s="67"/>
      <c r="Q331" s="10">
        <f t="shared" si="57"/>
        <v>74999999.519999996</v>
      </c>
      <c r="R331" s="65"/>
    </row>
    <row r="332" spans="1:18" s="274" customFormat="1" ht="15.6" hidden="1" customHeight="1">
      <c r="A332" s="3" t="s">
        <v>599</v>
      </c>
      <c r="B332" s="70">
        <v>46055</v>
      </c>
      <c r="C332" s="71" t="s">
        <v>339</v>
      </c>
      <c r="D332" s="70">
        <v>46114</v>
      </c>
      <c r="E332" s="43" t="s">
        <v>340</v>
      </c>
      <c r="F332" s="74" t="s">
        <v>341</v>
      </c>
      <c r="G332" s="75" t="s">
        <v>269</v>
      </c>
      <c r="H332" s="273"/>
      <c r="I332" s="43">
        <v>6</v>
      </c>
      <c r="J332" s="73">
        <v>480555.56</v>
      </c>
      <c r="K332" s="45">
        <f t="shared" ref="K332:K348" si="60">J332*I332</f>
        <v>2883333.36</v>
      </c>
      <c r="L332" s="45">
        <f t="shared" ref="L332:L348" si="61">K332*8%</f>
        <v>230666.66879999998</v>
      </c>
      <c r="M332" s="256">
        <f t="shared" ref="M332:M348" si="62">K332+L332</f>
        <v>3114000.0288</v>
      </c>
      <c r="N332" s="73"/>
      <c r="O332" s="73"/>
      <c r="P332" s="73"/>
      <c r="Q332" s="10">
        <f t="shared" si="57"/>
        <v>3114000.0288</v>
      </c>
      <c r="R332" s="43"/>
    </row>
    <row r="333" spans="1:18" s="274" customFormat="1" ht="15" hidden="1" customHeight="1">
      <c r="A333" s="3" t="s">
        <v>599</v>
      </c>
      <c r="B333" s="70">
        <v>46055</v>
      </c>
      <c r="C333" s="71" t="s">
        <v>339</v>
      </c>
      <c r="D333" s="70">
        <v>46114</v>
      </c>
      <c r="E333" s="43" t="s">
        <v>340</v>
      </c>
      <c r="F333" s="74" t="s">
        <v>342</v>
      </c>
      <c r="G333" s="75" t="s">
        <v>63</v>
      </c>
      <c r="H333" s="273"/>
      <c r="I333" s="43">
        <v>10</v>
      </c>
      <c r="J333" s="73">
        <v>78703.7</v>
      </c>
      <c r="K333" s="45">
        <f t="shared" si="60"/>
        <v>787037</v>
      </c>
      <c r="L333" s="45">
        <f t="shared" si="61"/>
        <v>62962.96</v>
      </c>
      <c r="M333" s="256">
        <f t="shared" si="62"/>
        <v>849999.96</v>
      </c>
      <c r="N333" s="73"/>
      <c r="O333" s="73"/>
      <c r="P333" s="73"/>
      <c r="Q333" s="10">
        <f t="shared" si="57"/>
        <v>849999.96</v>
      </c>
      <c r="R333" s="43"/>
    </row>
    <row r="334" spans="1:18" s="274" customFormat="1" ht="15.75" hidden="1">
      <c r="A334" s="3" t="s">
        <v>599</v>
      </c>
      <c r="B334" s="70">
        <v>46055</v>
      </c>
      <c r="C334" s="71" t="s">
        <v>339</v>
      </c>
      <c r="D334" s="70">
        <v>46114</v>
      </c>
      <c r="E334" s="43" t="s">
        <v>340</v>
      </c>
      <c r="F334" s="74" t="s">
        <v>80</v>
      </c>
      <c r="G334" s="72" t="s">
        <v>81</v>
      </c>
      <c r="H334" s="273"/>
      <c r="I334" s="43">
        <v>2</v>
      </c>
      <c r="J334" s="73">
        <v>824074.07</v>
      </c>
      <c r="K334" s="45">
        <f t="shared" si="60"/>
        <v>1648148.14</v>
      </c>
      <c r="L334" s="45">
        <f t="shared" si="61"/>
        <v>131851.8512</v>
      </c>
      <c r="M334" s="256">
        <f t="shared" si="62"/>
        <v>1779999.9911999998</v>
      </c>
      <c r="N334" s="73"/>
      <c r="O334" s="73"/>
      <c r="P334" s="73"/>
      <c r="Q334" s="10">
        <f t="shared" si="57"/>
        <v>1779999.9911999998</v>
      </c>
      <c r="R334" s="43"/>
    </row>
    <row r="335" spans="1:18" s="274" customFormat="1" ht="15.75" hidden="1">
      <c r="A335" s="3" t="s">
        <v>599</v>
      </c>
      <c r="B335" s="70">
        <v>46055</v>
      </c>
      <c r="C335" s="71" t="s">
        <v>339</v>
      </c>
      <c r="D335" s="70">
        <v>46114</v>
      </c>
      <c r="E335" s="43" t="s">
        <v>340</v>
      </c>
      <c r="F335" s="74" t="s">
        <v>21</v>
      </c>
      <c r="G335" s="72" t="s">
        <v>22</v>
      </c>
      <c r="H335" s="273"/>
      <c r="I335" s="43">
        <v>2</v>
      </c>
      <c r="J335" s="73">
        <v>937962.96</v>
      </c>
      <c r="K335" s="45">
        <f t="shared" si="60"/>
        <v>1875925.92</v>
      </c>
      <c r="L335" s="45">
        <f t="shared" si="61"/>
        <v>150074.0736</v>
      </c>
      <c r="M335" s="256">
        <f t="shared" si="62"/>
        <v>2025999.9935999999</v>
      </c>
      <c r="N335" s="73"/>
      <c r="O335" s="73"/>
      <c r="P335" s="73"/>
      <c r="Q335" s="10">
        <f t="shared" si="57"/>
        <v>2025999.9935999999</v>
      </c>
      <c r="R335" s="43"/>
    </row>
    <row r="336" spans="1:18" s="274" customFormat="1" ht="15.75" hidden="1">
      <c r="A336" s="3" t="s">
        <v>599</v>
      </c>
      <c r="B336" s="70">
        <v>46055</v>
      </c>
      <c r="C336" s="71" t="s">
        <v>339</v>
      </c>
      <c r="D336" s="70">
        <v>46114</v>
      </c>
      <c r="E336" s="43" t="s">
        <v>340</v>
      </c>
      <c r="F336" s="74" t="s">
        <v>68</v>
      </c>
      <c r="G336" s="72" t="s">
        <v>69</v>
      </c>
      <c r="H336" s="273"/>
      <c r="I336" s="43">
        <v>4</v>
      </c>
      <c r="J336" s="73">
        <v>111111.11</v>
      </c>
      <c r="K336" s="45">
        <f t="shared" si="60"/>
        <v>444444.44</v>
      </c>
      <c r="L336" s="45">
        <f t="shared" si="61"/>
        <v>35555.555200000003</v>
      </c>
      <c r="M336" s="256">
        <f t="shared" si="62"/>
        <v>479999.9952</v>
      </c>
      <c r="N336" s="73"/>
      <c r="O336" s="73"/>
      <c r="P336" s="73"/>
      <c r="Q336" s="10">
        <f t="shared" si="57"/>
        <v>479999.9952</v>
      </c>
      <c r="R336" s="43"/>
    </row>
    <row r="337" spans="1:18" s="274" customFormat="1" ht="15.75" hidden="1">
      <c r="A337" s="3" t="s">
        <v>599</v>
      </c>
      <c r="B337" s="70">
        <v>46055</v>
      </c>
      <c r="C337" s="71" t="s">
        <v>339</v>
      </c>
      <c r="D337" s="70">
        <v>46114</v>
      </c>
      <c r="E337" s="43" t="s">
        <v>340</v>
      </c>
      <c r="F337" s="74" t="s">
        <v>70</v>
      </c>
      <c r="G337" s="72" t="s">
        <v>71</v>
      </c>
      <c r="H337" s="273"/>
      <c r="I337" s="43">
        <v>4</v>
      </c>
      <c r="J337" s="73">
        <v>120370.37</v>
      </c>
      <c r="K337" s="45">
        <f t="shared" si="60"/>
        <v>481481.48</v>
      </c>
      <c r="L337" s="45">
        <f t="shared" si="61"/>
        <v>38518.518400000001</v>
      </c>
      <c r="M337" s="256">
        <f t="shared" si="62"/>
        <v>519999.99839999998</v>
      </c>
      <c r="N337" s="73"/>
      <c r="O337" s="73"/>
      <c r="P337" s="73"/>
      <c r="Q337" s="10">
        <f t="shared" si="57"/>
        <v>519999.99839999998</v>
      </c>
      <c r="R337" s="43"/>
    </row>
    <row r="338" spans="1:18" s="274" customFormat="1" ht="15.75" hidden="1">
      <c r="A338" s="3" t="s">
        <v>599</v>
      </c>
      <c r="B338" s="70">
        <v>46055</v>
      </c>
      <c r="C338" s="71" t="s">
        <v>339</v>
      </c>
      <c r="D338" s="70">
        <v>46114</v>
      </c>
      <c r="E338" s="43" t="s">
        <v>340</v>
      </c>
      <c r="F338" s="74" t="s">
        <v>72</v>
      </c>
      <c r="G338" s="72" t="s">
        <v>73</v>
      </c>
      <c r="H338" s="273"/>
      <c r="I338" s="43">
        <v>4</v>
      </c>
      <c r="J338" s="73">
        <v>129629.63</v>
      </c>
      <c r="K338" s="45">
        <f t="shared" si="60"/>
        <v>518518.52</v>
      </c>
      <c r="L338" s="45">
        <f t="shared" si="61"/>
        <v>41481.481599999999</v>
      </c>
      <c r="M338" s="256">
        <f t="shared" si="62"/>
        <v>560000.00160000008</v>
      </c>
      <c r="N338" s="73"/>
      <c r="O338" s="73"/>
      <c r="P338" s="73"/>
      <c r="Q338" s="10">
        <f t="shared" si="57"/>
        <v>560000.00160000008</v>
      </c>
      <c r="R338" s="43"/>
    </row>
    <row r="339" spans="1:18" s="274" customFormat="1" ht="30" hidden="1">
      <c r="A339" s="3" t="s">
        <v>599</v>
      </c>
      <c r="B339" s="70">
        <v>46055</v>
      </c>
      <c r="C339" s="71" t="s">
        <v>339</v>
      </c>
      <c r="D339" s="70">
        <v>46114</v>
      </c>
      <c r="E339" s="43" t="s">
        <v>340</v>
      </c>
      <c r="F339" s="74" t="s">
        <v>28</v>
      </c>
      <c r="G339" s="75" t="s">
        <v>343</v>
      </c>
      <c r="H339" s="273"/>
      <c r="I339" s="43">
        <v>10</v>
      </c>
      <c r="J339" s="73">
        <v>281481.48</v>
      </c>
      <c r="K339" s="45">
        <f t="shared" si="60"/>
        <v>2814814.8</v>
      </c>
      <c r="L339" s="45">
        <f t="shared" si="61"/>
        <v>225185.18399999998</v>
      </c>
      <c r="M339" s="256">
        <f t="shared" si="62"/>
        <v>3039999.9839999997</v>
      </c>
      <c r="N339" s="73"/>
      <c r="O339" s="73"/>
      <c r="P339" s="73"/>
      <c r="Q339" s="10">
        <f t="shared" si="57"/>
        <v>3039999.9839999997</v>
      </c>
      <c r="R339" s="43"/>
    </row>
    <row r="340" spans="1:18" s="274" customFormat="1" ht="30" hidden="1">
      <c r="A340" s="3" t="s">
        <v>599</v>
      </c>
      <c r="B340" s="70">
        <v>46055</v>
      </c>
      <c r="C340" s="71" t="s">
        <v>339</v>
      </c>
      <c r="D340" s="70">
        <v>46114</v>
      </c>
      <c r="E340" s="43" t="s">
        <v>340</v>
      </c>
      <c r="F340" s="74" t="s">
        <v>36</v>
      </c>
      <c r="G340" s="75" t="s">
        <v>37</v>
      </c>
      <c r="H340" s="273"/>
      <c r="I340" s="43">
        <v>10</v>
      </c>
      <c r="J340" s="73">
        <v>259259.26</v>
      </c>
      <c r="K340" s="45">
        <f t="shared" si="60"/>
        <v>2592592.6</v>
      </c>
      <c r="L340" s="45">
        <f t="shared" si="61"/>
        <v>207407.40800000002</v>
      </c>
      <c r="M340" s="256">
        <f t="shared" si="62"/>
        <v>2800000.0079999999</v>
      </c>
      <c r="N340" s="73"/>
      <c r="O340" s="73"/>
      <c r="P340" s="73"/>
      <c r="Q340" s="10">
        <f t="shared" si="57"/>
        <v>2800000.0079999999</v>
      </c>
      <c r="R340" s="43"/>
    </row>
    <row r="341" spans="1:18" s="274" customFormat="1" ht="30" hidden="1">
      <c r="A341" s="3" t="s">
        <v>599</v>
      </c>
      <c r="B341" s="70">
        <v>46055</v>
      </c>
      <c r="C341" s="71" t="s">
        <v>339</v>
      </c>
      <c r="D341" s="70">
        <v>46114</v>
      </c>
      <c r="E341" s="43" t="s">
        <v>340</v>
      </c>
      <c r="F341" s="74" t="s">
        <v>38</v>
      </c>
      <c r="G341" s="75" t="s">
        <v>39</v>
      </c>
      <c r="H341" s="273"/>
      <c r="I341" s="43">
        <v>10</v>
      </c>
      <c r="J341" s="73">
        <v>277777.78000000003</v>
      </c>
      <c r="K341" s="45">
        <f t="shared" si="60"/>
        <v>2777777.8000000003</v>
      </c>
      <c r="L341" s="45">
        <f t="shared" si="61"/>
        <v>222222.22400000002</v>
      </c>
      <c r="M341" s="256">
        <f t="shared" si="62"/>
        <v>3000000.0240000002</v>
      </c>
      <c r="N341" s="73"/>
      <c r="O341" s="73"/>
      <c r="P341" s="73"/>
      <c r="Q341" s="10">
        <f t="shared" si="57"/>
        <v>3000000.0240000002</v>
      </c>
      <c r="R341" s="43"/>
    </row>
    <row r="342" spans="1:18" s="274" customFormat="1" ht="15.75" hidden="1">
      <c r="A342" s="3" t="s">
        <v>599</v>
      </c>
      <c r="B342" s="70">
        <v>46055</v>
      </c>
      <c r="C342" s="71" t="s">
        <v>339</v>
      </c>
      <c r="D342" s="70">
        <v>46114</v>
      </c>
      <c r="E342" s="43" t="s">
        <v>340</v>
      </c>
      <c r="F342" s="74" t="s">
        <v>40</v>
      </c>
      <c r="G342" s="72" t="s">
        <v>41</v>
      </c>
      <c r="H342" s="273"/>
      <c r="I342" s="43">
        <v>4</v>
      </c>
      <c r="J342" s="73">
        <v>844444.44</v>
      </c>
      <c r="K342" s="45">
        <f t="shared" si="60"/>
        <v>3377777.76</v>
      </c>
      <c r="L342" s="45">
        <f t="shared" si="61"/>
        <v>270222.22080000001</v>
      </c>
      <c r="M342" s="256">
        <f t="shared" si="62"/>
        <v>3647999.9808</v>
      </c>
      <c r="N342" s="73"/>
      <c r="O342" s="73"/>
      <c r="P342" s="73"/>
      <c r="Q342" s="10">
        <f t="shared" si="57"/>
        <v>3647999.9808</v>
      </c>
      <c r="R342" s="43"/>
    </row>
    <row r="343" spans="1:18" s="274" customFormat="1" ht="30" hidden="1">
      <c r="A343" s="3" t="s">
        <v>599</v>
      </c>
      <c r="B343" s="70">
        <v>46055</v>
      </c>
      <c r="C343" s="71" t="s">
        <v>344</v>
      </c>
      <c r="D343" s="70">
        <v>46267</v>
      </c>
      <c r="E343" s="43" t="s">
        <v>340</v>
      </c>
      <c r="F343" s="74" t="s">
        <v>60</v>
      </c>
      <c r="G343" s="75" t="s">
        <v>61</v>
      </c>
      <c r="H343" s="273"/>
      <c r="I343" s="43">
        <v>4</v>
      </c>
      <c r="J343" s="73">
        <v>1138888.8899999999</v>
      </c>
      <c r="K343" s="45">
        <f t="shared" si="60"/>
        <v>4555555.5599999996</v>
      </c>
      <c r="L343" s="45">
        <f t="shared" si="61"/>
        <v>364444.4448</v>
      </c>
      <c r="M343" s="256">
        <f t="shared" si="62"/>
        <v>4920000.0047999993</v>
      </c>
      <c r="N343" s="73"/>
      <c r="O343" s="73"/>
      <c r="P343" s="73"/>
      <c r="Q343" s="10">
        <f t="shared" si="57"/>
        <v>4920000.0047999993</v>
      </c>
      <c r="R343" s="43"/>
    </row>
    <row r="344" spans="1:18" s="124" customFormat="1" ht="30" hidden="1">
      <c r="A344" s="3" t="s">
        <v>599</v>
      </c>
      <c r="B344" s="85">
        <v>46055</v>
      </c>
      <c r="C344" s="100" t="s">
        <v>335</v>
      </c>
      <c r="D344" s="85"/>
      <c r="E344" s="65" t="s">
        <v>340</v>
      </c>
      <c r="F344" s="65" t="s">
        <v>83</v>
      </c>
      <c r="G344" s="89" t="s">
        <v>84</v>
      </c>
      <c r="I344" s="65">
        <v>4</v>
      </c>
      <c r="J344" s="88">
        <v>1097222.22</v>
      </c>
      <c r="K344" s="67">
        <f t="shared" si="60"/>
        <v>4388888.88</v>
      </c>
      <c r="L344" s="67">
        <f t="shared" si="61"/>
        <v>351111.11040000001</v>
      </c>
      <c r="M344" s="203">
        <f t="shared" si="62"/>
        <v>4739999.9903999995</v>
      </c>
      <c r="N344" s="88"/>
      <c r="O344" s="88"/>
      <c r="P344" s="88"/>
      <c r="Q344" s="10">
        <f t="shared" si="57"/>
        <v>4739999.9903999995</v>
      </c>
      <c r="R344" s="65"/>
    </row>
    <row r="345" spans="1:18" s="274" customFormat="1" ht="30" hidden="1">
      <c r="A345" s="3" t="s">
        <v>599</v>
      </c>
      <c r="B345" s="70">
        <v>46055</v>
      </c>
      <c r="C345" s="71" t="s">
        <v>345</v>
      </c>
      <c r="D345" s="70">
        <v>46267</v>
      </c>
      <c r="E345" s="43" t="s">
        <v>340</v>
      </c>
      <c r="F345" s="74" t="s">
        <v>16</v>
      </c>
      <c r="G345" s="75" t="s">
        <v>17</v>
      </c>
      <c r="H345" s="273"/>
      <c r="I345" s="43">
        <v>4</v>
      </c>
      <c r="J345" s="73">
        <v>851851.85</v>
      </c>
      <c r="K345" s="45">
        <f t="shared" si="60"/>
        <v>3407407.4</v>
      </c>
      <c r="L345" s="45">
        <f t="shared" si="61"/>
        <v>272592.592</v>
      </c>
      <c r="M345" s="256">
        <f t="shared" si="62"/>
        <v>3679999.9920000001</v>
      </c>
      <c r="N345" s="73"/>
      <c r="O345" s="73"/>
      <c r="P345" s="73"/>
      <c r="Q345" s="10">
        <f t="shared" si="57"/>
        <v>3679999.9920000001</v>
      </c>
      <c r="R345" s="43"/>
    </row>
    <row r="346" spans="1:18" s="274" customFormat="1" ht="15.75" hidden="1">
      <c r="A346" s="3" t="s">
        <v>599</v>
      </c>
      <c r="B346" s="70">
        <v>46055</v>
      </c>
      <c r="C346" s="71" t="s">
        <v>347</v>
      </c>
      <c r="D346" s="70" t="s">
        <v>346</v>
      </c>
      <c r="E346" s="43" t="s">
        <v>340</v>
      </c>
      <c r="F346" s="74" t="s">
        <v>127</v>
      </c>
      <c r="G346" s="75" t="s">
        <v>128</v>
      </c>
      <c r="H346" s="273"/>
      <c r="I346" s="43">
        <v>12</v>
      </c>
      <c r="J346" s="73">
        <v>284259.26</v>
      </c>
      <c r="K346" s="45">
        <f t="shared" si="60"/>
        <v>3411111.12</v>
      </c>
      <c r="L346" s="45">
        <f t="shared" si="61"/>
        <v>272888.88959999999</v>
      </c>
      <c r="M346" s="256">
        <f t="shared" si="62"/>
        <v>3684000.0096</v>
      </c>
      <c r="N346" s="73"/>
      <c r="O346" s="73"/>
      <c r="P346" s="73"/>
      <c r="Q346" s="10">
        <f t="shared" si="57"/>
        <v>3684000.0096</v>
      </c>
      <c r="R346" s="43"/>
    </row>
    <row r="347" spans="1:18" s="274" customFormat="1" ht="15.75" hidden="1">
      <c r="A347" s="3" t="s">
        <v>599</v>
      </c>
      <c r="B347" s="70">
        <v>46055</v>
      </c>
      <c r="C347" s="71" t="s">
        <v>347</v>
      </c>
      <c r="D347" s="70" t="s">
        <v>346</v>
      </c>
      <c r="E347" s="43" t="s">
        <v>340</v>
      </c>
      <c r="F347" s="43" t="s">
        <v>56</v>
      </c>
      <c r="G347" s="75" t="s">
        <v>57</v>
      </c>
      <c r="H347" s="273"/>
      <c r="I347" s="43">
        <v>12</v>
      </c>
      <c r="J347" s="73">
        <v>325925.93</v>
      </c>
      <c r="K347" s="45">
        <f t="shared" si="60"/>
        <v>3911111.16</v>
      </c>
      <c r="L347" s="45">
        <f t="shared" si="61"/>
        <v>312888.89280000003</v>
      </c>
      <c r="M347" s="256">
        <f t="shared" si="62"/>
        <v>4224000.0527999997</v>
      </c>
      <c r="N347" s="73"/>
      <c r="O347" s="73"/>
      <c r="P347" s="73"/>
      <c r="Q347" s="10">
        <f t="shared" si="57"/>
        <v>4224000.0527999997</v>
      </c>
      <c r="R347" s="43"/>
    </row>
    <row r="348" spans="1:18" s="124" customFormat="1" ht="30" hidden="1">
      <c r="A348" s="3" t="s">
        <v>599</v>
      </c>
      <c r="B348" s="85">
        <v>46055</v>
      </c>
      <c r="C348" s="86" t="s">
        <v>348</v>
      </c>
      <c r="D348" s="85">
        <v>46115</v>
      </c>
      <c r="E348" s="65" t="s">
        <v>340</v>
      </c>
      <c r="F348" s="64" t="s">
        <v>48</v>
      </c>
      <c r="G348" s="89" t="s">
        <v>49</v>
      </c>
      <c r="I348" s="65">
        <v>6</v>
      </c>
      <c r="J348" s="88">
        <v>601851.85</v>
      </c>
      <c r="K348" s="67">
        <f t="shared" si="60"/>
        <v>3611111.0999999996</v>
      </c>
      <c r="L348" s="67">
        <f t="shared" si="61"/>
        <v>288888.88799999998</v>
      </c>
      <c r="M348" s="203">
        <f t="shared" si="62"/>
        <v>3899999.9879999994</v>
      </c>
      <c r="N348" s="88"/>
      <c r="O348" s="88"/>
      <c r="P348" s="88"/>
      <c r="Q348" s="10">
        <f t="shared" si="57"/>
        <v>3899999.9879999994</v>
      </c>
      <c r="R348" s="65"/>
    </row>
    <row r="349" spans="1:18" s="124" customFormat="1" ht="15.75" hidden="1">
      <c r="A349" s="3" t="s">
        <v>599</v>
      </c>
      <c r="B349" s="85">
        <v>46055</v>
      </c>
      <c r="C349" s="101" t="s">
        <v>335</v>
      </c>
      <c r="D349" s="85"/>
      <c r="E349" s="65" t="s">
        <v>340</v>
      </c>
      <c r="F349" s="64" t="s">
        <v>62</v>
      </c>
      <c r="G349" s="87" t="s">
        <v>63</v>
      </c>
      <c r="I349" s="65">
        <v>6</v>
      </c>
      <c r="J349" s="88"/>
      <c r="K349" s="67"/>
      <c r="L349" s="67"/>
      <c r="M349" s="203"/>
      <c r="N349" s="88"/>
      <c r="O349" s="88"/>
      <c r="P349" s="88"/>
      <c r="Q349" s="10">
        <f t="shared" si="57"/>
        <v>0</v>
      </c>
      <c r="R349" s="65"/>
    </row>
    <row r="350" spans="1:18" s="275" customFormat="1" ht="15.75" hidden="1">
      <c r="A350" s="3" t="s">
        <v>599</v>
      </c>
      <c r="B350" s="76">
        <v>46175</v>
      </c>
      <c r="C350" s="78"/>
      <c r="D350" s="76"/>
      <c r="E350" s="78" t="s">
        <v>349</v>
      </c>
      <c r="F350" s="83"/>
      <c r="G350" s="84"/>
      <c r="I350" s="78"/>
      <c r="J350" s="80"/>
      <c r="K350" s="81"/>
      <c r="L350" s="81"/>
      <c r="M350" s="120"/>
      <c r="N350" s="80">
        <v>25178000</v>
      </c>
      <c r="O350" s="80"/>
      <c r="P350" s="80"/>
      <c r="Q350" s="10">
        <f t="shared" si="57"/>
        <v>-25178000</v>
      </c>
      <c r="R350" s="78"/>
    </row>
    <row r="351" spans="1:18" s="274" customFormat="1" ht="15.75" hidden="1">
      <c r="A351" s="3" t="s">
        <v>599</v>
      </c>
      <c r="B351" s="70">
        <v>46267</v>
      </c>
      <c r="C351" s="71" t="s">
        <v>345</v>
      </c>
      <c r="D351" s="70">
        <v>46267</v>
      </c>
      <c r="E351" s="43" t="s">
        <v>340</v>
      </c>
      <c r="F351" s="74" t="s">
        <v>21</v>
      </c>
      <c r="G351" s="72" t="s">
        <v>22</v>
      </c>
      <c r="H351" s="273"/>
      <c r="I351" s="43">
        <v>6</v>
      </c>
      <c r="J351" s="73">
        <v>937962.96</v>
      </c>
      <c r="K351" s="45">
        <f t="shared" ref="K351:K357" si="63">J351*I351</f>
        <v>5627777.7599999998</v>
      </c>
      <c r="L351" s="45">
        <f t="shared" ref="L351:L357" si="64">K351*8%</f>
        <v>450222.22080000001</v>
      </c>
      <c r="M351" s="256">
        <f t="shared" ref="M351:M357" si="65">K351+L351</f>
        <v>6077999.9808</v>
      </c>
      <c r="N351" s="73"/>
      <c r="O351" s="73"/>
      <c r="P351" s="73"/>
      <c r="Q351" s="10">
        <f t="shared" si="57"/>
        <v>6077999.9808</v>
      </c>
      <c r="R351" s="43"/>
    </row>
    <row r="352" spans="1:18" s="274" customFormat="1" ht="15.75" hidden="1">
      <c r="A352" s="3" t="s">
        <v>599</v>
      </c>
      <c r="B352" s="70">
        <v>46267</v>
      </c>
      <c r="C352" s="71" t="s">
        <v>345</v>
      </c>
      <c r="D352" s="70">
        <v>46267</v>
      </c>
      <c r="E352" s="43" t="s">
        <v>340</v>
      </c>
      <c r="F352" s="74" t="s">
        <v>68</v>
      </c>
      <c r="G352" s="72" t="s">
        <v>69</v>
      </c>
      <c r="H352" s="273"/>
      <c r="I352" s="43">
        <v>12</v>
      </c>
      <c r="J352" s="73">
        <v>111111.11</v>
      </c>
      <c r="K352" s="45">
        <f t="shared" si="63"/>
        <v>1333333.32</v>
      </c>
      <c r="L352" s="45">
        <f t="shared" si="64"/>
        <v>106666.66560000001</v>
      </c>
      <c r="M352" s="256">
        <f t="shared" si="65"/>
        <v>1439999.9856</v>
      </c>
      <c r="N352" s="73"/>
      <c r="O352" s="73"/>
      <c r="P352" s="73"/>
      <c r="Q352" s="10">
        <f t="shared" si="57"/>
        <v>1439999.9856</v>
      </c>
      <c r="R352" s="43"/>
    </row>
    <row r="353" spans="1:18" s="274" customFormat="1" ht="15.75" hidden="1">
      <c r="A353" s="3" t="s">
        <v>599</v>
      </c>
      <c r="B353" s="70">
        <v>46267</v>
      </c>
      <c r="C353" s="71" t="s">
        <v>345</v>
      </c>
      <c r="D353" s="70">
        <v>46267</v>
      </c>
      <c r="E353" s="43" t="s">
        <v>340</v>
      </c>
      <c r="F353" s="74" t="s">
        <v>70</v>
      </c>
      <c r="G353" s="72" t="s">
        <v>71</v>
      </c>
      <c r="H353" s="273"/>
      <c r="I353" s="43">
        <v>12</v>
      </c>
      <c r="J353" s="73">
        <v>120370.37</v>
      </c>
      <c r="K353" s="45">
        <f t="shared" si="63"/>
        <v>1444444.44</v>
      </c>
      <c r="L353" s="45">
        <f t="shared" si="64"/>
        <v>115555.5552</v>
      </c>
      <c r="M353" s="256">
        <f t="shared" si="65"/>
        <v>1559999.9952</v>
      </c>
      <c r="N353" s="73"/>
      <c r="O353" s="73"/>
      <c r="P353" s="73"/>
      <c r="Q353" s="10">
        <f t="shared" si="57"/>
        <v>1559999.9952</v>
      </c>
      <c r="R353" s="43"/>
    </row>
    <row r="354" spans="1:18" s="274" customFormat="1" ht="15.75" hidden="1">
      <c r="A354" s="3" t="s">
        <v>599</v>
      </c>
      <c r="B354" s="70">
        <v>46267</v>
      </c>
      <c r="C354" s="71" t="s">
        <v>345</v>
      </c>
      <c r="D354" s="70">
        <v>46267</v>
      </c>
      <c r="E354" s="43" t="s">
        <v>340</v>
      </c>
      <c r="F354" s="74" t="s">
        <v>72</v>
      </c>
      <c r="G354" s="72" t="s">
        <v>73</v>
      </c>
      <c r="H354" s="273"/>
      <c r="I354" s="43">
        <v>12</v>
      </c>
      <c r="J354" s="73">
        <v>129629.63</v>
      </c>
      <c r="K354" s="45">
        <f t="shared" si="63"/>
        <v>1555555.56</v>
      </c>
      <c r="L354" s="45">
        <f t="shared" si="64"/>
        <v>124444.44480000001</v>
      </c>
      <c r="M354" s="256">
        <f t="shared" si="65"/>
        <v>1680000.0048</v>
      </c>
      <c r="N354" s="73"/>
      <c r="O354" s="73"/>
      <c r="P354" s="73"/>
      <c r="Q354" s="10">
        <f t="shared" si="57"/>
        <v>1680000.0048</v>
      </c>
      <c r="R354" s="43"/>
    </row>
    <row r="355" spans="1:18" s="124" customFormat="1" ht="17.45" hidden="1" customHeight="1">
      <c r="A355" s="3" t="s">
        <v>599</v>
      </c>
      <c r="B355" s="85">
        <v>46267</v>
      </c>
      <c r="C355" s="86" t="s">
        <v>348</v>
      </c>
      <c r="D355" s="85">
        <v>46115</v>
      </c>
      <c r="E355" s="65" t="s">
        <v>340</v>
      </c>
      <c r="F355" s="64" t="s">
        <v>48</v>
      </c>
      <c r="G355" s="89" t="s">
        <v>49</v>
      </c>
      <c r="I355" s="65">
        <v>12</v>
      </c>
      <c r="J355" s="88">
        <v>601851.85</v>
      </c>
      <c r="K355" s="67">
        <f t="shared" si="63"/>
        <v>7222222.1999999993</v>
      </c>
      <c r="L355" s="67">
        <f t="shared" si="64"/>
        <v>577777.77599999995</v>
      </c>
      <c r="M355" s="203">
        <f t="shared" si="65"/>
        <v>7799999.9759999989</v>
      </c>
      <c r="N355" s="88"/>
      <c r="O355" s="88"/>
      <c r="P355" s="88"/>
      <c r="Q355" s="10">
        <f t="shared" si="57"/>
        <v>7799999.9759999989</v>
      </c>
      <c r="R355" s="65"/>
    </row>
    <row r="356" spans="1:18" s="124" customFormat="1" ht="15.75" hidden="1">
      <c r="A356" s="3" t="s">
        <v>599</v>
      </c>
      <c r="B356" s="85">
        <v>46267</v>
      </c>
      <c r="C356" s="101" t="s">
        <v>335</v>
      </c>
      <c r="D356" s="85"/>
      <c r="E356" s="65" t="s">
        <v>340</v>
      </c>
      <c r="F356" s="64" t="s">
        <v>62</v>
      </c>
      <c r="G356" s="87" t="s">
        <v>63</v>
      </c>
      <c r="I356" s="65">
        <v>20</v>
      </c>
      <c r="J356" s="88">
        <v>78703.7</v>
      </c>
      <c r="K356" s="67">
        <f t="shared" si="63"/>
        <v>1574074</v>
      </c>
      <c r="L356" s="67">
        <f t="shared" si="64"/>
        <v>125925.92</v>
      </c>
      <c r="M356" s="203">
        <f t="shared" si="65"/>
        <v>1699999.92</v>
      </c>
      <c r="N356" s="88"/>
      <c r="O356" s="88"/>
      <c r="P356" s="88"/>
      <c r="Q356" s="10">
        <f t="shared" si="57"/>
        <v>1699999.92</v>
      </c>
      <c r="R356" s="65"/>
    </row>
    <row r="357" spans="1:18" s="124" customFormat="1" ht="15.75" hidden="1">
      <c r="A357" s="3" t="s">
        <v>599</v>
      </c>
      <c r="B357" s="85">
        <v>46267</v>
      </c>
      <c r="C357" s="101" t="s">
        <v>335</v>
      </c>
      <c r="D357" s="85"/>
      <c r="E357" s="65" t="s">
        <v>340</v>
      </c>
      <c r="F357" s="65" t="s">
        <v>62</v>
      </c>
      <c r="G357" s="87" t="s">
        <v>63</v>
      </c>
      <c r="I357" s="65">
        <v>12</v>
      </c>
      <c r="J357" s="88"/>
      <c r="K357" s="67">
        <f t="shared" si="63"/>
        <v>0</v>
      </c>
      <c r="L357" s="67">
        <f t="shared" si="64"/>
        <v>0</v>
      </c>
      <c r="M357" s="203">
        <f t="shared" si="65"/>
        <v>0</v>
      </c>
      <c r="N357" s="88"/>
      <c r="O357" s="88"/>
      <c r="P357" s="88"/>
      <c r="Q357" s="10">
        <f t="shared" si="57"/>
        <v>0</v>
      </c>
      <c r="R357" s="65"/>
    </row>
    <row r="358" spans="1:18" s="275" customFormat="1" ht="15.75" hidden="1">
      <c r="A358" s="3" t="s">
        <v>599</v>
      </c>
      <c r="B358" s="76">
        <v>46297</v>
      </c>
      <c r="C358" s="78"/>
      <c r="D358" s="76"/>
      <c r="E358" s="78" t="s">
        <v>349</v>
      </c>
      <c r="F358" s="78"/>
      <c r="G358" s="84"/>
      <c r="I358" s="78"/>
      <c r="J358" s="80"/>
      <c r="K358" s="81"/>
      <c r="L358" s="81"/>
      <c r="M358" s="120"/>
      <c r="N358" s="80">
        <v>41176000</v>
      </c>
      <c r="O358" s="80"/>
      <c r="P358" s="80"/>
      <c r="Q358" s="10">
        <f t="shared" si="57"/>
        <v>-41176000</v>
      </c>
      <c r="R358" s="78"/>
    </row>
    <row r="359" spans="1:18" s="275" customFormat="1" ht="15.75" hidden="1">
      <c r="A359" s="3" t="s">
        <v>599</v>
      </c>
      <c r="B359" s="76">
        <v>46297</v>
      </c>
      <c r="C359" s="78"/>
      <c r="D359" s="76"/>
      <c r="E359" s="78" t="s">
        <v>281</v>
      </c>
      <c r="F359" s="78"/>
      <c r="G359" s="84"/>
      <c r="I359" s="78"/>
      <c r="J359" s="80"/>
      <c r="K359" s="81"/>
      <c r="L359" s="81"/>
      <c r="M359" s="120"/>
      <c r="O359" s="80">
        <v>600000</v>
      </c>
      <c r="P359" s="80"/>
      <c r="Q359" s="10">
        <f t="shared" si="57"/>
        <v>-600000</v>
      </c>
      <c r="R359" s="78"/>
    </row>
    <row r="360" spans="1:18" s="275" customFormat="1" ht="15.75" hidden="1">
      <c r="A360" s="3" t="s">
        <v>599</v>
      </c>
      <c r="B360" s="76">
        <v>46297</v>
      </c>
      <c r="C360" s="78"/>
      <c r="D360" s="76"/>
      <c r="E360" s="78" t="s">
        <v>349</v>
      </c>
      <c r="F360" s="78"/>
      <c r="G360" s="84"/>
      <c r="I360" s="78"/>
      <c r="J360" s="80"/>
      <c r="K360" s="81"/>
      <c r="L360" s="81"/>
      <c r="M360" s="120"/>
      <c r="N360" s="80">
        <v>270000</v>
      </c>
      <c r="O360" s="80"/>
      <c r="P360" s="80"/>
      <c r="Q360" s="10">
        <f t="shared" si="57"/>
        <v>-270000</v>
      </c>
      <c r="R360" s="78"/>
    </row>
    <row r="361" spans="1:18" s="124" customFormat="1" ht="15.75" hidden="1">
      <c r="A361" s="3" t="s">
        <v>599</v>
      </c>
      <c r="B361" s="85" t="s">
        <v>350</v>
      </c>
      <c r="C361" s="101" t="s">
        <v>335</v>
      </c>
      <c r="D361" s="85"/>
      <c r="E361" s="65" t="s">
        <v>340</v>
      </c>
      <c r="F361" s="65" t="s">
        <v>62</v>
      </c>
      <c r="G361" s="87" t="s">
        <v>63</v>
      </c>
      <c r="I361" s="65">
        <v>20</v>
      </c>
      <c r="J361" s="88">
        <v>78703.7</v>
      </c>
      <c r="K361" s="67">
        <f t="shared" ref="K361:K377" si="66">J361*I361</f>
        <v>1574074</v>
      </c>
      <c r="L361" s="67">
        <f t="shared" ref="L361:L377" si="67">K361*8%</f>
        <v>125925.92</v>
      </c>
      <c r="M361" s="203">
        <f t="shared" ref="M361:M377" si="68">K361+L361</f>
        <v>1699999.92</v>
      </c>
      <c r="N361" s="88"/>
      <c r="O361" s="88"/>
      <c r="P361" s="88"/>
      <c r="Q361" s="10">
        <f t="shared" si="57"/>
        <v>1699999.92</v>
      </c>
      <c r="R361" s="65"/>
    </row>
    <row r="362" spans="1:18" s="274" customFormat="1" ht="30" hidden="1">
      <c r="A362" s="3" t="s">
        <v>599</v>
      </c>
      <c r="B362" s="70" t="s">
        <v>350</v>
      </c>
      <c r="C362" s="71" t="s">
        <v>351</v>
      </c>
      <c r="D362" s="70" t="s">
        <v>346</v>
      </c>
      <c r="E362" s="43" t="s">
        <v>340</v>
      </c>
      <c r="F362" s="74" t="s">
        <v>60</v>
      </c>
      <c r="G362" s="75" t="s">
        <v>61</v>
      </c>
      <c r="H362" s="273"/>
      <c r="I362" s="43">
        <v>4</v>
      </c>
      <c r="J362" s="73">
        <v>1138888.8899999999</v>
      </c>
      <c r="K362" s="45">
        <f t="shared" si="66"/>
        <v>4555555.5599999996</v>
      </c>
      <c r="L362" s="45">
        <f t="shared" si="67"/>
        <v>364444.4448</v>
      </c>
      <c r="M362" s="256">
        <f t="shared" si="68"/>
        <v>4920000.0047999993</v>
      </c>
      <c r="N362" s="73"/>
      <c r="O362" s="73"/>
      <c r="P362" s="73"/>
      <c r="Q362" s="10">
        <f t="shared" si="57"/>
        <v>4920000.0047999993</v>
      </c>
      <c r="R362" s="43"/>
    </row>
    <row r="363" spans="1:18" s="274" customFormat="1" ht="30" hidden="1">
      <c r="A363" s="3" t="s">
        <v>599</v>
      </c>
      <c r="B363" s="70" t="s">
        <v>350</v>
      </c>
      <c r="C363" s="71" t="s">
        <v>351</v>
      </c>
      <c r="D363" s="70" t="s">
        <v>346</v>
      </c>
      <c r="E363" s="43" t="s">
        <v>340</v>
      </c>
      <c r="F363" s="74" t="s">
        <v>16</v>
      </c>
      <c r="G363" s="75" t="s">
        <v>17</v>
      </c>
      <c r="H363" s="273"/>
      <c r="I363" s="43">
        <v>4</v>
      </c>
      <c r="J363" s="73">
        <v>851851.85</v>
      </c>
      <c r="K363" s="45">
        <f t="shared" si="66"/>
        <v>3407407.4</v>
      </c>
      <c r="L363" s="45">
        <f t="shared" si="67"/>
        <v>272592.592</v>
      </c>
      <c r="M363" s="256">
        <f t="shared" si="68"/>
        <v>3679999.9920000001</v>
      </c>
      <c r="N363" s="73"/>
      <c r="O363" s="73"/>
      <c r="P363" s="73"/>
      <c r="Q363" s="10">
        <f t="shared" si="57"/>
        <v>3679999.9920000001</v>
      </c>
      <c r="R363" s="43"/>
    </row>
    <row r="364" spans="1:18" s="274" customFormat="1" ht="30" hidden="1">
      <c r="A364" s="3" t="s">
        <v>599</v>
      </c>
      <c r="B364" s="70" t="s">
        <v>350</v>
      </c>
      <c r="C364" s="71" t="s">
        <v>351</v>
      </c>
      <c r="D364" s="70" t="s">
        <v>346</v>
      </c>
      <c r="E364" s="43" t="s">
        <v>340</v>
      </c>
      <c r="F364" s="43" t="s">
        <v>184</v>
      </c>
      <c r="G364" s="75" t="s">
        <v>272</v>
      </c>
      <c r="H364" s="273"/>
      <c r="I364" s="43">
        <v>10</v>
      </c>
      <c r="J364" s="73">
        <v>240740.74</v>
      </c>
      <c r="K364" s="45">
        <f t="shared" si="66"/>
        <v>2407407.4</v>
      </c>
      <c r="L364" s="45">
        <f t="shared" si="67"/>
        <v>192592.592</v>
      </c>
      <c r="M364" s="256">
        <f t="shared" si="68"/>
        <v>2599999.9920000001</v>
      </c>
      <c r="N364" s="73"/>
      <c r="O364" s="73"/>
      <c r="P364" s="73"/>
      <c r="Q364" s="10">
        <f t="shared" si="57"/>
        <v>2599999.9920000001</v>
      </c>
      <c r="R364" s="43"/>
    </row>
    <row r="365" spans="1:18" s="274" customFormat="1" ht="15.75" hidden="1">
      <c r="A365" s="3" t="s">
        <v>599</v>
      </c>
      <c r="B365" s="70" t="s">
        <v>350</v>
      </c>
      <c r="C365" s="71" t="s">
        <v>347</v>
      </c>
      <c r="D365" s="70" t="s">
        <v>346</v>
      </c>
      <c r="E365" s="43" t="s">
        <v>340</v>
      </c>
      <c r="F365" s="43" t="s">
        <v>56</v>
      </c>
      <c r="G365" s="75" t="s">
        <v>57</v>
      </c>
      <c r="H365" s="273"/>
      <c r="I365" s="43">
        <v>24</v>
      </c>
      <c r="J365" s="73">
        <v>325925.93</v>
      </c>
      <c r="K365" s="45">
        <f t="shared" si="66"/>
        <v>7822222.3200000003</v>
      </c>
      <c r="L365" s="45">
        <f t="shared" si="67"/>
        <v>625777.78560000006</v>
      </c>
      <c r="M365" s="256">
        <f t="shared" si="68"/>
        <v>8448000.1055999994</v>
      </c>
      <c r="N365" s="73"/>
      <c r="O365" s="73"/>
      <c r="P365" s="73"/>
      <c r="Q365" s="10">
        <f t="shared" si="57"/>
        <v>8448000.1055999994</v>
      </c>
      <c r="R365" s="43"/>
    </row>
    <row r="366" spans="1:18" s="124" customFormat="1" ht="15.75" hidden="1">
      <c r="A366" s="3" t="s">
        <v>599</v>
      </c>
      <c r="B366" s="85" t="s">
        <v>350</v>
      </c>
      <c r="C366" s="86" t="s">
        <v>348</v>
      </c>
      <c r="D366" s="85">
        <v>46115</v>
      </c>
      <c r="E366" s="65" t="s">
        <v>340</v>
      </c>
      <c r="F366" s="65" t="s">
        <v>56</v>
      </c>
      <c r="G366" s="89" t="s">
        <v>57</v>
      </c>
      <c r="I366" s="65">
        <v>20</v>
      </c>
      <c r="J366" s="88">
        <f>J365</f>
        <v>325925.93</v>
      </c>
      <c r="K366" s="67">
        <f t="shared" si="66"/>
        <v>6518518.5999999996</v>
      </c>
      <c r="L366" s="67">
        <f t="shared" si="67"/>
        <v>521481.48799999995</v>
      </c>
      <c r="M366" s="256">
        <f t="shared" si="68"/>
        <v>7040000.0879999995</v>
      </c>
      <c r="N366" s="88"/>
      <c r="O366" s="88"/>
      <c r="P366" s="88"/>
      <c r="Q366" s="10">
        <f t="shared" si="57"/>
        <v>7040000.0879999995</v>
      </c>
      <c r="R366" s="65"/>
    </row>
    <row r="367" spans="1:18" s="275" customFormat="1" ht="15.75" hidden="1">
      <c r="A367" s="3" t="s">
        <v>599</v>
      </c>
      <c r="B367" s="76" t="s">
        <v>352</v>
      </c>
      <c r="C367" s="78"/>
      <c r="D367" s="76"/>
      <c r="E367" s="78" t="s">
        <v>349</v>
      </c>
      <c r="F367" s="78"/>
      <c r="G367" s="128"/>
      <c r="I367" s="78"/>
      <c r="J367" s="80"/>
      <c r="K367" s="80">
        <f t="shared" si="66"/>
        <v>0</v>
      </c>
      <c r="L367" s="80">
        <f t="shared" si="67"/>
        <v>0</v>
      </c>
      <c r="M367" s="120"/>
      <c r="N367" s="80">
        <v>27556000</v>
      </c>
      <c r="O367" s="80"/>
      <c r="P367" s="80"/>
      <c r="Q367" s="10">
        <f t="shared" si="57"/>
        <v>-27556000</v>
      </c>
      <c r="R367" s="78"/>
    </row>
    <row r="368" spans="1:18" s="275" customFormat="1" ht="15.75" hidden="1">
      <c r="A368" s="3" t="s">
        <v>599</v>
      </c>
      <c r="B368" s="76">
        <v>46056</v>
      </c>
      <c r="C368" s="78"/>
      <c r="D368" s="76"/>
      <c r="E368" s="78" t="s">
        <v>353</v>
      </c>
      <c r="F368" s="78"/>
      <c r="G368" s="290" t="s">
        <v>617</v>
      </c>
      <c r="I368" s="78"/>
      <c r="J368" s="80"/>
      <c r="K368" s="80">
        <f t="shared" si="66"/>
        <v>0</v>
      </c>
      <c r="L368" s="80">
        <f t="shared" si="67"/>
        <v>0</v>
      </c>
      <c r="M368" s="120"/>
      <c r="O368" s="80">
        <v>832000</v>
      </c>
      <c r="P368" s="80"/>
      <c r="Q368" s="10">
        <f t="shared" si="57"/>
        <v>-832000</v>
      </c>
      <c r="R368" s="78"/>
    </row>
    <row r="369" spans="1:18" s="124" customFormat="1" ht="15.75" hidden="1">
      <c r="A369" s="3" t="s">
        <v>599</v>
      </c>
      <c r="B369" s="85">
        <v>46117</v>
      </c>
      <c r="C369" s="86" t="s">
        <v>354</v>
      </c>
      <c r="D369" s="85" t="s">
        <v>331</v>
      </c>
      <c r="E369" s="65" t="s">
        <v>340</v>
      </c>
      <c r="F369" s="64" t="s">
        <v>355</v>
      </c>
      <c r="G369" s="89" t="s">
        <v>356</v>
      </c>
      <c r="I369" s="65">
        <v>4</v>
      </c>
      <c r="J369" s="88">
        <v>1043518.52</v>
      </c>
      <c r="K369" s="67">
        <f t="shared" si="66"/>
        <v>4174074.08</v>
      </c>
      <c r="L369" s="67">
        <f t="shared" si="67"/>
        <v>333925.9264</v>
      </c>
      <c r="M369" s="203">
        <f t="shared" si="68"/>
        <v>4508000.0064000003</v>
      </c>
      <c r="N369" s="88"/>
      <c r="O369" s="88"/>
      <c r="P369" s="88"/>
      <c r="Q369" s="10">
        <f t="shared" si="57"/>
        <v>4508000.0064000003</v>
      </c>
      <c r="R369" s="65"/>
    </row>
    <row r="370" spans="1:18" s="124" customFormat="1" ht="15.75" hidden="1">
      <c r="A370" s="3" t="s">
        <v>599</v>
      </c>
      <c r="B370" s="85">
        <v>46117</v>
      </c>
      <c r="C370" s="86" t="s">
        <v>354</v>
      </c>
      <c r="D370" s="85" t="s">
        <v>331</v>
      </c>
      <c r="E370" s="65" t="s">
        <v>340</v>
      </c>
      <c r="F370" s="65" t="s">
        <v>262</v>
      </c>
      <c r="G370" s="89" t="s">
        <v>263</v>
      </c>
      <c r="I370" s="65">
        <v>4</v>
      </c>
      <c r="J370" s="88">
        <v>851851.85</v>
      </c>
      <c r="K370" s="67">
        <f t="shared" si="66"/>
        <v>3407407.4</v>
      </c>
      <c r="L370" s="67">
        <f t="shared" si="67"/>
        <v>272592.592</v>
      </c>
      <c r="M370" s="203">
        <f t="shared" si="68"/>
        <v>3679999.9920000001</v>
      </c>
      <c r="N370" s="88"/>
      <c r="O370" s="88"/>
      <c r="P370" s="88"/>
      <c r="Q370" s="10">
        <f t="shared" si="57"/>
        <v>3679999.9920000001</v>
      </c>
      <c r="R370" s="65"/>
    </row>
    <row r="371" spans="1:18" s="124" customFormat="1" ht="30" hidden="1">
      <c r="A371" s="3" t="s">
        <v>599</v>
      </c>
      <c r="B371" s="85">
        <v>46117</v>
      </c>
      <c r="C371" s="86" t="s">
        <v>354</v>
      </c>
      <c r="D371" s="85" t="s">
        <v>331</v>
      </c>
      <c r="E371" s="65" t="s">
        <v>340</v>
      </c>
      <c r="F371" s="64" t="s">
        <v>28</v>
      </c>
      <c r="G371" s="89" t="s">
        <v>29</v>
      </c>
      <c r="I371" s="65">
        <v>10</v>
      </c>
      <c r="J371" s="88">
        <v>281481.48</v>
      </c>
      <c r="K371" s="67">
        <f t="shared" si="66"/>
        <v>2814814.8</v>
      </c>
      <c r="L371" s="67">
        <f t="shared" si="67"/>
        <v>225185.18399999998</v>
      </c>
      <c r="M371" s="203">
        <f t="shared" si="68"/>
        <v>3039999.9839999997</v>
      </c>
      <c r="N371" s="88"/>
      <c r="O371" s="88"/>
      <c r="P371" s="88"/>
      <c r="Q371" s="10">
        <f t="shared" si="57"/>
        <v>3039999.9839999997</v>
      </c>
      <c r="R371" s="65"/>
    </row>
    <row r="372" spans="1:18" s="124" customFormat="1" ht="30" hidden="1">
      <c r="A372" s="3" t="s">
        <v>599</v>
      </c>
      <c r="B372" s="85">
        <v>46117</v>
      </c>
      <c r="C372" s="86" t="s">
        <v>354</v>
      </c>
      <c r="D372" s="85" t="s">
        <v>331</v>
      </c>
      <c r="E372" s="65" t="s">
        <v>340</v>
      </c>
      <c r="F372" s="65" t="s">
        <v>243</v>
      </c>
      <c r="G372" s="89" t="s">
        <v>357</v>
      </c>
      <c r="I372" s="65">
        <v>10</v>
      </c>
      <c r="J372" s="88">
        <v>298148.15000000002</v>
      </c>
      <c r="K372" s="67">
        <f t="shared" si="66"/>
        <v>2981481.5</v>
      </c>
      <c r="L372" s="67">
        <f t="shared" si="67"/>
        <v>238518.52000000002</v>
      </c>
      <c r="M372" s="203">
        <f t="shared" si="68"/>
        <v>3220000.02</v>
      </c>
      <c r="N372" s="88"/>
      <c r="O372" s="88"/>
      <c r="P372" s="88"/>
      <c r="Q372" s="10">
        <f t="shared" si="57"/>
        <v>3220000.02</v>
      </c>
      <c r="R372" s="65"/>
    </row>
    <row r="373" spans="1:18" s="124" customFormat="1" ht="30" hidden="1">
      <c r="A373" s="3" t="s">
        <v>599</v>
      </c>
      <c r="B373" s="85">
        <v>46117</v>
      </c>
      <c r="C373" s="86" t="s">
        <v>354</v>
      </c>
      <c r="D373" s="85" t="s">
        <v>331</v>
      </c>
      <c r="E373" s="65" t="s">
        <v>340</v>
      </c>
      <c r="F373" s="64" t="s">
        <v>83</v>
      </c>
      <c r="G373" s="89" t="s">
        <v>84</v>
      </c>
      <c r="I373" s="65">
        <v>4</v>
      </c>
      <c r="J373" s="88">
        <v>1097222.22</v>
      </c>
      <c r="K373" s="67">
        <f t="shared" si="66"/>
        <v>4388888.88</v>
      </c>
      <c r="L373" s="67">
        <f t="shared" si="67"/>
        <v>351111.11040000001</v>
      </c>
      <c r="M373" s="203">
        <f t="shared" si="68"/>
        <v>4739999.9903999995</v>
      </c>
      <c r="N373" s="88"/>
      <c r="O373" s="88"/>
      <c r="P373" s="88"/>
      <c r="Q373" s="10">
        <f t="shared" si="57"/>
        <v>4739999.9903999995</v>
      </c>
      <c r="R373" s="65"/>
    </row>
    <row r="374" spans="1:18" s="275" customFormat="1" ht="15.75" hidden="1">
      <c r="A374" s="3" t="s">
        <v>599</v>
      </c>
      <c r="B374" s="76" t="s">
        <v>241</v>
      </c>
      <c r="C374" s="78"/>
      <c r="D374" s="76"/>
      <c r="E374" s="78" t="s">
        <v>349</v>
      </c>
      <c r="F374" s="78"/>
      <c r="G374" s="128"/>
      <c r="I374" s="78"/>
      <c r="J374" s="80"/>
      <c r="K374" s="80">
        <f t="shared" si="66"/>
        <v>0</v>
      </c>
      <c r="L374" s="80">
        <f t="shared" si="67"/>
        <v>0</v>
      </c>
      <c r="M374" s="120"/>
      <c r="N374" s="80">
        <v>19188000</v>
      </c>
      <c r="O374" s="80"/>
      <c r="P374" s="80"/>
      <c r="Q374" s="10">
        <f t="shared" si="57"/>
        <v>-19188000</v>
      </c>
      <c r="R374" s="78"/>
    </row>
    <row r="375" spans="1:18" s="124" customFormat="1" ht="30" hidden="1">
      <c r="A375" s="3" t="s">
        <v>599</v>
      </c>
      <c r="B375" s="85">
        <v>46210</v>
      </c>
      <c r="C375" s="86" t="s">
        <v>358</v>
      </c>
      <c r="D375" s="85">
        <v>46272</v>
      </c>
      <c r="E375" s="65" t="s">
        <v>340</v>
      </c>
      <c r="F375" s="64" t="s">
        <v>28</v>
      </c>
      <c r="G375" s="89" t="s">
        <v>29</v>
      </c>
      <c r="I375" s="65">
        <v>10</v>
      </c>
      <c r="J375" s="88">
        <v>281481.48</v>
      </c>
      <c r="K375" s="67">
        <f t="shared" si="66"/>
        <v>2814814.8</v>
      </c>
      <c r="L375" s="67">
        <f t="shared" si="67"/>
        <v>225185.18399999998</v>
      </c>
      <c r="M375" s="203">
        <f t="shared" si="68"/>
        <v>3039999.9839999997</v>
      </c>
      <c r="N375" s="88"/>
      <c r="O375" s="88"/>
      <c r="P375" s="88"/>
      <c r="Q375" s="10">
        <f t="shared" si="57"/>
        <v>3039999.9839999997</v>
      </c>
      <c r="R375" s="65"/>
    </row>
    <row r="376" spans="1:18" s="124" customFormat="1" ht="30" hidden="1">
      <c r="A376" s="3" t="s">
        <v>599</v>
      </c>
      <c r="B376" s="85">
        <v>46210</v>
      </c>
      <c r="C376" s="86" t="s">
        <v>358</v>
      </c>
      <c r="D376" s="85">
        <v>46272</v>
      </c>
      <c r="E376" s="65" t="s">
        <v>340</v>
      </c>
      <c r="F376" s="65" t="s">
        <v>243</v>
      </c>
      <c r="G376" s="89" t="s">
        <v>357</v>
      </c>
      <c r="I376" s="65">
        <v>10</v>
      </c>
      <c r="J376" s="88">
        <v>298148.15000000002</v>
      </c>
      <c r="K376" s="67">
        <f t="shared" si="66"/>
        <v>2981481.5</v>
      </c>
      <c r="L376" s="67">
        <f t="shared" si="67"/>
        <v>238518.52000000002</v>
      </c>
      <c r="M376" s="203">
        <f t="shared" si="68"/>
        <v>3220000.02</v>
      </c>
      <c r="N376" s="88"/>
      <c r="O376" s="88"/>
      <c r="P376" s="88"/>
      <c r="Q376" s="10">
        <f t="shared" si="57"/>
        <v>3220000.02</v>
      </c>
      <c r="R376" s="65"/>
    </row>
    <row r="377" spans="1:18" s="124" customFormat="1" ht="15.75" hidden="1">
      <c r="A377" s="3" t="s">
        <v>599</v>
      </c>
      <c r="B377" s="85">
        <v>46210</v>
      </c>
      <c r="C377" s="101" t="s">
        <v>335</v>
      </c>
      <c r="D377" s="85"/>
      <c r="E377" s="65" t="s">
        <v>340</v>
      </c>
      <c r="F377" s="65" t="s">
        <v>90</v>
      </c>
      <c r="G377" s="89" t="s">
        <v>91</v>
      </c>
      <c r="I377" s="65">
        <v>10</v>
      </c>
      <c r="J377" s="88">
        <v>814814.81</v>
      </c>
      <c r="K377" s="88">
        <f t="shared" si="66"/>
        <v>8148148.1000000006</v>
      </c>
      <c r="L377" s="88">
        <f t="shared" si="67"/>
        <v>651851.84800000011</v>
      </c>
      <c r="M377" s="203">
        <f t="shared" si="68"/>
        <v>8799999.9480000008</v>
      </c>
      <c r="N377" s="88"/>
      <c r="O377" s="88"/>
      <c r="P377" s="88"/>
      <c r="Q377" s="10">
        <f t="shared" si="57"/>
        <v>8799999.9480000008</v>
      </c>
      <c r="R377" s="65"/>
    </row>
    <row r="378" spans="1:18" s="275" customFormat="1" ht="15.75" hidden="1">
      <c r="A378" s="3" t="s">
        <v>599</v>
      </c>
      <c r="B378" s="76">
        <v>46241</v>
      </c>
      <c r="C378" s="78"/>
      <c r="D378" s="76"/>
      <c r="E378" s="78" t="s">
        <v>281</v>
      </c>
      <c r="F378" s="78"/>
      <c r="G378" s="84"/>
      <c r="I378" s="78"/>
      <c r="J378" s="80"/>
      <c r="K378" s="81"/>
      <c r="L378" s="81"/>
      <c r="M378" s="120"/>
      <c r="O378" s="80">
        <v>200000</v>
      </c>
      <c r="P378" s="80"/>
      <c r="Q378" s="10">
        <f t="shared" si="57"/>
        <v>-200000</v>
      </c>
      <c r="R378" s="78"/>
    </row>
    <row r="379" spans="1:18" s="124" customFormat="1" ht="15.75" hidden="1">
      <c r="A379" s="3" t="s">
        <v>599</v>
      </c>
      <c r="B379" s="85" t="s">
        <v>256</v>
      </c>
      <c r="C379" s="86" t="s">
        <v>360</v>
      </c>
      <c r="D379" s="85" t="s">
        <v>359</v>
      </c>
      <c r="E379" s="65" t="s">
        <v>340</v>
      </c>
      <c r="F379" s="65" t="s">
        <v>301</v>
      </c>
      <c r="G379" s="87" t="s">
        <v>361</v>
      </c>
      <c r="I379" s="65">
        <v>10</v>
      </c>
      <c r="J379" s="88">
        <v>277777.78000000003</v>
      </c>
      <c r="K379" s="67">
        <f>I379*J379</f>
        <v>2777777.8000000003</v>
      </c>
      <c r="L379" s="67">
        <f>K379*8%</f>
        <v>222222.22400000002</v>
      </c>
      <c r="M379" s="203">
        <f>K379+L379</f>
        <v>3000000.0240000002</v>
      </c>
      <c r="N379" s="88"/>
      <c r="O379" s="88"/>
      <c r="P379" s="88"/>
      <c r="Q379" s="10">
        <f t="shared" si="57"/>
        <v>3000000.0240000002</v>
      </c>
      <c r="R379" s="65"/>
    </row>
    <row r="380" spans="1:18" s="124" customFormat="1" ht="15.75" hidden="1">
      <c r="A380" s="3" t="s">
        <v>599</v>
      </c>
      <c r="B380" s="85" t="s">
        <v>256</v>
      </c>
      <c r="C380" s="86" t="s">
        <v>360</v>
      </c>
      <c r="D380" s="85" t="s">
        <v>359</v>
      </c>
      <c r="E380" s="65" t="s">
        <v>340</v>
      </c>
      <c r="F380" s="65" t="s">
        <v>243</v>
      </c>
      <c r="G380" s="87" t="s">
        <v>362</v>
      </c>
      <c r="I380" s="65">
        <v>30</v>
      </c>
      <c r="J380" s="88">
        <v>298148.15000000002</v>
      </c>
      <c r="K380" s="67">
        <f t="shared" ref="K380:K381" si="69">I380*J380</f>
        <v>8944444.5</v>
      </c>
      <c r="L380" s="67">
        <f t="shared" ref="L380:L381" si="70">K380*8%</f>
        <v>715555.56</v>
      </c>
      <c r="M380" s="203">
        <f t="shared" ref="M380:M381" si="71">K380+L380</f>
        <v>9660000.0600000005</v>
      </c>
      <c r="N380" s="88"/>
      <c r="O380" s="88"/>
      <c r="P380" s="88"/>
      <c r="Q380" s="10">
        <f t="shared" si="57"/>
        <v>9660000.0600000005</v>
      </c>
      <c r="R380" s="65"/>
    </row>
    <row r="381" spans="1:18" s="124" customFormat="1" ht="15.75" hidden="1">
      <c r="A381" s="3" t="s">
        <v>599</v>
      </c>
      <c r="B381" s="85" t="s">
        <v>256</v>
      </c>
      <c r="C381" s="86" t="s">
        <v>360</v>
      </c>
      <c r="D381" s="85" t="s">
        <v>359</v>
      </c>
      <c r="E381" s="65" t="s">
        <v>340</v>
      </c>
      <c r="F381" s="65" t="s">
        <v>30</v>
      </c>
      <c r="G381" s="87" t="s">
        <v>363</v>
      </c>
      <c r="I381" s="65">
        <v>10</v>
      </c>
      <c r="J381" s="88">
        <v>259259.26</v>
      </c>
      <c r="K381" s="67">
        <f t="shared" si="69"/>
        <v>2592592.6</v>
      </c>
      <c r="L381" s="67">
        <f t="shared" si="70"/>
        <v>207407.40800000002</v>
      </c>
      <c r="M381" s="203">
        <f t="shared" si="71"/>
        <v>2800000.0079999999</v>
      </c>
      <c r="N381" s="88"/>
      <c r="O381" s="88"/>
      <c r="P381" s="88"/>
      <c r="Q381" s="10">
        <f t="shared" si="57"/>
        <v>2800000.0079999999</v>
      </c>
      <c r="R381" s="65"/>
    </row>
    <row r="382" spans="1:18" s="275" customFormat="1" ht="15.75" hidden="1">
      <c r="A382" s="3" t="s">
        <v>599</v>
      </c>
      <c r="B382" s="76" t="s">
        <v>364</v>
      </c>
      <c r="C382" s="78"/>
      <c r="D382" s="76"/>
      <c r="E382" s="78" t="s">
        <v>281</v>
      </c>
      <c r="F382" s="78"/>
      <c r="G382" s="84"/>
      <c r="I382" s="78"/>
      <c r="J382" s="80"/>
      <c r="K382" s="81"/>
      <c r="L382" s="81"/>
      <c r="M382" s="120"/>
      <c r="O382" s="80">
        <v>150000</v>
      </c>
      <c r="P382" s="80"/>
      <c r="Q382" s="10">
        <f t="shared" si="57"/>
        <v>-150000</v>
      </c>
      <c r="R382" s="78"/>
    </row>
    <row r="383" spans="1:18" s="277" customFormat="1" ht="15.75" hidden="1">
      <c r="A383" s="122" t="s">
        <v>600</v>
      </c>
      <c r="B383" s="129">
        <v>46327</v>
      </c>
      <c r="C383" s="130"/>
      <c r="D383" s="146"/>
      <c r="E383" s="131" t="s">
        <v>365</v>
      </c>
      <c r="F383" s="131"/>
      <c r="G383" s="131"/>
      <c r="H383" s="131"/>
      <c r="I383" s="131"/>
      <c r="J383" s="131"/>
      <c r="K383" s="131"/>
      <c r="L383" s="131"/>
      <c r="M383" s="132"/>
      <c r="O383" s="132">
        <v>1950000</v>
      </c>
      <c r="P383" s="132"/>
      <c r="Q383" s="10">
        <f t="shared" si="57"/>
        <v>-1950000</v>
      </c>
      <c r="R383" s="133"/>
    </row>
    <row r="384" spans="1:18" s="72" customFormat="1" ht="15.75" hidden="1">
      <c r="A384" s="122" t="s">
        <v>600</v>
      </c>
      <c r="B384" s="134" t="s">
        <v>132</v>
      </c>
      <c r="C384" s="135" t="s">
        <v>366</v>
      </c>
      <c r="D384" s="134" t="str">
        <f>B384</f>
        <v>13/01/2026</v>
      </c>
      <c r="E384" s="28" t="s">
        <v>367</v>
      </c>
      <c r="F384" s="7" t="s">
        <v>204</v>
      </c>
      <c r="G384" s="7" t="s">
        <v>269</v>
      </c>
      <c r="H384" s="28" t="s">
        <v>113</v>
      </c>
      <c r="I384" s="136">
        <v>10</v>
      </c>
      <c r="J384" s="137">
        <v>480555.6</v>
      </c>
      <c r="K384" s="137">
        <f t="shared" ref="K384:K430" si="72">I384*J384</f>
        <v>4805556</v>
      </c>
      <c r="L384" s="137">
        <f t="shared" ref="L384:L430" si="73">K384*8%</f>
        <v>384444.48</v>
      </c>
      <c r="M384" s="261">
        <f t="shared" ref="M384:M430" si="74">K384+L384</f>
        <v>5190000.4800000004</v>
      </c>
      <c r="N384" s="138"/>
      <c r="O384" s="138"/>
      <c r="P384" s="138"/>
      <c r="Q384" s="10">
        <f t="shared" si="57"/>
        <v>5190000.4800000004</v>
      </c>
      <c r="R384" s="138"/>
    </row>
    <row r="385" spans="1:18" s="72" customFormat="1" ht="25.5" hidden="1" customHeight="1">
      <c r="A385" s="122" t="s">
        <v>600</v>
      </c>
      <c r="B385" s="134" t="s">
        <v>132</v>
      </c>
      <c r="C385" s="135" t="s">
        <v>366</v>
      </c>
      <c r="D385" s="134" t="str">
        <f>B385</f>
        <v>13/01/2026</v>
      </c>
      <c r="E385" s="28" t="s">
        <v>367</v>
      </c>
      <c r="F385" s="7" t="s">
        <v>208</v>
      </c>
      <c r="G385" s="7" t="s">
        <v>368</v>
      </c>
      <c r="H385" s="28" t="s">
        <v>113</v>
      </c>
      <c r="I385" s="139">
        <v>10</v>
      </c>
      <c r="J385" s="137">
        <v>647222.22</v>
      </c>
      <c r="K385" s="137">
        <f t="shared" si="72"/>
        <v>6472222.1999999993</v>
      </c>
      <c r="L385" s="137">
        <f t="shared" si="73"/>
        <v>517777.77599999995</v>
      </c>
      <c r="M385" s="261">
        <f t="shared" si="74"/>
        <v>6989999.9759999989</v>
      </c>
      <c r="N385" s="138"/>
      <c r="O385" s="138"/>
      <c r="P385" s="138"/>
      <c r="Q385" s="10">
        <f t="shared" si="57"/>
        <v>6989999.9759999989</v>
      </c>
      <c r="R385" s="138"/>
    </row>
    <row r="386" spans="1:18" s="72" customFormat="1" ht="15.75" hidden="1">
      <c r="A386" s="122" t="s">
        <v>600</v>
      </c>
      <c r="B386" s="134" t="s">
        <v>132</v>
      </c>
      <c r="C386" s="135" t="s">
        <v>366</v>
      </c>
      <c r="D386" s="134" t="str">
        <f>B386</f>
        <v>13/01/2026</v>
      </c>
      <c r="E386" s="28" t="s">
        <v>367</v>
      </c>
      <c r="F386" s="7" t="s">
        <v>77</v>
      </c>
      <c r="G386" s="7" t="s">
        <v>78</v>
      </c>
      <c r="H386" s="28" t="s">
        <v>113</v>
      </c>
      <c r="I386" s="139">
        <v>20</v>
      </c>
      <c r="J386" s="137">
        <v>324074.07</v>
      </c>
      <c r="K386" s="137">
        <f t="shared" si="72"/>
        <v>6481481.4000000004</v>
      </c>
      <c r="L386" s="137">
        <f t="shared" si="73"/>
        <v>518518.51200000005</v>
      </c>
      <c r="M386" s="261">
        <f t="shared" si="74"/>
        <v>6999999.9120000005</v>
      </c>
      <c r="N386" s="138"/>
      <c r="O386" s="138"/>
      <c r="P386" s="138"/>
      <c r="Q386" s="10">
        <f t="shared" si="57"/>
        <v>6999999.9120000005</v>
      </c>
      <c r="R386" s="138"/>
    </row>
    <row r="387" spans="1:18" s="72" customFormat="1" ht="15.75" hidden="1">
      <c r="A387" s="122" t="s">
        <v>600</v>
      </c>
      <c r="B387" s="134" t="s">
        <v>132</v>
      </c>
      <c r="C387" s="135" t="s">
        <v>366</v>
      </c>
      <c r="D387" s="134" t="str">
        <f>B387</f>
        <v>13/01/2026</v>
      </c>
      <c r="E387" s="28" t="s">
        <v>367</v>
      </c>
      <c r="F387" s="7" t="s">
        <v>206</v>
      </c>
      <c r="G387" s="7" t="s">
        <v>369</v>
      </c>
      <c r="H387" s="28" t="s">
        <v>113</v>
      </c>
      <c r="I387" s="139">
        <v>10</v>
      </c>
      <c r="J387" s="137">
        <v>483333.33</v>
      </c>
      <c r="K387" s="137">
        <f t="shared" si="72"/>
        <v>4833333.3</v>
      </c>
      <c r="L387" s="137">
        <f t="shared" si="73"/>
        <v>386666.66399999999</v>
      </c>
      <c r="M387" s="261">
        <f t="shared" si="74"/>
        <v>5219999.9639999997</v>
      </c>
      <c r="N387" s="138"/>
      <c r="O387" s="138"/>
      <c r="P387" s="138"/>
      <c r="Q387" s="10">
        <f t="shared" si="57"/>
        <v>5219999.9639999997</v>
      </c>
      <c r="R387" s="138"/>
    </row>
    <row r="388" spans="1:18" s="72" customFormat="1" ht="15.75" hidden="1">
      <c r="A388" s="122" t="s">
        <v>600</v>
      </c>
      <c r="B388" s="134" t="s">
        <v>132</v>
      </c>
      <c r="C388" s="135" t="s">
        <v>366</v>
      </c>
      <c r="D388" s="134" t="s">
        <v>370</v>
      </c>
      <c r="E388" s="28" t="s">
        <v>367</v>
      </c>
      <c r="F388" s="7" t="s">
        <v>80</v>
      </c>
      <c r="G388" s="7" t="s">
        <v>81</v>
      </c>
      <c r="H388" s="28" t="s">
        <v>113</v>
      </c>
      <c r="I388" s="139">
        <v>10</v>
      </c>
      <c r="J388" s="137">
        <v>824074.07</v>
      </c>
      <c r="K388" s="137">
        <f t="shared" si="72"/>
        <v>8240740.6999999993</v>
      </c>
      <c r="L388" s="137">
        <f t="shared" si="73"/>
        <v>659259.25599999994</v>
      </c>
      <c r="M388" s="261">
        <f t="shared" si="74"/>
        <v>8899999.9559999984</v>
      </c>
      <c r="N388" s="138"/>
      <c r="O388" s="138"/>
      <c r="P388" s="138"/>
      <c r="Q388" s="10">
        <f t="shared" ref="Q388:Q451" si="75">M388-N388-O388-P388</f>
        <v>8899999.9559999984</v>
      </c>
      <c r="R388" s="138"/>
    </row>
    <row r="389" spans="1:18" s="72" customFormat="1" ht="15.75" hidden="1">
      <c r="A389" s="122" t="s">
        <v>600</v>
      </c>
      <c r="B389" s="134" t="s">
        <v>132</v>
      </c>
      <c r="C389" s="135" t="s">
        <v>366</v>
      </c>
      <c r="D389" s="134" t="s">
        <v>370</v>
      </c>
      <c r="E389" s="28" t="s">
        <v>367</v>
      </c>
      <c r="F389" s="7" t="s">
        <v>21</v>
      </c>
      <c r="G389" s="7" t="s">
        <v>22</v>
      </c>
      <c r="H389" s="28" t="s">
        <v>113</v>
      </c>
      <c r="I389" s="139">
        <v>10</v>
      </c>
      <c r="J389" s="137">
        <v>937963</v>
      </c>
      <c r="K389" s="137">
        <f t="shared" si="72"/>
        <v>9379630</v>
      </c>
      <c r="L389" s="137">
        <f t="shared" si="73"/>
        <v>750370.4</v>
      </c>
      <c r="M389" s="261">
        <f t="shared" si="74"/>
        <v>10130000.4</v>
      </c>
      <c r="N389" s="138"/>
      <c r="O389" s="138"/>
      <c r="P389" s="138"/>
      <c r="Q389" s="10">
        <f t="shared" si="75"/>
        <v>10130000.4</v>
      </c>
      <c r="R389" s="138"/>
    </row>
    <row r="390" spans="1:18" s="72" customFormat="1" ht="15.75" hidden="1">
      <c r="A390" s="122" t="s">
        <v>600</v>
      </c>
      <c r="B390" s="134" t="s">
        <v>132</v>
      </c>
      <c r="C390" s="135" t="s">
        <v>366</v>
      </c>
      <c r="D390" s="134" t="str">
        <f t="shared" ref="D390:D405" si="76">B390</f>
        <v>13/01/2026</v>
      </c>
      <c r="E390" s="28" t="s">
        <v>367</v>
      </c>
      <c r="F390" s="7" t="s">
        <v>23</v>
      </c>
      <c r="G390" s="7" t="s">
        <v>371</v>
      </c>
      <c r="H390" s="28" t="s">
        <v>113</v>
      </c>
      <c r="I390" s="139">
        <v>10</v>
      </c>
      <c r="J390" s="137">
        <v>1185185.2</v>
      </c>
      <c r="K390" s="137">
        <f t="shared" si="72"/>
        <v>11851852</v>
      </c>
      <c r="L390" s="137">
        <f t="shared" si="73"/>
        <v>948148.16</v>
      </c>
      <c r="M390" s="261">
        <f t="shared" si="74"/>
        <v>12800000.16</v>
      </c>
      <c r="N390" s="138"/>
      <c r="O390" s="138"/>
      <c r="P390" s="138"/>
      <c r="Q390" s="10">
        <f t="shared" si="75"/>
        <v>12800000.16</v>
      </c>
      <c r="R390" s="138"/>
    </row>
    <row r="391" spans="1:18" s="72" customFormat="1" ht="31.5" hidden="1">
      <c r="A391" s="122" t="s">
        <v>600</v>
      </c>
      <c r="B391" s="134" t="s">
        <v>132</v>
      </c>
      <c r="C391" s="135" t="s">
        <v>366</v>
      </c>
      <c r="D391" s="134" t="str">
        <f t="shared" si="76"/>
        <v>13/01/2026</v>
      </c>
      <c r="E391" s="28" t="s">
        <v>367</v>
      </c>
      <c r="F391" s="7" t="s">
        <v>180</v>
      </c>
      <c r="G391" s="7" t="s">
        <v>181</v>
      </c>
      <c r="H391" s="28" t="s">
        <v>113</v>
      </c>
      <c r="I391" s="139">
        <v>20</v>
      </c>
      <c r="J391" s="137">
        <v>234259.1</v>
      </c>
      <c r="K391" s="137">
        <f t="shared" si="72"/>
        <v>4685182</v>
      </c>
      <c r="L391" s="137">
        <f t="shared" si="73"/>
        <v>374814.56</v>
      </c>
      <c r="M391" s="261">
        <f t="shared" si="74"/>
        <v>5059996.5599999996</v>
      </c>
      <c r="N391" s="138"/>
      <c r="O391" s="138"/>
      <c r="P391" s="138"/>
      <c r="Q391" s="10">
        <f t="shared" si="75"/>
        <v>5059996.5599999996</v>
      </c>
      <c r="R391" s="138"/>
    </row>
    <row r="392" spans="1:18" s="72" customFormat="1" ht="31.5" hidden="1">
      <c r="A392" s="122" t="s">
        <v>600</v>
      </c>
      <c r="B392" s="134" t="s">
        <v>132</v>
      </c>
      <c r="C392" s="135" t="s">
        <v>366</v>
      </c>
      <c r="D392" s="134" t="str">
        <f t="shared" si="76"/>
        <v>13/01/2026</v>
      </c>
      <c r="E392" s="28" t="s">
        <v>367</v>
      </c>
      <c r="F392" s="7" t="s">
        <v>26</v>
      </c>
      <c r="G392" s="7" t="s">
        <v>27</v>
      </c>
      <c r="H392" s="28" t="s">
        <v>113</v>
      </c>
      <c r="I392" s="139">
        <v>20</v>
      </c>
      <c r="J392" s="137">
        <v>256481.5</v>
      </c>
      <c r="K392" s="137">
        <f t="shared" si="72"/>
        <v>5129630</v>
      </c>
      <c r="L392" s="137">
        <f t="shared" si="73"/>
        <v>410370.4</v>
      </c>
      <c r="M392" s="261">
        <f t="shared" si="74"/>
        <v>5540000.4000000004</v>
      </c>
      <c r="N392" s="138"/>
      <c r="O392" s="138"/>
      <c r="P392" s="138"/>
      <c r="Q392" s="10">
        <f t="shared" si="75"/>
        <v>5540000.4000000004</v>
      </c>
      <c r="R392" s="138"/>
    </row>
    <row r="393" spans="1:18" s="72" customFormat="1" ht="31.5" hidden="1">
      <c r="A393" s="122" t="s">
        <v>600</v>
      </c>
      <c r="B393" s="134" t="s">
        <v>132</v>
      </c>
      <c r="C393" s="135" t="s">
        <v>366</v>
      </c>
      <c r="D393" s="134" t="str">
        <f t="shared" si="76"/>
        <v>13/01/2026</v>
      </c>
      <c r="E393" s="28" t="s">
        <v>367</v>
      </c>
      <c r="F393" s="7" t="s">
        <v>28</v>
      </c>
      <c r="G393" s="7" t="s">
        <v>29</v>
      </c>
      <c r="H393" s="28" t="s">
        <v>113</v>
      </c>
      <c r="I393" s="139">
        <v>20</v>
      </c>
      <c r="J393" s="137">
        <v>281481.5</v>
      </c>
      <c r="K393" s="137">
        <f t="shared" si="72"/>
        <v>5629630</v>
      </c>
      <c r="L393" s="137">
        <f t="shared" si="73"/>
        <v>450370.4</v>
      </c>
      <c r="M393" s="261">
        <f t="shared" si="74"/>
        <v>6080000.4000000004</v>
      </c>
      <c r="N393" s="138"/>
      <c r="O393" s="138"/>
      <c r="P393" s="138"/>
      <c r="Q393" s="10">
        <f t="shared" si="75"/>
        <v>6080000.4000000004</v>
      </c>
      <c r="R393" s="138"/>
    </row>
    <row r="394" spans="1:18" s="72" customFormat="1" ht="31.5" hidden="1">
      <c r="A394" s="122" t="s">
        <v>600</v>
      </c>
      <c r="B394" s="134" t="s">
        <v>132</v>
      </c>
      <c r="C394" s="135" t="s">
        <v>366</v>
      </c>
      <c r="D394" s="134" t="str">
        <f t="shared" si="76"/>
        <v>13/01/2026</v>
      </c>
      <c r="E394" s="28" t="s">
        <v>367</v>
      </c>
      <c r="F394" s="7" t="s">
        <v>184</v>
      </c>
      <c r="G394" s="7" t="s">
        <v>272</v>
      </c>
      <c r="H394" s="28" t="s">
        <v>113</v>
      </c>
      <c r="I394" s="139">
        <v>20</v>
      </c>
      <c r="J394" s="137">
        <v>227777.8</v>
      </c>
      <c r="K394" s="137">
        <f t="shared" si="72"/>
        <v>4555556</v>
      </c>
      <c r="L394" s="137">
        <f t="shared" si="73"/>
        <v>364444.48</v>
      </c>
      <c r="M394" s="261">
        <f t="shared" si="74"/>
        <v>4920000.4800000004</v>
      </c>
      <c r="N394" s="138"/>
      <c r="O394" s="138"/>
      <c r="P394" s="138"/>
      <c r="Q394" s="10">
        <f t="shared" si="75"/>
        <v>4920000.4800000004</v>
      </c>
      <c r="R394" s="138"/>
    </row>
    <row r="395" spans="1:18" s="72" customFormat="1" ht="31.5" hidden="1">
      <c r="A395" s="122" t="s">
        <v>600</v>
      </c>
      <c r="B395" s="134" t="s">
        <v>132</v>
      </c>
      <c r="C395" s="135" t="s">
        <v>366</v>
      </c>
      <c r="D395" s="134" t="str">
        <f t="shared" si="76"/>
        <v>13/01/2026</v>
      </c>
      <c r="E395" s="28" t="s">
        <v>367</v>
      </c>
      <c r="F395" s="7" t="s">
        <v>30</v>
      </c>
      <c r="G395" s="7" t="s">
        <v>31</v>
      </c>
      <c r="H395" s="28" t="s">
        <v>113</v>
      </c>
      <c r="I395" s="139">
        <v>20</v>
      </c>
      <c r="J395" s="137">
        <v>252777.8</v>
      </c>
      <c r="K395" s="137">
        <f t="shared" si="72"/>
        <v>5055556</v>
      </c>
      <c r="L395" s="137">
        <f t="shared" si="73"/>
        <v>404444.48</v>
      </c>
      <c r="M395" s="261">
        <f t="shared" si="74"/>
        <v>5460000.4800000004</v>
      </c>
      <c r="N395" s="138"/>
      <c r="O395" s="138"/>
      <c r="P395" s="138"/>
      <c r="Q395" s="10">
        <f t="shared" si="75"/>
        <v>5460000.4800000004</v>
      </c>
      <c r="R395" s="138"/>
    </row>
    <row r="396" spans="1:18" s="72" customFormat="1" ht="31.5" hidden="1">
      <c r="A396" s="122" t="s">
        <v>600</v>
      </c>
      <c r="B396" s="134" t="s">
        <v>132</v>
      </c>
      <c r="C396" s="135" t="s">
        <v>366</v>
      </c>
      <c r="D396" s="134" t="str">
        <f t="shared" si="76"/>
        <v>13/01/2026</v>
      </c>
      <c r="E396" s="28" t="s">
        <v>367</v>
      </c>
      <c r="F396" s="7" t="s">
        <v>32</v>
      </c>
      <c r="G396" s="7" t="s">
        <v>33</v>
      </c>
      <c r="H396" s="28" t="s">
        <v>113</v>
      </c>
      <c r="I396" s="139">
        <v>20</v>
      </c>
      <c r="J396" s="137">
        <v>256481.5</v>
      </c>
      <c r="K396" s="137">
        <f t="shared" si="72"/>
        <v>5129630</v>
      </c>
      <c r="L396" s="137">
        <f t="shared" si="73"/>
        <v>410370.4</v>
      </c>
      <c r="M396" s="261">
        <f t="shared" si="74"/>
        <v>5540000.4000000004</v>
      </c>
      <c r="N396" s="138"/>
      <c r="O396" s="138"/>
      <c r="P396" s="138"/>
      <c r="Q396" s="10">
        <f t="shared" si="75"/>
        <v>5540000.4000000004</v>
      </c>
      <c r="R396" s="138"/>
    </row>
    <row r="397" spans="1:18" s="72" customFormat="1" ht="31.5" hidden="1">
      <c r="A397" s="122" t="s">
        <v>600</v>
      </c>
      <c r="B397" s="134" t="s">
        <v>132</v>
      </c>
      <c r="C397" s="135" t="s">
        <v>366</v>
      </c>
      <c r="D397" s="134" t="str">
        <f t="shared" si="76"/>
        <v>13/01/2026</v>
      </c>
      <c r="E397" s="28" t="s">
        <v>367</v>
      </c>
      <c r="F397" s="7" t="s">
        <v>34</v>
      </c>
      <c r="G397" s="7" t="s">
        <v>35</v>
      </c>
      <c r="H397" s="28" t="s">
        <v>113</v>
      </c>
      <c r="I397" s="139">
        <v>20</v>
      </c>
      <c r="J397" s="137">
        <v>227777.8</v>
      </c>
      <c r="K397" s="137">
        <f t="shared" si="72"/>
        <v>4555556</v>
      </c>
      <c r="L397" s="137">
        <f t="shared" si="73"/>
        <v>364444.48</v>
      </c>
      <c r="M397" s="261">
        <f t="shared" si="74"/>
        <v>4920000.4800000004</v>
      </c>
      <c r="N397" s="138"/>
      <c r="O397" s="138"/>
      <c r="P397" s="138"/>
      <c r="Q397" s="10">
        <f t="shared" si="75"/>
        <v>4920000.4800000004</v>
      </c>
      <c r="R397" s="138"/>
    </row>
    <row r="398" spans="1:18" s="72" customFormat="1" ht="31.5" hidden="1">
      <c r="A398" s="122" t="s">
        <v>600</v>
      </c>
      <c r="B398" s="134" t="s">
        <v>132</v>
      </c>
      <c r="C398" s="135" t="s">
        <v>366</v>
      </c>
      <c r="D398" s="134" t="str">
        <f t="shared" si="76"/>
        <v>13/01/2026</v>
      </c>
      <c r="E398" s="28" t="s">
        <v>367</v>
      </c>
      <c r="F398" s="7" t="s">
        <v>36</v>
      </c>
      <c r="G398" s="7" t="s">
        <v>37</v>
      </c>
      <c r="H398" s="28" t="s">
        <v>113</v>
      </c>
      <c r="I398" s="139">
        <v>20</v>
      </c>
      <c r="J398" s="137">
        <v>252777.8</v>
      </c>
      <c r="K398" s="137">
        <f t="shared" si="72"/>
        <v>5055556</v>
      </c>
      <c r="L398" s="137">
        <f t="shared" si="73"/>
        <v>404444.48</v>
      </c>
      <c r="M398" s="261">
        <f t="shared" si="74"/>
        <v>5460000.4800000004</v>
      </c>
      <c r="N398" s="138"/>
      <c r="O398" s="138"/>
      <c r="P398" s="138"/>
      <c r="Q398" s="10">
        <f t="shared" si="75"/>
        <v>5460000.4800000004</v>
      </c>
      <c r="R398" s="138"/>
    </row>
    <row r="399" spans="1:18" s="72" customFormat="1" ht="31.5" hidden="1">
      <c r="A399" s="122" t="s">
        <v>600</v>
      </c>
      <c r="B399" s="134" t="s">
        <v>132</v>
      </c>
      <c r="C399" s="135" t="s">
        <v>366</v>
      </c>
      <c r="D399" s="134" t="str">
        <f t="shared" si="76"/>
        <v>13/01/2026</v>
      </c>
      <c r="E399" s="28" t="s">
        <v>367</v>
      </c>
      <c r="F399" s="7" t="s">
        <v>38</v>
      </c>
      <c r="G399" s="7" t="s">
        <v>39</v>
      </c>
      <c r="H399" s="28" t="s">
        <v>113</v>
      </c>
      <c r="I399" s="139">
        <v>20</v>
      </c>
      <c r="J399" s="137">
        <v>277777.8</v>
      </c>
      <c r="K399" s="137">
        <f t="shared" si="72"/>
        <v>5555556</v>
      </c>
      <c r="L399" s="137">
        <f t="shared" si="73"/>
        <v>444444.48</v>
      </c>
      <c r="M399" s="261">
        <f t="shared" si="74"/>
        <v>6000000.4800000004</v>
      </c>
      <c r="N399" s="138"/>
      <c r="O399" s="138"/>
      <c r="P399" s="138"/>
      <c r="Q399" s="10">
        <f t="shared" si="75"/>
        <v>6000000.4800000004</v>
      </c>
      <c r="R399" s="138"/>
    </row>
    <row r="400" spans="1:18" s="72" customFormat="1" ht="31.5" hidden="1">
      <c r="A400" s="122" t="s">
        <v>600</v>
      </c>
      <c r="B400" s="134" t="s">
        <v>132</v>
      </c>
      <c r="C400" s="135" t="s">
        <v>366</v>
      </c>
      <c r="D400" s="134" t="str">
        <f t="shared" si="76"/>
        <v>13/01/2026</v>
      </c>
      <c r="E400" s="28" t="s">
        <v>367</v>
      </c>
      <c r="F400" s="7" t="s">
        <v>40</v>
      </c>
      <c r="G400" s="7" t="s">
        <v>41</v>
      </c>
      <c r="H400" s="28" t="s">
        <v>113</v>
      </c>
      <c r="I400" s="139">
        <v>10</v>
      </c>
      <c r="J400" s="137">
        <v>844444.4</v>
      </c>
      <c r="K400" s="137">
        <f t="shared" si="72"/>
        <v>8444444</v>
      </c>
      <c r="L400" s="137">
        <f t="shared" si="73"/>
        <v>675555.52</v>
      </c>
      <c r="M400" s="261">
        <f t="shared" si="74"/>
        <v>9119999.5199999996</v>
      </c>
      <c r="N400" s="138"/>
      <c r="O400" s="138"/>
      <c r="P400" s="138"/>
      <c r="Q400" s="10">
        <f t="shared" si="75"/>
        <v>9119999.5199999996</v>
      </c>
      <c r="R400" s="138"/>
    </row>
    <row r="401" spans="1:18" s="72" customFormat="1" ht="15.75" hidden="1">
      <c r="A401" s="122" t="s">
        <v>600</v>
      </c>
      <c r="B401" s="134" t="s">
        <v>132</v>
      </c>
      <c r="C401" s="135" t="s">
        <v>366</v>
      </c>
      <c r="D401" s="134" t="str">
        <f t="shared" si="76"/>
        <v>13/01/2026</v>
      </c>
      <c r="E401" s="28" t="s">
        <v>367</v>
      </c>
      <c r="F401" s="7" t="s">
        <v>119</v>
      </c>
      <c r="G401" s="7" t="s">
        <v>191</v>
      </c>
      <c r="H401" s="28" t="s">
        <v>113</v>
      </c>
      <c r="I401" s="139">
        <v>10</v>
      </c>
      <c r="J401" s="137">
        <v>659259.30000000005</v>
      </c>
      <c r="K401" s="137">
        <f t="shared" si="72"/>
        <v>6592593</v>
      </c>
      <c r="L401" s="137">
        <f t="shared" si="73"/>
        <v>527407.44000000006</v>
      </c>
      <c r="M401" s="261">
        <f t="shared" si="74"/>
        <v>7120000.4400000004</v>
      </c>
      <c r="N401" s="138"/>
      <c r="O401" s="138"/>
      <c r="P401" s="138"/>
      <c r="Q401" s="10">
        <f t="shared" si="75"/>
        <v>7120000.4400000004</v>
      </c>
      <c r="R401" s="138"/>
    </row>
    <row r="402" spans="1:18" s="72" customFormat="1" ht="15.75" hidden="1">
      <c r="A402" s="122" t="s">
        <v>600</v>
      </c>
      <c r="B402" s="134" t="s">
        <v>132</v>
      </c>
      <c r="C402" s="135" t="s">
        <v>366</v>
      </c>
      <c r="D402" s="134" t="str">
        <f t="shared" si="76"/>
        <v>13/01/2026</v>
      </c>
      <c r="E402" s="28" t="s">
        <v>367</v>
      </c>
      <c r="F402" s="7" t="s">
        <v>42</v>
      </c>
      <c r="G402" s="7" t="s">
        <v>43</v>
      </c>
      <c r="H402" s="28" t="s">
        <v>113</v>
      </c>
      <c r="I402" s="139">
        <v>10</v>
      </c>
      <c r="J402" s="137">
        <v>569444.4</v>
      </c>
      <c r="K402" s="137">
        <f t="shared" si="72"/>
        <v>5694444</v>
      </c>
      <c r="L402" s="137">
        <f t="shared" si="73"/>
        <v>455555.52</v>
      </c>
      <c r="M402" s="261">
        <f t="shared" si="74"/>
        <v>6149999.5199999996</v>
      </c>
      <c r="N402" s="138"/>
      <c r="O402" s="138"/>
      <c r="P402" s="138"/>
      <c r="Q402" s="10">
        <f t="shared" si="75"/>
        <v>6149999.5199999996</v>
      </c>
      <c r="R402" s="138"/>
    </row>
    <row r="403" spans="1:18" s="72" customFormat="1" ht="15.75" hidden="1">
      <c r="A403" s="122" t="s">
        <v>600</v>
      </c>
      <c r="B403" s="134" t="s">
        <v>132</v>
      </c>
      <c r="C403" s="135" t="s">
        <v>366</v>
      </c>
      <c r="D403" s="134" t="str">
        <f t="shared" si="76"/>
        <v>13/01/2026</v>
      </c>
      <c r="E403" s="28" t="s">
        <v>367</v>
      </c>
      <c r="F403" s="7" t="s">
        <v>44</v>
      </c>
      <c r="G403" s="7" t="s">
        <v>45</v>
      </c>
      <c r="H403" s="28" t="s">
        <v>113</v>
      </c>
      <c r="I403" s="139">
        <v>12</v>
      </c>
      <c r="J403" s="137">
        <v>564814.82999999996</v>
      </c>
      <c r="K403" s="137">
        <f t="shared" si="72"/>
        <v>6777777.959999999</v>
      </c>
      <c r="L403" s="137">
        <f t="shared" si="73"/>
        <v>542222.23679999996</v>
      </c>
      <c r="M403" s="261">
        <f t="shared" si="74"/>
        <v>7320000.1967999991</v>
      </c>
      <c r="N403" s="138"/>
      <c r="O403" s="138"/>
      <c r="P403" s="138"/>
      <c r="Q403" s="10">
        <f t="shared" si="75"/>
        <v>7320000.1967999991</v>
      </c>
      <c r="R403" s="138"/>
    </row>
    <row r="404" spans="1:18" s="72" customFormat="1" ht="15.75" hidden="1">
      <c r="A404" s="122" t="s">
        <v>600</v>
      </c>
      <c r="B404" s="134" t="s">
        <v>132</v>
      </c>
      <c r="C404" s="135" t="s">
        <v>366</v>
      </c>
      <c r="D404" s="134" t="str">
        <f t="shared" si="76"/>
        <v>13/01/2026</v>
      </c>
      <c r="E404" s="28" t="s">
        <v>367</v>
      </c>
      <c r="F404" s="7" t="s">
        <v>148</v>
      </c>
      <c r="G404" s="7" t="s">
        <v>149</v>
      </c>
      <c r="H404" s="28" t="s">
        <v>113</v>
      </c>
      <c r="I404" s="139">
        <v>12</v>
      </c>
      <c r="J404" s="137">
        <v>358333.33</v>
      </c>
      <c r="K404" s="137">
        <f t="shared" si="72"/>
        <v>4299999.96</v>
      </c>
      <c r="L404" s="137">
        <f t="shared" si="73"/>
        <v>343999.99680000002</v>
      </c>
      <c r="M404" s="261">
        <f t="shared" si="74"/>
        <v>4643999.9567999998</v>
      </c>
      <c r="N404" s="138"/>
      <c r="O404" s="138"/>
      <c r="P404" s="138"/>
      <c r="Q404" s="10">
        <f t="shared" si="75"/>
        <v>4643999.9567999998</v>
      </c>
      <c r="R404" s="138"/>
    </row>
    <row r="405" spans="1:18" s="72" customFormat="1" ht="15.75" hidden="1">
      <c r="A405" s="122" t="s">
        <v>600</v>
      </c>
      <c r="B405" s="134" t="s">
        <v>132</v>
      </c>
      <c r="C405" s="135" t="s">
        <v>366</v>
      </c>
      <c r="D405" s="134" t="str">
        <f t="shared" si="76"/>
        <v>13/01/2026</v>
      </c>
      <c r="E405" s="28" t="s">
        <v>367</v>
      </c>
      <c r="F405" s="7" t="s">
        <v>192</v>
      </c>
      <c r="G405" s="7" t="s">
        <v>193</v>
      </c>
      <c r="H405" s="28" t="s">
        <v>113</v>
      </c>
      <c r="I405" s="139">
        <v>12</v>
      </c>
      <c r="J405" s="137">
        <v>398148.17</v>
      </c>
      <c r="K405" s="137">
        <f t="shared" si="72"/>
        <v>4777778.04</v>
      </c>
      <c r="L405" s="137">
        <f t="shared" si="73"/>
        <v>382222.24320000003</v>
      </c>
      <c r="M405" s="261">
        <f t="shared" si="74"/>
        <v>5160000.2832000004</v>
      </c>
      <c r="N405" s="138"/>
      <c r="O405" s="138"/>
      <c r="P405" s="138"/>
      <c r="Q405" s="10">
        <f t="shared" si="75"/>
        <v>5160000.2832000004</v>
      </c>
      <c r="R405" s="138"/>
    </row>
    <row r="406" spans="1:18" s="72" customFormat="1" ht="15.75" hidden="1">
      <c r="A406" s="122" t="s">
        <v>600</v>
      </c>
      <c r="B406" s="134" t="s">
        <v>132</v>
      </c>
      <c r="C406" s="135" t="s">
        <v>372</v>
      </c>
      <c r="D406" s="134" t="s">
        <v>67</v>
      </c>
      <c r="E406" s="28" t="s">
        <v>367</v>
      </c>
      <c r="F406" s="7" t="s">
        <v>68</v>
      </c>
      <c r="G406" s="7" t="s">
        <v>69</v>
      </c>
      <c r="H406" s="28" t="s">
        <v>18</v>
      </c>
      <c r="I406" s="139">
        <v>12</v>
      </c>
      <c r="J406" s="137">
        <v>111111.08</v>
      </c>
      <c r="K406" s="137">
        <f t="shared" si="72"/>
        <v>1333332.96</v>
      </c>
      <c r="L406" s="137">
        <f t="shared" si="73"/>
        <v>106666.63679999999</v>
      </c>
      <c r="M406" s="261">
        <f t="shared" si="74"/>
        <v>1439999.5967999999</v>
      </c>
      <c r="N406" s="138"/>
      <c r="O406" s="138"/>
      <c r="P406" s="138"/>
      <c r="Q406" s="10">
        <f t="shared" si="75"/>
        <v>1439999.5967999999</v>
      </c>
      <c r="R406" s="138"/>
    </row>
    <row r="407" spans="1:18" s="72" customFormat="1" ht="15.75" hidden="1">
      <c r="A407" s="122" t="s">
        <v>600</v>
      </c>
      <c r="B407" s="134" t="s">
        <v>132</v>
      </c>
      <c r="C407" s="135" t="s">
        <v>372</v>
      </c>
      <c r="D407" s="134" t="s">
        <v>67</v>
      </c>
      <c r="E407" s="28" t="s">
        <v>367</v>
      </c>
      <c r="F407" s="7" t="s">
        <v>70</v>
      </c>
      <c r="G407" s="7" t="s">
        <v>71</v>
      </c>
      <c r="H407" s="28" t="s">
        <v>18</v>
      </c>
      <c r="I407" s="139">
        <v>12</v>
      </c>
      <c r="J407" s="137">
        <v>120370.33</v>
      </c>
      <c r="K407" s="137">
        <f t="shared" si="72"/>
        <v>1444443.96</v>
      </c>
      <c r="L407" s="137">
        <f t="shared" si="73"/>
        <v>115555.5168</v>
      </c>
      <c r="M407" s="261">
        <f t="shared" si="74"/>
        <v>1559999.4768000001</v>
      </c>
      <c r="N407" s="138"/>
      <c r="O407" s="138"/>
      <c r="P407" s="138"/>
      <c r="Q407" s="10">
        <f t="shared" si="75"/>
        <v>1559999.4768000001</v>
      </c>
      <c r="R407" s="138"/>
    </row>
    <row r="408" spans="1:18" s="72" customFormat="1" ht="15.75" hidden="1">
      <c r="A408" s="122" t="s">
        <v>600</v>
      </c>
      <c r="B408" s="134" t="s">
        <v>132</v>
      </c>
      <c r="C408" s="135" t="s">
        <v>372</v>
      </c>
      <c r="D408" s="134" t="s">
        <v>67</v>
      </c>
      <c r="E408" s="28" t="s">
        <v>367</v>
      </c>
      <c r="F408" s="7" t="s">
        <v>72</v>
      </c>
      <c r="G408" s="7" t="s">
        <v>73</v>
      </c>
      <c r="H408" s="28" t="s">
        <v>18</v>
      </c>
      <c r="I408" s="139">
        <v>12</v>
      </c>
      <c r="J408" s="137">
        <v>129629.67</v>
      </c>
      <c r="K408" s="137">
        <f t="shared" si="72"/>
        <v>1555556.04</v>
      </c>
      <c r="L408" s="137">
        <f t="shared" si="73"/>
        <v>124444.4832</v>
      </c>
      <c r="M408" s="261">
        <f t="shared" si="74"/>
        <v>1680000.5231999999</v>
      </c>
      <c r="N408" s="138"/>
      <c r="O408" s="138"/>
      <c r="P408" s="138"/>
      <c r="Q408" s="10">
        <f t="shared" si="75"/>
        <v>1680000.5231999999</v>
      </c>
      <c r="R408" s="138"/>
    </row>
    <row r="409" spans="1:18" s="72" customFormat="1" ht="15.75" hidden="1">
      <c r="A409" s="122" t="s">
        <v>600</v>
      </c>
      <c r="B409" s="134" t="s">
        <v>132</v>
      </c>
      <c r="C409" s="135" t="s">
        <v>372</v>
      </c>
      <c r="D409" s="134" t="s">
        <v>67</v>
      </c>
      <c r="E409" s="28" t="s">
        <v>367</v>
      </c>
      <c r="F409" s="7" t="s">
        <v>194</v>
      </c>
      <c r="G409" s="7" t="s">
        <v>276</v>
      </c>
      <c r="H409" s="28" t="s">
        <v>18</v>
      </c>
      <c r="I409" s="139">
        <v>10</v>
      </c>
      <c r="J409" s="137">
        <v>1203703.7</v>
      </c>
      <c r="K409" s="137">
        <f t="shared" si="72"/>
        <v>12037037</v>
      </c>
      <c r="L409" s="137">
        <f t="shared" si="73"/>
        <v>962962.96</v>
      </c>
      <c r="M409" s="261">
        <f t="shared" si="74"/>
        <v>12999999.960000001</v>
      </c>
      <c r="N409" s="138"/>
      <c r="O409" s="138"/>
      <c r="P409" s="138"/>
      <c r="Q409" s="10">
        <f t="shared" si="75"/>
        <v>12999999.960000001</v>
      </c>
      <c r="R409" s="138"/>
    </row>
    <row r="410" spans="1:18" s="72" customFormat="1" ht="15.75" hidden="1">
      <c r="A410" s="122" t="s">
        <v>600</v>
      </c>
      <c r="B410" s="134" t="s">
        <v>132</v>
      </c>
      <c r="C410" s="135" t="s">
        <v>372</v>
      </c>
      <c r="D410" s="134" t="s">
        <v>67</v>
      </c>
      <c r="E410" s="28" t="s">
        <v>367</v>
      </c>
      <c r="F410" s="7" t="s">
        <v>58</v>
      </c>
      <c r="G410" s="7" t="s">
        <v>59</v>
      </c>
      <c r="H410" s="28" t="s">
        <v>18</v>
      </c>
      <c r="I410" s="139">
        <v>10</v>
      </c>
      <c r="J410" s="137">
        <v>1361111.1</v>
      </c>
      <c r="K410" s="137">
        <f t="shared" si="72"/>
        <v>13611111</v>
      </c>
      <c r="L410" s="137">
        <f t="shared" si="73"/>
        <v>1088888.8800000001</v>
      </c>
      <c r="M410" s="261">
        <f t="shared" si="74"/>
        <v>14699999.880000001</v>
      </c>
      <c r="N410" s="138"/>
      <c r="O410" s="138"/>
      <c r="P410" s="138"/>
      <c r="Q410" s="10">
        <f t="shared" si="75"/>
        <v>14699999.880000001</v>
      </c>
      <c r="R410" s="138"/>
    </row>
    <row r="411" spans="1:18" s="87" customFormat="1" ht="31.5" hidden="1">
      <c r="A411" s="122" t="s">
        <v>600</v>
      </c>
      <c r="B411" s="141" t="s">
        <v>132</v>
      </c>
      <c r="C411" s="140" t="s">
        <v>373</v>
      </c>
      <c r="D411" s="141">
        <v>46114</v>
      </c>
      <c r="E411" s="142" t="s">
        <v>367</v>
      </c>
      <c r="F411" s="8" t="s">
        <v>60</v>
      </c>
      <c r="G411" s="8" t="s">
        <v>374</v>
      </c>
      <c r="H411" s="142" t="s">
        <v>18</v>
      </c>
      <c r="I411" s="143">
        <v>8</v>
      </c>
      <c r="J411" s="137">
        <v>1138888.8799999999</v>
      </c>
      <c r="K411" s="137">
        <f t="shared" si="72"/>
        <v>9111111.0399999991</v>
      </c>
      <c r="L411" s="9">
        <f t="shared" si="73"/>
        <v>728888.88319999992</v>
      </c>
      <c r="M411" s="254">
        <f t="shared" si="74"/>
        <v>9839999.9231999982</v>
      </c>
      <c r="N411" s="138"/>
      <c r="O411" s="138"/>
      <c r="P411" s="138"/>
      <c r="Q411" s="10">
        <f t="shared" si="75"/>
        <v>9839999.9231999982</v>
      </c>
      <c r="R411" s="138"/>
    </row>
    <row r="412" spans="1:18" s="87" customFormat="1" ht="31.5" hidden="1">
      <c r="A412" s="122" t="s">
        <v>600</v>
      </c>
      <c r="B412" s="141" t="s">
        <v>132</v>
      </c>
      <c r="C412" s="140" t="s">
        <v>373</v>
      </c>
      <c r="D412" s="141">
        <v>46114</v>
      </c>
      <c r="E412" s="142" t="s">
        <v>367</v>
      </c>
      <c r="F412" s="8" t="s">
        <v>16</v>
      </c>
      <c r="G412" s="8" t="s">
        <v>375</v>
      </c>
      <c r="H412" s="142" t="s">
        <v>18</v>
      </c>
      <c r="I412" s="143">
        <v>8</v>
      </c>
      <c r="J412" s="137">
        <v>851851.88</v>
      </c>
      <c r="K412" s="137">
        <f t="shared" si="72"/>
        <v>6814815.04</v>
      </c>
      <c r="L412" s="9">
        <f t="shared" si="73"/>
        <v>545185.20319999999</v>
      </c>
      <c r="M412" s="254">
        <f t="shared" si="74"/>
        <v>7360000.2432000004</v>
      </c>
      <c r="N412" s="138"/>
      <c r="O412" s="138"/>
      <c r="P412" s="138"/>
      <c r="Q412" s="10">
        <f t="shared" si="75"/>
        <v>7360000.2432000004</v>
      </c>
      <c r="R412" s="138"/>
    </row>
    <row r="413" spans="1:18" s="87" customFormat="1" ht="31.5" hidden="1">
      <c r="A413" s="122" t="s">
        <v>600</v>
      </c>
      <c r="B413" s="141" t="s">
        <v>132</v>
      </c>
      <c r="C413" s="140" t="s">
        <v>373</v>
      </c>
      <c r="D413" s="141">
        <v>46114</v>
      </c>
      <c r="E413" s="142" t="s">
        <v>367</v>
      </c>
      <c r="F413" s="8" t="s">
        <v>48</v>
      </c>
      <c r="G413" s="8" t="s">
        <v>376</v>
      </c>
      <c r="H413" s="142" t="s">
        <v>18</v>
      </c>
      <c r="I413" s="143">
        <v>12</v>
      </c>
      <c r="J413" s="137">
        <v>601851.85</v>
      </c>
      <c r="K413" s="137">
        <f t="shared" si="72"/>
        <v>7222222.1999999993</v>
      </c>
      <c r="L413" s="9">
        <f t="shared" si="73"/>
        <v>577777.77599999995</v>
      </c>
      <c r="M413" s="254">
        <f t="shared" si="74"/>
        <v>7799999.9759999989</v>
      </c>
      <c r="N413" s="138"/>
      <c r="O413" s="138"/>
      <c r="P413" s="138"/>
      <c r="Q413" s="10">
        <f t="shared" si="75"/>
        <v>7799999.9759999989</v>
      </c>
      <c r="R413" s="138"/>
    </row>
    <row r="414" spans="1:18" s="87" customFormat="1" ht="31.5" hidden="1">
      <c r="A414" s="122" t="s">
        <v>600</v>
      </c>
      <c r="B414" s="141" t="s">
        <v>132</v>
      </c>
      <c r="C414" s="140" t="s">
        <v>373</v>
      </c>
      <c r="D414" s="141">
        <v>46114</v>
      </c>
      <c r="E414" s="142" t="s">
        <v>367</v>
      </c>
      <c r="F414" s="8" t="s">
        <v>50</v>
      </c>
      <c r="G414" s="8" t="s">
        <v>377</v>
      </c>
      <c r="H414" s="142" t="s">
        <v>18</v>
      </c>
      <c r="I414" s="143">
        <v>6</v>
      </c>
      <c r="J414" s="137">
        <v>937962</v>
      </c>
      <c r="K414" s="137">
        <f t="shared" si="72"/>
        <v>5627772</v>
      </c>
      <c r="L414" s="9">
        <f t="shared" si="73"/>
        <v>450221.76</v>
      </c>
      <c r="M414" s="254">
        <f t="shared" si="74"/>
        <v>6077993.7599999998</v>
      </c>
      <c r="N414" s="138"/>
      <c r="O414" s="138"/>
      <c r="P414" s="138"/>
      <c r="Q414" s="10">
        <f t="shared" si="75"/>
        <v>6077993.7599999998</v>
      </c>
      <c r="R414" s="138"/>
    </row>
    <row r="415" spans="1:18" s="87" customFormat="1" ht="15.75" hidden="1">
      <c r="A415" s="122" t="s">
        <v>600</v>
      </c>
      <c r="B415" s="141" t="s">
        <v>132</v>
      </c>
      <c r="C415" s="140" t="s">
        <v>373</v>
      </c>
      <c r="D415" s="141">
        <v>46114</v>
      </c>
      <c r="E415" s="142" t="s">
        <v>367</v>
      </c>
      <c r="F415" s="8" t="s">
        <v>226</v>
      </c>
      <c r="G415" s="8" t="s">
        <v>227</v>
      </c>
      <c r="H415" s="142" t="s">
        <v>18</v>
      </c>
      <c r="I415" s="143">
        <v>6</v>
      </c>
      <c r="J415" s="137">
        <v>799074</v>
      </c>
      <c r="K415" s="137">
        <f t="shared" si="72"/>
        <v>4794444</v>
      </c>
      <c r="L415" s="9">
        <f t="shared" si="73"/>
        <v>383555.52</v>
      </c>
      <c r="M415" s="254">
        <f t="shared" si="74"/>
        <v>5177999.5199999996</v>
      </c>
      <c r="N415" s="138"/>
      <c r="O415" s="138"/>
      <c r="P415" s="138"/>
      <c r="Q415" s="10">
        <f t="shared" si="75"/>
        <v>5177999.5199999996</v>
      </c>
      <c r="R415" s="138"/>
    </row>
    <row r="416" spans="1:18" s="87" customFormat="1" ht="15.75" hidden="1">
      <c r="A416" s="122" t="s">
        <v>600</v>
      </c>
      <c r="B416" s="141" t="s">
        <v>132</v>
      </c>
      <c r="C416" s="140" t="s">
        <v>373</v>
      </c>
      <c r="D416" s="141">
        <v>46114</v>
      </c>
      <c r="E416" s="142" t="s">
        <v>367</v>
      </c>
      <c r="F416" s="8" t="s">
        <v>52</v>
      </c>
      <c r="G416" s="8" t="s">
        <v>378</v>
      </c>
      <c r="H416" s="142" t="s">
        <v>18</v>
      </c>
      <c r="I416" s="143">
        <v>6</v>
      </c>
      <c r="J416" s="137">
        <v>1007407.4</v>
      </c>
      <c r="K416" s="137">
        <f t="shared" si="72"/>
        <v>6044444.4000000004</v>
      </c>
      <c r="L416" s="9">
        <f t="shared" si="73"/>
        <v>483555.55200000003</v>
      </c>
      <c r="M416" s="254">
        <f t="shared" si="74"/>
        <v>6527999.9520000005</v>
      </c>
      <c r="N416" s="138"/>
      <c r="O416" s="138"/>
      <c r="P416" s="138"/>
      <c r="Q416" s="10">
        <f t="shared" si="75"/>
        <v>6527999.9520000005</v>
      </c>
      <c r="R416" s="138"/>
    </row>
    <row r="417" spans="1:19" s="87" customFormat="1" ht="31.5" hidden="1">
      <c r="A417" s="122" t="s">
        <v>600</v>
      </c>
      <c r="B417" s="141" t="s">
        <v>132</v>
      </c>
      <c r="C417" s="140" t="s">
        <v>379</v>
      </c>
      <c r="D417" s="141" t="s">
        <v>152</v>
      </c>
      <c r="E417" s="142" t="s">
        <v>367</v>
      </c>
      <c r="F417" s="8" t="s">
        <v>54</v>
      </c>
      <c r="G417" s="8" t="s">
        <v>380</v>
      </c>
      <c r="H417" s="142" t="s">
        <v>18</v>
      </c>
      <c r="I417" s="143">
        <v>12</v>
      </c>
      <c r="J417" s="137">
        <v>324074.08</v>
      </c>
      <c r="K417" s="137">
        <f t="shared" si="72"/>
        <v>3888888.96</v>
      </c>
      <c r="L417" s="9">
        <f t="shared" si="73"/>
        <v>311111.11680000002</v>
      </c>
      <c r="M417" s="254">
        <f t="shared" si="74"/>
        <v>4200000.0767999999</v>
      </c>
      <c r="N417" s="138"/>
      <c r="O417" s="138"/>
      <c r="P417" s="138"/>
      <c r="Q417" s="10">
        <f t="shared" si="75"/>
        <v>4200000.0767999999</v>
      </c>
      <c r="R417" s="138"/>
    </row>
    <row r="418" spans="1:19" s="87" customFormat="1" ht="31.5" hidden="1">
      <c r="A418" s="122" t="s">
        <v>600</v>
      </c>
      <c r="B418" s="141" t="s">
        <v>132</v>
      </c>
      <c r="C418" s="140" t="s">
        <v>379</v>
      </c>
      <c r="D418" s="141" t="s">
        <v>152</v>
      </c>
      <c r="E418" s="142" t="s">
        <v>367</v>
      </c>
      <c r="F418" s="8" t="s">
        <v>56</v>
      </c>
      <c r="G418" s="8" t="s">
        <v>381</v>
      </c>
      <c r="H418" s="142" t="s">
        <v>18</v>
      </c>
      <c r="I418" s="143">
        <v>12</v>
      </c>
      <c r="J418" s="137">
        <v>325925.92</v>
      </c>
      <c r="K418" s="137">
        <f t="shared" si="72"/>
        <v>3911111.04</v>
      </c>
      <c r="L418" s="9">
        <f t="shared" si="73"/>
        <v>312888.88319999998</v>
      </c>
      <c r="M418" s="254">
        <f t="shared" si="74"/>
        <v>4223999.9232000001</v>
      </c>
      <c r="N418" s="138"/>
      <c r="O418" s="138"/>
      <c r="P418" s="138"/>
      <c r="Q418" s="10">
        <f t="shared" si="75"/>
        <v>4223999.9232000001</v>
      </c>
      <c r="R418" s="138"/>
    </row>
    <row r="419" spans="1:19" s="87" customFormat="1" ht="15.75" hidden="1">
      <c r="A419" s="122" t="s">
        <v>600</v>
      </c>
      <c r="B419" s="141" t="s">
        <v>132</v>
      </c>
      <c r="C419" s="140" t="s">
        <v>379</v>
      </c>
      <c r="D419" s="141" t="s">
        <v>152</v>
      </c>
      <c r="E419" s="142" t="s">
        <v>367</v>
      </c>
      <c r="F419" s="8" t="s">
        <v>107</v>
      </c>
      <c r="G419" s="8" t="s">
        <v>382</v>
      </c>
      <c r="H419" s="142" t="s">
        <v>18</v>
      </c>
      <c r="I419" s="143">
        <v>12</v>
      </c>
      <c r="J419" s="137">
        <v>349074.08</v>
      </c>
      <c r="K419" s="137">
        <f t="shared" si="72"/>
        <v>4188888.96</v>
      </c>
      <c r="L419" s="9">
        <f t="shared" si="73"/>
        <v>335111.11680000002</v>
      </c>
      <c r="M419" s="254">
        <f t="shared" si="74"/>
        <v>4524000.0767999999</v>
      </c>
      <c r="N419" s="138"/>
      <c r="O419" s="138"/>
      <c r="P419" s="138"/>
      <c r="Q419" s="10">
        <f t="shared" si="75"/>
        <v>4524000.0767999999</v>
      </c>
      <c r="R419" s="138"/>
    </row>
    <row r="420" spans="1:19" s="87" customFormat="1" ht="15.75" hidden="1">
      <c r="A420" s="122" t="s">
        <v>600</v>
      </c>
      <c r="B420" s="141" t="s">
        <v>132</v>
      </c>
      <c r="C420" s="140" t="s">
        <v>379</v>
      </c>
      <c r="D420" s="141" t="s">
        <v>152</v>
      </c>
      <c r="E420" s="142" t="s">
        <v>367</v>
      </c>
      <c r="F420" s="8" t="s">
        <v>127</v>
      </c>
      <c r="G420" s="8" t="s">
        <v>383</v>
      </c>
      <c r="H420" s="142" t="s">
        <v>18</v>
      </c>
      <c r="I420" s="143">
        <v>12</v>
      </c>
      <c r="J420" s="137">
        <v>284259.25</v>
      </c>
      <c r="K420" s="137">
        <f t="shared" si="72"/>
        <v>3411111</v>
      </c>
      <c r="L420" s="9">
        <f t="shared" si="73"/>
        <v>272888.88</v>
      </c>
      <c r="M420" s="254">
        <f t="shared" si="74"/>
        <v>3683999.88</v>
      </c>
      <c r="N420" s="138"/>
      <c r="O420" s="138"/>
      <c r="P420" s="138"/>
      <c r="Q420" s="10">
        <f t="shared" si="75"/>
        <v>3683999.88</v>
      </c>
      <c r="R420" s="138"/>
    </row>
    <row r="421" spans="1:19" s="87" customFormat="1" ht="15.75" hidden="1">
      <c r="A421" s="122" t="s">
        <v>600</v>
      </c>
      <c r="B421" s="141" t="s">
        <v>132</v>
      </c>
      <c r="C421" s="140" t="s">
        <v>379</v>
      </c>
      <c r="D421" s="141" t="s">
        <v>152</v>
      </c>
      <c r="E421" s="142" t="s">
        <v>367</v>
      </c>
      <c r="F421" s="8" t="s">
        <v>130</v>
      </c>
      <c r="G421" s="8" t="s">
        <v>384</v>
      </c>
      <c r="H421" s="142" t="s">
        <v>18</v>
      </c>
      <c r="I421" s="143">
        <v>12</v>
      </c>
      <c r="J421" s="137">
        <v>280555.58</v>
      </c>
      <c r="K421" s="137">
        <f t="shared" si="72"/>
        <v>3366666.96</v>
      </c>
      <c r="L421" s="9">
        <f t="shared" si="73"/>
        <v>269333.35680000001</v>
      </c>
      <c r="M421" s="254">
        <f t="shared" si="74"/>
        <v>3636000.3168000001</v>
      </c>
      <c r="N421" s="138"/>
      <c r="O421" s="138"/>
      <c r="P421" s="138"/>
      <c r="Q421" s="10">
        <f t="shared" si="75"/>
        <v>3636000.3168000001</v>
      </c>
      <c r="R421" s="138"/>
    </row>
    <row r="422" spans="1:19" s="87" customFormat="1" ht="15.75" hidden="1">
      <c r="A422" s="122" t="s">
        <v>600</v>
      </c>
      <c r="B422" s="141" t="s">
        <v>132</v>
      </c>
      <c r="C422" s="140" t="s">
        <v>379</v>
      </c>
      <c r="D422" s="141" t="s">
        <v>152</v>
      </c>
      <c r="E422" s="142" t="s">
        <v>367</v>
      </c>
      <c r="F422" s="8" t="s">
        <v>219</v>
      </c>
      <c r="G422" s="8" t="s">
        <v>385</v>
      </c>
      <c r="H422" s="142" t="s">
        <v>18</v>
      </c>
      <c r="I422" s="143">
        <v>12</v>
      </c>
      <c r="J422" s="137">
        <v>263888.92</v>
      </c>
      <c r="K422" s="137">
        <f t="shared" si="72"/>
        <v>3166667.04</v>
      </c>
      <c r="L422" s="9">
        <f t="shared" si="73"/>
        <v>253333.36320000002</v>
      </c>
      <c r="M422" s="254">
        <f t="shared" si="74"/>
        <v>3420000.4032000001</v>
      </c>
      <c r="N422" s="138"/>
      <c r="O422" s="138"/>
      <c r="P422" s="138"/>
      <c r="Q422" s="10">
        <f t="shared" si="75"/>
        <v>3420000.4032000001</v>
      </c>
      <c r="R422" s="138"/>
    </row>
    <row r="423" spans="1:19" s="87" customFormat="1" ht="15.75" hidden="1">
      <c r="A423" s="122" t="s">
        <v>600</v>
      </c>
      <c r="B423" s="141" t="s">
        <v>132</v>
      </c>
      <c r="C423" s="144" t="s">
        <v>335</v>
      </c>
      <c r="D423" s="141"/>
      <c r="E423" s="142" t="s">
        <v>367</v>
      </c>
      <c r="F423" s="8" t="s">
        <v>386</v>
      </c>
      <c r="G423" s="8" t="s">
        <v>387</v>
      </c>
      <c r="H423" s="142" t="s">
        <v>18</v>
      </c>
      <c r="I423" s="143">
        <v>12</v>
      </c>
      <c r="J423" s="137">
        <v>847222.25</v>
      </c>
      <c r="K423" s="137">
        <f t="shared" si="72"/>
        <v>10166667</v>
      </c>
      <c r="L423" s="9">
        <f t="shared" si="73"/>
        <v>813333.36</v>
      </c>
      <c r="M423" s="254">
        <f t="shared" si="74"/>
        <v>10980000.359999999</v>
      </c>
      <c r="N423" s="138"/>
      <c r="O423" s="138"/>
      <c r="P423" s="138"/>
      <c r="Q423" s="10">
        <f t="shared" si="75"/>
        <v>10980000.359999999</v>
      </c>
      <c r="R423" s="138"/>
    </row>
    <row r="424" spans="1:19" s="87" customFormat="1" ht="31.5" hidden="1">
      <c r="A424" s="122" t="s">
        <v>600</v>
      </c>
      <c r="B424" s="141" t="s">
        <v>132</v>
      </c>
      <c r="C424" s="145" t="s">
        <v>388</v>
      </c>
      <c r="D424" s="141" t="s">
        <v>282</v>
      </c>
      <c r="E424" s="142" t="s">
        <v>367</v>
      </c>
      <c r="F424" s="8" t="s">
        <v>48</v>
      </c>
      <c r="G424" s="8" t="s">
        <v>376</v>
      </c>
      <c r="H424" s="142" t="s">
        <v>18</v>
      </c>
      <c r="I424" s="143">
        <v>12</v>
      </c>
      <c r="J424" s="137">
        <v>601851.85</v>
      </c>
      <c r="K424" s="137">
        <f t="shared" si="72"/>
        <v>7222222.1999999993</v>
      </c>
      <c r="L424" s="9">
        <f t="shared" si="73"/>
        <v>577777.77599999995</v>
      </c>
      <c r="M424" s="254">
        <f t="shared" si="74"/>
        <v>7799999.9759999989</v>
      </c>
      <c r="N424" s="138"/>
      <c r="O424" s="138"/>
      <c r="P424" s="138"/>
      <c r="Q424" s="10">
        <f t="shared" si="75"/>
        <v>7799999.9759999989</v>
      </c>
      <c r="R424" s="138"/>
      <c r="S424" s="87" t="s">
        <v>389</v>
      </c>
    </row>
    <row r="425" spans="1:19" s="87" customFormat="1" ht="15.75" hidden="1" customHeight="1">
      <c r="A425" s="122" t="s">
        <v>600</v>
      </c>
      <c r="B425" s="141" t="s">
        <v>132</v>
      </c>
      <c r="C425" s="145" t="s">
        <v>388</v>
      </c>
      <c r="D425" s="141" t="s">
        <v>282</v>
      </c>
      <c r="E425" s="142" t="s">
        <v>367</v>
      </c>
      <c r="F425" s="8" t="s">
        <v>50</v>
      </c>
      <c r="G425" s="8" t="s">
        <v>377</v>
      </c>
      <c r="H425" s="142" t="s">
        <v>18</v>
      </c>
      <c r="I425" s="143">
        <v>6</v>
      </c>
      <c r="J425" s="137">
        <v>937962</v>
      </c>
      <c r="K425" s="137">
        <f t="shared" si="72"/>
        <v>5627772</v>
      </c>
      <c r="L425" s="9">
        <f t="shared" si="73"/>
        <v>450221.76</v>
      </c>
      <c r="M425" s="254">
        <f t="shared" si="74"/>
        <v>6077993.7599999998</v>
      </c>
      <c r="N425" s="138"/>
      <c r="O425" s="138"/>
      <c r="P425" s="138"/>
      <c r="Q425" s="10">
        <f t="shared" si="75"/>
        <v>6077993.7599999998</v>
      </c>
      <c r="R425" s="138"/>
    </row>
    <row r="426" spans="1:19" s="87" customFormat="1" ht="16.5" hidden="1" customHeight="1">
      <c r="A426" s="122" t="s">
        <v>600</v>
      </c>
      <c r="B426" s="141" t="s">
        <v>132</v>
      </c>
      <c r="C426" s="145" t="s">
        <v>388</v>
      </c>
      <c r="D426" s="141" t="s">
        <v>282</v>
      </c>
      <c r="E426" s="142" t="s">
        <v>367</v>
      </c>
      <c r="F426" s="8" t="s">
        <v>226</v>
      </c>
      <c r="G426" s="8" t="s">
        <v>227</v>
      </c>
      <c r="H426" s="142" t="s">
        <v>18</v>
      </c>
      <c r="I426" s="143">
        <v>6</v>
      </c>
      <c r="J426" s="137">
        <v>799074</v>
      </c>
      <c r="K426" s="137">
        <f t="shared" si="72"/>
        <v>4794444</v>
      </c>
      <c r="L426" s="9">
        <f t="shared" si="73"/>
        <v>383555.52</v>
      </c>
      <c r="M426" s="254">
        <f t="shared" si="74"/>
        <v>5177999.5199999996</v>
      </c>
      <c r="N426" s="138"/>
      <c r="O426" s="138"/>
      <c r="P426" s="138"/>
      <c r="Q426" s="10">
        <f t="shared" si="75"/>
        <v>5177999.5199999996</v>
      </c>
      <c r="R426" s="138"/>
    </row>
    <row r="427" spans="1:19" s="87" customFormat="1" ht="16.5" hidden="1" customHeight="1">
      <c r="A427" s="122" t="s">
        <v>600</v>
      </c>
      <c r="B427" s="141" t="s">
        <v>132</v>
      </c>
      <c r="C427" s="145" t="s">
        <v>388</v>
      </c>
      <c r="D427" s="141" t="s">
        <v>282</v>
      </c>
      <c r="E427" s="142" t="s">
        <v>367</v>
      </c>
      <c r="F427" s="8" t="s">
        <v>52</v>
      </c>
      <c r="G427" s="8" t="s">
        <v>378</v>
      </c>
      <c r="H427" s="142" t="s">
        <v>18</v>
      </c>
      <c r="I427" s="143">
        <v>6</v>
      </c>
      <c r="J427" s="137">
        <v>1007407.4</v>
      </c>
      <c r="K427" s="137">
        <f t="shared" si="72"/>
        <v>6044444.4000000004</v>
      </c>
      <c r="L427" s="9">
        <f t="shared" si="73"/>
        <v>483555.55200000003</v>
      </c>
      <c r="M427" s="254">
        <f t="shared" si="74"/>
        <v>6527999.9520000005</v>
      </c>
      <c r="N427" s="138"/>
      <c r="O427" s="138"/>
      <c r="P427" s="138"/>
      <c r="Q427" s="10">
        <f t="shared" si="75"/>
        <v>6527999.9520000005</v>
      </c>
      <c r="R427" s="138"/>
    </row>
    <row r="428" spans="1:19" s="87" customFormat="1" ht="15.75" hidden="1">
      <c r="A428" s="122" t="s">
        <v>600</v>
      </c>
      <c r="B428" s="141" t="s">
        <v>132</v>
      </c>
      <c r="C428" s="145" t="s">
        <v>388</v>
      </c>
      <c r="D428" s="141" t="s">
        <v>282</v>
      </c>
      <c r="E428" s="142" t="s">
        <v>367</v>
      </c>
      <c r="F428" s="8" t="s">
        <v>62</v>
      </c>
      <c r="G428" s="8" t="s">
        <v>390</v>
      </c>
      <c r="H428" s="142" t="s">
        <v>18</v>
      </c>
      <c r="I428" s="143">
        <v>30</v>
      </c>
      <c r="J428" s="137"/>
      <c r="K428" s="137"/>
      <c r="L428" s="9"/>
      <c r="M428" s="254"/>
      <c r="N428" s="138"/>
      <c r="O428" s="138"/>
      <c r="P428" s="138"/>
      <c r="Q428" s="10">
        <f t="shared" si="75"/>
        <v>0</v>
      </c>
      <c r="R428" s="138"/>
    </row>
    <row r="429" spans="1:19" s="72" customFormat="1" ht="15.75" hidden="1">
      <c r="A429" s="122" t="s">
        <v>600</v>
      </c>
      <c r="B429" s="134" t="s">
        <v>370</v>
      </c>
      <c r="C429" s="135" t="s">
        <v>391</v>
      </c>
      <c r="D429" s="134" t="str">
        <f>B429</f>
        <v>15/01/2026</v>
      </c>
      <c r="E429" s="28" t="s">
        <v>367</v>
      </c>
      <c r="F429" s="7" t="s">
        <v>80</v>
      </c>
      <c r="G429" s="7" t="s">
        <v>81</v>
      </c>
      <c r="H429" s="28" t="s">
        <v>18</v>
      </c>
      <c r="I429" s="139">
        <v>30</v>
      </c>
      <c r="J429" s="137">
        <v>824074.07</v>
      </c>
      <c r="K429" s="137">
        <f t="shared" si="72"/>
        <v>24722222.099999998</v>
      </c>
      <c r="L429" s="137">
        <f t="shared" si="73"/>
        <v>1977777.7679999999</v>
      </c>
      <c r="M429" s="261">
        <f t="shared" si="74"/>
        <v>26699999.867999997</v>
      </c>
      <c r="N429" s="138"/>
      <c r="O429" s="138"/>
      <c r="P429" s="138"/>
      <c r="Q429" s="10">
        <f t="shared" si="75"/>
        <v>26699999.867999997</v>
      </c>
      <c r="R429" s="138"/>
    </row>
    <row r="430" spans="1:19" s="72" customFormat="1" ht="15.75" hidden="1">
      <c r="A430" s="122" t="s">
        <v>600</v>
      </c>
      <c r="B430" s="134" t="s">
        <v>370</v>
      </c>
      <c r="C430" s="135" t="s">
        <v>391</v>
      </c>
      <c r="D430" s="134" t="str">
        <f>B430</f>
        <v>15/01/2026</v>
      </c>
      <c r="E430" s="28" t="s">
        <v>367</v>
      </c>
      <c r="F430" s="7" t="s">
        <v>21</v>
      </c>
      <c r="G430" s="7" t="s">
        <v>22</v>
      </c>
      <c r="H430" s="28" t="s">
        <v>18</v>
      </c>
      <c r="I430" s="139">
        <v>30</v>
      </c>
      <c r="J430" s="137">
        <v>937962.97</v>
      </c>
      <c r="K430" s="137">
        <f t="shared" si="72"/>
        <v>28138889.099999998</v>
      </c>
      <c r="L430" s="137">
        <f t="shared" si="73"/>
        <v>2251111.128</v>
      </c>
      <c r="M430" s="261">
        <f t="shared" si="74"/>
        <v>30390000.227999996</v>
      </c>
      <c r="N430" s="138"/>
      <c r="O430" s="138"/>
      <c r="P430" s="138"/>
      <c r="Q430" s="10">
        <f t="shared" si="75"/>
        <v>30390000.227999996</v>
      </c>
      <c r="R430" s="138"/>
    </row>
    <row r="431" spans="1:19" s="277" customFormat="1" ht="15.75" hidden="1">
      <c r="A431" s="122" t="s">
        <v>600</v>
      </c>
      <c r="B431" s="146" t="s">
        <v>64</v>
      </c>
      <c r="C431" s="147"/>
      <c r="D431" s="146"/>
      <c r="E431" s="131" t="s">
        <v>392</v>
      </c>
      <c r="F431" s="148"/>
      <c r="G431" s="148"/>
      <c r="H431" s="131"/>
      <c r="I431" s="149"/>
      <c r="J431" s="150"/>
      <c r="K431" s="150"/>
      <c r="L431" s="150"/>
      <c r="M431" s="132"/>
      <c r="O431" s="132">
        <v>300000</v>
      </c>
      <c r="P431" s="132"/>
      <c r="Q431" s="10">
        <f t="shared" si="75"/>
        <v>-300000</v>
      </c>
      <c r="R431" s="133"/>
    </row>
    <row r="432" spans="1:19" s="87" customFormat="1" ht="31.5" hidden="1" customHeight="1">
      <c r="A432" s="122" t="s">
        <v>600</v>
      </c>
      <c r="B432" s="141" t="s">
        <v>393</v>
      </c>
      <c r="C432" s="140" t="s">
        <v>394</v>
      </c>
      <c r="D432" s="134">
        <v>46297</v>
      </c>
      <c r="E432" s="142" t="s">
        <v>367</v>
      </c>
      <c r="F432" s="8" t="s">
        <v>60</v>
      </c>
      <c r="G432" s="151" t="s">
        <v>395</v>
      </c>
      <c r="H432" s="142" t="s">
        <v>18</v>
      </c>
      <c r="I432" s="143">
        <v>20</v>
      </c>
      <c r="J432" s="137">
        <v>1138888.8799999999</v>
      </c>
      <c r="K432" s="137">
        <f t="shared" ref="K432:K465" si="77">I432*J432</f>
        <v>22777777.599999998</v>
      </c>
      <c r="L432" s="9">
        <f t="shared" ref="L432:L465" si="78">K432*8%</f>
        <v>1822222.2079999999</v>
      </c>
      <c r="M432" s="254">
        <f t="shared" ref="M432:M449" si="79">K432+L432</f>
        <v>24599999.807999998</v>
      </c>
      <c r="N432" s="138"/>
      <c r="O432" s="138"/>
      <c r="P432" s="138"/>
      <c r="Q432" s="10">
        <f t="shared" si="75"/>
        <v>24599999.807999998</v>
      </c>
      <c r="R432" s="138"/>
    </row>
    <row r="433" spans="1:19" s="87" customFormat="1" ht="15.75" hidden="1">
      <c r="A433" s="122" t="s">
        <v>600</v>
      </c>
      <c r="B433" s="141" t="s">
        <v>393</v>
      </c>
      <c r="C433" s="140" t="s">
        <v>394</v>
      </c>
      <c r="D433" s="134">
        <v>46297</v>
      </c>
      <c r="E433" s="142" t="s">
        <v>367</v>
      </c>
      <c r="F433" s="142" t="s">
        <v>274</v>
      </c>
      <c r="G433" s="142" t="s">
        <v>297</v>
      </c>
      <c r="H433" s="142" t="s">
        <v>25</v>
      </c>
      <c r="I433" s="143">
        <v>20</v>
      </c>
      <c r="J433" s="137">
        <v>416666.66</v>
      </c>
      <c r="K433" s="137">
        <f t="shared" si="77"/>
        <v>8333333.1999999993</v>
      </c>
      <c r="L433" s="9">
        <f t="shared" si="78"/>
        <v>666666.65599999996</v>
      </c>
      <c r="M433" s="254">
        <f t="shared" si="79"/>
        <v>8999999.8559999987</v>
      </c>
      <c r="N433" s="138"/>
      <c r="O433" s="138"/>
      <c r="P433" s="138"/>
      <c r="Q433" s="10">
        <f t="shared" si="75"/>
        <v>8999999.8559999987</v>
      </c>
      <c r="R433" s="138"/>
    </row>
    <row r="434" spans="1:19" s="87" customFormat="1" ht="16.5" hidden="1" customHeight="1">
      <c r="A434" s="122" t="s">
        <v>600</v>
      </c>
      <c r="B434" s="141" t="s">
        <v>393</v>
      </c>
      <c r="C434" s="140" t="s">
        <v>396</v>
      </c>
      <c r="D434" s="141" t="s">
        <v>140</v>
      </c>
      <c r="E434" s="142" t="s">
        <v>367</v>
      </c>
      <c r="F434" s="142" t="s">
        <v>74</v>
      </c>
      <c r="G434" s="142" t="s">
        <v>141</v>
      </c>
      <c r="H434" s="142" t="s">
        <v>18</v>
      </c>
      <c r="I434" s="143">
        <v>24</v>
      </c>
      <c r="J434" s="137">
        <v>361111.11</v>
      </c>
      <c r="K434" s="137">
        <f t="shared" si="77"/>
        <v>8666666.6400000006</v>
      </c>
      <c r="L434" s="9">
        <f t="shared" si="78"/>
        <v>693333.33120000002</v>
      </c>
      <c r="M434" s="254">
        <f t="shared" si="79"/>
        <v>9359999.9712000005</v>
      </c>
      <c r="N434" s="138"/>
      <c r="O434" s="138"/>
      <c r="P434" s="138"/>
      <c r="Q434" s="10">
        <f t="shared" si="75"/>
        <v>9359999.9712000005</v>
      </c>
      <c r="R434" s="138"/>
      <c r="S434" s="152">
        <v>1</v>
      </c>
    </row>
    <row r="435" spans="1:19" s="87" customFormat="1" ht="34.9" hidden="1" customHeight="1">
      <c r="A435" s="122" t="s">
        <v>600</v>
      </c>
      <c r="B435" s="141" t="s">
        <v>393</v>
      </c>
      <c r="C435" s="145" t="s">
        <v>388</v>
      </c>
      <c r="D435" s="141" t="s">
        <v>282</v>
      </c>
      <c r="E435" s="142" t="s">
        <v>367</v>
      </c>
      <c r="F435" s="142" t="s">
        <v>83</v>
      </c>
      <c r="G435" s="151" t="s">
        <v>84</v>
      </c>
      <c r="H435" s="142" t="s">
        <v>18</v>
      </c>
      <c r="I435" s="143">
        <v>20</v>
      </c>
      <c r="J435" s="137">
        <v>1097222.22</v>
      </c>
      <c r="K435" s="137">
        <f t="shared" si="77"/>
        <v>21944444.399999999</v>
      </c>
      <c r="L435" s="9">
        <f t="shared" si="78"/>
        <v>1755555.5519999999</v>
      </c>
      <c r="M435" s="254">
        <f t="shared" si="79"/>
        <v>23699999.952</v>
      </c>
      <c r="N435" s="138"/>
      <c r="O435" s="138"/>
      <c r="P435" s="138"/>
      <c r="Q435" s="10">
        <f t="shared" si="75"/>
        <v>23699999.952</v>
      </c>
      <c r="R435" s="138"/>
    </row>
    <row r="436" spans="1:19" s="87" customFormat="1" ht="16.5" hidden="1" customHeight="1">
      <c r="A436" s="122" t="s">
        <v>600</v>
      </c>
      <c r="B436" s="141" t="s">
        <v>393</v>
      </c>
      <c r="C436" s="145" t="s">
        <v>388</v>
      </c>
      <c r="D436" s="141" t="s">
        <v>282</v>
      </c>
      <c r="E436" s="142" t="s">
        <v>367</v>
      </c>
      <c r="F436" s="142" t="s">
        <v>279</v>
      </c>
      <c r="G436" s="142" t="s">
        <v>280</v>
      </c>
      <c r="H436" s="142" t="s">
        <v>92</v>
      </c>
      <c r="I436" s="143">
        <v>12</v>
      </c>
      <c r="J436" s="137">
        <v>387962.96</v>
      </c>
      <c r="K436" s="137">
        <f t="shared" si="77"/>
        <v>4655555.5200000005</v>
      </c>
      <c r="L436" s="9">
        <f t="shared" si="78"/>
        <v>372444.44160000002</v>
      </c>
      <c r="M436" s="254">
        <f t="shared" si="79"/>
        <v>5027999.9616</v>
      </c>
      <c r="N436" s="138"/>
      <c r="O436" s="138"/>
      <c r="P436" s="138"/>
      <c r="Q436" s="10">
        <f t="shared" si="75"/>
        <v>5027999.9616</v>
      </c>
      <c r="R436" s="138"/>
    </row>
    <row r="437" spans="1:19" s="87" customFormat="1" ht="16.5" hidden="1" customHeight="1">
      <c r="A437" s="122" t="s">
        <v>600</v>
      </c>
      <c r="B437" s="141" t="s">
        <v>393</v>
      </c>
      <c r="C437" s="145" t="s">
        <v>388</v>
      </c>
      <c r="D437" s="141" t="s">
        <v>282</v>
      </c>
      <c r="E437" s="142" t="s">
        <v>367</v>
      </c>
      <c r="F437" s="142" t="s">
        <v>258</v>
      </c>
      <c r="G437" s="142" t="s">
        <v>259</v>
      </c>
      <c r="H437" s="142" t="s">
        <v>92</v>
      </c>
      <c r="I437" s="143">
        <v>12</v>
      </c>
      <c r="J437" s="137">
        <v>472222.22</v>
      </c>
      <c r="K437" s="137">
        <f t="shared" si="77"/>
        <v>5666666.6399999997</v>
      </c>
      <c r="L437" s="9">
        <f t="shared" si="78"/>
        <v>453333.33119999996</v>
      </c>
      <c r="M437" s="254">
        <f t="shared" si="79"/>
        <v>6119999.9711999996</v>
      </c>
      <c r="N437" s="138"/>
      <c r="O437" s="138"/>
      <c r="P437" s="138"/>
      <c r="Q437" s="10">
        <f t="shared" si="75"/>
        <v>6119999.9711999996</v>
      </c>
      <c r="R437" s="138"/>
    </row>
    <row r="438" spans="1:19" s="87" customFormat="1" ht="16.5" hidden="1" customHeight="1">
      <c r="A438" s="122" t="s">
        <v>600</v>
      </c>
      <c r="B438" s="141" t="s">
        <v>393</v>
      </c>
      <c r="C438" s="145" t="s">
        <v>388</v>
      </c>
      <c r="D438" s="141" t="s">
        <v>282</v>
      </c>
      <c r="E438" s="142" t="s">
        <v>367</v>
      </c>
      <c r="F438" s="142" t="s">
        <v>260</v>
      </c>
      <c r="G438" s="142" t="s">
        <v>261</v>
      </c>
      <c r="H438" s="142" t="s">
        <v>92</v>
      </c>
      <c r="I438" s="143">
        <v>12</v>
      </c>
      <c r="J438" s="137">
        <v>492592.59</v>
      </c>
      <c r="K438" s="137">
        <f t="shared" si="77"/>
        <v>5911111.0800000001</v>
      </c>
      <c r="L438" s="9">
        <f t="shared" si="78"/>
        <v>472888.88640000002</v>
      </c>
      <c r="M438" s="254">
        <f t="shared" si="79"/>
        <v>6383999.9664000003</v>
      </c>
      <c r="N438" s="138"/>
      <c r="O438" s="138"/>
      <c r="P438" s="138"/>
      <c r="Q438" s="10">
        <f t="shared" si="75"/>
        <v>6383999.9664000003</v>
      </c>
      <c r="R438" s="138"/>
    </row>
    <row r="439" spans="1:19" s="277" customFormat="1" ht="15.75" hidden="1">
      <c r="A439" s="122" t="s">
        <v>600</v>
      </c>
      <c r="B439" s="146">
        <v>46055</v>
      </c>
      <c r="C439" s="130"/>
      <c r="D439" s="146"/>
      <c r="E439" s="131" t="s">
        <v>397</v>
      </c>
      <c r="F439" s="131"/>
      <c r="G439" s="131"/>
      <c r="H439" s="131"/>
      <c r="I439" s="149"/>
      <c r="J439" s="150"/>
      <c r="K439" s="150">
        <f t="shared" si="77"/>
        <v>0</v>
      </c>
      <c r="L439" s="150">
        <f t="shared" si="78"/>
        <v>0</v>
      </c>
      <c r="M439" s="132"/>
      <c r="O439" s="132">
        <v>800000</v>
      </c>
      <c r="P439" s="132"/>
      <c r="Q439" s="10">
        <f t="shared" si="75"/>
        <v>-800000</v>
      </c>
      <c r="R439" s="133"/>
    </row>
    <row r="440" spans="1:19" s="87" customFormat="1" ht="31.5" hidden="1">
      <c r="A440" s="122" t="s">
        <v>600</v>
      </c>
      <c r="B440" s="141">
        <v>46297</v>
      </c>
      <c r="C440" s="140" t="s">
        <v>398</v>
      </c>
      <c r="D440" s="141"/>
      <c r="E440" s="142" t="s">
        <v>399</v>
      </c>
      <c r="F440" s="8" t="s">
        <v>48</v>
      </c>
      <c r="G440" s="8" t="s">
        <v>376</v>
      </c>
      <c r="H440" s="142" t="s">
        <v>18</v>
      </c>
      <c r="I440" s="153">
        <v>-12</v>
      </c>
      <c r="J440" s="137">
        <v>601851.85</v>
      </c>
      <c r="K440" s="154">
        <f>I440*J440</f>
        <v>-7222222.1999999993</v>
      </c>
      <c r="L440" s="154">
        <f>K440*8%</f>
        <v>-577777.77599999995</v>
      </c>
      <c r="M440" s="254">
        <f t="shared" si="79"/>
        <v>-7799999.9759999989</v>
      </c>
      <c r="N440" s="138"/>
      <c r="O440" s="138"/>
      <c r="P440" s="138"/>
      <c r="Q440" s="10">
        <f t="shared" si="75"/>
        <v>-7799999.9759999989</v>
      </c>
      <c r="R440" s="138"/>
    </row>
    <row r="441" spans="1:19" s="87" customFormat="1" ht="31.5" hidden="1">
      <c r="A441" s="122" t="s">
        <v>600</v>
      </c>
      <c r="B441" s="141">
        <v>46297</v>
      </c>
      <c r="C441" s="140" t="s">
        <v>398</v>
      </c>
      <c r="D441" s="141"/>
      <c r="E441" s="142" t="s">
        <v>399</v>
      </c>
      <c r="F441" s="8" t="s">
        <v>50</v>
      </c>
      <c r="G441" s="8" t="s">
        <v>377</v>
      </c>
      <c r="H441" s="142" t="s">
        <v>18</v>
      </c>
      <c r="I441" s="153">
        <v>-6</v>
      </c>
      <c r="J441" s="137">
        <v>937962</v>
      </c>
      <c r="K441" s="154">
        <f t="shared" si="77"/>
        <v>-5627772</v>
      </c>
      <c r="L441" s="155">
        <f t="shared" si="78"/>
        <v>-450221.76</v>
      </c>
      <c r="M441" s="254">
        <f t="shared" si="79"/>
        <v>-6077993.7599999998</v>
      </c>
      <c r="N441" s="138"/>
      <c r="O441" s="138"/>
      <c r="P441" s="138"/>
      <c r="Q441" s="10">
        <f t="shared" si="75"/>
        <v>-6077993.7599999998</v>
      </c>
      <c r="R441" s="138"/>
    </row>
    <row r="442" spans="1:19" s="87" customFormat="1" ht="15.75" hidden="1">
      <c r="A442" s="122" t="s">
        <v>600</v>
      </c>
      <c r="B442" s="141">
        <v>46297</v>
      </c>
      <c r="C442" s="140" t="s">
        <v>398</v>
      </c>
      <c r="D442" s="141"/>
      <c r="E442" s="142" t="s">
        <v>399</v>
      </c>
      <c r="F442" s="8" t="s">
        <v>226</v>
      </c>
      <c r="G442" s="8" t="s">
        <v>227</v>
      </c>
      <c r="H442" s="142" t="s">
        <v>18</v>
      </c>
      <c r="I442" s="153">
        <v>-6</v>
      </c>
      <c r="J442" s="137">
        <v>799074</v>
      </c>
      <c r="K442" s="154">
        <f t="shared" si="77"/>
        <v>-4794444</v>
      </c>
      <c r="L442" s="155">
        <f t="shared" si="78"/>
        <v>-383555.52</v>
      </c>
      <c r="M442" s="254">
        <f t="shared" si="79"/>
        <v>-5177999.5199999996</v>
      </c>
      <c r="N442" s="138"/>
      <c r="O442" s="138"/>
      <c r="P442" s="138"/>
      <c r="Q442" s="10">
        <f t="shared" si="75"/>
        <v>-5177999.5199999996</v>
      </c>
      <c r="R442" s="138"/>
    </row>
    <row r="443" spans="1:19" s="87" customFormat="1" ht="15.75" hidden="1">
      <c r="A443" s="122" t="s">
        <v>600</v>
      </c>
      <c r="B443" s="141">
        <v>46297</v>
      </c>
      <c r="C443" s="140" t="s">
        <v>398</v>
      </c>
      <c r="D443" s="141"/>
      <c r="E443" s="142" t="s">
        <v>399</v>
      </c>
      <c r="F443" s="8" t="s">
        <v>52</v>
      </c>
      <c r="G443" s="8" t="s">
        <v>378</v>
      </c>
      <c r="H443" s="142" t="s">
        <v>18</v>
      </c>
      <c r="I443" s="153">
        <v>-6</v>
      </c>
      <c r="J443" s="137">
        <v>1007407.4</v>
      </c>
      <c r="K443" s="154">
        <f t="shared" si="77"/>
        <v>-6044444.4000000004</v>
      </c>
      <c r="L443" s="155">
        <f t="shared" si="78"/>
        <v>-483555.55200000003</v>
      </c>
      <c r="M443" s="254">
        <f t="shared" si="79"/>
        <v>-6527999.9520000005</v>
      </c>
      <c r="N443" s="138"/>
      <c r="O443" s="138"/>
      <c r="P443" s="138"/>
      <c r="Q443" s="10">
        <f t="shared" si="75"/>
        <v>-6527999.9520000005</v>
      </c>
      <c r="R443" s="138"/>
    </row>
    <row r="444" spans="1:19" s="277" customFormat="1" ht="15.75" hidden="1">
      <c r="A444" s="122" t="s">
        <v>600</v>
      </c>
      <c r="B444" s="146">
        <v>46328</v>
      </c>
      <c r="C444" s="130"/>
      <c r="D444" s="146"/>
      <c r="E444" s="131" t="s">
        <v>400</v>
      </c>
      <c r="F444" s="131"/>
      <c r="G444" s="131"/>
      <c r="H444" s="131"/>
      <c r="I444" s="149"/>
      <c r="J444" s="150"/>
      <c r="K444" s="150">
        <f t="shared" si="77"/>
        <v>0</v>
      </c>
      <c r="L444" s="150">
        <f t="shared" si="78"/>
        <v>0</v>
      </c>
      <c r="M444" s="132"/>
      <c r="N444" s="132">
        <v>120000000</v>
      </c>
      <c r="O444" s="132"/>
      <c r="P444" s="132"/>
      <c r="Q444" s="10">
        <f t="shared" si="75"/>
        <v>-120000000</v>
      </c>
      <c r="R444" s="133"/>
    </row>
    <row r="445" spans="1:19" s="87" customFormat="1" ht="15.75" hidden="1">
      <c r="A445" s="122" t="s">
        <v>600</v>
      </c>
      <c r="B445" s="141">
        <v>46328</v>
      </c>
      <c r="C445" s="140" t="s">
        <v>401</v>
      </c>
      <c r="D445" s="141">
        <v>46358</v>
      </c>
      <c r="E445" s="142" t="s">
        <v>367</v>
      </c>
      <c r="F445" s="142" t="s">
        <v>204</v>
      </c>
      <c r="G445" s="151" t="s">
        <v>269</v>
      </c>
      <c r="H445" s="142" t="s">
        <v>25</v>
      </c>
      <c r="I445" s="143">
        <v>20</v>
      </c>
      <c r="J445" s="137">
        <v>480555.6</v>
      </c>
      <c r="K445" s="137">
        <f t="shared" si="77"/>
        <v>9611112</v>
      </c>
      <c r="L445" s="9">
        <f t="shared" si="78"/>
        <v>768888.96</v>
      </c>
      <c r="M445" s="254">
        <f t="shared" si="79"/>
        <v>10380000.960000001</v>
      </c>
      <c r="N445" s="138"/>
      <c r="O445" s="138"/>
      <c r="P445" s="138"/>
      <c r="Q445" s="10">
        <f t="shared" si="75"/>
        <v>10380000.960000001</v>
      </c>
      <c r="R445" s="138"/>
    </row>
    <row r="446" spans="1:19" s="87" customFormat="1" ht="15.75" hidden="1">
      <c r="A446" s="122" t="s">
        <v>600</v>
      </c>
      <c r="B446" s="141">
        <v>46328</v>
      </c>
      <c r="C446" s="140" t="s">
        <v>401</v>
      </c>
      <c r="D446" s="141">
        <v>46358</v>
      </c>
      <c r="E446" s="142" t="s">
        <v>367</v>
      </c>
      <c r="F446" s="142" t="s">
        <v>77</v>
      </c>
      <c r="G446" s="142" t="s">
        <v>78</v>
      </c>
      <c r="H446" s="142" t="s">
        <v>25</v>
      </c>
      <c r="I446" s="143">
        <v>20</v>
      </c>
      <c r="J446" s="137">
        <v>324074.07</v>
      </c>
      <c r="K446" s="137">
        <f t="shared" si="77"/>
        <v>6481481.4000000004</v>
      </c>
      <c r="L446" s="9">
        <f t="shared" si="78"/>
        <v>518518.51200000005</v>
      </c>
      <c r="M446" s="254">
        <f t="shared" si="79"/>
        <v>6999999.9120000005</v>
      </c>
      <c r="N446" s="138"/>
      <c r="O446" s="138"/>
      <c r="P446" s="138"/>
      <c r="Q446" s="10">
        <f t="shared" si="75"/>
        <v>6999999.9120000005</v>
      </c>
      <c r="R446" s="138"/>
    </row>
    <row r="447" spans="1:19" s="277" customFormat="1" ht="15.75" hidden="1">
      <c r="A447" s="122" t="s">
        <v>600</v>
      </c>
      <c r="B447" s="146">
        <v>46328</v>
      </c>
      <c r="C447" s="130"/>
      <c r="D447" s="146"/>
      <c r="E447" s="131" t="s">
        <v>402</v>
      </c>
      <c r="F447" s="131"/>
      <c r="G447" s="131"/>
      <c r="H447" s="131"/>
      <c r="I447" s="149"/>
      <c r="J447" s="150"/>
      <c r="K447" s="150">
        <f t="shared" si="77"/>
        <v>0</v>
      </c>
      <c r="L447" s="150">
        <f t="shared" si="78"/>
        <v>0</v>
      </c>
      <c r="M447" s="132"/>
      <c r="O447" s="132">
        <v>320000</v>
      </c>
      <c r="P447" s="132"/>
      <c r="Q447" s="10">
        <f t="shared" si="75"/>
        <v>-320000</v>
      </c>
      <c r="R447" s="133"/>
    </row>
    <row r="448" spans="1:19" s="277" customFormat="1" ht="15.75" hidden="1">
      <c r="A448" s="122" t="s">
        <v>600</v>
      </c>
      <c r="B448" s="146"/>
      <c r="C448" s="130"/>
      <c r="D448" s="146"/>
      <c r="E448" s="131" t="s">
        <v>400</v>
      </c>
      <c r="F448" s="131"/>
      <c r="G448" s="131"/>
      <c r="H448" s="131"/>
      <c r="I448" s="149"/>
      <c r="J448" s="150"/>
      <c r="K448" s="150">
        <f t="shared" si="77"/>
        <v>0</v>
      </c>
      <c r="L448" s="150">
        <f t="shared" si="78"/>
        <v>0</v>
      </c>
      <c r="M448" s="132"/>
      <c r="N448" s="132">
        <v>80000000</v>
      </c>
      <c r="O448" s="132"/>
      <c r="P448" s="132"/>
      <c r="Q448" s="10">
        <f t="shared" si="75"/>
        <v>-80000000</v>
      </c>
      <c r="R448" s="133"/>
    </row>
    <row r="449" spans="1:20" s="87" customFormat="1" ht="15.75" hidden="1">
      <c r="A449" s="122" t="s">
        <v>600</v>
      </c>
      <c r="B449" s="141" t="s">
        <v>403</v>
      </c>
      <c r="C449" s="140" t="s">
        <v>396</v>
      </c>
      <c r="D449" s="141" t="s">
        <v>140</v>
      </c>
      <c r="E449" s="142" t="s">
        <v>367</v>
      </c>
      <c r="F449" s="142" t="s">
        <v>74</v>
      </c>
      <c r="G449" s="142" t="s">
        <v>141</v>
      </c>
      <c r="H449" s="142" t="s">
        <v>18</v>
      </c>
      <c r="I449" s="143">
        <v>56</v>
      </c>
      <c r="J449" s="137">
        <v>361111.11</v>
      </c>
      <c r="K449" s="137">
        <f t="shared" si="77"/>
        <v>20222222.16</v>
      </c>
      <c r="L449" s="9">
        <f t="shared" si="78"/>
        <v>1617777.7728000002</v>
      </c>
      <c r="M449" s="254">
        <f t="shared" si="79"/>
        <v>21839999.932799999</v>
      </c>
      <c r="N449" s="138"/>
      <c r="O449" s="138"/>
      <c r="P449" s="138"/>
      <c r="Q449" s="10">
        <f t="shared" si="75"/>
        <v>21839999.932799999</v>
      </c>
      <c r="S449" s="152">
        <v>2</v>
      </c>
    </row>
    <row r="450" spans="1:20" s="277" customFormat="1" ht="15.75" hidden="1">
      <c r="A450" s="122" t="s">
        <v>600</v>
      </c>
      <c r="B450" s="146" t="s">
        <v>403</v>
      </c>
      <c r="C450" s="130"/>
      <c r="D450" s="146"/>
      <c r="E450" s="131" t="s">
        <v>404</v>
      </c>
      <c r="F450" s="131"/>
      <c r="G450" s="131"/>
      <c r="H450" s="131"/>
      <c r="I450" s="149"/>
      <c r="J450" s="150"/>
      <c r="K450" s="150">
        <f t="shared" si="77"/>
        <v>0</v>
      </c>
      <c r="L450" s="150">
        <f t="shared" si="78"/>
        <v>0</v>
      </c>
      <c r="M450" s="132"/>
      <c r="O450" s="132">
        <v>360000</v>
      </c>
      <c r="P450" s="132"/>
      <c r="Q450" s="10">
        <f t="shared" si="75"/>
        <v>-360000</v>
      </c>
      <c r="R450" s="133"/>
    </row>
    <row r="451" spans="1:20" s="87" customFormat="1" ht="18" hidden="1" customHeight="1">
      <c r="A451" s="122" t="s">
        <v>600</v>
      </c>
      <c r="B451" s="63" t="s">
        <v>405</v>
      </c>
      <c r="C451" s="144" t="s">
        <v>335</v>
      </c>
      <c r="D451" s="183"/>
      <c r="E451" s="142" t="s">
        <v>367</v>
      </c>
      <c r="F451" s="142" t="s">
        <v>90</v>
      </c>
      <c r="G451" s="142" t="s">
        <v>91</v>
      </c>
      <c r="H451" s="142" t="s">
        <v>92</v>
      </c>
      <c r="I451" s="143">
        <v>40</v>
      </c>
      <c r="J451" s="137">
        <v>814814.81</v>
      </c>
      <c r="K451" s="137">
        <f t="shared" si="77"/>
        <v>32592592.400000002</v>
      </c>
      <c r="L451" s="9">
        <f t="shared" si="78"/>
        <v>2607407.3920000005</v>
      </c>
      <c r="M451" s="254">
        <f>K451+L451</f>
        <v>35199999.792000003</v>
      </c>
      <c r="N451" s="67"/>
      <c r="O451" s="67"/>
      <c r="P451" s="67"/>
      <c r="Q451" s="10">
        <f t="shared" si="75"/>
        <v>35199999.792000003</v>
      </c>
      <c r="R451" s="67"/>
    </row>
    <row r="452" spans="1:20" s="87" customFormat="1" ht="18" hidden="1" customHeight="1">
      <c r="A452" s="122" t="s">
        <v>600</v>
      </c>
      <c r="B452" s="63" t="s">
        <v>405</v>
      </c>
      <c r="C452" s="144" t="s">
        <v>335</v>
      </c>
      <c r="D452" s="183"/>
      <c r="E452" s="142" t="s">
        <v>367</v>
      </c>
      <c r="F452" s="142" t="s">
        <v>93</v>
      </c>
      <c r="G452" s="142" t="s">
        <v>94</v>
      </c>
      <c r="H452" s="142" t="s">
        <v>92</v>
      </c>
      <c r="I452" s="143">
        <v>20</v>
      </c>
      <c r="J452" s="137">
        <v>907407.41</v>
      </c>
      <c r="K452" s="137">
        <f t="shared" si="77"/>
        <v>18148148.199999999</v>
      </c>
      <c r="L452" s="9">
        <f t="shared" si="78"/>
        <v>1451851.8559999999</v>
      </c>
      <c r="M452" s="254">
        <f t="shared" ref="M452:M459" si="80">K452+L452</f>
        <v>19600000.055999998</v>
      </c>
      <c r="N452" s="67"/>
      <c r="O452" s="67"/>
      <c r="P452" s="67"/>
      <c r="Q452" s="10">
        <f t="shared" ref="Q452:Q515" si="81">M452-N452-O452-P452</f>
        <v>19600000.055999998</v>
      </c>
      <c r="R452" s="67"/>
    </row>
    <row r="453" spans="1:20" s="277" customFormat="1" ht="15.75" hidden="1">
      <c r="A453" s="122" t="s">
        <v>600</v>
      </c>
      <c r="B453" s="146" t="s">
        <v>406</v>
      </c>
      <c r="C453" s="130"/>
      <c r="D453" s="146"/>
      <c r="E453" s="131" t="s">
        <v>402</v>
      </c>
      <c r="F453" s="131"/>
      <c r="G453" s="131"/>
      <c r="H453" s="131"/>
      <c r="I453" s="149"/>
      <c r="J453" s="150"/>
      <c r="K453" s="150">
        <f t="shared" si="77"/>
        <v>0</v>
      </c>
      <c r="L453" s="150">
        <f t="shared" si="78"/>
        <v>0</v>
      </c>
      <c r="M453" s="132"/>
      <c r="O453" s="132">
        <v>600000</v>
      </c>
      <c r="P453" s="132"/>
      <c r="Q453" s="10">
        <f t="shared" si="81"/>
        <v>-600000</v>
      </c>
      <c r="R453" s="133"/>
    </row>
    <row r="454" spans="1:20" s="277" customFormat="1" ht="15.75" hidden="1">
      <c r="A454" s="122" t="s">
        <v>600</v>
      </c>
      <c r="B454" s="146" t="s">
        <v>175</v>
      </c>
      <c r="C454" s="130"/>
      <c r="D454" s="146"/>
      <c r="E454" s="131" t="s">
        <v>400</v>
      </c>
      <c r="F454" s="131"/>
      <c r="G454" s="131"/>
      <c r="H454" s="131"/>
      <c r="I454" s="149"/>
      <c r="J454" s="150"/>
      <c r="K454" s="150">
        <f t="shared" si="77"/>
        <v>0</v>
      </c>
      <c r="L454" s="150">
        <f t="shared" si="78"/>
        <v>0</v>
      </c>
      <c r="M454" s="132"/>
      <c r="N454" s="132">
        <v>50000000</v>
      </c>
      <c r="O454" s="132"/>
      <c r="P454" s="132"/>
      <c r="Q454" s="10">
        <f t="shared" si="81"/>
        <v>-50000000</v>
      </c>
      <c r="R454" s="133"/>
    </row>
    <row r="455" spans="1:20" s="87" customFormat="1" ht="18" hidden="1" customHeight="1">
      <c r="A455" s="122" t="s">
        <v>600</v>
      </c>
      <c r="B455" s="63" t="s">
        <v>407</v>
      </c>
      <c r="C455" s="140" t="s">
        <v>408</v>
      </c>
      <c r="D455" s="63">
        <v>46333</v>
      </c>
      <c r="E455" s="142" t="s">
        <v>367</v>
      </c>
      <c r="F455" s="94" t="s">
        <v>161</v>
      </c>
      <c r="G455" s="125" t="s">
        <v>162</v>
      </c>
      <c r="H455" s="278" t="s">
        <v>18</v>
      </c>
      <c r="I455" s="157">
        <v>36</v>
      </c>
      <c r="J455" s="127">
        <v>231481.48</v>
      </c>
      <c r="K455" s="127">
        <f t="shared" si="77"/>
        <v>8333333.2800000003</v>
      </c>
      <c r="L455" s="127">
        <f t="shared" si="78"/>
        <v>666666.66240000003</v>
      </c>
      <c r="M455" s="257">
        <f t="shared" si="80"/>
        <v>8999999.942400001</v>
      </c>
      <c r="N455" s="67"/>
      <c r="O455" s="67"/>
      <c r="P455" s="67"/>
      <c r="Q455" s="10">
        <f t="shared" si="81"/>
        <v>8999999.942400001</v>
      </c>
      <c r="R455" s="67"/>
    </row>
    <row r="456" spans="1:20" s="87" customFormat="1" ht="18" hidden="1" customHeight="1">
      <c r="A456" s="122" t="s">
        <v>600</v>
      </c>
      <c r="B456" s="63" t="s">
        <v>407</v>
      </c>
      <c r="C456" s="140" t="s">
        <v>408</v>
      </c>
      <c r="D456" s="63">
        <v>46333</v>
      </c>
      <c r="E456" s="142" t="s">
        <v>367</v>
      </c>
      <c r="F456" s="94" t="s">
        <v>163</v>
      </c>
      <c r="G456" s="94" t="s">
        <v>164</v>
      </c>
      <c r="H456" s="278" t="s">
        <v>18</v>
      </c>
      <c r="I456" s="157">
        <v>40</v>
      </c>
      <c r="J456" s="127">
        <v>185185.19</v>
      </c>
      <c r="K456" s="127">
        <f t="shared" si="77"/>
        <v>7407407.5999999996</v>
      </c>
      <c r="L456" s="127">
        <f t="shared" si="78"/>
        <v>592592.60800000001</v>
      </c>
      <c r="M456" s="257">
        <f t="shared" si="80"/>
        <v>8000000.2079999996</v>
      </c>
      <c r="N456" s="67"/>
      <c r="O456" s="67"/>
      <c r="P456" s="67"/>
      <c r="Q456" s="10">
        <f t="shared" si="81"/>
        <v>8000000.2079999996</v>
      </c>
      <c r="R456" s="67"/>
    </row>
    <row r="457" spans="1:20" s="87" customFormat="1" ht="18" hidden="1" customHeight="1">
      <c r="A457" s="122" t="s">
        <v>600</v>
      </c>
      <c r="B457" s="63" t="s">
        <v>407</v>
      </c>
      <c r="C457" s="140" t="s">
        <v>408</v>
      </c>
      <c r="D457" s="63">
        <v>46333</v>
      </c>
      <c r="E457" s="142" t="s">
        <v>367</v>
      </c>
      <c r="F457" s="94" t="s">
        <v>165</v>
      </c>
      <c r="G457" s="125" t="s">
        <v>409</v>
      </c>
      <c r="H457" s="278" t="s">
        <v>18</v>
      </c>
      <c r="I457" s="157">
        <v>60</v>
      </c>
      <c r="J457" s="127">
        <v>203703.7</v>
      </c>
      <c r="K457" s="127">
        <f t="shared" si="77"/>
        <v>12222222</v>
      </c>
      <c r="L457" s="127">
        <f t="shared" si="78"/>
        <v>977777.76</v>
      </c>
      <c r="M457" s="257">
        <f t="shared" si="80"/>
        <v>13199999.76</v>
      </c>
      <c r="N457" s="67"/>
      <c r="O457" s="67"/>
      <c r="P457" s="67"/>
      <c r="Q457" s="10">
        <f t="shared" si="81"/>
        <v>13199999.76</v>
      </c>
      <c r="R457" s="67"/>
    </row>
    <row r="458" spans="1:20" s="87" customFormat="1" ht="18" hidden="1" customHeight="1">
      <c r="A458" s="122" t="s">
        <v>600</v>
      </c>
      <c r="B458" s="63" t="s">
        <v>407</v>
      </c>
      <c r="C458" s="140" t="s">
        <v>408</v>
      </c>
      <c r="D458" s="63">
        <v>46333</v>
      </c>
      <c r="E458" s="142" t="s">
        <v>367</v>
      </c>
      <c r="F458" s="94" t="s">
        <v>167</v>
      </c>
      <c r="G458" s="125" t="s">
        <v>410</v>
      </c>
      <c r="H458" s="278" t="s">
        <v>18</v>
      </c>
      <c r="I458" s="157">
        <v>60</v>
      </c>
      <c r="J458" s="127">
        <v>231481.48</v>
      </c>
      <c r="K458" s="127">
        <f t="shared" si="77"/>
        <v>13888888.800000001</v>
      </c>
      <c r="L458" s="127">
        <f t="shared" si="78"/>
        <v>1111111.1040000001</v>
      </c>
      <c r="M458" s="257">
        <f t="shared" si="80"/>
        <v>14999999.904000001</v>
      </c>
      <c r="N458" s="67"/>
      <c r="O458" s="67"/>
      <c r="P458" s="67"/>
      <c r="Q458" s="10">
        <f t="shared" si="81"/>
        <v>14999999.904000001</v>
      </c>
      <c r="R458" s="67"/>
    </row>
    <row r="459" spans="1:20" s="87" customFormat="1" ht="18" hidden="1" customHeight="1">
      <c r="A459" s="122" t="s">
        <v>600</v>
      </c>
      <c r="B459" s="63" t="s">
        <v>407</v>
      </c>
      <c r="C459" s="140" t="s">
        <v>408</v>
      </c>
      <c r="D459" s="63">
        <v>46333</v>
      </c>
      <c r="E459" s="142" t="s">
        <v>367</v>
      </c>
      <c r="F459" s="94" t="s">
        <v>169</v>
      </c>
      <c r="G459" s="125" t="s">
        <v>170</v>
      </c>
      <c r="H459" s="278" t="s">
        <v>18</v>
      </c>
      <c r="I459" s="157">
        <v>40</v>
      </c>
      <c r="J459" s="127">
        <v>425925.93</v>
      </c>
      <c r="K459" s="127">
        <f t="shared" si="77"/>
        <v>17037037.199999999</v>
      </c>
      <c r="L459" s="127">
        <f t="shared" si="78"/>
        <v>1362962.976</v>
      </c>
      <c r="M459" s="257">
        <f t="shared" si="80"/>
        <v>18400000.175999999</v>
      </c>
      <c r="N459" s="67"/>
      <c r="O459" s="67"/>
      <c r="P459" s="67"/>
      <c r="Q459" s="10">
        <f t="shared" si="81"/>
        <v>18400000.175999999</v>
      </c>
      <c r="R459" s="67"/>
    </row>
    <row r="460" spans="1:20" s="277" customFormat="1" ht="15.75" hidden="1">
      <c r="A460" s="122" t="s">
        <v>600</v>
      </c>
      <c r="B460" s="146" t="s">
        <v>411</v>
      </c>
      <c r="C460" s="130"/>
      <c r="D460" s="146"/>
      <c r="E460" s="131" t="s">
        <v>402</v>
      </c>
      <c r="F460" s="131"/>
      <c r="G460" s="131"/>
      <c r="H460" s="131"/>
      <c r="I460" s="149"/>
      <c r="J460" s="150"/>
      <c r="K460" s="150">
        <f t="shared" si="77"/>
        <v>0</v>
      </c>
      <c r="L460" s="150">
        <f t="shared" si="78"/>
        <v>0</v>
      </c>
      <c r="M460" s="132"/>
      <c r="O460" s="132">
        <v>360000</v>
      </c>
      <c r="P460" s="132"/>
      <c r="Q460" s="10">
        <f t="shared" si="81"/>
        <v>-360000</v>
      </c>
      <c r="R460" s="133"/>
    </row>
    <row r="461" spans="1:20" s="87" customFormat="1" ht="18" hidden="1" customHeight="1">
      <c r="A461" s="122" t="s">
        <v>600</v>
      </c>
      <c r="B461" s="63">
        <v>46302</v>
      </c>
      <c r="C461" s="144" t="s">
        <v>335</v>
      </c>
      <c r="D461" s="183"/>
      <c r="E461" s="142" t="s">
        <v>367</v>
      </c>
      <c r="F461" s="142" t="s">
        <v>90</v>
      </c>
      <c r="G461" s="142" t="s">
        <v>91</v>
      </c>
      <c r="H461" s="142" t="s">
        <v>92</v>
      </c>
      <c r="I461" s="143">
        <v>30</v>
      </c>
      <c r="J461" s="137">
        <v>814814.81</v>
      </c>
      <c r="K461" s="137">
        <f t="shared" si="77"/>
        <v>24444444.300000001</v>
      </c>
      <c r="L461" s="9">
        <f t="shared" si="78"/>
        <v>1955555.544</v>
      </c>
      <c r="M461" s="254">
        <f>K461+L461</f>
        <v>26399999.844000001</v>
      </c>
      <c r="N461" s="67"/>
      <c r="O461" s="67"/>
      <c r="P461" s="67"/>
      <c r="Q461" s="10">
        <f t="shared" si="81"/>
        <v>26399999.844000001</v>
      </c>
      <c r="R461" s="67"/>
    </row>
    <row r="462" spans="1:20" s="277" customFormat="1" ht="47.25" hidden="1">
      <c r="A462" s="122" t="s">
        <v>600</v>
      </c>
      <c r="B462" s="63">
        <v>46302</v>
      </c>
      <c r="C462" s="140" t="s">
        <v>408</v>
      </c>
      <c r="D462" s="63">
        <v>46333</v>
      </c>
      <c r="E462" s="142" t="s">
        <v>367</v>
      </c>
      <c r="F462" s="8" t="s">
        <v>60</v>
      </c>
      <c r="G462" s="151" t="s">
        <v>395</v>
      </c>
      <c r="H462" s="142" t="s">
        <v>18</v>
      </c>
      <c r="I462" s="143">
        <v>20</v>
      </c>
      <c r="J462" s="137">
        <v>1138888.8799999999</v>
      </c>
      <c r="K462" s="137">
        <f t="shared" si="77"/>
        <v>22777777.599999998</v>
      </c>
      <c r="L462" s="9">
        <f t="shared" si="78"/>
        <v>1822222.2079999999</v>
      </c>
      <c r="M462" s="254">
        <f t="shared" ref="M462:M465" si="82">K462+L462</f>
        <v>24599999.807999998</v>
      </c>
      <c r="N462" s="138"/>
      <c r="O462" s="138"/>
      <c r="P462" s="138"/>
      <c r="Q462" s="10">
        <f t="shared" si="81"/>
        <v>24599999.807999998</v>
      </c>
      <c r="R462" s="138"/>
      <c r="S462" s="87"/>
      <c r="T462" s="87"/>
    </row>
    <row r="463" spans="1:20" s="277" customFormat="1" ht="15.75" hidden="1">
      <c r="A463" s="122" t="s">
        <v>600</v>
      </c>
      <c r="B463" s="63" t="s">
        <v>256</v>
      </c>
      <c r="C463" s="144" t="s">
        <v>335</v>
      </c>
      <c r="D463" s="183"/>
      <c r="E463" s="142" t="s">
        <v>367</v>
      </c>
      <c r="F463" s="8" t="s">
        <v>101</v>
      </c>
      <c r="G463" s="151" t="s">
        <v>102</v>
      </c>
      <c r="H463" s="142" t="s">
        <v>412</v>
      </c>
      <c r="I463" s="143">
        <v>20</v>
      </c>
      <c r="J463" s="137">
        <v>861111.11</v>
      </c>
      <c r="K463" s="137">
        <f t="shared" si="77"/>
        <v>17222222.199999999</v>
      </c>
      <c r="L463" s="9">
        <f t="shared" si="78"/>
        <v>1377777.7760000001</v>
      </c>
      <c r="M463" s="254">
        <f t="shared" si="82"/>
        <v>18599999.976</v>
      </c>
      <c r="N463" s="138"/>
      <c r="O463" s="138"/>
      <c r="P463" s="138"/>
      <c r="Q463" s="10">
        <f t="shared" si="81"/>
        <v>18599999.976</v>
      </c>
      <c r="R463" s="138"/>
      <c r="S463" s="87"/>
      <c r="T463" s="87"/>
    </row>
    <row r="464" spans="1:20" s="277" customFormat="1" ht="15.75" hidden="1">
      <c r="A464" s="122" t="s">
        <v>600</v>
      </c>
      <c r="B464" s="63" t="s">
        <v>256</v>
      </c>
      <c r="C464" s="144" t="s">
        <v>335</v>
      </c>
      <c r="D464" s="183"/>
      <c r="E464" s="142" t="s">
        <v>367</v>
      </c>
      <c r="F464" s="8" t="s">
        <v>103</v>
      </c>
      <c r="G464" s="151" t="s">
        <v>104</v>
      </c>
      <c r="H464" s="142" t="s">
        <v>113</v>
      </c>
      <c r="I464" s="143">
        <v>18</v>
      </c>
      <c r="J464" s="137">
        <v>675925.93</v>
      </c>
      <c r="K464" s="137">
        <f t="shared" si="77"/>
        <v>12166666.74</v>
      </c>
      <c r="L464" s="9">
        <f t="shared" si="78"/>
        <v>973333.33920000005</v>
      </c>
      <c r="M464" s="254">
        <f t="shared" si="82"/>
        <v>13140000.0792</v>
      </c>
      <c r="N464" s="138"/>
      <c r="O464" s="138"/>
      <c r="P464" s="138"/>
      <c r="Q464" s="10">
        <f t="shared" si="81"/>
        <v>13140000.0792</v>
      </c>
      <c r="R464" s="138"/>
      <c r="S464" s="87"/>
      <c r="T464" s="87"/>
    </row>
    <row r="465" spans="1:20" s="277" customFormat="1" ht="15.75" hidden="1">
      <c r="A465" s="122" t="s">
        <v>600</v>
      </c>
      <c r="B465" s="63" t="s">
        <v>256</v>
      </c>
      <c r="C465" s="144" t="s">
        <v>335</v>
      </c>
      <c r="D465" s="183"/>
      <c r="E465" s="142" t="s">
        <v>367</v>
      </c>
      <c r="F465" s="8" t="s">
        <v>62</v>
      </c>
      <c r="G465" s="151" t="s">
        <v>63</v>
      </c>
      <c r="H465" s="142" t="s">
        <v>113</v>
      </c>
      <c r="I465" s="143">
        <v>18</v>
      </c>
      <c r="J465" s="137">
        <v>0</v>
      </c>
      <c r="K465" s="137">
        <f t="shared" si="77"/>
        <v>0</v>
      </c>
      <c r="L465" s="9">
        <f t="shared" si="78"/>
        <v>0</v>
      </c>
      <c r="M465" s="254">
        <f t="shared" si="82"/>
        <v>0</v>
      </c>
      <c r="N465" s="138"/>
      <c r="O465" s="138"/>
      <c r="P465" s="138"/>
      <c r="Q465" s="10">
        <f t="shared" si="81"/>
        <v>0</v>
      </c>
      <c r="R465" s="138"/>
      <c r="S465" s="87"/>
      <c r="T465" s="87"/>
    </row>
    <row r="466" spans="1:20" s="72" customFormat="1" ht="15.6" hidden="1" customHeight="1">
      <c r="A466" s="3" t="s">
        <v>601</v>
      </c>
      <c r="B466" s="70" t="s">
        <v>413</v>
      </c>
      <c r="C466" s="71" t="s">
        <v>414</v>
      </c>
      <c r="D466" s="70" t="s">
        <v>413</v>
      </c>
      <c r="E466" s="43" t="s">
        <v>415</v>
      </c>
      <c r="F466" s="74" t="s">
        <v>308</v>
      </c>
      <c r="G466" s="75" t="s">
        <v>210</v>
      </c>
      <c r="I466" s="43">
        <v>56</v>
      </c>
      <c r="J466" s="73">
        <v>314814.82</v>
      </c>
      <c r="K466" s="45">
        <f t="shared" ref="K466:K478" si="83">J466*I466</f>
        <v>17629629.920000002</v>
      </c>
      <c r="L466" s="45">
        <f t="shared" ref="L466:L478" si="84">K466*8%</f>
        <v>1410370.3936000001</v>
      </c>
      <c r="M466" s="256">
        <f t="shared" ref="M466:M478" si="85">K466+L466</f>
        <v>19040000.313600004</v>
      </c>
      <c r="N466" s="43"/>
      <c r="O466" s="43"/>
      <c r="P466" s="43"/>
      <c r="Q466" s="10">
        <f t="shared" si="81"/>
        <v>19040000.313600004</v>
      </c>
      <c r="R466" s="43"/>
    </row>
    <row r="467" spans="1:20" s="72" customFormat="1" ht="15" hidden="1" customHeight="1">
      <c r="A467" s="3" t="s">
        <v>601</v>
      </c>
      <c r="B467" s="70" t="s">
        <v>413</v>
      </c>
      <c r="C467" s="71" t="s">
        <v>414</v>
      </c>
      <c r="D467" s="70" t="s">
        <v>413</v>
      </c>
      <c r="E467" s="43" t="s">
        <v>415</v>
      </c>
      <c r="F467" s="74" t="s">
        <v>416</v>
      </c>
      <c r="G467" s="75" t="s">
        <v>275</v>
      </c>
      <c r="I467" s="43">
        <v>20</v>
      </c>
      <c r="J467" s="73">
        <v>416666.65</v>
      </c>
      <c r="K467" s="45">
        <f t="shared" si="83"/>
        <v>8333333</v>
      </c>
      <c r="L467" s="45">
        <f t="shared" si="84"/>
        <v>666666.64</v>
      </c>
      <c r="M467" s="256">
        <f t="shared" si="85"/>
        <v>8999999.6400000006</v>
      </c>
      <c r="N467" s="43"/>
      <c r="O467" s="43"/>
      <c r="P467" s="43"/>
      <c r="Q467" s="10">
        <f t="shared" si="81"/>
        <v>8999999.6400000006</v>
      </c>
      <c r="R467" s="43"/>
    </row>
    <row r="468" spans="1:20" s="72" customFormat="1" ht="15.75" hidden="1">
      <c r="A468" s="3" t="s">
        <v>601</v>
      </c>
      <c r="B468" s="70" t="s">
        <v>413</v>
      </c>
      <c r="C468" s="71" t="s">
        <v>414</v>
      </c>
      <c r="D468" s="70" t="s">
        <v>413</v>
      </c>
      <c r="E468" s="43" t="s">
        <v>415</v>
      </c>
      <c r="F468" s="43" t="s">
        <v>80</v>
      </c>
      <c r="G468" s="72" t="s">
        <v>81</v>
      </c>
      <c r="I468" s="43">
        <v>20</v>
      </c>
      <c r="J468" s="73">
        <v>824074.05</v>
      </c>
      <c r="K468" s="45">
        <f t="shared" si="83"/>
        <v>16481481</v>
      </c>
      <c r="L468" s="45">
        <f t="shared" si="84"/>
        <v>1318518.48</v>
      </c>
      <c r="M468" s="256">
        <f t="shared" si="85"/>
        <v>17799999.48</v>
      </c>
      <c r="N468" s="43"/>
      <c r="O468" s="43"/>
      <c r="P468" s="43"/>
      <c r="Q468" s="10">
        <f t="shared" si="81"/>
        <v>17799999.48</v>
      </c>
      <c r="R468" s="43"/>
    </row>
    <row r="469" spans="1:20" s="72" customFormat="1" ht="15.75" hidden="1">
      <c r="A469" s="3" t="s">
        <v>601</v>
      </c>
      <c r="B469" s="70" t="s">
        <v>413</v>
      </c>
      <c r="C469" s="71" t="s">
        <v>414</v>
      </c>
      <c r="D469" s="70" t="s">
        <v>413</v>
      </c>
      <c r="E469" s="43" t="s">
        <v>415</v>
      </c>
      <c r="F469" s="43" t="s">
        <v>21</v>
      </c>
      <c r="G469" s="72" t="s">
        <v>22</v>
      </c>
      <c r="I469" s="43">
        <v>20</v>
      </c>
      <c r="J469" s="73">
        <v>937962.95</v>
      </c>
      <c r="K469" s="45">
        <f t="shared" si="83"/>
        <v>18759259</v>
      </c>
      <c r="L469" s="45">
        <f t="shared" si="84"/>
        <v>1500740.72</v>
      </c>
      <c r="M469" s="256">
        <f t="shared" si="85"/>
        <v>20259999.719999999</v>
      </c>
      <c r="N469" s="43"/>
      <c r="O469" s="43"/>
      <c r="P469" s="43"/>
      <c r="Q469" s="10">
        <f t="shared" si="81"/>
        <v>20259999.719999999</v>
      </c>
      <c r="R469" s="43"/>
    </row>
    <row r="470" spans="1:20" s="72" customFormat="1" ht="15.75" hidden="1">
      <c r="A470" s="3" t="s">
        <v>601</v>
      </c>
      <c r="B470" s="70" t="s">
        <v>413</v>
      </c>
      <c r="C470" s="71" t="s">
        <v>414</v>
      </c>
      <c r="D470" s="70" t="s">
        <v>413</v>
      </c>
      <c r="E470" s="43" t="s">
        <v>415</v>
      </c>
      <c r="F470" s="74" t="s">
        <v>23</v>
      </c>
      <c r="G470" s="75" t="s">
        <v>82</v>
      </c>
      <c r="I470" s="43">
        <v>30</v>
      </c>
      <c r="J470" s="73">
        <v>1185185.19</v>
      </c>
      <c r="K470" s="45">
        <f t="shared" si="83"/>
        <v>35555555.699999996</v>
      </c>
      <c r="L470" s="45">
        <f t="shared" si="84"/>
        <v>2844444.4559999998</v>
      </c>
      <c r="M470" s="256">
        <f t="shared" si="85"/>
        <v>38400000.155999996</v>
      </c>
      <c r="N470" s="43"/>
      <c r="O470" s="43"/>
      <c r="P470" s="43"/>
      <c r="Q470" s="10">
        <f t="shared" si="81"/>
        <v>38400000.155999996</v>
      </c>
      <c r="R470" s="43"/>
    </row>
    <row r="471" spans="1:20" s="72" customFormat="1" ht="15.75" hidden="1">
      <c r="A471" s="3" t="s">
        <v>601</v>
      </c>
      <c r="B471" s="70" t="s">
        <v>413</v>
      </c>
      <c r="C471" s="71" t="s">
        <v>414</v>
      </c>
      <c r="D471" s="70" t="s">
        <v>413</v>
      </c>
      <c r="E471" s="43" t="s">
        <v>415</v>
      </c>
      <c r="F471" s="74" t="s">
        <v>32</v>
      </c>
      <c r="G471" s="72" t="s">
        <v>187</v>
      </c>
      <c r="I471" s="43">
        <v>10</v>
      </c>
      <c r="J471" s="73">
        <v>225000</v>
      </c>
      <c r="K471" s="45">
        <f t="shared" si="83"/>
        <v>2250000</v>
      </c>
      <c r="L471" s="45">
        <f t="shared" si="84"/>
        <v>180000</v>
      </c>
      <c r="M471" s="256">
        <f t="shared" si="85"/>
        <v>2430000</v>
      </c>
      <c r="N471" s="43"/>
      <c r="O471" s="43"/>
      <c r="P471" s="43"/>
      <c r="Q471" s="10">
        <f t="shared" si="81"/>
        <v>2430000</v>
      </c>
      <c r="R471" s="43"/>
    </row>
    <row r="472" spans="1:20" s="72" customFormat="1" ht="15.75" hidden="1">
      <c r="A472" s="3" t="s">
        <v>601</v>
      </c>
      <c r="B472" s="70" t="s">
        <v>413</v>
      </c>
      <c r="C472" s="71" t="s">
        <v>414</v>
      </c>
      <c r="D472" s="70" t="s">
        <v>413</v>
      </c>
      <c r="E472" s="43" t="s">
        <v>415</v>
      </c>
      <c r="F472" s="43" t="s">
        <v>34</v>
      </c>
      <c r="G472" s="72" t="s">
        <v>188</v>
      </c>
      <c r="I472" s="43">
        <v>10</v>
      </c>
      <c r="J472" s="73">
        <v>247222.22</v>
      </c>
      <c r="K472" s="45">
        <f t="shared" si="83"/>
        <v>2472222.2000000002</v>
      </c>
      <c r="L472" s="45">
        <f t="shared" si="84"/>
        <v>197777.77600000001</v>
      </c>
      <c r="M472" s="256">
        <f t="shared" si="85"/>
        <v>2669999.9760000003</v>
      </c>
      <c r="N472" s="43"/>
      <c r="O472" s="43"/>
      <c r="P472" s="43"/>
      <c r="Q472" s="10">
        <f t="shared" si="81"/>
        <v>2669999.9760000003</v>
      </c>
      <c r="R472" s="43"/>
    </row>
    <row r="473" spans="1:20" s="72" customFormat="1" ht="15.75" hidden="1">
      <c r="A473" s="3" t="s">
        <v>601</v>
      </c>
      <c r="B473" s="70" t="s">
        <v>413</v>
      </c>
      <c r="C473" s="71" t="s">
        <v>414</v>
      </c>
      <c r="D473" s="70" t="s">
        <v>413</v>
      </c>
      <c r="E473" s="43" t="s">
        <v>415</v>
      </c>
      <c r="F473" s="74" t="s">
        <v>36</v>
      </c>
      <c r="G473" s="72" t="s">
        <v>189</v>
      </c>
      <c r="I473" s="43">
        <v>10</v>
      </c>
      <c r="J473" s="73">
        <v>268518.52</v>
      </c>
      <c r="K473" s="45">
        <f t="shared" si="83"/>
        <v>2685185.2</v>
      </c>
      <c r="L473" s="45">
        <f t="shared" si="84"/>
        <v>214814.81600000002</v>
      </c>
      <c r="M473" s="256">
        <f t="shared" si="85"/>
        <v>2900000.0160000003</v>
      </c>
      <c r="N473" s="43"/>
      <c r="O473" s="43"/>
      <c r="P473" s="43"/>
      <c r="Q473" s="10">
        <f t="shared" si="81"/>
        <v>2900000.0160000003</v>
      </c>
      <c r="R473" s="43"/>
    </row>
    <row r="474" spans="1:20" s="72" customFormat="1" ht="15.75" hidden="1">
      <c r="A474" s="3" t="s">
        <v>601</v>
      </c>
      <c r="B474" s="70" t="s">
        <v>413</v>
      </c>
      <c r="C474" s="71" t="s">
        <v>414</v>
      </c>
      <c r="D474" s="70" t="s">
        <v>413</v>
      </c>
      <c r="E474" s="43" t="s">
        <v>415</v>
      </c>
      <c r="F474" s="43" t="s">
        <v>38</v>
      </c>
      <c r="G474" s="72" t="s">
        <v>190</v>
      </c>
      <c r="I474" s="43">
        <v>10</v>
      </c>
      <c r="J474" s="73">
        <v>288888.89</v>
      </c>
      <c r="K474" s="45">
        <f t="shared" si="83"/>
        <v>2888888.9000000004</v>
      </c>
      <c r="L474" s="45">
        <f t="shared" si="84"/>
        <v>231111.11200000002</v>
      </c>
      <c r="M474" s="256">
        <f t="shared" si="85"/>
        <v>3120000.0120000006</v>
      </c>
      <c r="N474" s="43"/>
      <c r="O474" s="43"/>
      <c r="P474" s="43"/>
      <c r="Q474" s="10">
        <f t="shared" si="81"/>
        <v>3120000.0120000006</v>
      </c>
      <c r="R474" s="43"/>
    </row>
    <row r="475" spans="1:20" s="72" customFormat="1" ht="15.75" hidden="1">
      <c r="A475" s="3" t="s">
        <v>601</v>
      </c>
      <c r="B475" s="70" t="s">
        <v>413</v>
      </c>
      <c r="C475" s="71" t="s">
        <v>414</v>
      </c>
      <c r="D475" s="70" t="s">
        <v>413</v>
      </c>
      <c r="E475" s="43" t="s">
        <v>415</v>
      </c>
      <c r="F475" s="74" t="s">
        <v>40</v>
      </c>
      <c r="G475" s="72" t="s">
        <v>41</v>
      </c>
      <c r="I475" s="43">
        <v>10</v>
      </c>
      <c r="J475" s="73">
        <v>844444.5</v>
      </c>
      <c r="K475" s="45">
        <f t="shared" si="83"/>
        <v>8444445</v>
      </c>
      <c r="L475" s="45">
        <f t="shared" si="84"/>
        <v>675555.6</v>
      </c>
      <c r="M475" s="256">
        <f t="shared" si="85"/>
        <v>9120000.5999999996</v>
      </c>
      <c r="N475" s="43"/>
      <c r="O475" s="43"/>
      <c r="P475" s="43"/>
      <c r="Q475" s="10">
        <f t="shared" si="81"/>
        <v>9120000.5999999996</v>
      </c>
      <c r="R475" s="43"/>
    </row>
    <row r="476" spans="1:20" s="72" customFormat="1" ht="15.75" hidden="1">
      <c r="A476" s="3" t="s">
        <v>601</v>
      </c>
      <c r="B476" s="70" t="s">
        <v>413</v>
      </c>
      <c r="C476" s="71" t="s">
        <v>414</v>
      </c>
      <c r="D476" s="70" t="s">
        <v>413</v>
      </c>
      <c r="E476" s="43" t="s">
        <v>415</v>
      </c>
      <c r="F476" s="43" t="s">
        <v>194</v>
      </c>
      <c r="G476" s="72" t="s">
        <v>276</v>
      </c>
      <c r="I476" s="43">
        <v>6</v>
      </c>
      <c r="J476" s="73">
        <v>1203703.75</v>
      </c>
      <c r="K476" s="45">
        <f t="shared" si="83"/>
        <v>7222222.5</v>
      </c>
      <c r="L476" s="45">
        <f t="shared" si="84"/>
        <v>577777.80000000005</v>
      </c>
      <c r="M476" s="256">
        <f t="shared" si="85"/>
        <v>7800000.2999999998</v>
      </c>
      <c r="N476" s="43"/>
      <c r="O476" s="43"/>
      <c r="P476" s="43"/>
      <c r="Q476" s="10">
        <f t="shared" si="81"/>
        <v>7800000.2999999998</v>
      </c>
      <c r="R476" s="43"/>
    </row>
    <row r="477" spans="1:20" s="72" customFormat="1" ht="15.75" hidden="1">
      <c r="A477" s="3" t="s">
        <v>601</v>
      </c>
      <c r="B477" s="70" t="s">
        <v>413</v>
      </c>
      <c r="C477" s="71" t="s">
        <v>414</v>
      </c>
      <c r="D477" s="70" t="s">
        <v>413</v>
      </c>
      <c r="E477" s="43" t="s">
        <v>415</v>
      </c>
      <c r="F477" s="74" t="s">
        <v>58</v>
      </c>
      <c r="G477" s="75" t="s">
        <v>59</v>
      </c>
      <c r="I477" s="43">
        <v>6</v>
      </c>
      <c r="J477" s="73">
        <v>1361111</v>
      </c>
      <c r="K477" s="45">
        <f t="shared" si="83"/>
        <v>8166666</v>
      </c>
      <c r="L477" s="45">
        <f t="shared" si="84"/>
        <v>653333.28</v>
      </c>
      <c r="M477" s="256">
        <f t="shared" si="85"/>
        <v>8819999.2799999993</v>
      </c>
      <c r="N477" s="43"/>
      <c r="O477" s="43"/>
      <c r="P477" s="43"/>
      <c r="Q477" s="10">
        <f t="shared" si="81"/>
        <v>8819999.2799999993</v>
      </c>
      <c r="R477" s="43"/>
    </row>
    <row r="478" spans="1:20" s="87" customFormat="1" ht="15.75" hidden="1">
      <c r="A478" s="3" t="s">
        <v>601</v>
      </c>
      <c r="B478" s="85" t="s">
        <v>413</v>
      </c>
      <c r="C478" s="86" t="s">
        <v>417</v>
      </c>
      <c r="D478" s="85" t="s">
        <v>418</v>
      </c>
      <c r="E478" s="65" t="s">
        <v>415</v>
      </c>
      <c r="F478" s="65" t="s">
        <v>74</v>
      </c>
      <c r="G478" s="87" t="s">
        <v>141</v>
      </c>
      <c r="I478" s="65">
        <v>40</v>
      </c>
      <c r="J478" s="88">
        <v>361111.11</v>
      </c>
      <c r="K478" s="67">
        <f t="shared" si="83"/>
        <v>14444444.399999999</v>
      </c>
      <c r="L478" s="67">
        <f t="shared" si="84"/>
        <v>1155555.5519999999</v>
      </c>
      <c r="M478" s="203">
        <f t="shared" si="85"/>
        <v>15599999.951999998</v>
      </c>
      <c r="N478" s="65"/>
      <c r="O478" s="65"/>
      <c r="P478" s="65"/>
      <c r="Q478" s="10">
        <f t="shared" si="81"/>
        <v>15599999.951999998</v>
      </c>
      <c r="R478" s="65"/>
    </row>
    <row r="479" spans="1:20" s="84" customFormat="1" ht="15.75" hidden="1">
      <c r="A479" s="3" t="s">
        <v>601</v>
      </c>
      <c r="B479" s="76" t="s">
        <v>419</v>
      </c>
      <c r="C479" s="78" t="s">
        <v>420</v>
      </c>
      <c r="D479" s="76"/>
      <c r="E479" s="78" t="s">
        <v>421</v>
      </c>
      <c r="F479" s="78"/>
      <c r="I479" s="78"/>
      <c r="J479" s="80"/>
      <c r="K479" s="81"/>
      <c r="L479" s="81"/>
      <c r="M479" s="120"/>
      <c r="N479" s="81">
        <v>70680000</v>
      </c>
      <c r="O479" s="81"/>
      <c r="P479" s="81"/>
      <c r="Q479" s="10">
        <f t="shared" si="81"/>
        <v>-70680000</v>
      </c>
      <c r="R479" s="78"/>
    </row>
    <row r="480" spans="1:20" s="72" customFormat="1" ht="45" hidden="1">
      <c r="A480" s="3" t="s">
        <v>601</v>
      </c>
      <c r="B480" s="70" t="s">
        <v>422</v>
      </c>
      <c r="C480" s="71" t="s">
        <v>423</v>
      </c>
      <c r="D480" s="70" t="s">
        <v>352</v>
      </c>
      <c r="E480" s="43" t="s">
        <v>415</v>
      </c>
      <c r="F480" s="43" t="s">
        <v>16</v>
      </c>
      <c r="G480" s="75" t="s">
        <v>224</v>
      </c>
      <c r="I480" s="43">
        <v>40</v>
      </c>
      <c r="J480" s="73">
        <v>851851.85</v>
      </c>
      <c r="K480" s="45">
        <f t="shared" ref="K480:K485" si="86">J480*I480</f>
        <v>34074074</v>
      </c>
      <c r="L480" s="45">
        <f t="shared" ref="L480:L485" si="87">K480*8%</f>
        <v>2725925.92</v>
      </c>
      <c r="M480" s="256">
        <f t="shared" ref="M480:M485" si="88">K480+L480</f>
        <v>36799999.920000002</v>
      </c>
      <c r="N480" s="43"/>
      <c r="O480" s="43"/>
      <c r="P480" s="43"/>
      <c r="Q480" s="10">
        <f t="shared" si="81"/>
        <v>36799999.920000002</v>
      </c>
      <c r="R480" s="43"/>
    </row>
    <row r="481" spans="1:19" s="87" customFormat="1" ht="15.75" hidden="1">
      <c r="A481" s="3" t="s">
        <v>601</v>
      </c>
      <c r="B481" s="85" t="s">
        <v>422</v>
      </c>
      <c r="C481" s="86" t="s">
        <v>417</v>
      </c>
      <c r="D481" s="85" t="s">
        <v>418</v>
      </c>
      <c r="E481" s="65" t="s">
        <v>415</v>
      </c>
      <c r="F481" s="65" t="s">
        <v>83</v>
      </c>
      <c r="G481" s="87" t="s">
        <v>240</v>
      </c>
      <c r="I481" s="65">
        <v>8</v>
      </c>
      <c r="J481" s="88">
        <v>1097222.22</v>
      </c>
      <c r="K481" s="67">
        <f t="shared" si="86"/>
        <v>8777777.7599999998</v>
      </c>
      <c r="L481" s="67">
        <f t="shared" si="87"/>
        <v>702222.22080000001</v>
      </c>
      <c r="M481" s="203">
        <f t="shared" si="88"/>
        <v>9479999.9807999991</v>
      </c>
      <c r="N481" s="65"/>
      <c r="O481" s="65"/>
      <c r="P481" s="65"/>
      <c r="Q481" s="10">
        <f t="shared" si="81"/>
        <v>9479999.9807999991</v>
      </c>
      <c r="R481" s="65"/>
    </row>
    <row r="482" spans="1:19" s="72" customFormat="1" ht="45" hidden="1">
      <c r="A482" s="3" t="s">
        <v>601</v>
      </c>
      <c r="B482" s="70" t="s">
        <v>422</v>
      </c>
      <c r="C482" s="71" t="s">
        <v>423</v>
      </c>
      <c r="D482" s="70" t="s">
        <v>352</v>
      </c>
      <c r="E482" s="43" t="s">
        <v>415</v>
      </c>
      <c r="F482" s="43" t="s">
        <v>60</v>
      </c>
      <c r="G482" s="75" t="s">
        <v>223</v>
      </c>
      <c r="I482" s="43">
        <v>20</v>
      </c>
      <c r="J482" s="73">
        <v>1138888.8899999999</v>
      </c>
      <c r="K482" s="45">
        <f t="shared" si="86"/>
        <v>22777777.799999997</v>
      </c>
      <c r="L482" s="45">
        <f t="shared" si="87"/>
        <v>1822222.2239999997</v>
      </c>
      <c r="M482" s="256">
        <f t="shared" si="88"/>
        <v>24600000.023999996</v>
      </c>
      <c r="N482" s="43"/>
      <c r="O482" s="43"/>
      <c r="P482" s="43"/>
      <c r="Q482" s="10">
        <f t="shared" si="81"/>
        <v>24600000.023999996</v>
      </c>
      <c r="R482" s="43"/>
    </row>
    <row r="483" spans="1:19" s="72" customFormat="1" ht="15.75" hidden="1">
      <c r="A483" s="3" t="s">
        <v>601</v>
      </c>
      <c r="B483" s="70" t="s">
        <v>422</v>
      </c>
      <c r="C483" s="71" t="s">
        <v>423</v>
      </c>
      <c r="D483" s="70" t="s">
        <v>352</v>
      </c>
      <c r="E483" s="43" t="s">
        <v>415</v>
      </c>
      <c r="F483" s="43" t="s">
        <v>58</v>
      </c>
      <c r="G483" s="72" t="s">
        <v>59</v>
      </c>
      <c r="I483" s="43">
        <v>20</v>
      </c>
      <c r="J483" s="73">
        <v>1361111.11</v>
      </c>
      <c r="K483" s="45">
        <f t="shared" si="86"/>
        <v>27222222.200000003</v>
      </c>
      <c r="L483" s="45">
        <f t="shared" si="87"/>
        <v>2177777.7760000001</v>
      </c>
      <c r="M483" s="256">
        <f t="shared" si="88"/>
        <v>29399999.976000004</v>
      </c>
      <c r="N483" s="43"/>
      <c r="O483" s="43"/>
      <c r="P483" s="43"/>
      <c r="Q483" s="10">
        <f t="shared" si="81"/>
        <v>29399999.976000004</v>
      </c>
      <c r="R483" s="43"/>
    </row>
    <row r="484" spans="1:19" s="72" customFormat="1" ht="15.75" hidden="1">
      <c r="A484" s="3" t="s">
        <v>601</v>
      </c>
      <c r="B484" s="70" t="s">
        <v>422</v>
      </c>
      <c r="C484" s="71" t="s">
        <v>423</v>
      </c>
      <c r="D484" s="70" t="s">
        <v>352</v>
      </c>
      <c r="E484" s="43" t="s">
        <v>415</v>
      </c>
      <c r="F484" s="43" t="s">
        <v>274</v>
      </c>
      <c r="G484" s="72" t="s">
        <v>297</v>
      </c>
      <c r="I484" s="43">
        <v>100</v>
      </c>
      <c r="J484" s="73">
        <v>416666.67</v>
      </c>
      <c r="K484" s="45">
        <f t="shared" si="86"/>
        <v>41666667</v>
      </c>
      <c r="L484" s="45">
        <f t="shared" si="87"/>
        <v>3333333.36</v>
      </c>
      <c r="M484" s="256">
        <f t="shared" si="88"/>
        <v>45000000.359999999</v>
      </c>
      <c r="N484" s="43"/>
      <c r="O484" s="43"/>
      <c r="P484" s="43"/>
      <c r="Q484" s="10">
        <f t="shared" si="81"/>
        <v>45000000.359999999</v>
      </c>
      <c r="R484" s="43"/>
    </row>
    <row r="485" spans="1:19" s="87" customFormat="1" ht="15.75" hidden="1">
      <c r="A485" s="3" t="s">
        <v>601</v>
      </c>
      <c r="B485" s="85" t="s">
        <v>422</v>
      </c>
      <c r="C485" s="101" t="s">
        <v>14</v>
      </c>
      <c r="D485" s="85"/>
      <c r="E485" s="65" t="s">
        <v>415</v>
      </c>
      <c r="F485" s="65" t="s">
        <v>424</v>
      </c>
      <c r="G485" s="87" t="s">
        <v>425</v>
      </c>
      <c r="I485" s="65">
        <v>20</v>
      </c>
      <c r="J485" s="88">
        <v>882407.4</v>
      </c>
      <c r="K485" s="67">
        <f t="shared" si="86"/>
        <v>17648148</v>
      </c>
      <c r="L485" s="67">
        <f t="shared" si="87"/>
        <v>1411851.84</v>
      </c>
      <c r="M485" s="203">
        <f t="shared" si="88"/>
        <v>19059999.84</v>
      </c>
      <c r="N485" s="65"/>
      <c r="O485" s="65"/>
      <c r="P485" s="65"/>
      <c r="Q485" s="10">
        <f t="shared" si="81"/>
        <v>19059999.84</v>
      </c>
      <c r="R485" s="65"/>
      <c r="S485" s="87" t="s">
        <v>426</v>
      </c>
    </row>
    <row r="486" spans="1:19" s="84" customFormat="1" ht="15.75" hidden="1">
      <c r="A486" s="3" t="s">
        <v>601</v>
      </c>
      <c r="B486" s="76">
        <v>46297</v>
      </c>
      <c r="C486" s="78" t="s">
        <v>427</v>
      </c>
      <c r="D486" s="76"/>
      <c r="E486" s="78" t="s">
        <v>421</v>
      </c>
      <c r="F486" s="78"/>
      <c r="I486" s="78"/>
      <c r="J486" s="80"/>
      <c r="K486" s="81"/>
      <c r="L486" s="81"/>
      <c r="M486" s="120"/>
      <c r="N486" s="81">
        <f>N479</f>
        <v>70680000</v>
      </c>
      <c r="O486" s="81"/>
      <c r="P486" s="81"/>
      <c r="Q486" s="10">
        <f t="shared" si="81"/>
        <v>-70680000</v>
      </c>
      <c r="R486" s="78"/>
    </row>
    <row r="487" spans="1:19" s="87" customFormat="1" ht="15.75" hidden="1">
      <c r="A487" s="3" t="s">
        <v>601</v>
      </c>
      <c r="B487" s="85">
        <v>46297</v>
      </c>
      <c r="C487" s="101" t="s">
        <v>14</v>
      </c>
      <c r="D487" s="85"/>
      <c r="E487" s="65" t="s">
        <v>415</v>
      </c>
      <c r="F487" s="65" t="s">
        <v>204</v>
      </c>
      <c r="G487" s="87" t="s">
        <v>269</v>
      </c>
      <c r="I487" s="65">
        <v>30</v>
      </c>
      <c r="J487" s="88">
        <v>480555.55</v>
      </c>
      <c r="K487" s="67">
        <f t="shared" ref="K487:K493" si="89">J487*I487</f>
        <v>14416666.5</v>
      </c>
      <c r="L487" s="67">
        <f t="shared" ref="L487:L493" si="90">K487*8%</f>
        <v>1153333.32</v>
      </c>
      <c r="M487" s="203">
        <f t="shared" ref="M487:M493" si="91">K487+L487</f>
        <v>15569999.82</v>
      </c>
      <c r="N487" s="65"/>
      <c r="O487" s="65"/>
      <c r="P487" s="65"/>
      <c r="Q487" s="10">
        <f t="shared" si="81"/>
        <v>15569999.82</v>
      </c>
      <c r="R487" s="65"/>
    </row>
    <row r="488" spans="1:19" s="87" customFormat="1" ht="15.75" hidden="1">
      <c r="A488" s="3" t="s">
        <v>601</v>
      </c>
      <c r="B488" s="85">
        <v>46297</v>
      </c>
      <c r="C488" s="101" t="s">
        <v>14</v>
      </c>
      <c r="D488" s="85"/>
      <c r="E488" s="65" t="s">
        <v>415</v>
      </c>
      <c r="F488" s="65" t="s">
        <v>208</v>
      </c>
      <c r="G488" s="87" t="s">
        <v>209</v>
      </c>
      <c r="I488" s="65">
        <v>20</v>
      </c>
      <c r="J488" s="88">
        <v>647222.22</v>
      </c>
      <c r="K488" s="67">
        <f t="shared" si="89"/>
        <v>12944444.399999999</v>
      </c>
      <c r="L488" s="67">
        <f t="shared" si="90"/>
        <v>1035555.5519999999</v>
      </c>
      <c r="M488" s="203">
        <f t="shared" si="91"/>
        <v>13979999.951999998</v>
      </c>
      <c r="N488" s="65"/>
      <c r="O488" s="65"/>
      <c r="P488" s="65"/>
      <c r="Q488" s="10">
        <f t="shared" si="81"/>
        <v>13979999.951999998</v>
      </c>
      <c r="R488" s="65"/>
    </row>
    <row r="489" spans="1:19" s="87" customFormat="1" ht="15.75" hidden="1">
      <c r="A489" s="3" t="s">
        <v>601</v>
      </c>
      <c r="B489" s="85">
        <v>46297</v>
      </c>
      <c r="C489" s="101" t="s">
        <v>14</v>
      </c>
      <c r="D489" s="85"/>
      <c r="E489" s="65" t="s">
        <v>415</v>
      </c>
      <c r="F489" s="65" t="s">
        <v>77</v>
      </c>
      <c r="G489" s="87" t="s">
        <v>428</v>
      </c>
      <c r="I489" s="65">
        <v>52</v>
      </c>
      <c r="J489" s="88">
        <v>324074.07</v>
      </c>
      <c r="K489" s="67">
        <f t="shared" si="89"/>
        <v>16851851.640000001</v>
      </c>
      <c r="L489" s="67">
        <f t="shared" si="90"/>
        <v>1348148.1312000002</v>
      </c>
      <c r="M489" s="203">
        <f t="shared" si="91"/>
        <v>18199999.771200001</v>
      </c>
      <c r="N489" s="65"/>
      <c r="O489" s="65"/>
      <c r="P489" s="65"/>
      <c r="Q489" s="10">
        <f t="shared" si="81"/>
        <v>18199999.771200001</v>
      </c>
      <c r="R489" s="65"/>
    </row>
    <row r="490" spans="1:19" s="87" customFormat="1" ht="15.75" hidden="1">
      <c r="A490" s="3" t="s">
        <v>601</v>
      </c>
      <c r="B490" s="85">
        <v>46297</v>
      </c>
      <c r="C490" s="101" t="s">
        <v>14</v>
      </c>
      <c r="D490" s="85"/>
      <c r="E490" s="65" t="s">
        <v>415</v>
      </c>
      <c r="F490" s="65" t="s">
        <v>206</v>
      </c>
      <c r="G490" s="87" t="s">
        <v>369</v>
      </c>
      <c r="I490" s="65">
        <v>30</v>
      </c>
      <c r="J490" s="88">
        <v>483333.33</v>
      </c>
      <c r="K490" s="67">
        <f t="shared" si="89"/>
        <v>14499999.9</v>
      </c>
      <c r="L490" s="67">
        <f t="shared" si="90"/>
        <v>1159999.9920000001</v>
      </c>
      <c r="M490" s="203">
        <f t="shared" si="91"/>
        <v>15659999.892000001</v>
      </c>
      <c r="N490" s="65"/>
      <c r="O490" s="65"/>
      <c r="P490" s="65"/>
      <c r="Q490" s="10">
        <f t="shared" si="81"/>
        <v>15659999.892000001</v>
      </c>
      <c r="R490" s="65"/>
    </row>
    <row r="491" spans="1:19" s="87" customFormat="1" ht="15.75" hidden="1">
      <c r="A491" s="3" t="s">
        <v>601</v>
      </c>
      <c r="B491" s="85">
        <v>46297</v>
      </c>
      <c r="C491" s="101" t="s">
        <v>14</v>
      </c>
      <c r="D491" s="85"/>
      <c r="E491" s="65" t="s">
        <v>415</v>
      </c>
      <c r="F491" s="65" t="s">
        <v>386</v>
      </c>
      <c r="G491" s="87" t="s">
        <v>387</v>
      </c>
      <c r="I491" s="65">
        <v>40</v>
      </c>
      <c r="J491" s="88">
        <v>847222.22</v>
      </c>
      <c r="K491" s="67">
        <f t="shared" si="89"/>
        <v>33888888.799999997</v>
      </c>
      <c r="L491" s="67">
        <f t="shared" si="90"/>
        <v>2711111.1039999998</v>
      </c>
      <c r="M491" s="203">
        <f t="shared" si="91"/>
        <v>36599999.903999999</v>
      </c>
      <c r="N491" s="65"/>
      <c r="O491" s="65"/>
      <c r="P491" s="65"/>
      <c r="Q491" s="10">
        <f t="shared" si="81"/>
        <v>36599999.903999999</v>
      </c>
      <c r="R491" s="65"/>
      <c r="S491" s="87" t="s">
        <v>426</v>
      </c>
    </row>
    <row r="492" spans="1:19" s="87" customFormat="1" ht="45" hidden="1">
      <c r="A492" s="3" t="s">
        <v>601</v>
      </c>
      <c r="B492" s="85" t="s">
        <v>429</v>
      </c>
      <c r="C492" s="101" t="s">
        <v>14</v>
      </c>
      <c r="D492" s="85"/>
      <c r="E492" s="65" t="s">
        <v>415</v>
      </c>
      <c r="F492" s="65" t="s">
        <v>60</v>
      </c>
      <c r="G492" s="89" t="s">
        <v>223</v>
      </c>
      <c r="I492" s="65">
        <v>10</v>
      </c>
      <c r="J492" s="88">
        <v>1138888.8899999999</v>
      </c>
      <c r="K492" s="67">
        <f t="shared" si="89"/>
        <v>11388888.899999999</v>
      </c>
      <c r="L492" s="67">
        <f t="shared" si="90"/>
        <v>911111.11199999985</v>
      </c>
      <c r="M492" s="203">
        <f t="shared" si="91"/>
        <v>12300000.011999998</v>
      </c>
      <c r="N492" s="65"/>
      <c r="O492" s="65"/>
      <c r="P492" s="65"/>
      <c r="Q492" s="10">
        <f t="shared" si="81"/>
        <v>12300000.011999998</v>
      </c>
      <c r="R492" s="65"/>
    </row>
    <row r="493" spans="1:19" s="87" customFormat="1" ht="45" hidden="1">
      <c r="A493" s="3" t="s">
        <v>601</v>
      </c>
      <c r="B493" s="85" t="s">
        <v>429</v>
      </c>
      <c r="C493" s="86" t="s">
        <v>417</v>
      </c>
      <c r="D493" s="85" t="s">
        <v>418</v>
      </c>
      <c r="E493" s="65" t="s">
        <v>415</v>
      </c>
      <c r="F493" s="65" t="s">
        <v>83</v>
      </c>
      <c r="G493" s="89" t="s">
        <v>240</v>
      </c>
      <c r="I493" s="65">
        <v>30</v>
      </c>
      <c r="J493" s="88">
        <v>1097222.22</v>
      </c>
      <c r="K493" s="67">
        <f t="shared" si="89"/>
        <v>32916666.599999998</v>
      </c>
      <c r="L493" s="67">
        <f t="shared" si="90"/>
        <v>2633333.3279999997</v>
      </c>
      <c r="M493" s="203">
        <f t="shared" si="91"/>
        <v>35549999.927999996</v>
      </c>
      <c r="N493" s="65"/>
      <c r="O493" s="65"/>
      <c r="P493" s="65"/>
      <c r="Q493" s="10">
        <f t="shared" si="81"/>
        <v>35549999.927999996</v>
      </c>
      <c r="R493" s="65"/>
    </row>
    <row r="494" spans="1:19" s="84" customFormat="1" ht="15.75" hidden="1">
      <c r="A494" s="3" t="s">
        <v>601</v>
      </c>
      <c r="B494" s="76">
        <v>46299</v>
      </c>
      <c r="C494" s="78"/>
      <c r="D494" s="76"/>
      <c r="E494" s="78" t="s">
        <v>421</v>
      </c>
      <c r="F494" s="78"/>
      <c r="G494" s="128"/>
      <c r="I494" s="78"/>
      <c r="J494" s="80"/>
      <c r="K494" s="81"/>
      <c r="L494" s="81"/>
      <c r="M494" s="120"/>
      <c r="N494" s="81">
        <v>48000000</v>
      </c>
      <c r="O494" s="81"/>
      <c r="P494" s="81"/>
      <c r="Q494" s="10">
        <f t="shared" si="81"/>
        <v>-48000000</v>
      </c>
      <c r="R494" s="78"/>
    </row>
    <row r="495" spans="1:19" s="87" customFormat="1" ht="15.75" hidden="1">
      <c r="A495" s="3" t="s">
        <v>601</v>
      </c>
      <c r="B495" s="85" t="s">
        <v>430</v>
      </c>
      <c r="C495" s="86" t="s">
        <v>431</v>
      </c>
      <c r="D495" s="85">
        <v>46331</v>
      </c>
      <c r="E495" s="65" t="s">
        <v>415</v>
      </c>
      <c r="F495" s="65" t="s">
        <v>80</v>
      </c>
      <c r="G495" s="87" t="s">
        <v>81</v>
      </c>
      <c r="I495" s="65">
        <v>16</v>
      </c>
      <c r="J495" s="88">
        <v>824074.05</v>
      </c>
      <c r="K495" s="67">
        <f t="shared" ref="K495:K506" si="92">J495*I495</f>
        <v>13185184.800000001</v>
      </c>
      <c r="L495" s="67">
        <f t="shared" ref="L495:L513" si="93">K495*8%</f>
        <v>1054814.784</v>
      </c>
      <c r="M495" s="203">
        <f t="shared" ref="M495:M500" si="94">K495+L495</f>
        <v>14239999.584000001</v>
      </c>
      <c r="N495" s="67"/>
      <c r="O495" s="67"/>
      <c r="P495" s="67"/>
      <c r="Q495" s="10">
        <f t="shared" si="81"/>
        <v>14239999.584000001</v>
      </c>
      <c r="R495" s="65"/>
    </row>
    <row r="496" spans="1:19" s="87" customFormat="1" ht="15.75" hidden="1">
      <c r="A496" s="3" t="s">
        <v>601</v>
      </c>
      <c r="B496" s="85" t="s">
        <v>430</v>
      </c>
      <c r="C496" s="86" t="s">
        <v>431</v>
      </c>
      <c r="D496" s="85">
        <v>46331</v>
      </c>
      <c r="E496" s="65" t="s">
        <v>415</v>
      </c>
      <c r="F496" s="65" t="s">
        <v>21</v>
      </c>
      <c r="G496" s="87" t="s">
        <v>22</v>
      </c>
      <c r="I496" s="65">
        <v>16</v>
      </c>
      <c r="J496" s="88">
        <v>937962.95</v>
      </c>
      <c r="K496" s="67">
        <f t="shared" si="92"/>
        <v>15007407.199999999</v>
      </c>
      <c r="L496" s="67">
        <f t="shared" si="93"/>
        <v>1200592.5759999999</v>
      </c>
      <c r="M496" s="203">
        <f t="shared" si="94"/>
        <v>16207999.775999999</v>
      </c>
      <c r="N496" s="67"/>
      <c r="O496" s="67"/>
      <c r="P496" s="67"/>
      <c r="Q496" s="10">
        <f t="shared" si="81"/>
        <v>16207999.775999999</v>
      </c>
      <c r="R496" s="65"/>
    </row>
    <row r="497" spans="1:18" s="87" customFormat="1" ht="15.75" hidden="1">
      <c r="A497" s="3" t="s">
        <v>601</v>
      </c>
      <c r="B497" s="85" t="s">
        <v>430</v>
      </c>
      <c r="C497" s="86" t="s">
        <v>431</v>
      </c>
      <c r="D497" s="85">
        <v>46331</v>
      </c>
      <c r="E497" s="65" t="s">
        <v>415</v>
      </c>
      <c r="F497" s="65" t="s">
        <v>262</v>
      </c>
      <c r="G497" s="89" t="s">
        <v>263</v>
      </c>
      <c r="I497" s="65">
        <v>16</v>
      </c>
      <c r="J497" s="88">
        <v>851851.85</v>
      </c>
      <c r="K497" s="67">
        <f t="shared" si="92"/>
        <v>13629629.6</v>
      </c>
      <c r="L497" s="67">
        <f t="shared" si="93"/>
        <v>1090370.368</v>
      </c>
      <c r="M497" s="203">
        <f t="shared" si="94"/>
        <v>14719999.968</v>
      </c>
      <c r="N497" s="67"/>
      <c r="O497" s="67"/>
      <c r="P497" s="67"/>
      <c r="Q497" s="10">
        <f t="shared" si="81"/>
        <v>14719999.968</v>
      </c>
      <c r="R497" s="65"/>
    </row>
    <row r="498" spans="1:18" s="87" customFormat="1" ht="15.75" hidden="1">
      <c r="A498" s="3" t="s">
        <v>601</v>
      </c>
      <c r="B498" s="85" t="s">
        <v>287</v>
      </c>
      <c r="C498" s="86"/>
      <c r="D498" s="85"/>
      <c r="E498" s="65" t="s">
        <v>432</v>
      </c>
      <c r="F498" s="65" t="s">
        <v>424</v>
      </c>
      <c r="G498" s="87" t="s">
        <v>425</v>
      </c>
      <c r="I498" s="92">
        <v>-20</v>
      </c>
      <c r="J498" s="93">
        <v>882407.4</v>
      </c>
      <c r="K498" s="93">
        <f t="shared" si="92"/>
        <v>-17648148</v>
      </c>
      <c r="L498" s="93">
        <f t="shared" si="93"/>
        <v>-1411851.84</v>
      </c>
      <c r="M498" s="203">
        <f t="shared" si="94"/>
        <v>-19059999.84</v>
      </c>
      <c r="N498" s="67"/>
      <c r="O498" s="67"/>
      <c r="P498" s="67"/>
      <c r="Q498" s="10">
        <f t="shared" si="81"/>
        <v>-19059999.84</v>
      </c>
      <c r="R498" s="65"/>
    </row>
    <row r="499" spans="1:18" s="87" customFormat="1" ht="15.75" hidden="1">
      <c r="A499" s="3" t="s">
        <v>601</v>
      </c>
      <c r="B499" s="85" t="s">
        <v>287</v>
      </c>
      <c r="C499" s="86"/>
      <c r="D499" s="85"/>
      <c r="E499" s="65" t="s">
        <v>432</v>
      </c>
      <c r="F499" s="65" t="s">
        <v>386</v>
      </c>
      <c r="G499" s="87" t="s">
        <v>387</v>
      </c>
      <c r="I499" s="92">
        <v>-37</v>
      </c>
      <c r="J499" s="93">
        <v>847222.22</v>
      </c>
      <c r="K499" s="93">
        <f t="shared" si="92"/>
        <v>-31347222.140000001</v>
      </c>
      <c r="L499" s="93">
        <f t="shared" si="93"/>
        <v>-2507777.7712000003</v>
      </c>
      <c r="M499" s="203">
        <f t="shared" si="94"/>
        <v>-33854999.911200002</v>
      </c>
      <c r="N499" s="67"/>
      <c r="O499" s="67"/>
      <c r="P499" s="67"/>
      <c r="Q499" s="10">
        <f t="shared" si="81"/>
        <v>-33854999.911200002</v>
      </c>
      <c r="R499" s="65"/>
    </row>
    <row r="500" spans="1:18" s="87" customFormat="1" ht="45" hidden="1">
      <c r="A500" s="3" t="s">
        <v>601</v>
      </c>
      <c r="B500" s="85" t="s">
        <v>287</v>
      </c>
      <c r="C500" s="86" t="s">
        <v>433</v>
      </c>
      <c r="D500" s="85" t="s">
        <v>434</v>
      </c>
      <c r="E500" s="65" t="s">
        <v>415</v>
      </c>
      <c r="F500" s="65" t="s">
        <v>60</v>
      </c>
      <c r="G500" s="89" t="s">
        <v>223</v>
      </c>
      <c r="I500" s="92">
        <v>50</v>
      </c>
      <c r="J500" s="93">
        <v>1138888.8799999999</v>
      </c>
      <c r="K500" s="93">
        <f t="shared" si="92"/>
        <v>56944443.999999993</v>
      </c>
      <c r="L500" s="93">
        <f t="shared" si="93"/>
        <v>4555555.5199999996</v>
      </c>
      <c r="M500" s="203">
        <f t="shared" si="94"/>
        <v>61499999.519999996</v>
      </c>
      <c r="N500" s="67"/>
      <c r="O500" s="67"/>
      <c r="P500" s="67"/>
      <c r="Q500" s="10">
        <f t="shared" si="81"/>
        <v>61499999.519999996</v>
      </c>
      <c r="R500" s="65"/>
    </row>
    <row r="501" spans="1:18" s="87" customFormat="1" ht="45" hidden="1">
      <c r="A501" s="3" t="s">
        <v>601</v>
      </c>
      <c r="B501" s="85" t="s">
        <v>287</v>
      </c>
      <c r="C501" s="86" t="s">
        <v>433</v>
      </c>
      <c r="D501" s="85" t="s">
        <v>434</v>
      </c>
      <c r="E501" s="65" t="s">
        <v>415</v>
      </c>
      <c r="F501" s="65" t="s">
        <v>16</v>
      </c>
      <c r="G501" s="89" t="s">
        <v>224</v>
      </c>
      <c r="I501" s="92">
        <v>20</v>
      </c>
      <c r="J501" s="93">
        <v>851851.85</v>
      </c>
      <c r="K501" s="93">
        <f t="shared" si="92"/>
        <v>17037037</v>
      </c>
      <c r="L501" s="93">
        <f t="shared" si="93"/>
        <v>1362962.96</v>
      </c>
      <c r="M501" s="203">
        <f>K501+L501</f>
        <v>18399999.960000001</v>
      </c>
      <c r="N501" s="67"/>
      <c r="O501" s="67"/>
      <c r="P501" s="67"/>
      <c r="Q501" s="10">
        <f t="shared" si="81"/>
        <v>18399999.960000001</v>
      </c>
      <c r="R501" s="65"/>
    </row>
    <row r="502" spans="1:18" s="87" customFormat="1" ht="15.75" hidden="1">
      <c r="A502" s="3" t="s">
        <v>601</v>
      </c>
      <c r="B502" s="85" t="s">
        <v>287</v>
      </c>
      <c r="C502" s="86" t="s">
        <v>433</v>
      </c>
      <c r="D502" s="85" t="s">
        <v>434</v>
      </c>
      <c r="E502" s="65" t="s">
        <v>415</v>
      </c>
      <c r="F502" s="65" t="s">
        <v>50</v>
      </c>
      <c r="G502" s="87" t="s">
        <v>51</v>
      </c>
      <c r="I502" s="92">
        <v>20</v>
      </c>
      <c r="J502" s="93">
        <v>937962.96</v>
      </c>
      <c r="K502" s="93">
        <f t="shared" si="92"/>
        <v>18759259.199999999</v>
      </c>
      <c r="L502" s="93">
        <f t="shared" si="93"/>
        <v>1500740.736</v>
      </c>
      <c r="M502" s="203">
        <f t="shared" ref="M502:M510" si="95">K502+L502</f>
        <v>20259999.936000001</v>
      </c>
      <c r="N502" s="67"/>
      <c r="O502" s="67"/>
      <c r="P502" s="67"/>
      <c r="Q502" s="10">
        <f t="shared" si="81"/>
        <v>20259999.936000001</v>
      </c>
      <c r="R502" s="65"/>
    </row>
    <row r="503" spans="1:18" s="87" customFormat="1" ht="15.75" hidden="1">
      <c r="A503" s="3" t="s">
        <v>601</v>
      </c>
      <c r="B503" s="85" t="s">
        <v>287</v>
      </c>
      <c r="C503" s="86" t="s">
        <v>433</v>
      </c>
      <c r="D503" s="85" t="s">
        <v>434</v>
      </c>
      <c r="E503" s="65" t="s">
        <v>415</v>
      </c>
      <c r="F503" s="65" t="s">
        <v>52</v>
      </c>
      <c r="G503" s="87" t="s">
        <v>53</v>
      </c>
      <c r="I503" s="92">
        <v>20</v>
      </c>
      <c r="J503" s="93">
        <v>1007407.4</v>
      </c>
      <c r="K503" s="93">
        <f t="shared" si="92"/>
        <v>20148148</v>
      </c>
      <c r="L503" s="93">
        <f t="shared" si="93"/>
        <v>1611851.84</v>
      </c>
      <c r="M503" s="203">
        <f t="shared" si="95"/>
        <v>21759999.84</v>
      </c>
      <c r="N503" s="67"/>
      <c r="O503" s="67"/>
      <c r="P503" s="67"/>
      <c r="Q503" s="10">
        <f t="shared" si="81"/>
        <v>21759999.84</v>
      </c>
      <c r="R503" s="65"/>
    </row>
    <row r="504" spans="1:18" s="87" customFormat="1" ht="15.75" hidden="1">
      <c r="A504" s="3" t="s">
        <v>601</v>
      </c>
      <c r="B504" s="85" t="s">
        <v>287</v>
      </c>
      <c r="C504" s="86" t="s">
        <v>433</v>
      </c>
      <c r="D504" s="85" t="s">
        <v>434</v>
      </c>
      <c r="E504" s="65" t="s">
        <v>415</v>
      </c>
      <c r="F504" s="65" t="s">
        <v>262</v>
      </c>
      <c r="G504" s="87" t="s">
        <v>435</v>
      </c>
      <c r="I504" s="92">
        <v>20</v>
      </c>
      <c r="J504" s="93">
        <v>851851.85</v>
      </c>
      <c r="K504" s="93">
        <f t="shared" si="92"/>
        <v>17037037</v>
      </c>
      <c r="L504" s="93">
        <f t="shared" si="93"/>
        <v>1362962.96</v>
      </c>
      <c r="M504" s="203">
        <f t="shared" si="95"/>
        <v>18399999.960000001</v>
      </c>
      <c r="N504" s="67"/>
      <c r="O504" s="67"/>
      <c r="P504" s="67"/>
      <c r="Q504" s="10">
        <f t="shared" si="81"/>
        <v>18399999.960000001</v>
      </c>
      <c r="R504" s="65"/>
    </row>
    <row r="505" spans="1:18" s="87" customFormat="1" ht="15.75" hidden="1">
      <c r="A505" s="3" t="s">
        <v>601</v>
      </c>
      <c r="B505" s="85" t="s">
        <v>287</v>
      </c>
      <c r="C505" s="86" t="s">
        <v>433</v>
      </c>
      <c r="D505" s="85" t="s">
        <v>434</v>
      </c>
      <c r="E505" s="65" t="s">
        <v>415</v>
      </c>
      <c r="F505" s="65" t="s">
        <v>74</v>
      </c>
      <c r="G505" s="87" t="s">
        <v>141</v>
      </c>
      <c r="I505" s="92">
        <v>80</v>
      </c>
      <c r="J505" s="93">
        <v>361111.11</v>
      </c>
      <c r="K505" s="93">
        <f t="shared" si="92"/>
        <v>28888888.799999997</v>
      </c>
      <c r="L505" s="93">
        <f t="shared" si="93"/>
        <v>2311111.1039999998</v>
      </c>
      <c r="M505" s="203">
        <f t="shared" si="95"/>
        <v>31199999.903999995</v>
      </c>
      <c r="N505" s="67"/>
      <c r="O505" s="67"/>
      <c r="P505" s="67"/>
      <c r="Q505" s="10">
        <f t="shared" si="81"/>
        <v>31199999.903999995</v>
      </c>
      <c r="R505" s="65"/>
    </row>
    <row r="506" spans="1:18" s="87" customFormat="1" ht="15.75" hidden="1">
      <c r="A506" s="3" t="s">
        <v>601</v>
      </c>
      <c r="B506" s="85" t="s">
        <v>287</v>
      </c>
      <c r="C506" s="86" t="s">
        <v>433</v>
      </c>
      <c r="D506" s="85" t="s">
        <v>434</v>
      </c>
      <c r="E506" s="65" t="s">
        <v>415</v>
      </c>
      <c r="F506" s="65" t="s">
        <v>436</v>
      </c>
      <c r="G506" s="90" t="s">
        <v>63</v>
      </c>
      <c r="I506" s="92">
        <v>40</v>
      </c>
      <c r="J506" s="93">
        <v>0</v>
      </c>
      <c r="K506" s="93">
        <f t="shared" si="92"/>
        <v>0</v>
      </c>
      <c r="L506" s="93">
        <f t="shared" si="93"/>
        <v>0</v>
      </c>
      <c r="M506" s="203">
        <f t="shared" si="95"/>
        <v>0</v>
      </c>
      <c r="N506" s="67"/>
      <c r="O506" s="67"/>
      <c r="P506" s="67"/>
      <c r="Q506" s="10">
        <f t="shared" si="81"/>
        <v>0</v>
      </c>
      <c r="R506" s="65"/>
    </row>
    <row r="507" spans="1:18" s="87" customFormat="1" ht="15.75" hidden="1">
      <c r="A507" s="3" t="s">
        <v>601</v>
      </c>
      <c r="B507" s="85" t="s">
        <v>287</v>
      </c>
      <c r="C507" s="86" t="s">
        <v>433</v>
      </c>
      <c r="D507" s="85" t="s">
        <v>434</v>
      </c>
      <c r="E507" s="65" t="s">
        <v>415</v>
      </c>
      <c r="F507" s="65" t="s">
        <v>262</v>
      </c>
      <c r="G507" s="87" t="s">
        <v>435</v>
      </c>
      <c r="I507" s="92">
        <v>30</v>
      </c>
      <c r="J507" s="93">
        <v>851851.85</v>
      </c>
      <c r="K507" s="93">
        <f>J507*I507</f>
        <v>25555555.5</v>
      </c>
      <c r="L507" s="93">
        <f t="shared" si="93"/>
        <v>2044444.44</v>
      </c>
      <c r="M507" s="203">
        <f t="shared" si="95"/>
        <v>27599999.940000001</v>
      </c>
      <c r="N507" s="67"/>
      <c r="O507" s="67"/>
      <c r="P507" s="67"/>
      <c r="Q507" s="10">
        <f t="shared" si="81"/>
        <v>27599999.940000001</v>
      </c>
      <c r="R507" s="65"/>
    </row>
    <row r="508" spans="1:18" s="87" customFormat="1" ht="15.75" hidden="1">
      <c r="A508" s="3" t="s">
        <v>601</v>
      </c>
      <c r="B508" s="85"/>
      <c r="C508" s="86"/>
      <c r="D508" s="85"/>
      <c r="E508" s="101" t="s">
        <v>415</v>
      </c>
      <c r="F508" s="65"/>
      <c r="G508" s="158" t="s">
        <v>437</v>
      </c>
      <c r="I508" s="92"/>
      <c r="J508" s="93"/>
      <c r="K508" s="93"/>
      <c r="L508" s="93"/>
      <c r="M508" s="269"/>
      <c r="O508" s="93"/>
      <c r="P508" s="93">
        <f>SUM(M500:M507)*1.5%</f>
        <v>2986799.9858999993</v>
      </c>
      <c r="Q508" s="10">
        <f t="shared" si="81"/>
        <v>-2986799.9858999993</v>
      </c>
      <c r="R508" s="65"/>
    </row>
    <row r="509" spans="1:18" s="84" customFormat="1" ht="15.75" hidden="1">
      <c r="A509" s="3" t="s">
        <v>601</v>
      </c>
      <c r="B509" s="76">
        <v>46087</v>
      </c>
      <c r="C509" s="78"/>
      <c r="D509" s="76"/>
      <c r="E509" s="78" t="s">
        <v>421</v>
      </c>
      <c r="F509" s="78"/>
      <c r="G509" s="128"/>
      <c r="I509" s="78"/>
      <c r="J509" s="80"/>
      <c r="K509" s="81"/>
      <c r="L509" s="78"/>
      <c r="M509" s="260"/>
      <c r="N509" s="81">
        <v>50000000</v>
      </c>
      <c r="O509" s="81"/>
      <c r="P509" s="81"/>
      <c r="Q509" s="10">
        <f t="shared" si="81"/>
        <v>-50000000</v>
      </c>
      <c r="R509" s="78"/>
    </row>
    <row r="510" spans="1:18" s="87" customFormat="1" ht="15.75" hidden="1">
      <c r="A510" s="3" t="s">
        <v>601</v>
      </c>
      <c r="B510" s="85">
        <v>46179</v>
      </c>
      <c r="C510" s="101" t="s">
        <v>14</v>
      </c>
      <c r="D510" s="85"/>
      <c r="E510" s="65" t="s">
        <v>415</v>
      </c>
      <c r="F510" s="125" t="s">
        <v>85</v>
      </c>
      <c r="G510" s="126" t="s">
        <v>86</v>
      </c>
      <c r="I510" s="94">
        <v>131</v>
      </c>
      <c r="J510" s="127">
        <v>509259.26</v>
      </c>
      <c r="K510" s="98">
        <f t="shared" ref="K510" si="96">J510*I510</f>
        <v>66712963.060000002</v>
      </c>
      <c r="L510" s="98">
        <f t="shared" si="93"/>
        <v>5337037.0448000003</v>
      </c>
      <c r="M510" s="257">
        <f t="shared" si="95"/>
        <v>72050000.104800001</v>
      </c>
      <c r="N510" s="67"/>
      <c r="O510" s="67"/>
      <c r="P510" s="67"/>
      <c r="Q510" s="10">
        <f t="shared" si="81"/>
        <v>72050000.104800001</v>
      </c>
      <c r="R510" s="65"/>
    </row>
    <row r="511" spans="1:18" s="87" customFormat="1" ht="15.75" hidden="1">
      <c r="A511" s="3" t="s">
        <v>601</v>
      </c>
      <c r="B511" s="85" t="s">
        <v>87</v>
      </c>
      <c r="C511" s="101" t="s">
        <v>14</v>
      </c>
      <c r="D511" s="85"/>
      <c r="E511" s="65" t="s">
        <v>415</v>
      </c>
      <c r="F511" s="65" t="s">
        <v>90</v>
      </c>
      <c r="G511" s="89" t="s">
        <v>91</v>
      </c>
      <c r="I511" s="65">
        <v>30</v>
      </c>
      <c r="J511" s="93">
        <v>814814.81</v>
      </c>
      <c r="K511" s="93">
        <f t="shared" ref="K511:K512" si="97">I511*J511</f>
        <v>24444444.300000001</v>
      </c>
      <c r="L511" s="93">
        <f t="shared" si="93"/>
        <v>1955555.544</v>
      </c>
      <c r="M511" s="203">
        <f>K511+L511</f>
        <v>26399999.844000001</v>
      </c>
      <c r="N511" s="67"/>
      <c r="O511" s="67"/>
      <c r="P511" s="67"/>
      <c r="Q511" s="10">
        <f t="shared" si="81"/>
        <v>26399999.844000001</v>
      </c>
      <c r="R511" s="65"/>
    </row>
    <row r="512" spans="1:18" s="87" customFormat="1" ht="15.75" hidden="1">
      <c r="A512" s="3" t="s">
        <v>601</v>
      </c>
      <c r="B512" s="85" t="s">
        <v>87</v>
      </c>
      <c r="C512" s="101" t="s">
        <v>14</v>
      </c>
      <c r="D512" s="85"/>
      <c r="E512" s="65" t="s">
        <v>415</v>
      </c>
      <c r="F512" s="65" t="s">
        <v>93</v>
      </c>
      <c r="G512" s="89" t="s">
        <v>94</v>
      </c>
      <c r="I512" s="65">
        <v>30</v>
      </c>
      <c r="J512" s="93">
        <v>907407.41</v>
      </c>
      <c r="K512" s="93">
        <f t="shared" si="97"/>
        <v>27222222.300000001</v>
      </c>
      <c r="L512" s="93">
        <f t="shared" si="93"/>
        <v>2177777.784</v>
      </c>
      <c r="M512" s="203">
        <f t="shared" ref="M512:M513" si="98">K512+L512</f>
        <v>29400000.083999999</v>
      </c>
      <c r="N512" s="67"/>
      <c r="O512" s="67"/>
      <c r="P512" s="67"/>
      <c r="Q512" s="10">
        <f t="shared" si="81"/>
        <v>29400000.083999999</v>
      </c>
      <c r="R512" s="65"/>
    </row>
    <row r="513" spans="1:18" s="87" customFormat="1" ht="15.75" hidden="1">
      <c r="A513" s="3" t="s">
        <v>601</v>
      </c>
      <c r="B513" s="85" t="s">
        <v>87</v>
      </c>
      <c r="C513" s="101" t="s">
        <v>14</v>
      </c>
      <c r="D513" s="85"/>
      <c r="E513" s="65" t="s">
        <v>415</v>
      </c>
      <c r="F513" s="65" t="s">
        <v>74</v>
      </c>
      <c r="G513" s="87" t="s">
        <v>141</v>
      </c>
      <c r="I513" s="92">
        <v>80</v>
      </c>
      <c r="J513" s="93">
        <v>361111.11</v>
      </c>
      <c r="K513" s="93">
        <f t="shared" ref="K513" si="99">J513*I513</f>
        <v>28888888.799999997</v>
      </c>
      <c r="L513" s="93">
        <f t="shared" si="93"/>
        <v>2311111.1039999998</v>
      </c>
      <c r="M513" s="203">
        <f t="shared" si="98"/>
        <v>31199999.903999995</v>
      </c>
      <c r="N513" s="67"/>
      <c r="O513" s="67"/>
      <c r="P513" s="67"/>
      <c r="Q513" s="10">
        <f t="shared" si="81"/>
        <v>31199999.903999995</v>
      </c>
      <c r="R513" s="65"/>
    </row>
    <row r="514" spans="1:18" s="87" customFormat="1" ht="16.149999999999999" hidden="1" customHeight="1">
      <c r="A514" s="3" t="s">
        <v>601</v>
      </c>
      <c r="B514" s="85" t="s">
        <v>336</v>
      </c>
      <c r="C514" s="101" t="s">
        <v>14</v>
      </c>
      <c r="D514" s="85"/>
      <c r="E514" s="65" t="s">
        <v>415</v>
      </c>
      <c r="F514" s="125" t="s">
        <v>96</v>
      </c>
      <c r="G514" s="95" t="s">
        <v>97</v>
      </c>
      <c r="I514" s="94">
        <v>20</v>
      </c>
      <c r="J514" s="97">
        <v>574074.06999999995</v>
      </c>
      <c r="K514" s="127">
        <f>I514*J514</f>
        <v>11481481.399999999</v>
      </c>
      <c r="L514" s="127">
        <f>K514*8%</f>
        <v>918518.51199999987</v>
      </c>
      <c r="M514" s="257">
        <f>K514+L514</f>
        <v>12399999.911999999</v>
      </c>
      <c r="N514" s="67"/>
      <c r="O514" s="67"/>
      <c r="P514" s="67"/>
      <c r="Q514" s="10">
        <f t="shared" si="81"/>
        <v>12399999.911999999</v>
      </c>
      <c r="R514" s="65"/>
    </row>
    <row r="515" spans="1:18" s="87" customFormat="1" ht="15.6" hidden="1" customHeight="1">
      <c r="A515" s="3" t="s">
        <v>601</v>
      </c>
      <c r="B515" s="85" t="s">
        <v>336</v>
      </c>
      <c r="C515" s="101" t="s">
        <v>14</v>
      </c>
      <c r="D515" s="85"/>
      <c r="E515" s="65" t="s">
        <v>415</v>
      </c>
      <c r="F515" s="125" t="s">
        <v>98</v>
      </c>
      <c r="G515" s="95" t="s">
        <v>251</v>
      </c>
      <c r="I515" s="94">
        <v>50</v>
      </c>
      <c r="J515" s="97">
        <v>694444.44</v>
      </c>
      <c r="K515" s="127">
        <f>I515*J515</f>
        <v>34722222</v>
      </c>
      <c r="L515" s="127">
        <f>K515*8%</f>
        <v>2777777.7600000002</v>
      </c>
      <c r="M515" s="257">
        <f>K515+L515</f>
        <v>37499999.759999998</v>
      </c>
      <c r="N515" s="67"/>
      <c r="O515" s="67"/>
      <c r="P515" s="67"/>
      <c r="Q515" s="10">
        <f t="shared" si="81"/>
        <v>37499999.759999998</v>
      </c>
      <c r="R515" s="65"/>
    </row>
    <row r="516" spans="1:18" s="87" customFormat="1" ht="15.6" hidden="1" customHeight="1">
      <c r="A516" s="3" t="s">
        <v>601</v>
      </c>
      <c r="B516" s="85" t="s">
        <v>159</v>
      </c>
      <c r="C516" s="101" t="s">
        <v>14</v>
      </c>
      <c r="D516" s="85"/>
      <c r="E516" s="65" t="s">
        <v>415</v>
      </c>
      <c r="F516" s="125" t="s">
        <v>161</v>
      </c>
      <c r="G516" s="95" t="s">
        <v>438</v>
      </c>
      <c r="I516" s="94">
        <v>36</v>
      </c>
      <c r="J516" s="97">
        <v>231481.48</v>
      </c>
      <c r="K516" s="127">
        <f>I516*J516</f>
        <v>8333333.2800000003</v>
      </c>
      <c r="L516" s="127">
        <f>K516*8%</f>
        <v>666666.66240000003</v>
      </c>
      <c r="M516" s="257">
        <f>K516+L516</f>
        <v>8999999.942400001</v>
      </c>
      <c r="N516" s="67"/>
      <c r="O516" s="67"/>
      <c r="P516" s="67"/>
      <c r="Q516" s="10">
        <f t="shared" ref="Q516:Q579" si="100">M516-N516-O516-P516</f>
        <v>8999999.942400001</v>
      </c>
      <c r="R516" s="65"/>
    </row>
    <row r="517" spans="1:18" s="87" customFormat="1" ht="15.6" hidden="1" customHeight="1">
      <c r="A517" s="3" t="s">
        <v>601</v>
      </c>
      <c r="B517" s="85" t="s">
        <v>159</v>
      </c>
      <c r="C517" s="101" t="s">
        <v>14</v>
      </c>
      <c r="D517" s="85"/>
      <c r="E517" s="65" t="s">
        <v>415</v>
      </c>
      <c r="F517" s="125" t="s">
        <v>163</v>
      </c>
      <c r="G517" s="95" t="s">
        <v>164</v>
      </c>
      <c r="I517" s="94">
        <v>40</v>
      </c>
      <c r="J517" s="97">
        <v>231481.5</v>
      </c>
      <c r="K517" s="127">
        <f>I517*J517</f>
        <v>9259260</v>
      </c>
      <c r="L517" s="127">
        <f>K517*8%</f>
        <v>740740.8</v>
      </c>
      <c r="M517" s="257">
        <f>K517+L517</f>
        <v>10000000.800000001</v>
      </c>
      <c r="N517" s="67"/>
      <c r="O517" s="67"/>
      <c r="P517" s="67"/>
      <c r="Q517" s="10">
        <f t="shared" si="100"/>
        <v>10000000.800000001</v>
      </c>
      <c r="R517" s="65"/>
    </row>
    <row r="518" spans="1:18" s="87" customFormat="1" ht="15.6" hidden="1" customHeight="1">
      <c r="A518" s="3" t="s">
        <v>601</v>
      </c>
      <c r="B518" s="85" t="s">
        <v>159</v>
      </c>
      <c r="C518" s="101" t="s">
        <v>14</v>
      </c>
      <c r="D518" s="85"/>
      <c r="E518" s="65" t="s">
        <v>415</v>
      </c>
      <c r="F518" s="125" t="s">
        <v>167</v>
      </c>
      <c r="G518" s="95" t="s">
        <v>168</v>
      </c>
      <c r="I518" s="94">
        <v>60</v>
      </c>
      <c r="J518" s="97">
        <v>231481.48</v>
      </c>
      <c r="K518" s="127">
        <f t="shared" ref="K518:K527" si="101">I518*J518</f>
        <v>13888888.800000001</v>
      </c>
      <c r="L518" s="127">
        <f t="shared" ref="L518:L522" si="102">K518*8%</f>
        <v>1111111.1040000001</v>
      </c>
      <c r="M518" s="257">
        <f t="shared" ref="M518:M522" si="103">K518+L518</f>
        <v>14999999.904000001</v>
      </c>
      <c r="N518" s="67"/>
      <c r="O518" s="67"/>
      <c r="P518" s="67"/>
      <c r="Q518" s="10">
        <f t="shared" si="100"/>
        <v>14999999.904000001</v>
      </c>
      <c r="R518" s="65"/>
    </row>
    <row r="519" spans="1:18" s="87" customFormat="1" ht="15.6" hidden="1" customHeight="1">
      <c r="A519" s="3" t="s">
        <v>601</v>
      </c>
      <c r="B519" s="85" t="s">
        <v>159</v>
      </c>
      <c r="C519" s="101" t="s">
        <v>14</v>
      </c>
      <c r="D519" s="85"/>
      <c r="E519" s="65" t="s">
        <v>415</v>
      </c>
      <c r="F519" s="125" t="s">
        <v>169</v>
      </c>
      <c r="G519" s="95" t="s">
        <v>170</v>
      </c>
      <c r="I519" s="94">
        <v>40</v>
      </c>
      <c r="J519" s="97">
        <v>425925.92</v>
      </c>
      <c r="K519" s="127">
        <f t="shared" si="101"/>
        <v>17037036.800000001</v>
      </c>
      <c r="L519" s="127">
        <f t="shared" si="102"/>
        <v>1362962.9440000001</v>
      </c>
      <c r="M519" s="257">
        <f t="shared" si="103"/>
        <v>18399999.744000003</v>
      </c>
      <c r="N519" s="67"/>
      <c r="O519" s="67"/>
      <c r="P519" s="67"/>
      <c r="Q519" s="10">
        <f t="shared" si="100"/>
        <v>18399999.744000003</v>
      </c>
      <c r="R519" s="65"/>
    </row>
    <row r="520" spans="1:18" s="87" customFormat="1" ht="15.6" hidden="1" customHeight="1">
      <c r="A520" s="3" t="s">
        <v>601</v>
      </c>
      <c r="B520" s="85" t="s">
        <v>159</v>
      </c>
      <c r="C520" s="101" t="s">
        <v>14</v>
      </c>
      <c r="D520" s="85"/>
      <c r="E520" s="65" t="s">
        <v>415</v>
      </c>
      <c r="F520" s="125" t="s">
        <v>165</v>
      </c>
      <c r="G520" s="95" t="s">
        <v>409</v>
      </c>
      <c r="I520" s="94">
        <v>60</v>
      </c>
      <c r="J520" s="97">
        <v>203703.7</v>
      </c>
      <c r="K520" s="127">
        <f t="shared" si="101"/>
        <v>12222222</v>
      </c>
      <c r="L520" s="127">
        <f t="shared" si="102"/>
        <v>977777.76</v>
      </c>
      <c r="M520" s="257">
        <f t="shared" si="103"/>
        <v>13199999.76</v>
      </c>
      <c r="N520" s="67"/>
      <c r="O520" s="67"/>
      <c r="P520" s="67"/>
      <c r="Q520" s="10">
        <f t="shared" si="100"/>
        <v>13199999.76</v>
      </c>
      <c r="R520" s="65"/>
    </row>
    <row r="521" spans="1:18" s="87" customFormat="1" ht="15.6" hidden="1" customHeight="1">
      <c r="A521" s="3" t="s">
        <v>601</v>
      </c>
      <c r="B521" s="85" t="s">
        <v>159</v>
      </c>
      <c r="C521" s="101" t="s">
        <v>14</v>
      </c>
      <c r="D521" s="85"/>
      <c r="E521" s="65" t="s">
        <v>415</v>
      </c>
      <c r="F521" s="125" t="s">
        <v>171</v>
      </c>
      <c r="G521" s="95" t="s">
        <v>172</v>
      </c>
      <c r="I521" s="94">
        <v>80</v>
      </c>
      <c r="J521" s="97">
        <v>69444.44</v>
      </c>
      <c r="K521" s="127">
        <f t="shared" si="101"/>
        <v>5555555.2000000002</v>
      </c>
      <c r="L521" s="127">
        <f t="shared" si="102"/>
        <v>444444.41600000003</v>
      </c>
      <c r="M521" s="257">
        <f t="shared" si="103"/>
        <v>5999999.6160000004</v>
      </c>
      <c r="N521" s="67"/>
      <c r="O521" s="67"/>
      <c r="P521" s="67"/>
      <c r="Q521" s="10">
        <f t="shared" si="100"/>
        <v>5999999.6160000004</v>
      </c>
      <c r="R521" s="65"/>
    </row>
    <row r="522" spans="1:18" s="87" customFormat="1" ht="15.6" hidden="1" customHeight="1">
      <c r="A522" s="3" t="s">
        <v>601</v>
      </c>
      <c r="B522" s="85" t="s">
        <v>159</v>
      </c>
      <c r="C522" s="101" t="s">
        <v>14</v>
      </c>
      <c r="D522" s="85"/>
      <c r="E522" s="65" t="s">
        <v>415</v>
      </c>
      <c r="F522" s="125" t="s">
        <v>173</v>
      </c>
      <c r="G522" s="95" t="s">
        <v>174</v>
      </c>
      <c r="I522" s="94">
        <v>80</v>
      </c>
      <c r="J522" s="97">
        <v>97222.22</v>
      </c>
      <c r="K522" s="127">
        <f t="shared" si="101"/>
        <v>7777777.5999999996</v>
      </c>
      <c r="L522" s="127">
        <f t="shared" si="102"/>
        <v>622222.20799999998</v>
      </c>
      <c r="M522" s="257">
        <f t="shared" si="103"/>
        <v>8399999.8080000002</v>
      </c>
      <c r="N522" s="67"/>
      <c r="O522" s="67"/>
      <c r="P522" s="67"/>
      <c r="Q522" s="10">
        <f t="shared" si="100"/>
        <v>8399999.8080000002</v>
      </c>
      <c r="R522" s="65"/>
    </row>
    <row r="523" spans="1:18" s="84" customFormat="1" ht="15.75" hidden="1">
      <c r="A523" s="3" t="s">
        <v>601</v>
      </c>
      <c r="B523" s="76" t="s">
        <v>439</v>
      </c>
      <c r="C523" s="78"/>
      <c r="D523" s="76"/>
      <c r="E523" s="78" t="s">
        <v>421</v>
      </c>
      <c r="F523" s="78"/>
      <c r="G523" s="128"/>
      <c r="I523" s="78"/>
      <c r="J523" s="80"/>
      <c r="K523" s="81"/>
      <c r="L523" s="78"/>
      <c r="M523" s="260"/>
      <c r="N523" s="81">
        <v>50000000</v>
      </c>
      <c r="O523" s="81"/>
      <c r="P523" s="81"/>
      <c r="Q523" s="10">
        <f t="shared" si="100"/>
        <v>-50000000</v>
      </c>
      <c r="R523" s="78"/>
    </row>
    <row r="524" spans="1:18" s="84" customFormat="1" ht="15.75" hidden="1">
      <c r="A524" s="3" t="s">
        <v>601</v>
      </c>
      <c r="B524" s="76">
        <v>46234</v>
      </c>
      <c r="C524" s="78"/>
      <c r="D524" s="76"/>
      <c r="E524" s="78" t="s">
        <v>421</v>
      </c>
      <c r="F524" s="78"/>
      <c r="G524" s="128"/>
      <c r="I524" s="78"/>
      <c r="J524" s="80"/>
      <c r="K524" s="81"/>
      <c r="L524" s="78"/>
      <c r="M524" s="260"/>
      <c r="N524" s="81">
        <v>50000000</v>
      </c>
      <c r="O524" s="81"/>
      <c r="P524" s="81"/>
      <c r="Q524" s="10">
        <f t="shared" si="100"/>
        <v>-50000000</v>
      </c>
      <c r="R524" s="78"/>
    </row>
    <row r="525" spans="1:18" s="87" customFormat="1" ht="15.6" hidden="1" customHeight="1">
      <c r="A525" s="3" t="s">
        <v>601</v>
      </c>
      <c r="B525" s="85" t="s">
        <v>440</v>
      </c>
      <c r="C525" s="101" t="s">
        <v>14</v>
      </c>
      <c r="D525" s="85"/>
      <c r="E525" s="65" t="s">
        <v>415</v>
      </c>
      <c r="F525" s="64" t="s">
        <v>101</v>
      </c>
      <c r="G525" s="89" t="s">
        <v>102</v>
      </c>
      <c r="I525" s="65">
        <v>40</v>
      </c>
      <c r="J525" s="88">
        <v>861111.11</v>
      </c>
      <c r="K525" s="67">
        <f t="shared" si="101"/>
        <v>34444444.399999999</v>
      </c>
      <c r="L525" s="67">
        <f t="shared" ref="L525:L527" si="104">K525*8%</f>
        <v>2755555.5520000001</v>
      </c>
      <c r="M525" s="203">
        <f t="shared" ref="M525:M527" si="105">K525+L525</f>
        <v>37199999.952</v>
      </c>
      <c r="N525" s="67"/>
      <c r="O525" s="67"/>
      <c r="P525" s="67"/>
      <c r="Q525" s="10">
        <f t="shared" si="100"/>
        <v>37199999.952</v>
      </c>
      <c r="R525" s="65"/>
    </row>
    <row r="526" spans="1:18" s="87" customFormat="1" ht="15.6" hidden="1" customHeight="1">
      <c r="A526" s="3" t="s">
        <v>601</v>
      </c>
      <c r="B526" s="85" t="s">
        <v>440</v>
      </c>
      <c r="C526" s="101" t="s">
        <v>14</v>
      </c>
      <c r="D526" s="85"/>
      <c r="E526" s="65" t="s">
        <v>415</v>
      </c>
      <c r="F526" s="64" t="s">
        <v>103</v>
      </c>
      <c r="G526" s="89" t="s">
        <v>104</v>
      </c>
      <c r="I526" s="65">
        <v>18</v>
      </c>
      <c r="J526" s="88">
        <v>675925.93</v>
      </c>
      <c r="K526" s="67">
        <f t="shared" si="101"/>
        <v>12166666.74</v>
      </c>
      <c r="L526" s="67">
        <f t="shared" si="104"/>
        <v>973333.33920000005</v>
      </c>
      <c r="M526" s="203">
        <f t="shared" si="105"/>
        <v>13140000.0792</v>
      </c>
      <c r="N526" s="67"/>
      <c r="O526" s="67"/>
      <c r="P526" s="67"/>
      <c r="Q526" s="10">
        <f t="shared" si="100"/>
        <v>13140000.0792</v>
      </c>
      <c r="R526" s="65"/>
    </row>
    <row r="527" spans="1:18" s="87" customFormat="1" ht="15.6" hidden="1" customHeight="1">
      <c r="A527" s="3" t="s">
        <v>601</v>
      </c>
      <c r="B527" s="85" t="s">
        <v>440</v>
      </c>
      <c r="C527" s="101" t="s">
        <v>14</v>
      </c>
      <c r="D527" s="85"/>
      <c r="E527" s="65" t="s">
        <v>415</v>
      </c>
      <c r="F527" s="65" t="s">
        <v>436</v>
      </c>
      <c r="G527" s="90" t="s">
        <v>63</v>
      </c>
      <c r="I527" s="65">
        <v>18</v>
      </c>
      <c r="J527" s="88">
        <v>0</v>
      </c>
      <c r="K527" s="67">
        <f t="shared" si="101"/>
        <v>0</v>
      </c>
      <c r="L527" s="67">
        <f t="shared" si="104"/>
        <v>0</v>
      </c>
      <c r="M527" s="203">
        <f t="shared" si="105"/>
        <v>0</v>
      </c>
      <c r="N527" s="67"/>
      <c r="O527" s="67"/>
      <c r="P527" s="67"/>
      <c r="Q527" s="10">
        <f t="shared" si="100"/>
        <v>0</v>
      </c>
      <c r="R527" s="65"/>
    </row>
    <row r="528" spans="1:18" s="72" customFormat="1" ht="15.75" hidden="1">
      <c r="A528" s="3" t="s">
        <v>602</v>
      </c>
      <c r="B528" s="159" t="s">
        <v>140</v>
      </c>
      <c r="C528" s="160" t="s">
        <v>441</v>
      </c>
      <c r="D528" s="159">
        <v>46116</v>
      </c>
      <c r="E528" s="161" t="s">
        <v>442</v>
      </c>
      <c r="F528" s="161" t="s">
        <v>204</v>
      </c>
      <c r="G528" s="161" t="s">
        <v>269</v>
      </c>
      <c r="H528" s="161" t="s">
        <v>277</v>
      </c>
      <c r="I528" s="162">
        <v>2</v>
      </c>
      <c r="J528" s="163">
        <v>480555.56</v>
      </c>
      <c r="K528" s="164">
        <f>I528*J528</f>
        <v>961111.12</v>
      </c>
      <c r="L528" s="164">
        <f>K528*8%</f>
        <v>76888.889599999995</v>
      </c>
      <c r="M528" s="262">
        <f>K528+L528</f>
        <v>1038000.0096</v>
      </c>
      <c r="N528" s="165"/>
      <c r="O528" s="165"/>
      <c r="P528" s="165"/>
      <c r="Q528" s="10">
        <f t="shared" si="100"/>
        <v>1038000.0096</v>
      </c>
      <c r="R528" s="37"/>
    </row>
    <row r="529" spans="1:18" s="72" customFormat="1" ht="15.75" hidden="1">
      <c r="A529" s="3" t="s">
        <v>602</v>
      </c>
      <c r="B529" s="159" t="s">
        <v>140</v>
      </c>
      <c r="C529" s="160" t="s">
        <v>441</v>
      </c>
      <c r="D529" s="159">
        <v>46116</v>
      </c>
      <c r="E529" s="161" t="s">
        <v>442</v>
      </c>
      <c r="F529" s="161" t="s">
        <v>208</v>
      </c>
      <c r="G529" s="161" t="s">
        <v>209</v>
      </c>
      <c r="H529" s="161" t="s">
        <v>277</v>
      </c>
      <c r="I529" s="162">
        <v>2</v>
      </c>
      <c r="J529" s="163">
        <v>647222.22</v>
      </c>
      <c r="K529" s="164">
        <f t="shared" ref="K529:K552" si="106">I529*J529</f>
        <v>1294444.44</v>
      </c>
      <c r="L529" s="164">
        <f t="shared" ref="L529:L544" si="107">K529*8%</f>
        <v>103555.5552</v>
      </c>
      <c r="M529" s="262">
        <f t="shared" ref="M529:M552" si="108">K529+L529</f>
        <v>1397999.9952</v>
      </c>
      <c r="N529" s="165"/>
      <c r="O529" s="165"/>
      <c r="P529" s="165"/>
      <c r="Q529" s="10">
        <f t="shared" si="100"/>
        <v>1397999.9952</v>
      </c>
      <c r="R529" s="37"/>
    </row>
    <row r="530" spans="1:18" s="72" customFormat="1" ht="15.75" hidden="1">
      <c r="A530" s="3" t="s">
        <v>602</v>
      </c>
      <c r="B530" s="159" t="s">
        <v>140</v>
      </c>
      <c r="C530" s="160" t="s">
        <v>441</v>
      </c>
      <c r="D530" s="159">
        <v>46116</v>
      </c>
      <c r="E530" s="161" t="s">
        <v>442</v>
      </c>
      <c r="F530" s="161" t="s">
        <v>77</v>
      </c>
      <c r="G530" s="161" t="s">
        <v>78</v>
      </c>
      <c r="H530" s="161" t="s">
        <v>277</v>
      </c>
      <c r="I530" s="162">
        <v>10</v>
      </c>
      <c r="J530" s="163">
        <v>324074.07</v>
      </c>
      <c r="K530" s="164">
        <f t="shared" si="106"/>
        <v>3240740.7</v>
      </c>
      <c r="L530" s="164">
        <f t="shared" si="107"/>
        <v>259259.25600000002</v>
      </c>
      <c r="M530" s="262">
        <f t="shared" si="108"/>
        <v>3499999.9560000002</v>
      </c>
      <c r="N530" s="165"/>
      <c r="O530" s="165"/>
      <c r="P530" s="165"/>
      <c r="Q530" s="10">
        <f t="shared" si="100"/>
        <v>3499999.9560000002</v>
      </c>
      <c r="R530" s="37"/>
    </row>
    <row r="531" spans="1:18" s="72" customFormat="1" ht="15.75" hidden="1">
      <c r="A531" s="3" t="s">
        <v>602</v>
      </c>
      <c r="B531" s="159" t="s">
        <v>140</v>
      </c>
      <c r="C531" s="160" t="s">
        <v>441</v>
      </c>
      <c r="D531" s="159">
        <v>46116</v>
      </c>
      <c r="E531" s="161" t="s">
        <v>442</v>
      </c>
      <c r="F531" s="161" t="s">
        <v>80</v>
      </c>
      <c r="G531" s="161" t="s">
        <v>81</v>
      </c>
      <c r="H531" s="161" t="s">
        <v>113</v>
      </c>
      <c r="I531" s="162">
        <v>6</v>
      </c>
      <c r="J531" s="163">
        <v>824074.07</v>
      </c>
      <c r="K531" s="164">
        <f t="shared" si="106"/>
        <v>4944444.42</v>
      </c>
      <c r="L531" s="164">
        <f t="shared" si="107"/>
        <v>395555.55359999998</v>
      </c>
      <c r="M531" s="262">
        <f t="shared" si="108"/>
        <v>5339999.9736000001</v>
      </c>
      <c r="N531" s="165"/>
      <c r="O531" s="165"/>
      <c r="P531" s="165"/>
      <c r="Q531" s="10">
        <f t="shared" si="100"/>
        <v>5339999.9736000001</v>
      </c>
      <c r="R531" s="37"/>
    </row>
    <row r="532" spans="1:18" s="72" customFormat="1" ht="15.75" hidden="1">
      <c r="A532" s="3" t="s">
        <v>602</v>
      </c>
      <c r="B532" s="159" t="s">
        <v>140</v>
      </c>
      <c r="C532" s="160" t="s">
        <v>441</v>
      </c>
      <c r="D532" s="159">
        <v>46116</v>
      </c>
      <c r="E532" s="161" t="s">
        <v>442</v>
      </c>
      <c r="F532" s="161" t="s">
        <v>21</v>
      </c>
      <c r="G532" s="161" t="s">
        <v>22</v>
      </c>
      <c r="H532" s="161" t="s">
        <v>113</v>
      </c>
      <c r="I532" s="162">
        <v>6</v>
      </c>
      <c r="J532" s="163">
        <v>937962.96</v>
      </c>
      <c r="K532" s="164">
        <f t="shared" si="106"/>
        <v>5627777.7599999998</v>
      </c>
      <c r="L532" s="164">
        <f t="shared" si="107"/>
        <v>450222.22080000001</v>
      </c>
      <c r="M532" s="262">
        <f t="shared" si="108"/>
        <v>6077999.9808</v>
      </c>
      <c r="N532" s="165"/>
      <c r="O532" s="165"/>
      <c r="P532" s="165"/>
      <c r="Q532" s="10">
        <f t="shared" si="100"/>
        <v>6077999.9808</v>
      </c>
      <c r="R532" s="37"/>
    </row>
    <row r="533" spans="1:18" s="72" customFormat="1" ht="15.75" hidden="1">
      <c r="A533" s="3" t="s">
        <v>602</v>
      </c>
      <c r="B533" s="159" t="s">
        <v>140</v>
      </c>
      <c r="C533" s="160" t="s">
        <v>441</v>
      </c>
      <c r="D533" s="159">
        <v>46116</v>
      </c>
      <c r="E533" s="161" t="s">
        <v>442</v>
      </c>
      <c r="F533" s="161" t="s">
        <v>30</v>
      </c>
      <c r="G533" s="161" t="s">
        <v>31</v>
      </c>
      <c r="H533" s="161" t="s">
        <v>113</v>
      </c>
      <c r="I533" s="162">
        <v>20</v>
      </c>
      <c r="J533" s="163">
        <v>259259.26</v>
      </c>
      <c r="K533" s="164">
        <f t="shared" si="106"/>
        <v>5185185.2</v>
      </c>
      <c r="L533" s="164">
        <f t="shared" si="107"/>
        <v>414814.81600000005</v>
      </c>
      <c r="M533" s="262">
        <f t="shared" si="108"/>
        <v>5600000.0159999998</v>
      </c>
      <c r="N533" s="165"/>
      <c r="O533" s="165"/>
      <c r="P533" s="165"/>
      <c r="Q533" s="10">
        <f t="shared" si="100"/>
        <v>5600000.0159999998</v>
      </c>
      <c r="R533" s="37"/>
    </row>
    <row r="534" spans="1:18" s="72" customFormat="1" ht="15.75" hidden="1">
      <c r="A534" s="3" t="s">
        <v>602</v>
      </c>
      <c r="B534" s="159" t="s">
        <v>140</v>
      </c>
      <c r="C534" s="160" t="s">
        <v>441</v>
      </c>
      <c r="D534" s="159">
        <v>46116</v>
      </c>
      <c r="E534" s="161" t="s">
        <v>442</v>
      </c>
      <c r="F534" s="161" t="s">
        <v>38</v>
      </c>
      <c r="G534" s="161" t="s">
        <v>39</v>
      </c>
      <c r="H534" s="161" t="s">
        <v>113</v>
      </c>
      <c r="I534" s="162">
        <v>30</v>
      </c>
      <c r="J534" s="163">
        <v>277777.78000000003</v>
      </c>
      <c r="K534" s="164">
        <f t="shared" si="106"/>
        <v>8333333.4000000004</v>
      </c>
      <c r="L534" s="164">
        <f t="shared" si="107"/>
        <v>666666.67200000002</v>
      </c>
      <c r="M534" s="262">
        <f t="shared" si="108"/>
        <v>9000000.0720000006</v>
      </c>
      <c r="N534" s="165"/>
      <c r="O534" s="165"/>
      <c r="P534" s="165"/>
      <c r="Q534" s="10">
        <f t="shared" si="100"/>
        <v>9000000.0720000006</v>
      </c>
      <c r="R534" s="37"/>
    </row>
    <row r="535" spans="1:18" s="72" customFormat="1" ht="15.75" hidden="1">
      <c r="A535" s="3" t="s">
        <v>602</v>
      </c>
      <c r="B535" s="159" t="s">
        <v>140</v>
      </c>
      <c r="C535" s="160" t="s">
        <v>441</v>
      </c>
      <c r="D535" s="159">
        <v>46116</v>
      </c>
      <c r="E535" s="161" t="s">
        <v>442</v>
      </c>
      <c r="F535" s="161" t="s">
        <v>42</v>
      </c>
      <c r="G535" s="161" t="s">
        <v>43</v>
      </c>
      <c r="H535" s="161" t="s">
        <v>113</v>
      </c>
      <c r="I535" s="162">
        <v>6</v>
      </c>
      <c r="J535" s="163">
        <v>569444.43999999994</v>
      </c>
      <c r="K535" s="164">
        <f t="shared" si="106"/>
        <v>3416666.6399999997</v>
      </c>
      <c r="L535" s="164">
        <f t="shared" si="107"/>
        <v>273333.33119999996</v>
      </c>
      <c r="M535" s="262">
        <f t="shared" si="108"/>
        <v>3689999.9711999996</v>
      </c>
      <c r="N535" s="165"/>
      <c r="O535" s="165"/>
      <c r="P535" s="165"/>
      <c r="Q535" s="10">
        <f t="shared" si="100"/>
        <v>3689999.9711999996</v>
      </c>
      <c r="R535" s="37"/>
    </row>
    <row r="536" spans="1:18" s="72" customFormat="1" ht="15.75" hidden="1">
      <c r="A536" s="3" t="s">
        <v>602</v>
      </c>
      <c r="B536" s="159" t="s">
        <v>140</v>
      </c>
      <c r="C536" s="160" t="s">
        <v>441</v>
      </c>
      <c r="D536" s="159">
        <v>46116</v>
      </c>
      <c r="E536" s="161" t="s">
        <v>442</v>
      </c>
      <c r="F536" s="161" t="s">
        <v>44</v>
      </c>
      <c r="G536" s="161" t="s">
        <v>45</v>
      </c>
      <c r="H536" s="161" t="s">
        <v>113</v>
      </c>
      <c r="I536" s="162">
        <v>6</v>
      </c>
      <c r="J536" s="163">
        <v>564814.81000000006</v>
      </c>
      <c r="K536" s="164">
        <f t="shared" si="106"/>
        <v>3388888.8600000003</v>
      </c>
      <c r="L536" s="164">
        <f t="shared" si="107"/>
        <v>271111.10880000005</v>
      </c>
      <c r="M536" s="262">
        <f t="shared" si="108"/>
        <v>3659999.9688000004</v>
      </c>
      <c r="N536" s="165"/>
      <c r="O536" s="165"/>
      <c r="P536" s="165"/>
      <c r="Q536" s="10">
        <f t="shared" si="100"/>
        <v>3659999.9688000004</v>
      </c>
      <c r="R536" s="37"/>
    </row>
    <row r="537" spans="1:18" s="72" customFormat="1" ht="15.75" hidden="1">
      <c r="A537" s="3" t="s">
        <v>602</v>
      </c>
      <c r="B537" s="159" t="s">
        <v>140</v>
      </c>
      <c r="C537" s="160" t="s">
        <v>441</v>
      </c>
      <c r="D537" s="159">
        <v>46116</v>
      </c>
      <c r="E537" s="161" t="s">
        <v>442</v>
      </c>
      <c r="F537" s="161" t="s">
        <v>148</v>
      </c>
      <c r="G537" s="161" t="s">
        <v>149</v>
      </c>
      <c r="H537" s="161" t="s">
        <v>113</v>
      </c>
      <c r="I537" s="162">
        <v>6</v>
      </c>
      <c r="J537" s="163">
        <v>358333.33</v>
      </c>
      <c r="K537" s="164">
        <f t="shared" si="106"/>
        <v>2149999.98</v>
      </c>
      <c r="L537" s="164">
        <f t="shared" si="107"/>
        <v>171999.99840000001</v>
      </c>
      <c r="M537" s="262">
        <f t="shared" si="108"/>
        <v>2321999.9783999999</v>
      </c>
      <c r="N537" s="165"/>
      <c r="O537" s="165"/>
      <c r="P537" s="165"/>
      <c r="Q537" s="10">
        <f t="shared" si="100"/>
        <v>2321999.9783999999</v>
      </c>
      <c r="R537" s="37"/>
    </row>
    <row r="538" spans="1:18" s="72" customFormat="1" ht="15.75" hidden="1">
      <c r="A538" s="3" t="s">
        <v>602</v>
      </c>
      <c r="B538" s="159" t="s">
        <v>140</v>
      </c>
      <c r="C538" s="160" t="s">
        <v>441</v>
      </c>
      <c r="D538" s="159">
        <v>46116</v>
      </c>
      <c r="E538" s="161" t="s">
        <v>442</v>
      </c>
      <c r="F538" s="161" t="s">
        <v>192</v>
      </c>
      <c r="G538" s="161" t="s">
        <v>193</v>
      </c>
      <c r="H538" s="161" t="s">
        <v>113</v>
      </c>
      <c r="I538" s="162">
        <v>6</v>
      </c>
      <c r="J538" s="163">
        <v>398148.15</v>
      </c>
      <c r="K538" s="164">
        <f t="shared" si="106"/>
        <v>2388888.9000000004</v>
      </c>
      <c r="L538" s="164">
        <f t="shared" si="107"/>
        <v>191111.11200000002</v>
      </c>
      <c r="M538" s="262">
        <f t="shared" si="108"/>
        <v>2580000.0120000006</v>
      </c>
      <c r="N538" s="165"/>
      <c r="O538" s="165"/>
      <c r="P538" s="165"/>
      <c r="Q538" s="10">
        <f t="shared" si="100"/>
        <v>2580000.0120000006</v>
      </c>
      <c r="R538" s="37"/>
    </row>
    <row r="539" spans="1:18" s="72" customFormat="1" ht="15.75" hidden="1">
      <c r="A539" s="3" t="s">
        <v>602</v>
      </c>
      <c r="B539" s="159" t="s">
        <v>140</v>
      </c>
      <c r="C539" s="160" t="s">
        <v>441</v>
      </c>
      <c r="D539" s="159">
        <v>46116</v>
      </c>
      <c r="E539" s="161" t="s">
        <v>442</v>
      </c>
      <c r="F539" s="161" t="s">
        <v>16</v>
      </c>
      <c r="G539" s="161" t="s">
        <v>17</v>
      </c>
      <c r="H539" s="161" t="s">
        <v>113</v>
      </c>
      <c r="I539" s="162">
        <v>4</v>
      </c>
      <c r="J539" s="163">
        <v>851851.85</v>
      </c>
      <c r="K539" s="164">
        <f t="shared" si="106"/>
        <v>3407407.4</v>
      </c>
      <c r="L539" s="164">
        <f t="shared" si="107"/>
        <v>272592.592</v>
      </c>
      <c r="M539" s="262">
        <f t="shared" si="108"/>
        <v>3679999.9920000001</v>
      </c>
      <c r="N539" s="165"/>
      <c r="O539" s="165"/>
      <c r="P539" s="165"/>
      <c r="Q539" s="10">
        <f t="shared" si="100"/>
        <v>3679999.9920000001</v>
      </c>
      <c r="R539" s="37"/>
    </row>
    <row r="540" spans="1:18" s="72" customFormat="1" ht="15.75" hidden="1">
      <c r="A540" s="3" t="s">
        <v>602</v>
      </c>
      <c r="B540" s="159" t="s">
        <v>140</v>
      </c>
      <c r="C540" s="160" t="s">
        <v>441</v>
      </c>
      <c r="D540" s="159">
        <v>46116</v>
      </c>
      <c r="E540" s="161" t="s">
        <v>442</v>
      </c>
      <c r="F540" s="161" t="s">
        <v>74</v>
      </c>
      <c r="G540" s="161" t="s">
        <v>141</v>
      </c>
      <c r="H540" s="161" t="s">
        <v>113</v>
      </c>
      <c r="I540" s="162">
        <v>8</v>
      </c>
      <c r="J540" s="163">
        <v>361111.11</v>
      </c>
      <c r="K540" s="164">
        <f t="shared" si="106"/>
        <v>2888888.88</v>
      </c>
      <c r="L540" s="164">
        <f t="shared" si="107"/>
        <v>231111.11040000001</v>
      </c>
      <c r="M540" s="262">
        <f t="shared" si="108"/>
        <v>3119999.9904</v>
      </c>
      <c r="N540" s="165"/>
      <c r="O540" s="165"/>
      <c r="P540" s="165"/>
      <c r="Q540" s="10">
        <f t="shared" si="100"/>
        <v>3119999.9904</v>
      </c>
      <c r="R540" s="37"/>
    </row>
    <row r="541" spans="1:18" s="72" customFormat="1" ht="15.75" hidden="1">
      <c r="A541" s="3" t="s">
        <v>602</v>
      </c>
      <c r="B541" s="159" t="s">
        <v>140</v>
      </c>
      <c r="C541" s="160" t="s">
        <v>441</v>
      </c>
      <c r="D541" s="159">
        <v>46116</v>
      </c>
      <c r="E541" s="161" t="s">
        <v>442</v>
      </c>
      <c r="F541" s="161" t="s">
        <v>127</v>
      </c>
      <c r="G541" s="161" t="s">
        <v>128</v>
      </c>
      <c r="H541" s="161" t="s">
        <v>113</v>
      </c>
      <c r="I541" s="162">
        <v>24</v>
      </c>
      <c r="J541" s="163">
        <v>284259.26</v>
      </c>
      <c r="K541" s="164">
        <f t="shared" si="106"/>
        <v>6822222.2400000002</v>
      </c>
      <c r="L541" s="164">
        <f t="shared" si="107"/>
        <v>545777.77919999999</v>
      </c>
      <c r="M541" s="262">
        <f t="shared" si="108"/>
        <v>7368000.0192</v>
      </c>
      <c r="N541" s="165"/>
      <c r="O541" s="165"/>
      <c r="P541" s="165"/>
      <c r="Q541" s="10">
        <f t="shared" si="100"/>
        <v>7368000.0192</v>
      </c>
      <c r="R541" s="37"/>
    </row>
    <row r="542" spans="1:18" s="72" customFormat="1" ht="15.75" hidden="1">
      <c r="A542" s="3" t="s">
        <v>602</v>
      </c>
      <c r="B542" s="159" t="s">
        <v>140</v>
      </c>
      <c r="C542" s="160" t="s">
        <v>441</v>
      </c>
      <c r="D542" s="159">
        <v>46116</v>
      </c>
      <c r="E542" s="161" t="s">
        <v>442</v>
      </c>
      <c r="F542" s="161" t="s">
        <v>424</v>
      </c>
      <c r="G542" s="161" t="s">
        <v>425</v>
      </c>
      <c r="H542" s="161" t="s">
        <v>443</v>
      </c>
      <c r="I542" s="162">
        <v>1</v>
      </c>
      <c r="J542" s="163">
        <v>882407.41</v>
      </c>
      <c r="K542" s="164">
        <f t="shared" si="106"/>
        <v>882407.41</v>
      </c>
      <c r="L542" s="164">
        <f t="shared" si="107"/>
        <v>70592.592799999999</v>
      </c>
      <c r="M542" s="262">
        <f t="shared" si="108"/>
        <v>953000.00280000002</v>
      </c>
      <c r="N542" s="165"/>
      <c r="O542" s="165"/>
      <c r="P542" s="165"/>
      <c r="Q542" s="10">
        <f t="shared" si="100"/>
        <v>953000.00280000002</v>
      </c>
      <c r="R542" s="37"/>
    </row>
    <row r="543" spans="1:18" s="72" customFormat="1" ht="15.75" hidden="1">
      <c r="A543" s="3" t="s">
        <v>602</v>
      </c>
      <c r="B543" s="159" t="s">
        <v>140</v>
      </c>
      <c r="C543" s="160" t="s">
        <v>441</v>
      </c>
      <c r="D543" s="159">
        <v>46116</v>
      </c>
      <c r="E543" s="161" t="s">
        <v>442</v>
      </c>
      <c r="F543" s="161" t="s">
        <v>444</v>
      </c>
      <c r="G543" s="161" t="s">
        <v>445</v>
      </c>
      <c r="H543" s="161" t="s">
        <v>113</v>
      </c>
      <c r="I543" s="162">
        <v>4</v>
      </c>
      <c r="J543" s="163">
        <v>601851.85</v>
      </c>
      <c r="K543" s="164">
        <f t="shared" si="106"/>
        <v>2407407.4</v>
      </c>
      <c r="L543" s="164">
        <f t="shared" si="107"/>
        <v>192592.592</v>
      </c>
      <c r="M543" s="262">
        <f t="shared" si="108"/>
        <v>2599999.9920000001</v>
      </c>
      <c r="N543" s="165"/>
      <c r="O543" s="165"/>
      <c r="P543" s="165"/>
      <c r="Q543" s="10">
        <f t="shared" si="100"/>
        <v>2599999.9920000001</v>
      </c>
      <c r="R543" s="37"/>
    </row>
    <row r="544" spans="1:18" s="72" customFormat="1" ht="15.75" hidden="1">
      <c r="A544" s="3" t="s">
        <v>602</v>
      </c>
      <c r="B544" s="159" t="s">
        <v>140</v>
      </c>
      <c r="C544" s="160" t="s">
        <v>441</v>
      </c>
      <c r="D544" s="159">
        <v>46116</v>
      </c>
      <c r="E544" s="161" t="s">
        <v>442</v>
      </c>
      <c r="F544" s="161" t="s">
        <v>28</v>
      </c>
      <c r="G544" s="161" t="s">
        <v>29</v>
      </c>
      <c r="H544" s="161" t="s">
        <v>113</v>
      </c>
      <c r="I544" s="162">
        <v>2</v>
      </c>
      <c r="J544" s="163">
        <v>281481.48</v>
      </c>
      <c r="K544" s="164">
        <f t="shared" si="106"/>
        <v>562962.96</v>
      </c>
      <c r="L544" s="164">
        <f t="shared" si="107"/>
        <v>45037.036799999994</v>
      </c>
      <c r="M544" s="262">
        <f t="shared" si="108"/>
        <v>607999.99679999996</v>
      </c>
      <c r="N544" s="165"/>
      <c r="O544" s="165"/>
      <c r="P544" s="165"/>
      <c r="Q544" s="10">
        <f t="shared" si="100"/>
        <v>607999.99679999996</v>
      </c>
      <c r="R544" s="37"/>
    </row>
    <row r="545" spans="1:19" s="72" customFormat="1" ht="15.75" hidden="1">
      <c r="A545" s="3" t="s">
        <v>602</v>
      </c>
      <c r="B545" s="159" t="s">
        <v>140</v>
      </c>
      <c r="C545" s="160" t="s">
        <v>441</v>
      </c>
      <c r="D545" s="159">
        <v>46116</v>
      </c>
      <c r="E545" s="161" t="s">
        <v>442</v>
      </c>
      <c r="F545" s="161" t="s">
        <v>56</v>
      </c>
      <c r="G545" s="161" t="s">
        <v>57</v>
      </c>
      <c r="H545" s="161" t="s">
        <v>113</v>
      </c>
      <c r="I545" s="162">
        <v>24</v>
      </c>
      <c r="J545" s="163">
        <v>325925.93</v>
      </c>
      <c r="K545" s="164">
        <f t="shared" si="106"/>
        <v>7822222.3200000003</v>
      </c>
      <c r="L545" s="164">
        <f>K545*8%</f>
        <v>625777.78560000006</v>
      </c>
      <c r="M545" s="262">
        <f t="shared" si="108"/>
        <v>8448000.1055999994</v>
      </c>
      <c r="N545" s="165"/>
      <c r="O545" s="165"/>
      <c r="P545" s="165"/>
      <c r="Q545" s="10">
        <f t="shared" si="100"/>
        <v>8448000.1055999994</v>
      </c>
      <c r="R545" s="37"/>
    </row>
    <row r="546" spans="1:19" s="87" customFormat="1" ht="15.75" hidden="1">
      <c r="A546" s="3" t="s">
        <v>602</v>
      </c>
      <c r="B546" s="166" t="s">
        <v>140</v>
      </c>
      <c r="C546" s="167" t="s">
        <v>335</v>
      </c>
      <c r="D546" s="36"/>
      <c r="E546" s="38" t="s">
        <v>442</v>
      </c>
      <c r="F546" s="38" t="s">
        <v>83</v>
      </c>
      <c r="G546" s="38" t="s">
        <v>84</v>
      </c>
      <c r="H546" s="38" t="s">
        <v>113</v>
      </c>
      <c r="I546" s="168">
        <v>4</v>
      </c>
      <c r="J546" s="169">
        <v>1097222.22</v>
      </c>
      <c r="K546" s="170">
        <f>I546*J546</f>
        <v>4388888.88</v>
      </c>
      <c r="L546" s="170">
        <f>K546*8%</f>
        <v>351111.11040000001</v>
      </c>
      <c r="M546" s="263">
        <f>K546+L546</f>
        <v>4739999.9903999995</v>
      </c>
      <c r="N546" s="165"/>
      <c r="O546" s="165"/>
      <c r="P546" s="165"/>
      <c r="Q546" s="10">
        <f t="shared" si="100"/>
        <v>4739999.9903999995</v>
      </c>
      <c r="R546" s="37"/>
    </row>
    <row r="547" spans="1:19" s="241" customFormat="1" ht="15.75" hidden="1">
      <c r="A547" s="3" t="s">
        <v>602</v>
      </c>
      <c r="B547" s="171">
        <v>46026</v>
      </c>
      <c r="C547" s="172"/>
      <c r="D547" s="173"/>
      <c r="E547" s="174" t="s">
        <v>446</v>
      </c>
      <c r="F547" s="31"/>
      <c r="G547" s="31"/>
      <c r="H547" s="31"/>
      <c r="I547" s="175"/>
      <c r="J547" s="176"/>
      <c r="K547" s="177"/>
      <c r="L547" s="177"/>
      <c r="M547" s="178"/>
      <c r="O547" s="178"/>
      <c r="P547" s="178">
        <v>757230</v>
      </c>
      <c r="Q547" s="10">
        <f t="shared" si="100"/>
        <v>-757230</v>
      </c>
      <c r="R547" s="35"/>
    </row>
    <row r="548" spans="1:19" s="241" customFormat="1" ht="15.75" hidden="1">
      <c r="A548" s="3" t="s">
        <v>602</v>
      </c>
      <c r="B548" s="171">
        <v>46085</v>
      </c>
      <c r="C548" s="172"/>
      <c r="D548" s="173"/>
      <c r="E548" s="31" t="s">
        <v>447</v>
      </c>
      <c r="F548" s="31"/>
      <c r="G548" s="31"/>
      <c r="H548" s="31"/>
      <c r="I548" s="175"/>
      <c r="J548" s="176"/>
      <c r="K548" s="176"/>
      <c r="L548" s="179"/>
      <c r="M548" s="178"/>
      <c r="N548" s="178">
        <v>40000000</v>
      </c>
      <c r="O548" s="178"/>
      <c r="P548" s="178"/>
      <c r="Q548" s="10">
        <f t="shared" si="100"/>
        <v>-40000000</v>
      </c>
      <c r="R548" s="35"/>
    </row>
    <row r="549" spans="1:19" s="87" customFormat="1" ht="15.75" hidden="1">
      <c r="A549" s="3" t="s">
        <v>602</v>
      </c>
      <c r="B549" s="166">
        <v>46177</v>
      </c>
      <c r="C549" s="180" t="s">
        <v>448</v>
      </c>
      <c r="D549" s="36">
        <v>46088</v>
      </c>
      <c r="E549" s="38" t="s">
        <v>442</v>
      </c>
      <c r="F549" s="38" t="s">
        <v>194</v>
      </c>
      <c r="G549" s="38" t="s">
        <v>276</v>
      </c>
      <c r="H549" s="38" t="s">
        <v>113</v>
      </c>
      <c r="I549" s="168">
        <v>5</v>
      </c>
      <c r="J549" s="169">
        <v>1203703</v>
      </c>
      <c r="K549" s="170">
        <f t="shared" si="106"/>
        <v>6018515</v>
      </c>
      <c r="L549" s="170">
        <f t="shared" ref="L549:L552" si="109">K549*8%</f>
        <v>481481.2</v>
      </c>
      <c r="M549" s="263">
        <f t="shared" si="108"/>
        <v>6499996.2000000002</v>
      </c>
      <c r="N549" s="165"/>
      <c r="O549" s="165"/>
      <c r="P549" s="165"/>
      <c r="Q549" s="10">
        <f t="shared" si="100"/>
        <v>6499996.2000000002</v>
      </c>
      <c r="R549" s="37"/>
    </row>
    <row r="550" spans="1:19" s="87" customFormat="1" ht="15.75" hidden="1">
      <c r="A550" s="3" t="s">
        <v>602</v>
      </c>
      <c r="B550" s="166">
        <v>46177</v>
      </c>
      <c r="C550" s="180" t="s">
        <v>448</v>
      </c>
      <c r="D550" s="36">
        <v>46088</v>
      </c>
      <c r="E550" s="38" t="s">
        <v>442</v>
      </c>
      <c r="F550" s="38" t="s">
        <v>58</v>
      </c>
      <c r="G550" s="38" t="s">
        <v>278</v>
      </c>
      <c r="H550" s="38" t="s">
        <v>113</v>
      </c>
      <c r="I550" s="168">
        <v>5</v>
      </c>
      <c r="J550" s="169">
        <v>1361111</v>
      </c>
      <c r="K550" s="170">
        <f t="shared" si="106"/>
        <v>6805555</v>
      </c>
      <c r="L550" s="170">
        <f t="shared" si="109"/>
        <v>544444.4</v>
      </c>
      <c r="M550" s="263">
        <f t="shared" si="108"/>
        <v>7349999.4000000004</v>
      </c>
      <c r="N550" s="165"/>
      <c r="O550" s="165"/>
      <c r="P550" s="165"/>
      <c r="Q550" s="10">
        <f t="shared" si="100"/>
        <v>7349999.4000000004</v>
      </c>
      <c r="R550" s="37"/>
    </row>
    <row r="551" spans="1:19" s="87" customFormat="1" ht="15.75" hidden="1">
      <c r="A551" s="3" t="s">
        <v>602</v>
      </c>
      <c r="B551" s="166" t="s">
        <v>449</v>
      </c>
      <c r="C551" s="167" t="s">
        <v>335</v>
      </c>
      <c r="D551" s="36"/>
      <c r="E551" s="38" t="s">
        <v>442</v>
      </c>
      <c r="F551" s="38" t="s">
        <v>90</v>
      </c>
      <c r="G551" s="38" t="s">
        <v>91</v>
      </c>
      <c r="H551" s="38" t="s">
        <v>18</v>
      </c>
      <c r="I551" s="168">
        <v>10</v>
      </c>
      <c r="J551" s="169">
        <v>814814.81</v>
      </c>
      <c r="K551" s="170">
        <f t="shared" si="106"/>
        <v>8148148.1000000006</v>
      </c>
      <c r="L551" s="170">
        <f t="shared" si="109"/>
        <v>651851.84800000011</v>
      </c>
      <c r="M551" s="263">
        <f t="shared" si="108"/>
        <v>8799999.9480000008</v>
      </c>
      <c r="N551" s="165"/>
      <c r="O551" s="165"/>
      <c r="P551" s="165"/>
      <c r="Q551" s="10">
        <f t="shared" si="100"/>
        <v>8799999.9480000008</v>
      </c>
      <c r="R551" s="37"/>
    </row>
    <row r="552" spans="1:19" s="87" customFormat="1" ht="15.75" hidden="1">
      <c r="A552" s="3" t="s">
        <v>602</v>
      </c>
      <c r="B552" s="166" t="s">
        <v>449</v>
      </c>
      <c r="C552" s="167" t="s">
        <v>335</v>
      </c>
      <c r="D552" s="36"/>
      <c r="E552" s="38" t="s">
        <v>442</v>
      </c>
      <c r="F552" s="38" t="s">
        <v>93</v>
      </c>
      <c r="G552" s="38" t="s">
        <v>94</v>
      </c>
      <c r="H552" s="38" t="s">
        <v>18</v>
      </c>
      <c r="I552" s="168">
        <v>10</v>
      </c>
      <c r="J552" s="169">
        <v>907407.4</v>
      </c>
      <c r="K552" s="170">
        <f t="shared" si="106"/>
        <v>9074074</v>
      </c>
      <c r="L552" s="170">
        <f t="shared" si="109"/>
        <v>725925.92</v>
      </c>
      <c r="M552" s="263">
        <f t="shared" si="108"/>
        <v>9799999.9199999999</v>
      </c>
      <c r="N552" s="165"/>
      <c r="O552" s="165"/>
      <c r="P552" s="165"/>
      <c r="Q552" s="10">
        <f t="shared" si="100"/>
        <v>9799999.9199999999</v>
      </c>
      <c r="R552" s="37"/>
    </row>
    <row r="553" spans="1:19" s="241" customFormat="1" ht="15.75" hidden="1">
      <c r="A553" s="3" t="s">
        <v>602</v>
      </c>
      <c r="B553" s="171" t="s">
        <v>254</v>
      </c>
      <c r="C553" s="172"/>
      <c r="D553" s="173"/>
      <c r="E553" s="31" t="s">
        <v>447</v>
      </c>
      <c r="F553" s="31"/>
      <c r="G553" s="31"/>
      <c r="H553" s="31"/>
      <c r="I553" s="175"/>
      <c r="J553" s="176"/>
      <c r="K553" s="176"/>
      <c r="L553" s="179"/>
      <c r="M553" s="178"/>
      <c r="N553" s="178">
        <v>30000000</v>
      </c>
      <c r="O553" s="178"/>
      <c r="P553" s="178"/>
      <c r="Q553" s="10">
        <f t="shared" si="100"/>
        <v>-30000000</v>
      </c>
      <c r="R553" s="35"/>
    </row>
    <row r="554" spans="1:19" s="65" customFormat="1" ht="15.75" hidden="1">
      <c r="A554" s="3" t="s">
        <v>603</v>
      </c>
      <c r="B554" s="63">
        <v>46302</v>
      </c>
      <c r="C554" s="181" t="s">
        <v>450</v>
      </c>
      <c r="D554" s="181" t="s">
        <v>451</v>
      </c>
      <c r="E554" s="65" t="s">
        <v>452</v>
      </c>
      <c r="F554" s="65" t="s">
        <v>148</v>
      </c>
      <c r="G554" s="65" t="s">
        <v>149</v>
      </c>
      <c r="H554" s="68" t="s">
        <v>18</v>
      </c>
      <c r="I554" s="68">
        <v>1</v>
      </c>
      <c r="J554" s="67">
        <v>358333.33</v>
      </c>
      <c r="K554" s="67">
        <f t="shared" ref="K554:K565" si="110">I554*J554</f>
        <v>358333.33</v>
      </c>
      <c r="L554" s="67">
        <f t="shared" ref="L554:L565" si="111">K554*8%</f>
        <v>28666.666400000002</v>
      </c>
      <c r="M554" s="203">
        <f t="shared" ref="M554:M565" si="112">K554+L554</f>
        <v>386999.9964</v>
      </c>
      <c r="N554" s="46"/>
      <c r="O554" s="46"/>
      <c r="P554" s="46"/>
      <c r="Q554" s="10">
        <f t="shared" si="100"/>
        <v>386999.9964</v>
      </c>
      <c r="R554" s="46"/>
      <c r="S554" s="67"/>
    </row>
    <row r="555" spans="1:19" s="65" customFormat="1" ht="15.75" hidden="1">
      <c r="A555" s="3" t="s">
        <v>603</v>
      </c>
      <c r="B555" s="63">
        <v>46302</v>
      </c>
      <c r="C555" s="181" t="s">
        <v>450</v>
      </c>
      <c r="D555" s="181" t="s">
        <v>451</v>
      </c>
      <c r="E555" s="65" t="s">
        <v>452</v>
      </c>
      <c r="F555" s="65" t="s">
        <v>192</v>
      </c>
      <c r="G555" s="65" t="s">
        <v>193</v>
      </c>
      <c r="H555" s="68" t="s">
        <v>18</v>
      </c>
      <c r="I555" s="68">
        <v>1</v>
      </c>
      <c r="J555" s="67">
        <v>398148.14</v>
      </c>
      <c r="K555" s="67">
        <f>I555*J555</f>
        <v>398148.14</v>
      </c>
      <c r="L555" s="67">
        <f t="shared" si="111"/>
        <v>31851.851200000001</v>
      </c>
      <c r="M555" s="203">
        <f t="shared" si="112"/>
        <v>429999.99119999999</v>
      </c>
      <c r="N555" s="46"/>
      <c r="O555" s="46"/>
      <c r="P555" s="46"/>
      <c r="Q555" s="10">
        <f t="shared" si="100"/>
        <v>429999.99119999999</v>
      </c>
      <c r="R555" s="46"/>
      <c r="S555" s="67"/>
    </row>
    <row r="556" spans="1:19" s="65" customFormat="1" ht="15.75" hidden="1">
      <c r="A556" s="3" t="s">
        <v>603</v>
      </c>
      <c r="B556" s="63">
        <v>46302</v>
      </c>
      <c r="C556" s="181" t="s">
        <v>450</v>
      </c>
      <c r="D556" s="181" t="s">
        <v>451</v>
      </c>
      <c r="E556" s="65" t="s">
        <v>452</v>
      </c>
      <c r="F556" s="65" t="s">
        <v>46</v>
      </c>
      <c r="G556" s="65" t="s">
        <v>47</v>
      </c>
      <c r="H556" s="68" t="s">
        <v>18</v>
      </c>
      <c r="I556" s="68">
        <v>1</v>
      </c>
      <c r="J556" s="67">
        <v>240740.74</v>
      </c>
      <c r="K556" s="67">
        <f t="shared" si="110"/>
        <v>240740.74</v>
      </c>
      <c r="L556" s="67">
        <f t="shared" si="111"/>
        <v>19259.2592</v>
      </c>
      <c r="M556" s="203">
        <f t="shared" si="112"/>
        <v>259999.99919999999</v>
      </c>
      <c r="N556" s="46"/>
      <c r="O556" s="46"/>
      <c r="P556" s="46"/>
      <c r="Q556" s="10">
        <f t="shared" si="100"/>
        <v>259999.99919999999</v>
      </c>
      <c r="R556" s="46"/>
      <c r="S556" s="67"/>
    </row>
    <row r="557" spans="1:19" s="65" customFormat="1" ht="15.75" hidden="1">
      <c r="A557" s="3" t="s">
        <v>603</v>
      </c>
      <c r="B557" s="63">
        <v>46302</v>
      </c>
      <c r="C557" s="181" t="s">
        <v>450</v>
      </c>
      <c r="D557" s="181" t="s">
        <v>451</v>
      </c>
      <c r="E557" s="65" t="s">
        <v>452</v>
      </c>
      <c r="F557" s="65" t="s">
        <v>157</v>
      </c>
      <c r="G557" s="65" t="s">
        <v>158</v>
      </c>
      <c r="H557" s="68" t="s">
        <v>18</v>
      </c>
      <c r="I557" s="68">
        <v>1</v>
      </c>
      <c r="J557" s="67">
        <v>342592.59</v>
      </c>
      <c r="K557" s="67">
        <f t="shared" si="110"/>
        <v>342592.59</v>
      </c>
      <c r="L557" s="67">
        <f t="shared" si="111"/>
        <v>27407.407200000001</v>
      </c>
      <c r="M557" s="203">
        <f t="shared" si="112"/>
        <v>369999.99720000004</v>
      </c>
      <c r="N557" s="46"/>
      <c r="O557" s="46"/>
      <c r="P557" s="46"/>
      <c r="Q557" s="10">
        <f t="shared" si="100"/>
        <v>369999.99720000004</v>
      </c>
      <c r="R557" s="46"/>
      <c r="S557" s="67"/>
    </row>
    <row r="558" spans="1:19" s="43" customFormat="1" ht="15.75" hidden="1">
      <c r="A558" s="3" t="s">
        <v>603</v>
      </c>
      <c r="B558" s="41" t="s">
        <v>453</v>
      </c>
      <c r="C558" s="182" t="s">
        <v>454</v>
      </c>
      <c r="D558" s="182" t="s">
        <v>453</v>
      </c>
      <c r="E558" s="43" t="s">
        <v>452</v>
      </c>
      <c r="F558" s="43" t="s">
        <v>157</v>
      </c>
      <c r="G558" s="43" t="s">
        <v>158</v>
      </c>
      <c r="H558" s="44" t="s">
        <v>18</v>
      </c>
      <c r="I558" s="44">
        <v>5</v>
      </c>
      <c r="J558" s="45">
        <v>342592.59</v>
      </c>
      <c r="K558" s="45">
        <f t="shared" si="110"/>
        <v>1712962.9500000002</v>
      </c>
      <c r="L558" s="45">
        <f t="shared" si="111"/>
        <v>137037.03600000002</v>
      </c>
      <c r="M558" s="256">
        <f t="shared" si="112"/>
        <v>1849999.9860000003</v>
      </c>
      <c r="N558" s="46"/>
      <c r="O558" s="46"/>
      <c r="P558" s="46"/>
      <c r="Q558" s="10">
        <f t="shared" si="100"/>
        <v>1849999.9860000003</v>
      </c>
      <c r="R558" s="46"/>
      <c r="S558" s="45"/>
    </row>
    <row r="559" spans="1:19" s="43" customFormat="1" ht="15.75" hidden="1">
      <c r="A559" s="3" t="s">
        <v>603</v>
      </c>
      <c r="B559" s="41" t="s">
        <v>453</v>
      </c>
      <c r="C559" s="182" t="s">
        <v>454</v>
      </c>
      <c r="D559" s="182" t="s">
        <v>453</v>
      </c>
      <c r="E559" s="43" t="s">
        <v>452</v>
      </c>
      <c r="F559" s="43" t="s">
        <v>148</v>
      </c>
      <c r="G559" s="43" t="s">
        <v>149</v>
      </c>
      <c r="H559" s="44" t="s">
        <v>18</v>
      </c>
      <c r="I559" s="44">
        <v>5</v>
      </c>
      <c r="J559" s="45">
        <v>358333.33</v>
      </c>
      <c r="K559" s="45">
        <f t="shared" si="110"/>
        <v>1791666.6500000001</v>
      </c>
      <c r="L559" s="45">
        <f t="shared" si="111"/>
        <v>143333.33200000002</v>
      </c>
      <c r="M559" s="256">
        <f t="shared" si="112"/>
        <v>1934999.9820000001</v>
      </c>
      <c r="N559" s="46"/>
      <c r="O559" s="46"/>
      <c r="P559" s="46"/>
      <c r="Q559" s="10">
        <f t="shared" si="100"/>
        <v>1934999.9820000001</v>
      </c>
      <c r="R559" s="46"/>
      <c r="S559" s="45"/>
    </row>
    <row r="560" spans="1:19" s="43" customFormat="1" ht="15.75" hidden="1">
      <c r="A560" s="3" t="s">
        <v>603</v>
      </c>
      <c r="B560" s="41" t="s">
        <v>455</v>
      </c>
      <c r="C560" s="182" t="s">
        <v>456</v>
      </c>
      <c r="D560" s="181" t="s">
        <v>451</v>
      </c>
      <c r="E560" s="43" t="s">
        <v>452</v>
      </c>
      <c r="F560" s="43" t="s">
        <v>192</v>
      </c>
      <c r="G560" s="43" t="s">
        <v>193</v>
      </c>
      <c r="H560" s="44" t="s">
        <v>18</v>
      </c>
      <c r="I560" s="44">
        <v>8</v>
      </c>
      <c r="J560" s="45">
        <v>398148.14</v>
      </c>
      <c r="K560" s="45">
        <f t="shared" si="110"/>
        <v>3185185.12</v>
      </c>
      <c r="L560" s="45">
        <f t="shared" si="111"/>
        <v>254814.80960000001</v>
      </c>
      <c r="M560" s="256">
        <f t="shared" si="112"/>
        <v>3439999.9295999999</v>
      </c>
      <c r="N560" s="46"/>
      <c r="O560" s="46"/>
      <c r="P560" s="46"/>
      <c r="Q560" s="10">
        <f t="shared" si="100"/>
        <v>3439999.9295999999</v>
      </c>
      <c r="R560" s="46"/>
      <c r="S560" s="45"/>
    </row>
    <row r="561" spans="1:19" s="43" customFormat="1" ht="15.75" hidden="1">
      <c r="A561" s="3" t="s">
        <v>603</v>
      </c>
      <c r="B561" s="41" t="s">
        <v>455</v>
      </c>
      <c r="C561" s="182" t="s">
        <v>456</v>
      </c>
      <c r="D561" s="181" t="s">
        <v>451</v>
      </c>
      <c r="E561" s="43" t="s">
        <v>452</v>
      </c>
      <c r="F561" s="43" t="s">
        <v>148</v>
      </c>
      <c r="G561" s="43" t="s">
        <v>149</v>
      </c>
      <c r="H561" s="44" t="s">
        <v>18</v>
      </c>
      <c r="I561" s="44">
        <v>8</v>
      </c>
      <c r="J561" s="45">
        <v>358333.33</v>
      </c>
      <c r="K561" s="45">
        <f t="shared" si="110"/>
        <v>2866666.64</v>
      </c>
      <c r="L561" s="45">
        <f t="shared" si="111"/>
        <v>229333.33120000002</v>
      </c>
      <c r="M561" s="256">
        <f t="shared" si="112"/>
        <v>3095999.9712</v>
      </c>
      <c r="N561" s="46"/>
      <c r="O561" s="46"/>
      <c r="P561" s="46"/>
      <c r="Q561" s="10">
        <f t="shared" si="100"/>
        <v>3095999.9712</v>
      </c>
      <c r="R561" s="46"/>
      <c r="S561" s="45"/>
    </row>
    <row r="562" spans="1:19" s="43" customFormat="1" ht="15.75" hidden="1">
      <c r="A562" s="3" t="s">
        <v>603</v>
      </c>
      <c r="B562" s="41" t="s">
        <v>455</v>
      </c>
      <c r="C562" s="182" t="s">
        <v>456</v>
      </c>
      <c r="D562" s="181" t="s">
        <v>451</v>
      </c>
      <c r="E562" s="43" t="s">
        <v>452</v>
      </c>
      <c r="F562" s="43" t="s">
        <v>157</v>
      </c>
      <c r="G562" s="43" t="s">
        <v>158</v>
      </c>
      <c r="H562" s="44" t="s">
        <v>18</v>
      </c>
      <c r="I562" s="44">
        <v>12</v>
      </c>
      <c r="J562" s="45">
        <v>342592.59</v>
      </c>
      <c r="K562" s="45">
        <f t="shared" si="110"/>
        <v>4111111.08</v>
      </c>
      <c r="L562" s="45">
        <f t="shared" si="111"/>
        <v>328888.88640000002</v>
      </c>
      <c r="M562" s="256">
        <f t="shared" si="112"/>
        <v>4439999.9664000003</v>
      </c>
      <c r="N562" s="46"/>
      <c r="O562" s="46"/>
      <c r="P562" s="46"/>
      <c r="Q562" s="10">
        <f t="shared" si="100"/>
        <v>4439999.9664000003</v>
      </c>
      <c r="R562" s="46"/>
      <c r="S562" s="45"/>
    </row>
    <row r="563" spans="1:19" s="43" customFormat="1" ht="15.75" hidden="1">
      <c r="A563" s="3" t="s">
        <v>603</v>
      </c>
      <c r="B563" s="41" t="s">
        <v>457</v>
      </c>
      <c r="C563" s="182" t="s">
        <v>456</v>
      </c>
      <c r="D563" s="181" t="s">
        <v>451</v>
      </c>
      <c r="E563" s="43" t="s">
        <v>452</v>
      </c>
      <c r="F563" s="43" t="s">
        <v>148</v>
      </c>
      <c r="G563" s="43" t="s">
        <v>149</v>
      </c>
      <c r="H563" s="44" t="s">
        <v>18</v>
      </c>
      <c r="I563" s="44">
        <v>8</v>
      </c>
      <c r="J563" s="45">
        <v>358333.33</v>
      </c>
      <c r="K563" s="45">
        <f t="shared" si="110"/>
        <v>2866666.64</v>
      </c>
      <c r="L563" s="45">
        <f t="shared" si="111"/>
        <v>229333.33120000002</v>
      </c>
      <c r="M563" s="256">
        <f t="shared" si="112"/>
        <v>3095999.9712</v>
      </c>
      <c r="N563" s="46"/>
      <c r="O563" s="46"/>
      <c r="P563" s="46"/>
      <c r="Q563" s="10">
        <f t="shared" si="100"/>
        <v>3095999.9712</v>
      </c>
      <c r="R563" s="46"/>
      <c r="S563" s="45"/>
    </row>
    <row r="564" spans="1:19" s="43" customFormat="1" ht="15.75" hidden="1">
      <c r="A564" s="3" t="s">
        <v>603</v>
      </c>
      <c r="B564" s="41" t="s">
        <v>457</v>
      </c>
      <c r="C564" s="182" t="s">
        <v>456</v>
      </c>
      <c r="D564" s="181" t="s">
        <v>451</v>
      </c>
      <c r="E564" s="43" t="s">
        <v>452</v>
      </c>
      <c r="F564" s="43" t="s">
        <v>46</v>
      </c>
      <c r="G564" s="43" t="s">
        <v>47</v>
      </c>
      <c r="H564" s="44" t="s">
        <v>18</v>
      </c>
      <c r="I564" s="44">
        <v>12</v>
      </c>
      <c r="J564" s="45">
        <v>240740.74</v>
      </c>
      <c r="K564" s="45">
        <f t="shared" si="110"/>
        <v>2888888.88</v>
      </c>
      <c r="L564" s="45">
        <f t="shared" si="111"/>
        <v>231111.11040000001</v>
      </c>
      <c r="M564" s="256">
        <f t="shared" si="112"/>
        <v>3119999.9904</v>
      </c>
      <c r="N564" s="46"/>
      <c r="O564" s="46"/>
      <c r="P564" s="46"/>
      <c r="Q564" s="10">
        <f t="shared" si="100"/>
        <v>3119999.9904</v>
      </c>
      <c r="R564" s="46"/>
      <c r="S564" s="45"/>
    </row>
    <row r="565" spans="1:19" s="43" customFormat="1" ht="15.75" hidden="1">
      <c r="A565" s="3" t="s">
        <v>603</v>
      </c>
      <c r="B565" s="41" t="s">
        <v>457</v>
      </c>
      <c r="C565" s="182" t="s">
        <v>456</v>
      </c>
      <c r="D565" s="181" t="s">
        <v>451</v>
      </c>
      <c r="E565" s="43" t="s">
        <v>452</v>
      </c>
      <c r="F565" s="43" t="s">
        <v>192</v>
      </c>
      <c r="G565" s="43" t="s">
        <v>193</v>
      </c>
      <c r="H565" s="44" t="s">
        <v>18</v>
      </c>
      <c r="I565" s="44">
        <v>4</v>
      </c>
      <c r="J565" s="45">
        <v>398148.14</v>
      </c>
      <c r="K565" s="45">
        <f t="shared" si="110"/>
        <v>1592592.56</v>
      </c>
      <c r="L565" s="45">
        <f t="shared" si="111"/>
        <v>127407.4048</v>
      </c>
      <c r="M565" s="256">
        <f t="shared" si="112"/>
        <v>1719999.9648</v>
      </c>
      <c r="N565" s="46"/>
      <c r="O565" s="46"/>
      <c r="P565" s="46"/>
      <c r="Q565" s="10">
        <f t="shared" si="100"/>
        <v>1719999.9648</v>
      </c>
      <c r="R565" s="46"/>
      <c r="S565" s="45"/>
    </row>
    <row r="566" spans="1:19" s="101" customFormat="1" ht="15.75" hidden="1">
      <c r="A566" s="3" t="s">
        <v>604</v>
      </c>
      <c r="B566" s="183" t="s">
        <v>458</v>
      </c>
      <c r="C566" s="42"/>
      <c r="D566" s="183" t="s">
        <v>459</v>
      </c>
      <c r="E566" s="101" t="s">
        <v>460</v>
      </c>
      <c r="F566" s="101" t="s">
        <v>180</v>
      </c>
      <c r="G566" s="101" t="s">
        <v>181</v>
      </c>
      <c r="H566" s="184" t="s">
        <v>18</v>
      </c>
      <c r="I566" s="184">
        <v>1</v>
      </c>
      <c r="J566" s="106">
        <v>243518.52</v>
      </c>
      <c r="K566" s="106">
        <f>J566*I566</f>
        <v>243518.52</v>
      </c>
      <c r="L566" s="106">
        <f>K566*8%</f>
        <v>19481.481599999999</v>
      </c>
      <c r="M566" s="258">
        <f>K566+L566</f>
        <v>263000.00159999996</v>
      </c>
      <c r="N566" s="185"/>
      <c r="O566" s="185"/>
      <c r="P566" s="185"/>
      <c r="Q566" s="10">
        <f t="shared" si="100"/>
        <v>263000.00159999996</v>
      </c>
      <c r="R566" s="185"/>
      <c r="S566" s="106" t="s">
        <v>461</v>
      </c>
    </row>
    <row r="567" spans="1:19" s="101" customFormat="1" ht="15.75" hidden="1">
      <c r="A567" s="3" t="s">
        <v>604</v>
      </c>
      <c r="B567" s="183" t="s">
        <v>458</v>
      </c>
      <c r="C567" s="42"/>
      <c r="D567" s="183" t="s">
        <v>459</v>
      </c>
      <c r="E567" s="101" t="s">
        <v>460</v>
      </c>
      <c r="F567" s="101" t="s">
        <v>26</v>
      </c>
      <c r="G567" s="101" t="s">
        <v>27</v>
      </c>
      <c r="H567" s="184" t="s">
        <v>18</v>
      </c>
      <c r="I567" s="184">
        <v>1</v>
      </c>
      <c r="J567" s="106">
        <v>265740.74</v>
      </c>
      <c r="K567" s="106">
        <f t="shared" ref="K567:K586" si="113">J567*I567</f>
        <v>265740.74</v>
      </c>
      <c r="L567" s="106">
        <f t="shared" ref="L567:L603" si="114">K567*8%</f>
        <v>21259.2592</v>
      </c>
      <c r="M567" s="258">
        <f t="shared" ref="M567:M603" si="115">K567+L567</f>
        <v>286999.99919999996</v>
      </c>
      <c r="N567" s="185"/>
      <c r="O567" s="185"/>
      <c r="P567" s="185"/>
      <c r="Q567" s="10">
        <f t="shared" si="100"/>
        <v>286999.99919999996</v>
      </c>
      <c r="R567" s="185"/>
      <c r="S567" s="106" t="s">
        <v>461</v>
      </c>
    </row>
    <row r="568" spans="1:19" s="101" customFormat="1" ht="15.75" hidden="1">
      <c r="A568" s="3" t="s">
        <v>604</v>
      </c>
      <c r="B568" s="183" t="s">
        <v>458</v>
      </c>
      <c r="C568" s="42"/>
      <c r="D568" s="183" t="s">
        <v>459</v>
      </c>
      <c r="E568" s="101" t="s">
        <v>460</v>
      </c>
      <c r="F568" s="101" t="s">
        <v>28</v>
      </c>
      <c r="G568" s="101" t="s">
        <v>29</v>
      </c>
      <c r="H568" s="184" t="s">
        <v>18</v>
      </c>
      <c r="I568" s="184">
        <v>1</v>
      </c>
      <c r="J568" s="106">
        <v>290740.74</v>
      </c>
      <c r="K568" s="106">
        <f>J568*I568</f>
        <v>290740.74</v>
      </c>
      <c r="L568" s="106">
        <f t="shared" si="114"/>
        <v>23259.2592</v>
      </c>
      <c r="M568" s="258">
        <f t="shared" si="115"/>
        <v>313999.99919999996</v>
      </c>
      <c r="N568" s="185"/>
      <c r="O568" s="185"/>
      <c r="P568" s="185"/>
      <c r="Q568" s="10">
        <f t="shared" si="100"/>
        <v>313999.99919999996</v>
      </c>
      <c r="R568" s="185"/>
      <c r="S568" s="106" t="s">
        <v>461</v>
      </c>
    </row>
    <row r="569" spans="1:19" s="101" customFormat="1" ht="15.75" hidden="1">
      <c r="A569" s="3" t="s">
        <v>604</v>
      </c>
      <c r="B569" s="183" t="s">
        <v>458</v>
      </c>
      <c r="C569" s="42"/>
      <c r="D569" s="183" t="s">
        <v>459</v>
      </c>
      <c r="E569" s="101" t="s">
        <v>460</v>
      </c>
      <c r="F569" s="101" t="s">
        <v>243</v>
      </c>
      <c r="G569" s="101" t="s">
        <v>249</v>
      </c>
      <c r="H569" s="184" t="s">
        <v>18</v>
      </c>
      <c r="I569" s="184">
        <v>1</v>
      </c>
      <c r="J569" s="106">
        <v>288888.89</v>
      </c>
      <c r="K569" s="106">
        <f>J569*I569</f>
        <v>288888.89</v>
      </c>
      <c r="L569" s="106">
        <f t="shared" si="114"/>
        <v>23111.111200000003</v>
      </c>
      <c r="M569" s="258">
        <f t="shared" si="115"/>
        <v>312000.0012</v>
      </c>
      <c r="N569" s="185"/>
      <c r="O569" s="185"/>
      <c r="P569" s="185"/>
      <c r="Q569" s="10">
        <f t="shared" si="100"/>
        <v>312000.0012</v>
      </c>
      <c r="R569" s="185"/>
      <c r="S569" s="106" t="s">
        <v>461</v>
      </c>
    </row>
    <row r="570" spans="1:19" s="101" customFormat="1" ht="15.75" hidden="1">
      <c r="A570" s="3" t="s">
        <v>604</v>
      </c>
      <c r="B570" s="183" t="s">
        <v>458</v>
      </c>
      <c r="C570" s="42"/>
      <c r="D570" s="183" t="s">
        <v>459</v>
      </c>
      <c r="E570" s="101" t="s">
        <v>460</v>
      </c>
      <c r="F570" s="101" t="s">
        <v>184</v>
      </c>
      <c r="G570" s="101" t="s">
        <v>272</v>
      </c>
      <c r="H570" s="184" t="s">
        <v>18</v>
      </c>
      <c r="I570" s="184">
        <v>1</v>
      </c>
      <c r="J570" s="106">
        <v>250000</v>
      </c>
      <c r="K570" s="106">
        <f t="shared" si="113"/>
        <v>250000</v>
      </c>
      <c r="L570" s="106">
        <f t="shared" si="114"/>
        <v>20000</v>
      </c>
      <c r="M570" s="258">
        <f t="shared" si="115"/>
        <v>270000</v>
      </c>
      <c r="N570" s="185"/>
      <c r="O570" s="185"/>
      <c r="P570" s="185"/>
      <c r="Q570" s="10">
        <f t="shared" si="100"/>
        <v>270000</v>
      </c>
      <c r="R570" s="185"/>
      <c r="S570" s="106" t="s">
        <v>461</v>
      </c>
    </row>
    <row r="571" spans="1:19" s="101" customFormat="1" ht="15.75" hidden="1">
      <c r="A571" s="3" t="s">
        <v>604</v>
      </c>
      <c r="B571" s="183" t="s">
        <v>458</v>
      </c>
      <c r="C571" s="42"/>
      <c r="D571" s="183" t="s">
        <v>459</v>
      </c>
      <c r="E571" s="101" t="s">
        <v>460</v>
      </c>
      <c r="F571" s="101" t="s">
        <v>30</v>
      </c>
      <c r="G571" s="101" t="s">
        <v>31</v>
      </c>
      <c r="H571" s="184" t="s">
        <v>18</v>
      </c>
      <c r="I571" s="184">
        <v>1</v>
      </c>
      <c r="J571" s="106">
        <v>268518.52</v>
      </c>
      <c r="K571" s="106">
        <f>J571*I571</f>
        <v>268518.52</v>
      </c>
      <c r="L571" s="106">
        <f t="shared" si="114"/>
        <v>21481.481600000003</v>
      </c>
      <c r="M571" s="258">
        <f t="shared" si="115"/>
        <v>290000.00160000002</v>
      </c>
      <c r="N571" s="185"/>
      <c r="O571" s="185"/>
      <c r="P571" s="185"/>
      <c r="Q571" s="10">
        <f t="shared" si="100"/>
        <v>290000.00160000002</v>
      </c>
      <c r="R571" s="185"/>
      <c r="S571" s="106" t="s">
        <v>461</v>
      </c>
    </row>
    <row r="572" spans="1:19" s="101" customFormat="1" ht="15.75" hidden="1">
      <c r="A572" s="3" t="s">
        <v>604</v>
      </c>
      <c r="B572" s="183" t="s">
        <v>458</v>
      </c>
      <c r="C572" s="42"/>
      <c r="D572" s="183" t="s">
        <v>459</v>
      </c>
      <c r="E572" s="101" t="s">
        <v>460</v>
      </c>
      <c r="F572" s="101" t="s">
        <v>301</v>
      </c>
      <c r="G572" s="101" t="s">
        <v>361</v>
      </c>
      <c r="H572" s="184" t="s">
        <v>18</v>
      </c>
      <c r="I572" s="184">
        <v>1</v>
      </c>
      <c r="J572" s="106">
        <v>287037.03999999998</v>
      </c>
      <c r="K572" s="106">
        <f t="shared" si="113"/>
        <v>287037.03999999998</v>
      </c>
      <c r="L572" s="106">
        <f t="shared" si="114"/>
        <v>22962.963199999998</v>
      </c>
      <c r="M572" s="258">
        <f t="shared" si="115"/>
        <v>310000.00319999998</v>
      </c>
      <c r="N572" s="185"/>
      <c r="O572" s="185"/>
      <c r="P572" s="185"/>
      <c r="Q572" s="10">
        <f t="shared" si="100"/>
        <v>310000.00319999998</v>
      </c>
      <c r="R572" s="185"/>
      <c r="S572" s="106" t="s">
        <v>461</v>
      </c>
    </row>
    <row r="573" spans="1:19" s="101" customFormat="1" ht="15.75" hidden="1">
      <c r="A573" s="3" t="s">
        <v>604</v>
      </c>
      <c r="B573" s="183" t="s">
        <v>458</v>
      </c>
      <c r="C573" s="42"/>
      <c r="D573" s="183" t="s">
        <v>459</v>
      </c>
      <c r="E573" s="101" t="s">
        <v>460</v>
      </c>
      <c r="F573" s="101" t="s">
        <v>32</v>
      </c>
      <c r="G573" s="101" t="s">
        <v>33</v>
      </c>
      <c r="H573" s="184" t="s">
        <v>18</v>
      </c>
      <c r="I573" s="184">
        <v>1</v>
      </c>
      <c r="J573" s="106">
        <v>236111.11</v>
      </c>
      <c r="K573" s="106">
        <f>J573*I573</f>
        <v>236111.11</v>
      </c>
      <c r="L573" s="106">
        <f t="shared" si="114"/>
        <v>18888.888800000001</v>
      </c>
      <c r="M573" s="258">
        <f t="shared" si="115"/>
        <v>254999.9988</v>
      </c>
      <c r="N573" s="185"/>
      <c r="O573" s="185"/>
      <c r="P573" s="185"/>
      <c r="Q573" s="10">
        <f t="shared" si="100"/>
        <v>254999.9988</v>
      </c>
      <c r="R573" s="185"/>
      <c r="S573" s="106" t="s">
        <v>461</v>
      </c>
    </row>
    <row r="574" spans="1:19" s="101" customFormat="1" ht="15.75" hidden="1">
      <c r="A574" s="3" t="s">
        <v>604</v>
      </c>
      <c r="B574" s="183" t="s">
        <v>458</v>
      </c>
      <c r="C574" s="42"/>
      <c r="D574" s="183" t="s">
        <v>459</v>
      </c>
      <c r="E574" s="101" t="s">
        <v>460</v>
      </c>
      <c r="F574" s="101" t="s">
        <v>34</v>
      </c>
      <c r="G574" s="101" t="s">
        <v>35</v>
      </c>
      <c r="H574" s="184" t="s">
        <v>18</v>
      </c>
      <c r="I574" s="184">
        <v>1</v>
      </c>
      <c r="J574" s="106">
        <v>250000</v>
      </c>
      <c r="K574" s="106">
        <f t="shared" si="113"/>
        <v>250000</v>
      </c>
      <c r="L574" s="106">
        <f t="shared" si="114"/>
        <v>20000</v>
      </c>
      <c r="M574" s="258">
        <f t="shared" si="115"/>
        <v>270000</v>
      </c>
      <c r="N574" s="185"/>
      <c r="O574" s="185"/>
      <c r="P574" s="185"/>
      <c r="Q574" s="10">
        <f t="shared" si="100"/>
        <v>270000</v>
      </c>
      <c r="R574" s="185"/>
      <c r="S574" s="106" t="s">
        <v>461</v>
      </c>
    </row>
    <row r="575" spans="1:19" s="101" customFormat="1" ht="15.75" hidden="1">
      <c r="A575" s="3" t="s">
        <v>604</v>
      </c>
      <c r="B575" s="183" t="s">
        <v>458</v>
      </c>
      <c r="C575" s="42"/>
      <c r="D575" s="183" t="s">
        <v>459</v>
      </c>
      <c r="E575" s="101" t="s">
        <v>460</v>
      </c>
      <c r="F575" s="101" t="s">
        <v>36</v>
      </c>
      <c r="G575" s="101" t="s">
        <v>37</v>
      </c>
      <c r="H575" s="184" t="s">
        <v>18</v>
      </c>
      <c r="I575" s="184">
        <v>1</v>
      </c>
      <c r="J575" s="106">
        <v>268518.52</v>
      </c>
      <c r="K575" s="106">
        <f>J575*I575</f>
        <v>268518.52</v>
      </c>
      <c r="L575" s="106">
        <f t="shared" si="114"/>
        <v>21481.481600000003</v>
      </c>
      <c r="M575" s="258">
        <f t="shared" si="115"/>
        <v>290000.00160000002</v>
      </c>
      <c r="N575" s="185"/>
      <c r="O575" s="185"/>
      <c r="P575" s="185"/>
      <c r="Q575" s="10">
        <f t="shared" si="100"/>
        <v>290000.00160000002</v>
      </c>
      <c r="R575" s="185"/>
      <c r="S575" s="106" t="s">
        <v>461</v>
      </c>
    </row>
    <row r="576" spans="1:19" s="101" customFormat="1" ht="15.75" hidden="1">
      <c r="A576" s="3" t="s">
        <v>604</v>
      </c>
      <c r="B576" s="183" t="s">
        <v>458</v>
      </c>
      <c r="C576" s="42"/>
      <c r="D576" s="183" t="s">
        <v>459</v>
      </c>
      <c r="E576" s="101" t="s">
        <v>460</v>
      </c>
      <c r="F576" s="101" t="s">
        <v>274</v>
      </c>
      <c r="G576" s="101" t="s">
        <v>297</v>
      </c>
      <c r="H576" s="184" t="s">
        <v>18</v>
      </c>
      <c r="I576" s="184">
        <v>1</v>
      </c>
      <c r="J576" s="106">
        <v>416666.67</v>
      </c>
      <c r="K576" s="106">
        <f t="shared" si="113"/>
        <v>416666.67</v>
      </c>
      <c r="L576" s="106">
        <f t="shared" si="114"/>
        <v>33333.333599999998</v>
      </c>
      <c r="M576" s="258">
        <f t="shared" si="115"/>
        <v>450000.0036</v>
      </c>
      <c r="N576" s="185"/>
      <c r="O576" s="185"/>
      <c r="P576" s="185"/>
      <c r="Q576" s="10">
        <f t="shared" si="100"/>
        <v>450000.0036</v>
      </c>
      <c r="R576" s="185"/>
      <c r="S576" s="106" t="s">
        <v>461</v>
      </c>
    </row>
    <row r="577" spans="1:19" s="101" customFormat="1" ht="15.75" hidden="1">
      <c r="A577" s="3" t="s">
        <v>604</v>
      </c>
      <c r="B577" s="183" t="s">
        <v>458</v>
      </c>
      <c r="C577" s="42"/>
      <c r="D577" s="183" t="s">
        <v>459</v>
      </c>
      <c r="E577" s="101" t="s">
        <v>460</v>
      </c>
      <c r="F577" s="101" t="s">
        <v>40</v>
      </c>
      <c r="G577" s="101" t="s">
        <v>41</v>
      </c>
      <c r="H577" s="184" t="s">
        <v>18</v>
      </c>
      <c r="I577" s="184">
        <v>1</v>
      </c>
      <c r="J577" s="106">
        <v>879629.63</v>
      </c>
      <c r="K577" s="106">
        <f>J577*I577</f>
        <v>879629.63</v>
      </c>
      <c r="L577" s="106">
        <f t="shared" si="114"/>
        <v>70370.3704</v>
      </c>
      <c r="M577" s="258">
        <f t="shared" si="115"/>
        <v>950000.00040000002</v>
      </c>
      <c r="N577" s="185"/>
      <c r="O577" s="185"/>
      <c r="P577" s="185"/>
      <c r="Q577" s="10">
        <f t="shared" si="100"/>
        <v>950000.00040000002</v>
      </c>
      <c r="R577" s="185"/>
      <c r="S577" s="106" t="s">
        <v>461</v>
      </c>
    </row>
    <row r="578" spans="1:19" s="101" customFormat="1" ht="15.75" hidden="1">
      <c r="A578" s="3" t="s">
        <v>604</v>
      </c>
      <c r="B578" s="183" t="s">
        <v>458</v>
      </c>
      <c r="C578" s="42"/>
      <c r="D578" s="183" t="s">
        <v>459</v>
      </c>
      <c r="E578" s="101" t="s">
        <v>460</v>
      </c>
      <c r="F578" s="101" t="s">
        <v>386</v>
      </c>
      <c r="G578" s="101" t="s">
        <v>387</v>
      </c>
      <c r="H578" s="184" t="s">
        <v>18</v>
      </c>
      <c r="I578" s="184">
        <v>1</v>
      </c>
      <c r="J578" s="106">
        <v>740740.74</v>
      </c>
      <c r="K578" s="106">
        <f t="shared" si="113"/>
        <v>740740.74</v>
      </c>
      <c r="L578" s="106">
        <f t="shared" si="114"/>
        <v>59259.2592</v>
      </c>
      <c r="M578" s="258">
        <f t="shared" si="115"/>
        <v>799999.99919999996</v>
      </c>
      <c r="N578" s="185"/>
      <c r="O578" s="185"/>
      <c r="P578" s="185"/>
      <c r="Q578" s="10">
        <f t="shared" si="100"/>
        <v>799999.99919999996</v>
      </c>
      <c r="R578" s="185"/>
      <c r="S578" s="106" t="s">
        <v>461</v>
      </c>
    </row>
    <row r="579" spans="1:19" s="101" customFormat="1" ht="15.75" hidden="1">
      <c r="A579" s="3" t="s">
        <v>604</v>
      </c>
      <c r="B579" s="183" t="s">
        <v>458</v>
      </c>
      <c r="C579" s="42"/>
      <c r="D579" s="183" t="s">
        <v>459</v>
      </c>
      <c r="E579" s="101" t="s">
        <v>460</v>
      </c>
      <c r="F579" s="101" t="s">
        <v>194</v>
      </c>
      <c r="G579" s="101" t="s">
        <v>276</v>
      </c>
      <c r="H579" s="184" t="s">
        <v>18</v>
      </c>
      <c r="I579" s="184">
        <v>1</v>
      </c>
      <c r="J579" s="106">
        <v>1203703.7</v>
      </c>
      <c r="K579" s="106">
        <f>J579*I579</f>
        <v>1203703.7</v>
      </c>
      <c r="L579" s="106">
        <f t="shared" si="114"/>
        <v>96296.296000000002</v>
      </c>
      <c r="M579" s="258">
        <f t="shared" si="115"/>
        <v>1299999.996</v>
      </c>
      <c r="N579" s="185"/>
      <c r="O579" s="185"/>
      <c r="P579" s="185"/>
      <c r="Q579" s="10">
        <f t="shared" si="100"/>
        <v>1299999.996</v>
      </c>
      <c r="R579" s="185"/>
      <c r="S579" s="106" t="s">
        <v>461</v>
      </c>
    </row>
    <row r="580" spans="1:19" s="101" customFormat="1" ht="15.75" hidden="1">
      <c r="A580" s="3" t="s">
        <v>604</v>
      </c>
      <c r="B580" s="183" t="s">
        <v>458</v>
      </c>
      <c r="C580" s="42"/>
      <c r="D580" s="183" t="s">
        <v>459</v>
      </c>
      <c r="E580" s="101" t="s">
        <v>460</v>
      </c>
      <c r="F580" s="101" t="s">
        <v>58</v>
      </c>
      <c r="G580" s="101" t="s">
        <v>59</v>
      </c>
      <c r="H580" s="184" t="s">
        <v>18</v>
      </c>
      <c r="I580" s="184">
        <v>1</v>
      </c>
      <c r="J580" s="106">
        <v>1361111.11</v>
      </c>
      <c r="K580" s="106">
        <f t="shared" si="113"/>
        <v>1361111.11</v>
      </c>
      <c r="L580" s="106">
        <f t="shared" si="114"/>
        <v>108888.88880000002</v>
      </c>
      <c r="M580" s="258">
        <f t="shared" si="115"/>
        <v>1469999.9988000002</v>
      </c>
      <c r="N580" s="185"/>
      <c r="O580" s="185"/>
      <c r="P580" s="185"/>
      <c r="Q580" s="10">
        <f t="shared" ref="Q580:Q643" si="116">M580-N580-O580-P580</f>
        <v>1469999.9988000002</v>
      </c>
      <c r="R580" s="185"/>
      <c r="S580" s="106" t="s">
        <v>461</v>
      </c>
    </row>
    <row r="581" spans="1:19" s="43" customFormat="1" ht="15.75" hidden="1">
      <c r="A581" s="3" t="s">
        <v>604</v>
      </c>
      <c r="B581" s="41" t="s">
        <v>292</v>
      </c>
      <c r="C581" s="182" t="s">
        <v>462</v>
      </c>
      <c r="D581" s="182" t="s">
        <v>247</v>
      </c>
      <c r="E581" s="43" t="s">
        <v>463</v>
      </c>
      <c r="F581" s="43" t="s">
        <v>424</v>
      </c>
      <c r="G581" s="43" t="s">
        <v>425</v>
      </c>
      <c r="H581" s="44" t="s">
        <v>443</v>
      </c>
      <c r="I581" s="44">
        <v>4</v>
      </c>
      <c r="J581" s="45">
        <v>768518.52</v>
      </c>
      <c r="K581" s="45">
        <f t="shared" si="113"/>
        <v>3074074.08</v>
      </c>
      <c r="L581" s="45">
        <f t="shared" si="114"/>
        <v>245925.9264</v>
      </c>
      <c r="M581" s="256">
        <f t="shared" si="115"/>
        <v>3320000.0064000003</v>
      </c>
      <c r="N581" s="46"/>
      <c r="O581" s="46"/>
      <c r="P581" s="46"/>
      <c r="Q581" s="10">
        <f t="shared" si="116"/>
        <v>3320000.0064000003</v>
      </c>
      <c r="R581" s="46"/>
      <c r="S581" s="45"/>
    </row>
    <row r="582" spans="1:19" s="43" customFormat="1" ht="15.75" hidden="1">
      <c r="A582" s="3" t="s">
        <v>604</v>
      </c>
      <c r="B582" s="41" t="s">
        <v>464</v>
      </c>
      <c r="C582" s="182" t="s">
        <v>462</v>
      </c>
      <c r="D582" s="182" t="s">
        <v>247</v>
      </c>
      <c r="E582" s="43" t="s">
        <v>463</v>
      </c>
      <c r="F582" s="43" t="s">
        <v>194</v>
      </c>
      <c r="G582" s="43" t="s">
        <v>276</v>
      </c>
      <c r="H582" s="44" t="s">
        <v>465</v>
      </c>
      <c r="I582" s="44">
        <v>3</v>
      </c>
      <c r="J582" s="45">
        <v>1203703.7</v>
      </c>
      <c r="K582" s="45">
        <f t="shared" si="113"/>
        <v>3611111.0999999996</v>
      </c>
      <c r="L582" s="45">
        <f t="shared" si="114"/>
        <v>288888.88799999998</v>
      </c>
      <c r="M582" s="256">
        <f t="shared" si="115"/>
        <v>3899999.9879999994</v>
      </c>
      <c r="N582" s="46"/>
      <c r="O582" s="46"/>
      <c r="P582" s="46"/>
      <c r="Q582" s="10">
        <f t="shared" si="116"/>
        <v>3899999.9879999994</v>
      </c>
      <c r="R582" s="46"/>
      <c r="S582" s="45"/>
    </row>
    <row r="583" spans="1:19" s="43" customFormat="1" ht="15.75" hidden="1">
      <c r="A583" s="3" t="s">
        <v>604</v>
      </c>
      <c r="B583" s="41" t="s">
        <v>466</v>
      </c>
      <c r="C583" s="182" t="s">
        <v>462</v>
      </c>
      <c r="D583" s="182" t="s">
        <v>247</v>
      </c>
      <c r="E583" s="43" t="s">
        <v>463</v>
      </c>
      <c r="F583" s="43" t="s">
        <v>58</v>
      </c>
      <c r="G583" s="43" t="s">
        <v>59</v>
      </c>
      <c r="H583" s="44" t="s">
        <v>465</v>
      </c>
      <c r="I583" s="44">
        <v>3</v>
      </c>
      <c r="J583" s="45">
        <v>1361111.11</v>
      </c>
      <c r="K583" s="45">
        <f t="shared" si="113"/>
        <v>4083333.33</v>
      </c>
      <c r="L583" s="45">
        <f t="shared" si="114"/>
        <v>326666.66639999999</v>
      </c>
      <c r="M583" s="256">
        <f t="shared" si="115"/>
        <v>4409999.9964000005</v>
      </c>
      <c r="N583" s="46"/>
      <c r="O583" s="46"/>
      <c r="P583" s="46"/>
      <c r="Q583" s="10">
        <f t="shared" si="116"/>
        <v>4409999.9964000005</v>
      </c>
      <c r="R583" s="46"/>
      <c r="S583" s="45"/>
    </row>
    <row r="584" spans="1:19" s="43" customFormat="1" ht="15.75" hidden="1">
      <c r="A584" s="3" t="s">
        <v>604</v>
      </c>
      <c r="B584" s="41" t="s">
        <v>466</v>
      </c>
      <c r="C584" s="182" t="s">
        <v>462</v>
      </c>
      <c r="D584" s="182" t="s">
        <v>247</v>
      </c>
      <c r="E584" s="43" t="s">
        <v>463</v>
      </c>
      <c r="F584" s="43" t="s">
        <v>424</v>
      </c>
      <c r="G584" s="43" t="s">
        <v>425</v>
      </c>
      <c r="H584" s="44" t="s">
        <v>443</v>
      </c>
      <c r="I584" s="44">
        <v>5</v>
      </c>
      <c r="J584" s="45">
        <v>768518.52</v>
      </c>
      <c r="K584" s="45">
        <f t="shared" si="113"/>
        <v>3842592.6</v>
      </c>
      <c r="L584" s="45">
        <f t="shared" si="114"/>
        <v>307407.408</v>
      </c>
      <c r="M584" s="256">
        <f t="shared" si="115"/>
        <v>4150000.0079999999</v>
      </c>
      <c r="N584" s="46"/>
      <c r="O584" s="46"/>
      <c r="P584" s="46"/>
      <c r="Q584" s="10">
        <f t="shared" si="116"/>
        <v>4150000.0079999999</v>
      </c>
      <c r="R584" s="46"/>
      <c r="S584" s="45"/>
    </row>
    <row r="585" spans="1:19" s="43" customFormat="1" ht="15.75" hidden="1">
      <c r="A585" s="3" t="s">
        <v>604</v>
      </c>
      <c r="B585" s="41" t="s">
        <v>466</v>
      </c>
      <c r="C585" s="182" t="s">
        <v>462</v>
      </c>
      <c r="D585" s="182" t="s">
        <v>247</v>
      </c>
      <c r="E585" s="43" t="s">
        <v>463</v>
      </c>
      <c r="F585" s="43" t="s">
        <v>424</v>
      </c>
      <c r="G585" s="43" t="s">
        <v>425</v>
      </c>
      <c r="H585" s="44" t="s">
        <v>443</v>
      </c>
      <c r="I585" s="44">
        <v>20</v>
      </c>
      <c r="J585" s="45">
        <v>768518.52</v>
      </c>
      <c r="K585" s="45">
        <f t="shared" si="113"/>
        <v>15370370.4</v>
      </c>
      <c r="L585" s="45">
        <f t="shared" si="114"/>
        <v>1229629.632</v>
      </c>
      <c r="M585" s="256">
        <f t="shared" si="115"/>
        <v>16600000.032</v>
      </c>
      <c r="N585" s="46"/>
      <c r="O585" s="46"/>
      <c r="P585" s="46"/>
      <c r="Q585" s="10">
        <f t="shared" si="116"/>
        <v>16600000.032</v>
      </c>
      <c r="R585" s="46"/>
      <c r="S585" s="45"/>
    </row>
    <row r="586" spans="1:19" s="65" customFormat="1" ht="15.75" hidden="1">
      <c r="A586" s="3" t="s">
        <v>604</v>
      </c>
      <c r="B586" s="63" t="s">
        <v>247</v>
      </c>
      <c r="C586" s="58" t="s">
        <v>467</v>
      </c>
      <c r="D586" s="63" t="s">
        <v>449</v>
      </c>
      <c r="E586" s="65" t="s">
        <v>463</v>
      </c>
      <c r="F586" s="65" t="s">
        <v>58</v>
      </c>
      <c r="G586" s="65" t="s">
        <v>59</v>
      </c>
      <c r="H586" s="68" t="s">
        <v>18</v>
      </c>
      <c r="I586" s="68">
        <v>7</v>
      </c>
      <c r="J586" s="67">
        <v>1361111.11</v>
      </c>
      <c r="K586" s="67">
        <f t="shared" si="113"/>
        <v>9527777.7700000014</v>
      </c>
      <c r="L586" s="67">
        <f t="shared" si="114"/>
        <v>762222.22160000016</v>
      </c>
      <c r="M586" s="203">
        <f t="shared" si="115"/>
        <v>10289999.991600001</v>
      </c>
      <c r="N586" s="46"/>
      <c r="O586" s="46"/>
      <c r="P586" s="46"/>
      <c r="Q586" s="10">
        <f t="shared" si="116"/>
        <v>10289999.991600001</v>
      </c>
      <c r="R586" s="46"/>
      <c r="S586" s="67"/>
    </row>
    <row r="587" spans="1:19" s="65" customFormat="1" ht="15.75" hidden="1">
      <c r="A587" s="3" t="s">
        <v>604</v>
      </c>
      <c r="B587" s="63" t="s">
        <v>449</v>
      </c>
      <c r="C587" s="58" t="s">
        <v>468</v>
      </c>
      <c r="D587" s="63" t="s">
        <v>295</v>
      </c>
      <c r="E587" s="65" t="s">
        <v>463</v>
      </c>
      <c r="F587" s="65" t="s">
        <v>194</v>
      </c>
      <c r="G587" s="65" t="s">
        <v>276</v>
      </c>
      <c r="H587" s="68" t="s">
        <v>18</v>
      </c>
      <c r="I587" s="68">
        <v>3</v>
      </c>
      <c r="J587" s="67">
        <v>1203703.7</v>
      </c>
      <c r="K587" s="67">
        <f>J587*I587</f>
        <v>3611111.0999999996</v>
      </c>
      <c r="L587" s="67">
        <f t="shared" si="114"/>
        <v>288888.88799999998</v>
      </c>
      <c r="M587" s="203">
        <f t="shared" si="115"/>
        <v>3899999.9879999994</v>
      </c>
      <c r="N587" s="46"/>
      <c r="O587" s="46"/>
      <c r="P587" s="46"/>
      <c r="Q587" s="10">
        <f t="shared" si="116"/>
        <v>3899999.9879999994</v>
      </c>
      <c r="R587" s="46"/>
      <c r="S587" s="67"/>
    </row>
    <row r="588" spans="1:19" s="65" customFormat="1" ht="15.75" hidden="1">
      <c r="A588" s="3" t="s">
        <v>604</v>
      </c>
      <c r="B588" s="63" t="s">
        <v>449</v>
      </c>
      <c r="C588" s="58" t="s">
        <v>468</v>
      </c>
      <c r="D588" s="63" t="s">
        <v>295</v>
      </c>
      <c r="E588" s="65" t="s">
        <v>463</v>
      </c>
      <c r="F588" s="65" t="s">
        <v>58</v>
      </c>
      <c r="G588" s="65" t="s">
        <v>59</v>
      </c>
      <c r="H588" s="68" t="s">
        <v>18</v>
      </c>
      <c r="I588" s="68">
        <v>3</v>
      </c>
      <c r="J588" s="67">
        <v>1361111.11</v>
      </c>
      <c r="K588" s="67">
        <f t="shared" ref="K588:K603" si="117">J588*I588</f>
        <v>4083333.33</v>
      </c>
      <c r="L588" s="67">
        <f t="shared" si="114"/>
        <v>326666.66639999999</v>
      </c>
      <c r="M588" s="203">
        <f t="shared" si="115"/>
        <v>4409999.9964000005</v>
      </c>
      <c r="N588" s="46"/>
      <c r="O588" s="46"/>
      <c r="P588" s="46"/>
      <c r="Q588" s="10">
        <f t="shared" si="116"/>
        <v>4409999.9964000005</v>
      </c>
      <c r="R588" s="46"/>
      <c r="S588" s="67"/>
    </row>
    <row r="589" spans="1:19" s="65" customFormat="1" ht="15.75" hidden="1">
      <c r="A589" s="3" t="s">
        <v>604</v>
      </c>
      <c r="B589" s="63">
        <v>46302</v>
      </c>
      <c r="C589" s="58" t="s">
        <v>469</v>
      </c>
      <c r="D589" s="182">
        <v>46333</v>
      </c>
      <c r="E589" s="65" t="s">
        <v>463</v>
      </c>
      <c r="F589" s="65" t="s">
        <v>119</v>
      </c>
      <c r="G589" s="64" t="s">
        <v>191</v>
      </c>
      <c r="H589" s="68" t="s">
        <v>18</v>
      </c>
      <c r="I589" s="68">
        <v>5</v>
      </c>
      <c r="J589" s="67">
        <v>574074.06999999995</v>
      </c>
      <c r="K589" s="67">
        <f t="shared" si="117"/>
        <v>2870370.3499999996</v>
      </c>
      <c r="L589" s="67">
        <f t="shared" si="114"/>
        <v>229629.62799999997</v>
      </c>
      <c r="M589" s="203">
        <f t="shared" si="115"/>
        <v>3099999.9779999997</v>
      </c>
      <c r="N589" s="46"/>
      <c r="O589" s="46"/>
      <c r="P589" s="46"/>
      <c r="Q589" s="10">
        <f t="shared" si="116"/>
        <v>3099999.9779999997</v>
      </c>
      <c r="R589" s="46"/>
      <c r="S589" s="67"/>
    </row>
    <row r="590" spans="1:19" s="65" customFormat="1" ht="15.75" hidden="1">
      <c r="A590" s="3" t="s">
        <v>604</v>
      </c>
      <c r="B590" s="63">
        <v>46302</v>
      </c>
      <c r="C590" s="58" t="s">
        <v>469</v>
      </c>
      <c r="D590" s="63">
        <v>46333</v>
      </c>
      <c r="E590" s="65" t="s">
        <v>463</v>
      </c>
      <c r="F590" s="65" t="s">
        <v>42</v>
      </c>
      <c r="G590" s="64" t="s">
        <v>43</v>
      </c>
      <c r="H590" s="68" t="s">
        <v>18</v>
      </c>
      <c r="I590" s="68">
        <v>2</v>
      </c>
      <c r="J590" s="67">
        <v>527777.78</v>
      </c>
      <c r="K590" s="67">
        <f t="shared" si="117"/>
        <v>1055555.56</v>
      </c>
      <c r="L590" s="67">
        <f t="shared" si="114"/>
        <v>84444.444800000012</v>
      </c>
      <c r="M590" s="203">
        <f t="shared" si="115"/>
        <v>1140000.0048</v>
      </c>
      <c r="N590" s="46"/>
      <c r="O590" s="46"/>
      <c r="P590" s="46"/>
      <c r="Q590" s="10">
        <f t="shared" si="116"/>
        <v>1140000.0048</v>
      </c>
      <c r="R590" s="46"/>
      <c r="S590" s="67"/>
    </row>
    <row r="591" spans="1:19" s="65" customFormat="1" ht="15.75" hidden="1">
      <c r="A591" s="3" t="s">
        <v>604</v>
      </c>
      <c r="B591" s="63">
        <v>46302</v>
      </c>
      <c r="C591" s="58" t="s">
        <v>469</v>
      </c>
      <c r="D591" s="182">
        <v>46333</v>
      </c>
      <c r="E591" s="65" t="s">
        <v>463</v>
      </c>
      <c r="F591" s="65" t="s">
        <v>44</v>
      </c>
      <c r="G591" s="64" t="s">
        <v>45</v>
      </c>
      <c r="H591" s="68" t="s">
        <v>18</v>
      </c>
      <c r="I591" s="68">
        <v>4</v>
      </c>
      <c r="J591" s="67">
        <v>537037.04</v>
      </c>
      <c r="K591" s="67">
        <f t="shared" si="117"/>
        <v>2148148.16</v>
      </c>
      <c r="L591" s="67">
        <f t="shared" si="114"/>
        <v>171851.85280000002</v>
      </c>
      <c r="M591" s="203">
        <f t="shared" si="115"/>
        <v>2320000.0128000001</v>
      </c>
      <c r="N591" s="46"/>
      <c r="O591" s="46"/>
      <c r="P591" s="46"/>
      <c r="Q591" s="10">
        <f t="shared" si="116"/>
        <v>2320000.0128000001</v>
      </c>
      <c r="R591" s="46"/>
      <c r="S591" s="67"/>
    </row>
    <row r="592" spans="1:19" s="65" customFormat="1" ht="15.75" hidden="1">
      <c r="A592" s="3" t="s">
        <v>604</v>
      </c>
      <c r="B592" s="63">
        <v>46302</v>
      </c>
      <c r="C592" s="58" t="s">
        <v>469</v>
      </c>
      <c r="D592" s="63">
        <v>46333</v>
      </c>
      <c r="E592" s="65" t="s">
        <v>463</v>
      </c>
      <c r="F592" s="65" t="s">
        <v>148</v>
      </c>
      <c r="G592" s="64" t="s">
        <v>149</v>
      </c>
      <c r="H592" s="68" t="s">
        <v>18</v>
      </c>
      <c r="I592" s="68">
        <v>5</v>
      </c>
      <c r="J592" s="67">
        <v>296296.3</v>
      </c>
      <c r="K592" s="67">
        <f t="shared" si="117"/>
        <v>1481481.5</v>
      </c>
      <c r="L592" s="67">
        <f t="shared" si="114"/>
        <v>118518.52</v>
      </c>
      <c r="M592" s="203">
        <f t="shared" si="115"/>
        <v>1600000.02</v>
      </c>
      <c r="N592" s="46"/>
      <c r="O592" s="46"/>
      <c r="P592" s="46"/>
      <c r="Q592" s="10">
        <f t="shared" si="116"/>
        <v>1600000.02</v>
      </c>
      <c r="R592" s="46"/>
      <c r="S592" s="67"/>
    </row>
    <row r="593" spans="1:19" s="65" customFormat="1" ht="15.75" hidden="1">
      <c r="A593" s="3" t="s">
        <v>604</v>
      </c>
      <c r="B593" s="63">
        <v>46302</v>
      </c>
      <c r="C593" s="58" t="s">
        <v>469</v>
      </c>
      <c r="D593" s="182">
        <v>46333</v>
      </c>
      <c r="E593" s="65" t="s">
        <v>463</v>
      </c>
      <c r="F593" s="65" t="s">
        <v>192</v>
      </c>
      <c r="G593" s="64" t="s">
        <v>193</v>
      </c>
      <c r="H593" s="68" t="s">
        <v>18</v>
      </c>
      <c r="I593" s="68">
        <v>10</v>
      </c>
      <c r="J593" s="67">
        <v>333333.33</v>
      </c>
      <c r="K593" s="67">
        <f t="shared" si="117"/>
        <v>3333333.3000000003</v>
      </c>
      <c r="L593" s="67">
        <f t="shared" si="114"/>
        <v>266666.66400000005</v>
      </c>
      <c r="M593" s="203">
        <f t="shared" si="115"/>
        <v>3599999.9640000002</v>
      </c>
      <c r="N593" s="46"/>
      <c r="O593" s="46"/>
      <c r="P593" s="46"/>
      <c r="Q593" s="10">
        <f t="shared" si="116"/>
        <v>3599999.9640000002</v>
      </c>
      <c r="R593" s="46"/>
      <c r="S593" s="67"/>
    </row>
    <row r="594" spans="1:19" s="65" customFormat="1" ht="15.75" hidden="1">
      <c r="A594" s="3" t="s">
        <v>604</v>
      </c>
      <c r="B594" s="63">
        <v>46302</v>
      </c>
      <c r="C594" s="58" t="s">
        <v>469</v>
      </c>
      <c r="D594" s="63">
        <v>46333</v>
      </c>
      <c r="E594" s="65" t="s">
        <v>463</v>
      </c>
      <c r="F594" s="65" t="s">
        <v>46</v>
      </c>
      <c r="G594" s="65" t="s">
        <v>47</v>
      </c>
      <c r="H594" s="68" t="s">
        <v>18</v>
      </c>
      <c r="I594" s="68">
        <v>6</v>
      </c>
      <c r="J594" s="67">
        <v>240740.74</v>
      </c>
      <c r="K594" s="67">
        <f t="shared" si="117"/>
        <v>1444444.44</v>
      </c>
      <c r="L594" s="67">
        <f t="shared" si="114"/>
        <v>115555.5552</v>
      </c>
      <c r="M594" s="203">
        <f t="shared" si="115"/>
        <v>1559999.9952</v>
      </c>
      <c r="N594" s="46"/>
      <c r="O594" s="46"/>
      <c r="P594" s="46"/>
      <c r="Q594" s="10">
        <f t="shared" si="116"/>
        <v>1559999.9952</v>
      </c>
      <c r="R594" s="46"/>
      <c r="S594" s="67"/>
    </row>
    <row r="595" spans="1:19" s="65" customFormat="1" ht="15.75" hidden="1">
      <c r="A595" s="3" t="s">
        <v>604</v>
      </c>
      <c r="B595" s="63" t="s">
        <v>470</v>
      </c>
      <c r="C595" s="58" t="s">
        <v>471</v>
      </c>
      <c r="D595" s="182" t="s">
        <v>106</v>
      </c>
      <c r="E595" s="65" t="s">
        <v>463</v>
      </c>
      <c r="F595" s="65" t="s">
        <v>119</v>
      </c>
      <c r="G595" s="64" t="s">
        <v>191</v>
      </c>
      <c r="H595" s="68" t="s">
        <v>18</v>
      </c>
      <c r="I595" s="68">
        <v>4</v>
      </c>
      <c r="J595" s="67">
        <v>574074.06999999995</v>
      </c>
      <c r="K595" s="67">
        <f t="shared" si="117"/>
        <v>2296296.2799999998</v>
      </c>
      <c r="L595" s="67">
        <f t="shared" si="114"/>
        <v>183703.70239999998</v>
      </c>
      <c r="M595" s="203">
        <f t="shared" si="115"/>
        <v>2479999.9823999996</v>
      </c>
      <c r="N595" s="46"/>
      <c r="O595" s="46"/>
      <c r="P595" s="46"/>
      <c r="Q595" s="10">
        <f t="shared" si="116"/>
        <v>2479999.9823999996</v>
      </c>
      <c r="R595" s="46"/>
      <c r="S595" s="67"/>
    </row>
    <row r="596" spans="1:19" s="65" customFormat="1" ht="15.75" hidden="1">
      <c r="A596" s="3" t="s">
        <v>604</v>
      </c>
      <c r="B596" s="63" t="s">
        <v>470</v>
      </c>
      <c r="C596" s="58" t="s">
        <v>471</v>
      </c>
      <c r="D596" s="182" t="s">
        <v>106</v>
      </c>
      <c r="E596" s="65" t="s">
        <v>463</v>
      </c>
      <c r="F596" s="65" t="s">
        <v>42</v>
      </c>
      <c r="G596" s="64" t="s">
        <v>43</v>
      </c>
      <c r="H596" s="68" t="s">
        <v>18</v>
      </c>
      <c r="I596" s="68">
        <v>2</v>
      </c>
      <c r="J596" s="67">
        <v>527777.78</v>
      </c>
      <c r="K596" s="67">
        <f t="shared" si="117"/>
        <v>1055555.56</v>
      </c>
      <c r="L596" s="67">
        <f t="shared" si="114"/>
        <v>84444.444800000012</v>
      </c>
      <c r="M596" s="203">
        <f t="shared" si="115"/>
        <v>1140000.0048</v>
      </c>
      <c r="N596" s="46"/>
      <c r="O596" s="46"/>
      <c r="P596" s="46"/>
      <c r="Q596" s="10">
        <f t="shared" si="116"/>
        <v>1140000.0048</v>
      </c>
      <c r="R596" s="46"/>
      <c r="S596" s="67"/>
    </row>
    <row r="597" spans="1:19" s="65" customFormat="1" ht="15.75" hidden="1">
      <c r="A597" s="3" t="s">
        <v>604</v>
      </c>
      <c r="B597" s="63" t="s">
        <v>470</v>
      </c>
      <c r="C597" s="58" t="s">
        <v>471</v>
      </c>
      <c r="D597" s="182" t="s">
        <v>106</v>
      </c>
      <c r="E597" s="65" t="s">
        <v>463</v>
      </c>
      <c r="F597" s="65" t="s">
        <v>44</v>
      </c>
      <c r="G597" s="64" t="s">
        <v>45</v>
      </c>
      <c r="H597" s="68" t="s">
        <v>18</v>
      </c>
      <c r="I597" s="68">
        <v>2</v>
      </c>
      <c r="J597" s="67">
        <v>537037.04</v>
      </c>
      <c r="K597" s="67">
        <f t="shared" si="117"/>
        <v>1074074.08</v>
      </c>
      <c r="L597" s="67">
        <f t="shared" si="114"/>
        <v>85925.926400000011</v>
      </c>
      <c r="M597" s="203">
        <f t="shared" si="115"/>
        <v>1160000.0064000001</v>
      </c>
      <c r="N597" s="46"/>
      <c r="O597" s="46"/>
      <c r="P597" s="46"/>
      <c r="Q597" s="10">
        <f t="shared" si="116"/>
        <v>1160000.0064000001</v>
      </c>
      <c r="R597" s="46"/>
      <c r="S597" s="67"/>
    </row>
    <row r="598" spans="1:19" s="65" customFormat="1" ht="15.75" hidden="1">
      <c r="A598" s="3" t="s">
        <v>604</v>
      </c>
      <c r="B598" s="63" t="s">
        <v>470</v>
      </c>
      <c r="C598" s="58" t="s">
        <v>471</v>
      </c>
      <c r="D598" s="182" t="s">
        <v>106</v>
      </c>
      <c r="E598" s="65" t="s">
        <v>463</v>
      </c>
      <c r="F598" s="65" t="s">
        <v>148</v>
      </c>
      <c r="G598" s="64" t="s">
        <v>149</v>
      </c>
      <c r="H598" s="68" t="s">
        <v>18</v>
      </c>
      <c r="I598" s="68">
        <v>2</v>
      </c>
      <c r="J598" s="67">
        <v>296296.3</v>
      </c>
      <c r="K598" s="67">
        <f t="shared" si="117"/>
        <v>592592.6</v>
      </c>
      <c r="L598" s="67">
        <f t="shared" si="114"/>
        <v>47407.407999999996</v>
      </c>
      <c r="M598" s="203">
        <f t="shared" si="115"/>
        <v>640000.00799999991</v>
      </c>
      <c r="N598" s="46"/>
      <c r="O598" s="46"/>
      <c r="P598" s="46"/>
      <c r="Q598" s="10">
        <f t="shared" si="116"/>
        <v>640000.00799999991</v>
      </c>
      <c r="R598" s="46"/>
      <c r="S598" s="67"/>
    </row>
    <row r="599" spans="1:19" s="65" customFormat="1" ht="15.75" hidden="1">
      <c r="A599" s="3" t="s">
        <v>604</v>
      </c>
      <c r="B599" s="63" t="s">
        <v>470</v>
      </c>
      <c r="C599" s="58" t="s">
        <v>471</v>
      </c>
      <c r="D599" s="182" t="s">
        <v>106</v>
      </c>
      <c r="E599" s="65" t="s">
        <v>463</v>
      </c>
      <c r="F599" s="65" t="s">
        <v>46</v>
      </c>
      <c r="G599" s="65" t="s">
        <v>47</v>
      </c>
      <c r="H599" s="68" t="s">
        <v>18</v>
      </c>
      <c r="I599" s="68">
        <v>4</v>
      </c>
      <c r="J599" s="67">
        <v>240740.74</v>
      </c>
      <c r="K599" s="67">
        <f t="shared" si="117"/>
        <v>962962.96</v>
      </c>
      <c r="L599" s="67">
        <f t="shared" si="114"/>
        <v>77037.036800000002</v>
      </c>
      <c r="M599" s="203">
        <f t="shared" si="115"/>
        <v>1039999.9968</v>
      </c>
      <c r="N599" s="46"/>
      <c r="O599" s="46"/>
      <c r="P599" s="46"/>
      <c r="Q599" s="10">
        <f t="shared" si="116"/>
        <v>1039999.9968</v>
      </c>
      <c r="R599" s="46"/>
      <c r="S599" s="67"/>
    </row>
    <row r="600" spans="1:19" s="65" customFormat="1" ht="15.75" hidden="1">
      <c r="A600" s="3" t="s">
        <v>604</v>
      </c>
      <c r="B600" s="63" t="s">
        <v>470</v>
      </c>
      <c r="C600" s="58" t="s">
        <v>471</v>
      </c>
      <c r="D600" s="182" t="s">
        <v>106</v>
      </c>
      <c r="E600" s="65" t="s">
        <v>463</v>
      </c>
      <c r="F600" s="43" t="s">
        <v>58</v>
      </c>
      <c r="G600" s="43" t="s">
        <v>59</v>
      </c>
      <c r="H600" s="44" t="s">
        <v>465</v>
      </c>
      <c r="I600" s="44">
        <v>3</v>
      </c>
      <c r="J600" s="45">
        <v>1361111.11</v>
      </c>
      <c r="K600" s="45">
        <f t="shared" si="117"/>
        <v>4083333.33</v>
      </c>
      <c r="L600" s="45">
        <f t="shared" si="114"/>
        <v>326666.66639999999</v>
      </c>
      <c r="M600" s="256">
        <f t="shared" si="115"/>
        <v>4409999.9964000005</v>
      </c>
      <c r="N600" s="46"/>
      <c r="O600" s="46"/>
      <c r="P600" s="46"/>
      <c r="Q600" s="10">
        <f t="shared" si="116"/>
        <v>4409999.9964000005</v>
      </c>
      <c r="R600" s="46"/>
      <c r="S600" s="67"/>
    </row>
    <row r="601" spans="1:19" s="65" customFormat="1" ht="15.75" hidden="1">
      <c r="A601" s="3" t="s">
        <v>604</v>
      </c>
      <c r="B601" s="63" t="s">
        <v>106</v>
      </c>
      <c r="C601" s="58" t="s">
        <v>472</v>
      </c>
      <c r="D601" s="63" t="s">
        <v>106</v>
      </c>
      <c r="E601" s="65" t="s">
        <v>463</v>
      </c>
      <c r="F601" s="43" t="s">
        <v>58</v>
      </c>
      <c r="G601" s="43" t="s">
        <v>59</v>
      </c>
      <c r="H601" s="44" t="s">
        <v>465</v>
      </c>
      <c r="I601" s="44">
        <v>3</v>
      </c>
      <c r="J601" s="45">
        <v>1361111.11</v>
      </c>
      <c r="K601" s="45">
        <f t="shared" si="117"/>
        <v>4083333.33</v>
      </c>
      <c r="L601" s="45">
        <f t="shared" si="114"/>
        <v>326666.66639999999</v>
      </c>
      <c r="M601" s="256">
        <f t="shared" si="115"/>
        <v>4409999.9964000005</v>
      </c>
      <c r="N601" s="46"/>
      <c r="O601" s="46"/>
      <c r="P601" s="46"/>
      <c r="Q601" s="10">
        <f t="shared" si="116"/>
        <v>4409999.9964000005</v>
      </c>
      <c r="R601" s="46"/>
      <c r="S601" s="67"/>
    </row>
    <row r="602" spans="1:19" s="65" customFormat="1" ht="15.75" hidden="1">
      <c r="A602" s="3" t="s">
        <v>604</v>
      </c>
      <c r="B602" s="63" t="s">
        <v>106</v>
      </c>
      <c r="C602" s="58" t="s">
        <v>472</v>
      </c>
      <c r="D602" s="63" t="s">
        <v>106</v>
      </c>
      <c r="E602" s="65" t="s">
        <v>463</v>
      </c>
      <c r="F602" s="65" t="s">
        <v>44</v>
      </c>
      <c r="G602" s="64" t="s">
        <v>45</v>
      </c>
      <c r="H602" s="68" t="s">
        <v>18</v>
      </c>
      <c r="I602" s="68">
        <v>2</v>
      </c>
      <c r="J602" s="67">
        <v>537037.04</v>
      </c>
      <c r="K602" s="67">
        <f t="shared" si="117"/>
        <v>1074074.08</v>
      </c>
      <c r="L602" s="67">
        <f t="shared" si="114"/>
        <v>85925.926400000011</v>
      </c>
      <c r="M602" s="203">
        <f t="shared" si="115"/>
        <v>1160000.0064000001</v>
      </c>
      <c r="N602" s="46"/>
      <c r="O602" s="46"/>
      <c r="P602" s="46"/>
      <c r="Q602" s="10">
        <f t="shared" si="116"/>
        <v>1160000.0064000001</v>
      </c>
      <c r="R602" s="46"/>
      <c r="S602" s="67"/>
    </row>
    <row r="603" spans="1:19" s="65" customFormat="1" ht="15.75" hidden="1">
      <c r="A603" s="3" t="s">
        <v>604</v>
      </c>
      <c r="B603" s="63" t="s">
        <v>106</v>
      </c>
      <c r="C603" s="58" t="s">
        <v>472</v>
      </c>
      <c r="D603" s="63" t="s">
        <v>106</v>
      </c>
      <c r="E603" s="65" t="s">
        <v>463</v>
      </c>
      <c r="F603" s="65" t="s">
        <v>192</v>
      </c>
      <c r="G603" s="64" t="s">
        <v>193</v>
      </c>
      <c r="H603" s="68" t="s">
        <v>18</v>
      </c>
      <c r="I603" s="68">
        <v>2</v>
      </c>
      <c r="J603" s="67">
        <v>333333.33</v>
      </c>
      <c r="K603" s="67">
        <f t="shared" si="117"/>
        <v>666666.66</v>
      </c>
      <c r="L603" s="67">
        <f t="shared" si="114"/>
        <v>53333.332800000004</v>
      </c>
      <c r="M603" s="203">
        <f t="shared" si="115"/>
        <v>719999.99280000001</v>
      </c>
      <c r="N603" s="46"/>
      <c r="O603" s="46"/>
      <c r="P603" s="46"/>
      <c r="Q603" s="10">
        <f t="shared" si="116"/>
        <v>719999.99280000001</v>
      </c>
      <c r="R603" s="46"/>
      <c r="S603" s="67"/>
    </row>
    <row r="604" spans="1:19" s="65" customFormat="1" ht="15.75" hidden="1">
      <c r="A604" s="3" t="s">
        <v>604</v>
      </c>
      <c r="B604" s="63"/>
      <c r="C604" s="58"/>
      <c r="D604" s="63"/>
      <c r="G604" s="291" t="s">
        <v>618</v>
      </c>
      <c r="H604" s="68"/>
      <c r="I604" s="68"/>
      <c r="J604" s="67"/>
      <c r="K604" s="67"/>
      <c r="L604" s="67"/>
      <c r="M604" s="186"/>
      <c r="N604" s="186">
        <v>40000000</v>
      </c>
      <c r="O604" s="186"/>
      <c r="P604" s="186"/>
      <c r="Q604" s="10">
        <f t="shared" si="116"/>
        <v>-40000000</v>
      </c>
      <c r="R604" s="46"/>
      <c r="S604" s="67"/>
    </row>
    <row r="605" spans="1:19" s="87" customFormat="1" ht="15.75" hidden="1">
      <c r="A605" s="3" t="s">
        <v>605</v>
      </c>
      <c r="B605" s="85" t="s">
        <v>67</v>
      </c>
      <c r="C605" s="58" t="s">
        <v>473</v>
      </c>
      <c r="D605" s="63" t="str">
        <f>B605</f>
        <v>21/01/2026</v>
      </c>
      <c r="E605" s="65" t="s">
        <v>474</v>
      </c>
      <c r="F605" s="68" t="s">
        <v>80</v>
      </c>
      <c r="G605" s="68" t="s">
        <v>81</v>
      </c>
      <c r="H605" s="65" t="s">
        <v>412</v>
      </c>
      <c r="I605" s="113">
        <v>4</v>
      </c>
      <c r="J605" s="67">
        <v>824074.07</v>
      </c>
      <c r="K605" s="67">
        <v>3296296</v>
      </c>
      <c r="L605" s="67">
        <v>263704</v>
      </c>
      <c r="M605" s="203">
        <f>K605+L605</f>
        <v>3560000</v>
      </c>
      <c r="N605" s="112"/>
      <c r="O605" s="112"/>
      <c r="P605" s="112"/>
      <c r="Q605" s="10">
        <f t="shared" si="116"/>
        <v>3560000</v>
      </c>
      <c r="R605" s="112"/>
    </row>
    <row r="606" spans="1:19" s="87" customFormat="1" ht="15.75" hidden="1">
      <c r="A606" s="3" t="s">
        <v>605</v>
      </c>
      <c r="B606" s="85" t="s">
        <v>67</v>
      </c>
      <c r="C606" s="58" t="s">
        <v>473</v>
      </c>
      <c r="D606" s="63" t="str">
        <f>B606</f>
        <v>21/01/2026</v>
      </c>
      <c r="E606" s="65" t="s">
        <v>474</v>
      </c>
      <c r="F606" s="68" t="s">
        <v>21</v>
      </c>
      <c r="G606" s="68" t="s">
        <v>22</v>
      </c>
      <c r="H606" s="65" t="s">
        <v>412</v>
      </c>
      <c r="I606" s="113">
        <v>4</v>
      </c>
      <c r="J606" s="67">
        <v>937963</v>
      </c>
      <c r="K606" s="67">
        <f>I606*J606</f>
        <v>3751852</v>
      </c>
      <c r="L606" s="67">
        <v>300148</v>
      </c>
      <c r="M606" s="203">
        <f>K606+L606</f>
        <v>4052000</v>
      </c>
      <c r="N606" s="112"/>
      <c r="O606" s="112"/>
      <c r="P606" s="112"/>
      <c r="Q606" s="10">
        <f t="shared" si="116"/>
        <v>4052000</v>
      </c>
      <c r="R606" s="112"/>
    </row>
    <row r="607" spans="1:19" s="87" customFormat="1" ht="25.5" hidden="1">
      <c r="A607" s="3" t="s">
        <v>605</v>
      </c>
      <c r="B607" s="85" t="s">
        <v>67</v>
      </c>
      <c r="C607" s="58" t="s">
        <v>475</v>
      </c>
      <c r="D607" s="63" t="s">
        <v>476</v>
      </c>
      <c r="E607" s="65" t="s">
        <v>474</v>
      </c>
      <c r="F607" s="68" t="s">
        <v>16</v>
      </c>
      <c r="G607" s="68" t="s">
        <v>375</v>
      </c>
      <c r="H607" s="65" t="s">
        <v>412</v>
      </c>
      <c r="I607" s="113">
        <v>4</v>
      </c>
      <c r="J607" s="67">
        <v>851851.75</v>
      </c>
      <c r="K607" s="67">
        <f t="shared" ref="K607" si="118">I607*J607</f>
        <v>3407407</v>
      </c>
      <c r="L607" s="67">
        <v>272593</v>
      </c>
      <c r="M607" s="203">
        <f t="shared" ref="M607:M615" si="119">K607+L607</f>
        <v>3680000</v>
      </c>
      <c r="N607" s="112"/>
      <c r="O607" s="112"/>
      <c r="P607" s="112"/>
      <c r="Q607" s="10">
        <f t="shared" si="116"/>
        <v>3680000</v>
      </c>
      <c r="R607" s="112"/>
    </row>
    <row r="608" spans="1:19" s="87" customFormat="1" ht="15.75" hidden="1">
      <c r="A608" s="3" t="s">
        <v>605</v>
      </c>
      <c r="B608" s="85" t="s">
        <v>67</v>
      </c>
      <c r="C608" s="58" t="s">
        <v>477</v>
      </c>
      <c r="D608" s="63">
        <v>46115</v>
      </c>
      <c r="E608" s="65" t="s">
        <v>474</v>
      </c>
      <c r="F608" s="68" t="s">
        <v>48</v>
      </c>
      <c r="G608" s="68" t="s">
        <v>376</v>
      </c>
      <c r="H608" s="65" t="s">
        <v>113</v>
      </c>
      <c r="I608" s="113">
        <v>6</v>
      </c>
      <c r="J608" s="67">
        <v>601851.75</v>
      </c>
      <c r="K608" s="67">
        <v>3611111</v>
      </c>
      <c r="L608" s="67">
        <v>288889</v>
      </c>
      <c r="M608" s="203">
        <f t="shared" si="119"/>
        <v>3900000</v>
      </c>
      <c r="N608" s="112"/>
      <c r="O608" s="112"/>
      <c r="P608" s="112"/>
      <c r="Q608" s="10">
        <f t="shared" si="116"/>
        <v>3900000</v>
      </c>
      <c r="R608" s="112"/>
    </row>
    <row r="609" spans="1:18" s="87" customFormat="1" ht="15.75" hidden="1">
      <c r="A609" s="3" t="s">
        <v>605</v>
      </c>
      <c r="B609" s="85" t="s">
        <v>67</v>
      </c>
      <c r="C609" s="58" t="s">
        <v>478</v>
      </c>
      <c r="D609" s="63" t="s">
        <v>476</v>
      </c>
      <c r="E609" s="65" t="s">
        <v>474</v>
      </c>
      <c r="F609" s="68" t="s">
        <v>56</v>
      </c>
      <c r="G609" s="68" t="s">
        <v>381</v>
      </c>
      <c r="H609" s="65" t="s">
        <v>113</v>
      </c>
      <c r="I609" s="113">
        <v>36</v>
      </c>
      <c r="J609" s="67">
        <v>325925.92</v>
      </c>
      <c r="K609" s="67">
        <v>11733333</v>
      </c>
      <c r="L609" s="67">
        <v>938666</v>
      </c>
      <c r="M609" s="203">
        <f t="shared" si="119"/>
        <v>12671999</v>
      </c>
      <c r="N609" s="112"/>
      <c r="O609" s="112"/>
      <c r="P609" s="112"/>
      <c r="Q609" s="10">
        <f t="shared" si="116"/>
        <v>12671999</v>
      </c>
      <c r="R609" s="112"/>
    </row>
    <row r="610" spans="1:18" s="87" customFormat="1" ht="15.75" hidden="1">
      <c r="A610" s="3" t="s">
        <v>605</v>
      </c>
      <c r="B610" s="85" t="s">
        <v>67</v>
      </c>
      <c r="C610" s="58" t="s">
        <v>479</v>
      </c>
      <c r="D610" s="63" t="s">
        <v>140</v>
      </c>
      <c r="E610" s="65" t="s">
        <v>474</v>
      </c>
      <c r="F610" s="68" t="s">
        <v>74</v>
      </c>
      <c r="G610" s="68" t="s">
        <v>75</v>
      </c>
      <c r="H610" s="65" t="s">
        <v>113</v>
      </c>
      <c r="I610" s="113">
        <v>8</v>
      </c>
      <c r="J610" s="67">
        <v>361111.11</v>
      </c>
      <c r="K610" s="67">
        <v>2888889</v>
      </c>
      <c r="L610" s="67">
        <v>231111</v>
      </c>
      <c r="M610" s="203">
        <f>K610+L610</f>
        <v>3120000</v>
      </c>
      <c r="N610" s="112"/>
      <c r="O610" s="112"/>
      <c r="P610" s="112"/>
      <c r="Q610" s="10">
        <f t="shared" si="116"/>
        <v>3120000</v>
      </c>
      <c r="R610" s="112"/>
    </row>
    <row r="611" spans="1:18" s="87" customFormat="1" ht="19.149999999999999" hidden="1" customHeight="1">
      <c r="A611" s="3" t="s">
        <v>605</v>
      </c>
      <c r="B611" s="85" t="s">
        <v>67</v>
      </c>
      <c r="C611" s="42" t="s">
        <v>335</v>
      </c>
      <c r="D611" s="63"/>
      <c r="E611" s="65" t="s">
        <v>474</v>
      </c>
      <c r="F611" s="68" t="s">
        <v>436</v>
      </c>
      <c r="G611" s="68" t="s">
        <v>63</v>
      </c>
      <c r="H611" s="65" t="s">
        <v>113</v>
      </c>
      <c r="I611" s="113">
        <v>6</v>
      </c>
      <c r="J611" s="67"/>
      <c r="K611" s="67"/>
      <c r="L611" s="67"/>
      <c r="M611" s="203"/>
      <c r="N611" s="112"/>
      <c r="O611" s="112"/>
      <c r="P611" s="112"/>
      <c r="Q611" s="10">
        <f t="shared" si="116"/>
        <v>0</v>
      </c>
      <c r="R611" s="112"/>
    </row>
    <row r="612" spans="1:18" s="87" customFormat="1" ht="15.75" hidden="1">
      <c r="A612" s="3" t="s">
        <v>605</v>
      </c>
      <c r="B612" s="85" t="s">
        <v>393</v>
      </c>
      <c r="C612" s="58" t="s">
        <v>480</v>
      </c>
      <c r="D612" s="63" t="str">
        <f>B612</f>
        <v>30/01/2026</v>
      </c>
      <c r="E612" s="65" t="s">
        <v>474</v>
      </c>
      <c r="F612" s="187" t="s">
        <v>80</v>
      </c>
      <c r="G612" s="187" t="s">
        <v>81</v>
      </c>
      <c r="H612" s="65" t="s">
        <v>412</v>
      </c>
      <c r="I612" s="113">
        <v>6</v>
      </c>
      <c r="J612" s="67">
        <v>824074.07</v>
      </c>
      <c r="K612" s="67">
        <v>4944444</v>
      </c>
      <c r="L612" s="67">
        <v>395556</v>
      </c>
      <c r="M612" s="203">
        <f t="shared" si="119"/>
        <v>5340000</v>
      </c>
      <c r="N612" s="112"/>
      <c r="O612" s="112"/>
      <c r="P612" s="112"/>
      <c r="Q612" s="10">
        <f t="shared" si="116"/>
        <v>5340000</v>
      </c>
      <c r="R612" s="112"/>
    </row>
    <row r="613" spans="1:18" s="87" customFormat="1" ht="15.75" hidden="1">
      <c r="A613" s="3" t="s">
        <v>605</v>
      </c>
      <c r="B613" s="85" t="s">
        <v>393</v>
      </c>
      <c r="C613" s="58" t="s">
        <v>480</v>
      </c>
      <c r="D613" s="63" t="str">
        <f t="shared" ref="D613" si="120">B613</f>
        <v>30/01/2026</v>
      </c>
      <c r="E613" s="65" t="s">
        <v>474</v>
      </c>
      <c r="F613" s="187" t="s">
        <v>21</v>
      </c>
      <c r="G613" s="187" t="s">
        <v>22</v>
      </c>
      <c r="H613" s="65" t="s">
        <v>412</v>
      </c>
      <c r="I613" s="113">
        <v>6</v>
      </c>
      <c r="J613" s="67">
        <v>937962.96</v>
      </c>
      <c r="K613" s="67">
        <v>5627778</v>
      </c>
      <c r="L613" s="67">
        <v>450222</v>
      </c>
      <c r="M613" s="203">
        <f t="shared" si="119"/>
        <v>6078000</v>
      </c>
      <c r="N613" s="112"/>
      <c r="O613" s="112"/>
      <c r="P613" s="112"/>
      <c r="Q613" s="10">
        <f t="shared" si="116"/>
        <v>6078000</v>
      </c>
      <c r="R613" s="112"/>
    </row>
    <row r="614" spans="1:18" s="87" customFormat="1" ht="25.5" hidden="1">
      <c r="A614" s="3" t="s">
        <v>605</v>
      </c>
      <c r="B614" s="85" t="s">
        <v>393</v>
      </c>
      <c r="C614" s="58" t="s">
        <v>481</v>
      </c>
      <c r="D614" s="63">
        <v>46297</v>
      </c>
      <c r="E614" s="65" t="s">
        <v>474</v>
      </c>
      <c r="F614" s="68" t="s">
        <v>60</v>
      </c>
      <c r="G614" s="68" t="s">
        <v>374</v>
      </c>
      <c r="H614" s="65" t="s">
        <v>412</v>
      </c>
      <c r="I614" s="113">
        <v>8</v>
      </c>
      <c r="J614" s="67">
        <v>1138888.8799999999</v>
      </c>
      <c r="K614" s="67">
        <v>9111111</v>
      </c>
      <c r="L614" s="67">
        <v>728889</v>
      </c>
      <c r="M614" s="203">
        <f t="shared" si="119"/>
        <v>9840000</v>
      </c>
      <c r="N614" s="112"/>
      <c r="O614" s="112"/>
      <c r="P614" s="112"/>
      <c r="Q614" s="10">
        <f t="shared" si="116"/>
        <v>9840000</v>
      </c>
      <c r="R614" s="112"/>
    </row>
    <row r="615" spans="1:18" s="87" customFormat="1" ht="25.5" hidden="1">
      <c r="A615" s="3" t="s">
        <v>605</v>
      </c>
      <c r="B615" s="85" t="s">
        <v>393</v>
      </c>
      <c r="C615" s="58" t="s">
        <v>481</v>
      </c>
      <c r="D615" s="63">
        <v>46297</v>
      </c>
      <c r="E615" s="65" t="s">
        <v>474</v>
      </c>
      <c r="F615" s="68" t="s">
        <v>16</v>
      </c>
      <c r="G615" s="68" t="s">
        <v>375</v>
      </c>
      <c r="H615" s="65" t="s">
        <v>412</v>
      </c>
      <c r="I615" s="113">
        <v>8</v>
      </c>
      <c r="J615" s="67">
        <v>851851.85</v>
      </c>
      <c r="K615" s="67">
        <v>6814815</v>
      </c>
      <c r="L615" s="67">
        <v>545185</v>
      </c>
      <c r="M615" s="203">
        <f t="shared" si="119"/>
        <v>7360000</v>
      </c>
      <c r="N615" s="112"/>
      <c r="O615" s="112"/>
      <c r="P615" s="112"/>
      <c r="Q615" s="10">
        <f t="shared" si="116"/>
        <v>7360000</v>
      </c>
      <c r="R615" s="112"/>
    </row>
    <row r="616" spans="1:18" s="87" customFormat="1" ht="15.75" hidden="1">
      <c r="A616" s="3" t="s">
        <v>605</v>
      </c>
      <c r="B616" s="85" t="s">
        <v>393</v>
      </c>
      <c r="C616" s="58" t="s">
        <v>477</v>
      </c>
      <c r="D616" s="63">
        <v>46115</v>
      </c>
      <c r="E616" s="65" t="s">
        <v>474</v>
      </c>
      <c r="F616" s="68" t="s">
        <v>48</v>
      </c>
      <c r="G616" s="68" t="s">
        <v>376</v>
      </c>
      <c r="H616" s="65" t="s">
        <v>113</v>
      </c>
      <c r="I616" s="113">
        <v>6</v>
      </c>
      <c r="J616" s="67">
        <v>601851.85</v>
      </c>
      <c r="K616" s="67">
        <f t="shared" ref="K616" si="121">I616*J616</f>
        <v>3611111.0999999996</v>
      </c>
      <c r="L616" s="67">
        <v>288889</v>
      </c>
      <c r="M616" s="203">
        <f>K616+L616</f>
        <v>3900000.0999999996</v>
      </c>
      <c r="N616" s="112"/>
      <c r="O616" s="112"/>
      <c r="P616" s="112"/>
      <c r="Q616" s="10">
        <f t="shared" si="116"/>
        <v>3900000.0999999996</v>
      </c>
      <c r="R616" s="112"/>
    </row>
    <row r="617" spans="1:18" s="87" customFormat="1" ht="15.75" hidden="1">
      <c r="A617" s="3" t="s">
        <v>605</v>
      </c>
      <c r="B617" s="85" t="s">
        <v>393</v>
      </c>
      <c r="C617" s="58" t="s">
        <v>479</v>
      </c>
      <c r="D617" s="63" t="s">
        <v>140</v>
      </c>
      <c r="E617" s="65" t="s">
        <v>474</v>
      </c>
      <c r="F617" s="68" t="s">
        <v>74</v>
      </c>
      <c r="G617" s="68" t="s">
        <v>75</v>
      </c>
      <c r="H617" s="65" t="s">
        <v>113</v>
      </c>
      <c r="I617" s="113">
        <v>8</v>
      </c>
      <c r="J617" s="67">
        <v>361111.11</v>
      </c>
      <c r="K617" s="67">
        <v>2888889</v>
      </c>
      <c r="L617" s="67">
        <v>231111</v>
      </c>
      <c r="M617" s="203">
        <f>K617+L617</f>
        <v>3120000</v>
      </c>
      <c r="N617" s="112"/>
      <c r="O617" s="112"/>
      <c r="P617" s="112"/>
      <c r="Q617" s="10">
        <f t="shared" si="116"/>
        <v>3120000</v>
      </c>
      <c r="R617" s="112"/>
    </row>
    <row r="618" spans="1:18" s="87" customFormat="1" ht="19.899999999999999" hidden="1" customHeight="1">
      <c r="A618" s="3" t="s">
        <v>605</v>
      </c>
      <c r="B618" s="85" t="s">
        <v>393</v>
      </c>
      <c r="C618" s="42" t="s">
        <v>335</v>
      </c>
      <c r="D618" s="63"/>
      <c r="E618" s="65" t="s">
        <v>474</v>
      </c>
      <c r="F618" s="68" t="s">
        <v>436</v>
      </c>
      <c r="G618" s="68" t="s">
        <v>63</v>
      </c>
      <c r="H618" s="65" t="s">
        <v>113</v>
      </c>
      <c r="I618" s="113">
        <v>6</v>
      </c>
      <c r="J618" s="67"/>
      <c r="K618" s="67"/>
      <c r="L618" s="67"/>
      <c r="M618" s="203"/>
      <c r="N618" s="112"/>
      <c r="O618" s="112"/>
      <c r="P618" s="112"/>
      <c r="Q618" s="10">
        <f t="shared" si="116"/>
        <v>0</v>
      </c>
      <c r="R618" s="112"/>
    </row>
    <row r="619" spans="1:18" s="279" customFormat="1" ht="15.75" hidden="1">
      <c r="A619" s="3" t="s">
        <v>605</v>
      </c>
      <c r="B619" s="188" t="s">
        <v>393</v>
      </c>
      <c r="C619" s="189"/>
      <c r="D619" s="189"/>
      <c r="E619" s="190" t="s">
        <v>447</v>
      </c>
      <c r="F619" s="191"/>
      <c r="G619" s="191"/>
      <c r="H619" s="190"/>
      <c r="I619" s="192"/>
      <c r="J619" s="193"/>
      <c r="K619" s="193"/>
      <c r="L619" s="193"/>
      <c r="M619" s="194"/>
      <c r="N619" s="194">
        <v>19030000</v>
      </c>
      <c r="O619" s="194"/>
      <c r="P619" s="194"/>
      <c r="Q619" s="10">
        <f t="shared" si="116"/>
        <v>-19030000</v>
      </c>
      <c r="R619" s="195"/>
    </row>
    <row r="620" spans="1:18" s="279" customFormat="1" ht="15.75" hidden="1">
      <c r="A620" s="3" t="s">
        <v>605</v>
      </c>
      <c r="B620" s="188">
        <v>46297</v>
      </c>
      <c r="C620" s="189"/>
      <c r="D620" s="189"/>
      <c r="E620" s="190" t="s">
        <v>447</v>
      </c>
      <c r="F620" s="191"/>
      <c r="G620" s="191"/>
      <c r="H620" s="190"/>
      <c r="I620" s="192"/>
      <c r="J620" s="193"/>
      <c r="K620" s="193"/>
      <c r="L620" s="193"/>
      <c r="M620" s="194"/>
      <c r="N620" s="194">
        <v>17200000</v>
      </c>
      <c r="O620" s="194"/>
      <c r="P620" s="194"/>
      <c r="Q620" s="10">
        <f t="shared" si="116"/>
        <v>-17200000</v>
      </c>
      <c r="R620" s="195"/>
    </row>
    <row r="621" spans="1:18" s="87" customFormat="1" ht="15.75" hidden="1">
      <c r="A621" s="3" t="s">
        <v>605</v>
      </c>
      <c r="B621" s="85" t="s">
        <v>152</v>
      </c>
      <c r="C621" s="181" t="s">
        <v>482</v>
      </c>
      <c r="D621" s="63" t="s">
        <v>476</v>
      </c>
      <c r="E621" s="65" t="s">
        <v>474</v>
      </c>
      <c r="F621" s="68" t="s">
        <v>80</v>
      </c>
      <c r="G621" s="65" t="s">
        <v>81</v>
      </c>
      <c r="H621" s="65" t="s">
        <v>412</v>
      </c>
      <c r="I621" s="113">
        <v>4</v>
      </c>
      <c r="J621" s="67">
        <v>824074.07</v>
      </c>
      <c r="K621" s="67">
        <v>3296296</v>
      </c>
      <c r="L621" s="67">
        <v>263704</v>
      </c>
      <c r="M621" s="203">
        <f t="shared" ref="M621:M627" si="122">K621+L621</f>
        <v>3560000</v>
      </c>
      <c r="N621" s="112"/>
      <c r="O621" s="112"/>
      <c r="P621" s="112"/>
      <c r="Q621" s="10">
        <f t="shared" si="116"/>
        <v>3560000</v>
      </c>
      <c r="R621" s="112"/>
    </row>
    <row r="622" spans="1:18" s="87" customFormat="1" ht="15.75" hidden="1">
      <c r="A622" s="3" t="s">
        <v>605</v>
      </c>
      <c r="B622" s="85" t="s">
        <v>152</v>
      </c>
      <c r="C622" s="181" t="s">
        <v>482</v>
      </c>
      <c r="D622" s="63" t="s">
        <v>476</v>
      </c>
      <c r="E622" s="65" t="s">
        <v>474</v>
      </c>
      <c r="F622" s="68" t="s">
        <v>21</v>
      </c>
      <c r="G622" s="65" t="s">
        <v>22</v>
      </c>
      <c r="H622" s="65" t="s">
        <v>412</v>
      </c>
      <c r="I622" s="113">
        <v>2</v>
      </c>
      <c r="J622" s="67">
        <v>937962.96</v>
      </c>
      <c r="K622" s="67">
        <v>1875926</v>
      </c>
      <c r="L622" s="67">
        <v>150074</v>
      </c>
      <c r="M622" s="203">
        <f t="shared" si="122"/>
        <v>2026000</v>
      </c>
      <c r="N622" s="112"/>
      <c r="O622" s="112"/>
      <c r="P622" s="112"/>
      <c r="Q622" s="10">
        <f t="shared" si="116"/>
        <v>2026000</v>
      </c>
      <c r="R622" s="112"/>
    </row>
    <row r="623" spans="1:18" s="87" customFormat="1" ht="15.75" hidden="1">
      <c r="A623" s="3" t="s">
        <v>605</v>
      </c>
      <c r="B623" s="85" t="s">
        <v>152</v>
      </c>
      <c r="C623" s="181" t="s">
        <v>482</v>
      </c>
      <c r="D623" s="63" t="s">
        <v>476</v>
      </c>
      <c r="E623" s="65" t="s">
        <v>474</v>
      </c>
      <c r="F623" s="68" t="s">
        <v>58</v>
      </c>
      <c r="G623" s="65" t="s">
        <v>59</v>
      </c>
      <c r="H623" s="65" t="s">
        <v>113</v>
      </c>
      <c r="I623" s="113">
        <v>3</v>
      </c>
      <c r="J623" s="67">
        <v>1361111.11</v>
      </c>
      <c r="K623" s="67">
        <v>4083333</v>
      </c>
      <c r="L623" s="67">
        <v>326667</v>
      </c>
      <c r="M623" s="203">
        <f t="shared" si="122"/>
        <v>4410000</v>
      </c>
      <c r="N623" s="112"/>
      <c r="O623" s="112"/>
      <c r="P623" s="112"/>
      <c r="Q623" s="10">
        <f t="shared" si="116"/>
        <v>4410000</v>
      </c>
      <c r="R623" s="112"/>
    </row>
    <row r="624" spans="1:18" s="87" customFormat="1" ht="15.75" hidden="1">
      <c r="A624" s="3" t="s">
        <v>605</v>
      </c>
      <c r="B624" s="85" t="s">
        <v>152</v>
      </c>
      <c r="C624" s="58" t="s">
        <v>479</v>
      </c>
      <c r="D624" s="63" t="s">
        <v>140</v>
      </c>
      <c r="E624" s="65" t="s">
        <v>474</v>
      </c>
      <c r="F624" s="68" t="s">
        <v>74</v>
      </c>
      <c r="G624" s="65" t="s">
        <v>141</v>
      </c>
      <c r="H624" s="65" t="s">
        <v>113</v>
      </c>
      <c r="I624" s="113">
        <v>8</v>
      </c>
      <c r="J624" s="67">
        <v>361111.11</v>
      </c>
      <c r="K624" s="67">
        <v>2888889</v>
      </c>
      <c r="L624" s="67">
        <v>231111</v>
      </c>
      <c r="M624" s="203">
        <f t="shared" si="122"/>
        <v>3120000</v>
      </c>
      <c r="N624" s="112"/>
      <c r="O624" s="112"/>
      <c r="P624" s="112"/>
      <c r="Q624" s="10">
        <f t="shared" si="116"/>
        <v>3120000</v>
      </c>
      <c r="R624" s="112"/>
    </row>
    <row r="625" spans="1:18" s="87" customFormat="1" ht="15.75" hidden="1">
      <c r="A625" s="3" t="s">
        <v>605</v>
      </c>
      <c r="B625" s="85" t="s">
        <v>152</v>
      </c>
      <c r="C625" s="58" t="s">
        <v>478</v>
      </c>
      <c r="D625" s="63" t="s">
        <v>476</v>
      </c>
      <c r="E625" s="65" t="s">
        <v>474</v>
      </c>
      <c r="F625" s="68" t="s">
        <v>219</v>
      </c>
      <c r="G625" s="68" t="s">
        <v>483</v>
      </c>
      <c r="H625" s="65" t="s">
        <v>113</v>
      </c>
      <c r="I625" s="113">
        <v>12</v>
      </c>
      <c r="J625" s="67">
        <v>263888.88</v>
      </c>
      <c r="K625" s="67">
        <v>3166667</v>
      </c>
      <c r="L625" s="67">
        <v>253333</v>
      </c>
      <c r="M625" s="203">
        <f t="shared" si="122"/>
        <v>3420000</v>
      </c>
      <c r="N625" s="112"/>
      <c r="O625" s="112"/>
      <c r="P625" s="112"/>
      <c r="Q625" s="10">
        <f t="shared" si="116"/>
        <v>3420000</v>
      </c>
      <c r="R625" s="112"/>
    </row>
    <row r="626" spans="1:18" s="87" customFormat="1" ht="25.5" hidden="1">
      <c r="A626" s="3" t="s">
        <v>605</v>
      </c>
      <c r="B626" s="85" t="s">
        <v>152</v>
      </c>
      <c r="C626" s="58" t="s">
        <v>478</v>
      </c>
      <c r="D626" s="63" t="s">
        <v>476</v>
      </c>
      <c r="E626" s="65" t="s">
        <v>474</v>
      </c>
      <c r="F626" s="68" t="s">
        <v>60</v>
      </c>
      <c r="G626" s="68" t="s">
        <v>61</v>
      </c>
      <c r="H626" s="65" t="s">
        <v>412</v>
      </c>
      <c r="I626" s="113">
        <v>8</v>
      </c>
      <c r="J626" s="67">
        <v>1138888.8799999999</v>
      </c>
      <c r="K626" s="67">
        <v>9111111</v>
      </c>
      <c r="L626" s="67">
        <v>728889</v>
      </c>
      <c r="M626" s="203">
        <f t="shared" si="122"/>
        <v>9840000</v>
      </c>
      <c r="N626" s="112"/>
      <c r="O626" s="112"/>
      <c r="P626" s="112"/>
      <c r="Q626" s="10">
        <f t="shared" si="116"/>
        <v>9840000</v>
      </c>
      <c r="R626" s="112"/>
    </row>
    <row r="627" spans="1:18" s="87" customFormat="1" ht="25.5" hidden="1">
      <c r="A627" s="3" t="s">
        <v>605</v>
      </c>
      <c r="B627" s="85" t="s">
        <v>152</v>
      </c>
      <c r="C627" s="58" t="s">
        <v>478</v>
      </c>
      <c r="D627" s="63" t="s">
        <v>476</v>
      </c>
      <c r="E627" s="65" t="s">
        <v>474</v>
      </c>
      <c r="F627" s="68" t="s">
        <v>16</v>
      </c>
      <c r="G627" s="68" t="s">
        <v>17</v>
      </c>
      <c r="H627" s="65" t="s">
        <v>412</v>
      </c>
      <c r="I627" s="113">
        <v>4</v>
      </c>
      <c r="J627" s="67">
        <v>851851.85</v>
      </c>
      <c r="K627" s="67">
        <v>3407407</v>
      </c>
      <c r="L627" s="67">
        <v>272593</v>
      </c>
      <c r="M627" s="203">
        <f t="shared" si="122"/>
        <v>3680000</v>
      </c>
      <c r="N627" s="112"/>
      <c r="O627" s="112"/>
      <c r="P627" s="112"/>
      <c r="Q627" s="10">
        <f t="shared" si="116"/>
        <v>3680000</v>
      </c>
      <c r="R627" s="112"/>
    </row>
    <row r="628" spans="1:18" s="279" customFormat="1" ht="15.75" hidden="1">
      <c r="A628" s="3" t="s">
        <v>605</v>
      </c>
      <c r="B628" s="188" t="s">
        <v>476</v>
      </c>
      <c r="C628" s="189"/>
      <c r="D628" s="189"/>
      <c r="E628" s="190" t="s">
        <v>447</v>
      </c>
      <c r="F628" s="191"/>
      <c r="G628" s="191"/>
      <c r="H628" s="190"/>
      <c r="I628" s="192"/>
      <c r="J628" s="193"/>
      <c r="K628" s="193"/>
      <c r="L628" s="193"/>
      <c r="M628" s="194"/>
      <c r="N628" s="194">
        <v>29611999</v>
      </c>
      <c r="O628" s="194"/>
      <c r="P628" s="194"/>
      <c r="Q628" s="10">
        <f t="shared" si="116"/>
        <v>-29611999</v>
      </c>
      <c r="R628" s="195"/>
    </row>
    <row r="629" spans="1:18" s="279" customFormat="1" ht="15.75" hidden="1">
      <c r="A629" s="3" t="s">
        <v>605</v>
      </c>
      <c r="B629" s="188" t="s">
        <v>484</v>
      </c>
      <c r="C629" s="189"/>
      <c r="D629" s="189"/>
      <c r="E629" s="190" t="s">
        <v>447</v>
      </c>
      <c r="F629" s="191"/>
      <c r="G629" s="191"/>
      <c r="H629" s="190"/>
      <c r="I629" s="192"/>
      <c r="J629" s="193"/>
      <c r="K629" s="193"/>
      <c r="L629" s="193"/>
      <c r="M629" s="194"/>
      <c r="N629" s="194">
        <v>13676000</v>
      </c>
      <c r="O629" s="194"/>
      <c r="P629" s="194"/>
      <c r="Q629" s="10">
        <f t="shared" si="116"/>
        <v>-13676000</v>
      </c>
      <c r="R629" s="195"/>
    </row>
    <row r="630" spans="1:18" s="279" customFormat="1" ht="15.75" hidden="1">
      <c r="A630" s="3" t="s">
        <v>605</v>
      </c>
      <c r="B630" s="188">
        <v>46269</v>
      </c>
      <c r="C630" s="189"/>
      <c r="D630" s="189"/>
      <c r="E630" s="190" t="s">
        <v>447</v>
      </c>
      <c r="F630" s="191"/>
      <c r="G630" s="191"/>
      <c r="H630" s="190"/>
      <c r="I630" s="192"/>
      <c r="J630" s="193"/>
      <c r="K630" s="193"/>
      <c r="L630" s="193"/>
      <c r="M630" s="194"/>
      <c r="N630" s="194">
        <v>17160000</v>
      </c>
      <c r="O630" s="194"/>
      <c r="P630" s="194"/>
      <c r="Q630" s="10">
        <f t="shared" si="116"/>
        <v>-17160000</v>
      </c>
      <c r="R630" s="195"/>
    </row>
    <row r="631" spans="1:18" s="87" customFormat="1" ht="15.75" hidden="1">
      <c r="A631" s="3" t="s">
        <v>605</v>
      </c>
      <c r="B631" s="85" t="s">
        <v>485</v>
      </c>
      <c r="C631" s="58" t="s">
        <v>486</v>
      </c>
      <c r="D631" s="181" t="s">
        <v>247</v>
      </c>
      <c r="E631" s="65" t="s">
        <v>474</v>
      </c>
      <c r="F631" s="68" t="s">
        <v>80</v>
      </c>
      <c r="G631" s="65" t="s">
        <v>81</v>
      </c>
      <c r="H631" s="65" t="s">
        <v>113</v>
      </c>
      <c r="I631" s="113">
        <v>8</v>
      </c>
      <c r="J631" s="67">
        <v>824074.07</v>
      </c>
      <c r="K631" s="67">
        <v>6592593</v>
      </c>
      <c r="L631" s="67">
        <v>527407</v>
      </c>
      <c r="M631" s="203">
        <f t="shared" ref="M631:M634" si="123">K631+L631</f>
        <v>7120000</v>
      </c>
      <c r="N631" s="112"/>
      <c r="O631" s="112"/>
      <c r="P631" s="112"/>
      <c r="Q631" s="10">
        <f t="shared" si="116"/>
        <v>7120000</v>
      </c>
      <c r="R631" s="112"/>
    </row>
    <row r="632" spans="1:18" s="87" customFormat="1" ht="15.75" hidden="1">
      <c r="A632" s="3" t="s">
        <v>605</v>
      </c>
      <c r="B632" s="85" t="s">
        <v>485</v>
      </c>
      <c r="C632" s="58" t="s">
        <v>486</v>
      </c>
      <c r="D632" s="181" t="s">
        <v>247</v>
      </c>
      <c r="E632" s="65" t="s">
        <v>474</v>
      </c>
      <c r="F632" s="68" t="s">
        <v>21</v>
      </c>
      <c r="G632" s="65" t="s">
        <v>22</v>
      </c>
      <c r="H632" s="65" t="s">
        <v>113</v>
      </c>
      <c r="I632" s="113">
        <v>10</v>
      </c>
      <c r="J632" s="67">
        <v>937962.96</v>
      </c>
      <c r="K632" s="67">
        <v>9379630</v>
      </c>
      <c r="L632" s="67">
        <v>750370</v>
      </c>
      <c r="M632" s="203">
        <f t="shared" si="123"/>
        <v>10130000</v>
      </c>
      <c r="N632" s="112"/>
      <c r="O632" s="112"/>
      <c r="P632" s="112"/>
      <c r="Q632" s="10">
        <f t="shared" si="116"/>
        <v>10130000</v>
      </c>
      <c r="R632" s="112"/>
    </row>
    <row r="633" spans="1:18" s="87" customFormat="1" ht="28.15" hidden="1" customHeight="1">
      <c r="A633" s="3" t="s">
        <v>605</v>
      </c>
      <c r="B633" s="85" t="s">
        <v>485</v>
      </c>
      <c r="C633" s="58" t="s">
        <v>487</v>
      </c>
      <c r="D633" s="181" t="s">
        <v>247</v>
      </c>
      <c r="E633" s="65" t="s">
        <v>474</v>
      </c>
      <c r="F633" s="68" t="s">
        <v>60</v>
      </c>
      <c r="G633" s="68" t="s">
        <v>374</v>
      </c>
      <c r="H633" s="65" t="s">
        <v>113</v>
      </c>
      <c r="I633" s="113">
        <v>4</v>
      </c>
      <c r="J633" s="67">
        <v>1138888.8899999999</v>
      </c>
      <c r="K633" s="67">
        <v>4555556</v>
      </c>
      <c r="L633" s="67">
        <v>364444</v>
      </c>
      <c r="M633" s="203">
        <f t="shared" si="123"/>
        <v>4920000</v>
      </c>
      <c r="N633" s="112"/>
      <c r="O633" s="112"/>
      <c r="P633" s="112"/>
      <c r="Q633" s="10">
        <f t="shared" si="116"/>
        <v>4920000</v>
      </c>
      <c r="R633" s="112"/>
    </row>
    <row r="634" spans="1:18" s="87" customFormat="1" ht="28.15" hidden="1" customHeight="1">
      <c r="A634" s="3" t="s">
        <v>605</v>
      </c>
      <c r="B634" s="85" t="s">
        <v>485</v>
      </c>
      <c r="C634" s="58" t="s">
        <v>487</v>
      </c>
      <c r="D634" s="181" t="s">
        <v>247</v>
      </c>
      <c r="E634" s="65" t="s">
        <v>474</v>
      </c>
      <c r="F634" s="68" t="s">
        <v>56</v>
      </c>
      <c r="G634" s="68" t="s">
        <v>381</v>
      </c>
      <c r="H634" s="65" t="s">
        <v>113</v>
      </c>
      <c r="I634" s="113">
        <v>12</v>
      </c>
      <c r="J634" s="67">
        <v>325925.92</v>
      </c>
      <c r="K634" s="67">
        <v>3911111</v>
      </c>
      <c r="L634" s="67">
        <v>312889</v>
      </c>
      <c r="M634" s="203">
        <f t="shared" si="123"/>
        <v>4224000</v>
      </c>
      <c r="N634" s="112"/>
      <c r="O634" s="112"/>
      <c r="P634" s="112"/>
      <c r="Q634" s="10">
        <f t="shared" si="116"/>
        <v>4224000</v>
      </c>
      <c r="R634" s="112"/>
    </row>
    <row r="635" spans="1:18" s="87" customFormat="1" ht="15.75" hidden="1">
      <c r="A635" s="3" t="s">
        <v>605</v>
      </c>
      <c r="B635" s="85" t="s">
        <v>485</v>
      </c>
      <c r="C635" s="42" t="s">
        <v>335</v>
      </c>
      <c r="D635" s="63"/>
      <c r="E635" s="65" t="s">
        <v>474</v>
      </c>
      <c r="F635" s="68" t="s">
        <v>90</v>
      </c>
      <c r="G635" s="68" t="s">
        <v>91</v>
      </c>
      <c r="H635" s="65" t="s">
        <v>412</v>
      </c>
      <c r="I635" s="113">
        <v>10</v>
      </c>
      <c r="J635" s="114">
        <v>824074.07</v>
      </c>
      <c r="K635" s="67">
        <v>8240741</v>
      </c>
      <c r="L635" s="67">
        <v>659259</v>
      </c>
      <c r="M635" s="203">
        <f>K635+L635</f>
        <v>8900000</v>
      </c>
      <c r="N635" s="112"/>
      <c r="O635" s="112"/>
      <c r="P635" s="112"/>
      <c r="Q635" s="10">
        <f t="shared" si="116"/>
        <v>8900000</v>
      </c>
      <c r="R635" s="112"/>
    </row>
    <row r="636" spans="1:18" s="279" customFormat="1" ht="15.75" hidden="1">
      <c r="A636" s="3" t="s">
        <v>605</v>
      </c>
      <c r="B636" s="188" t="s">
        <v>488</v>
      </c>
      <c r="C636" s="189"/>
      <c r="D636" s="189"/>
      <c r="E636" s="190" t="s">
        <v>447</v>
      </c>
      <c r="F636" s="191"/>
      <c r="G636" s="191"/>
      <c r="H636" s="190"/>
      <c r="I636" s="192"/>
      <c r="J636" s="193"/>
      <c r="K636" s="193"/>
      <c r="L636" s="193"/>
      <c r="M636" s="194"/>
      <c r="N636" s="194">
        <v>26394001</v>
      </c>
      <c r="O636" s="194"/>
      <c r="P636" s="194"/>
      <c r="Q636" s="10">
        <f t="shared" si="116"/>
        <v>-26394001</v>
      </c>
      <c r="R636" s="195"/>
    </row>
    <row r="637" spans="1:18" s="279" customFormat="1" ht="15.75" hidden="1">
      <c r="A637" s="3" t="s">
        <v>605</v>
      </c>
      <c r="B637" s="188" t="s">
        <v>489</v>
      </c>
      <c r="C637" s="189"/>
      <c r="D637" s="189"/>
      <c r="E637" s="190" t="s">
        <v>447</v>
      </c>
      <c r="F637" s="191"/>
      <c r="G637" s="191"/>
      <c r="H637" s="190"/>
      <c r="I637" s="192"/>
      <c r="J637" s="193"/>
      <c r="K637" s="193"/>
      <c r="L637" s="193"/>
      <c r="M637" s="194"/>
      <c r="N637" s="194">
        <v>8900000</v>
      </c>
      <c r="O637" s="194"/>
      <c r="P637" s="194"/>
      <c r="Q637" s="10">
        <f t="shared" si="116"/>
        <v>-8900000</v>
      </c>
      <c r="R637" s="195"/>
    </row>
    <row r="638" spans="1:18" s="274" customFormat="1" ht="15.6" hidden="1" customHeight="1">
      <c r="A638" s="196" t="s">
        <v>606</v>
      </c>
      <c r="B638" s="70">
        <v>46296</v>
      </c>
      <c r="C638" s="197" t="s">
        <v>490</v>
      </c>
      <c r="D638" s="70">
        <v>46296</v>
      </c>
      <c r="E638" s="43" t="s">
        <v>491</v>
      </c>
      <c r="F638" s="74" t="s">
        <v>308</v>
      </c>
      <c r="G638" s="75" t="s">
        <v>210</v>
      </c>
      <c r="H638" s="273"/>
      <c r="I638" s="43">
        <v>12</v>
      </c>
      <c r="J638" s="73">
        <v>314814.83</v>
      </c>
      <c r="K638" s="45">
        <f t="shared" ref="K638:K658" si="124">J638*I638</f>
        <v>3777777.96</v>
      </c>
      <c r="L638" s="45">
        <f t="shared" ref="L638:L658" si="125">K638*8%</f>
        <v>302222.23680000001</v>
      </c>
      <c r="M638" s="256">
        <f t="shared" ref="M638:M657" si="126">K638+L638</f>
        <v>4080000.1968</v>
      </c>
      <c r="N638" s="43"/>
      <c r="O638" s="43"/>
      <c r="P638" s="43"/>
      <c r="Q638" s="10">
        <f t="shared" si="116"/>
        <v>4080000.1968</v>
      </c>
      <c r="R638" s="43"/>
    </row>
    <row r="639" spans="1:18" s="274" customFormat="1" ht="15" hidden="1" customHeight="1">
      <c r="A639" s="196" t="s">
        <v>606</v>
      </c>
      <c r="B639" s="70">
        <v>46296</v>
      </c>
      <c r="C639" s="197" t="s">
        <v>490</v>
      </c>
      <c r="D639" s="70">
        <v>46296</v>
      </c>
      <c r="E639" s="43" t="s">
        <v>491</v>
      </c>
      <c r="F639" s="74" t="s">
        <v>416</v>
      </c>
      <c r="G639" s="75" t="s">
        <v>275</v>
      </c>
      <c r="H639" s="273"/>
      <c r="I639" s="43">
        <v>10</v>
      </c>
      <c r="J639" s="73">
        <v>416666.7</v>
      </c>
      <c r="K639" s="45">
        <f t="shared" si="124"/>
        <v>4166667</v>
      </c>
      <c r="L639" s="45">
        <f t="shared" si="125"/>
        <v>333333.36</v>
      </c>
      <c r="M639" s="256">
        <f t="shared" si="126"/>
        <v>4500000.3600000003</v>
      </c>
      <c r="N639" s="43"/>
      <c r="O639" s="43"/>
      <c r="P639" s="43"/>
      <c r="Q639" s="10">
        <f t="shared" si="116"/>
        <v>4500000.3600000003</v>
      </c>
      <c r="R639" s="43"/>
    </row>
    <row r="640" spans="1:18" s="274" customFormat="1" ht="15.75" hidden="1">
      <c r="A640" s="196" t="s">
        <v>606</v>
      </c>
      <c r="B640" s="70">
        <v>46296</v>
      </c>
      <c r="C640" s="197" t="s">
        <v>490</v>
      </c>
      <c r="D640" s="70">
        <v>46296</v>
      </c>
      <c r="E640" s="43" t="s">
        <v>491</v>
      </c>
      <c r="F640" s="43" t="s">
        <v>80</v>
      </c>
      <c r="G640" s="72" t="s">
        <v>81</v>
      </c>
      <c r="H640" s="273"/>
      <c r="I640" s="43">
        <v>8</v>
      </c>
      <c r="J640" s="73">
        <v>824074.13</v>
      </c>
      <c r="K640" s="45">
        <f t="shared" si="124"/>
        <v>6592593.04</v>
      </c>
      <c r="L640" s="45">
        <f t="shared" si="125"/>
        <v>527407.44319999998</v>
      </c>
      <c r="M640" s="256">
        <f t="shared" si="126"/>
        <v>7120000.4831999997</v>
      </c>
      <c r="N640" s="43"/>
      <c r="O640" s="43"/>
      <c r="P640" s="43"/>
      <c r="Q640" s="10">
        <f t="shared" si="116"/>
        <v>7120000.4831999997</v>
      </c>
      <c r="R640" s="43"/>
    </row>
    <row r="641" spans="1:18" s="274" customFormat="1" ht="15.75" hidden="1">
      <c r="A641" s="196" t="s">
        <v>606</v>
      </c>
      <c r="B641" s="70">
        <v>46296</v>
      </c>
      <c r="C641" s="197" t="s">
        <v>490</v>
      </c>
      <c r="D641" s="70">
        <v>46296</v>
      </c>
      <c r="E641" s="43" t="s">
        <v>491</v>
      </c>
      <c r="F641" s="43" t="s">
        <v>21</v>
      </c>
      <c r="G641" s="72" t="s">
        <v>22</v>
      </c>
      <c r="H641" s="273"/>
      <c r="I641" s="43">
        <v>8</v>
      </c>
      <c r="J641" s="73">
        <v>937963</v>
      </c>
      <c r="K641" s="45">
        <f t="shared" si="124"/>
        <v>7503704</v>
      </c>
      <c r="L641" s="45">
        <f t="shared" si="125"/>
        <v>600296.32000000007</v>
      </c>
      <c r="M641" s="256">
        <f t="shared" si="126"/>
        <v>8104000.3200000003</v>
      </c>
      <c r="N641" s="43"/>
      <c r="O641" s="43"/>
      <c r="P641" s="43"/>
      <c r="Q641" s="10">
        <f t="shared" si="116"/>
        <v>8104000.3200000003</v>
      </c>
      <c r="R641" s="43"/>
    </row>
    <row r="642" spans="1:18" s="274" customFormat="1" ht="15.75" hidden="1">
      <c r="A642" s="196" t="s">
        <v>606</v>
      </c>
      <c r="B642" s="70">
        <v>46296</v>
      </c>
      <c r="C642" s="197" t="s">
        <v>490</v>
      </c>
      <c r="D642" s="70">
        <v>46296</v>
      </c>
      <c r="E642" s="43" t="s">
        <v>491</v>
      </c>
      <c r="F642" s="74" t="s">
        <v>68</v>
      </c>
      <c r="G642" s="72" t="s">
        <v>69</v>
      </c>
      <c r="H642" s="273"/>
      <c r="I642" s="43">
        <v>24</v>
      </c>
      <c r="J642" s="73">
        <v>111111.13</v>
      </c>
      <c r="K642" s="45">
        <f t="shared" si="124"/>
        <v>2666667.12</v>
      </c>
      <c r="L642" s="45">
        <f t="shared" si="125"/>
        <v>213333.36960000001</v>
      </c>
      <c r="M642" s="256">
        <f t="shared" si="126"/>
        <v>2880000.4896</v>
      </c>
      <c r="N642" s="43"/>
      <c r="O642" s="43"/>
      <c r="P642" s="43"/>
      <c r="Q642" s="10">
        <f t="shared" si="116"/>
        <v>2880000.4896</v>
      </c>
      <c r="R642" s="43"/>
    </row>
    <row r="643" spans="1:18" s="274" customFormat="1" ht="15.75" hidden="1">
      <c r="A643" s="196" t="s">
        <v>606</v>
      </c>
      <c r="B643" s="70">
        <v>46296</v>
      </c>
      <c r="C643" s="197" t="s">
        <v>490</v>
      </c>
      <c r="D643" s="70">
        <v>46296</v>
      </c>
      <c r="E643" s="43" t="s">
        <v>491</v>
      </c>
      <c r="F643" s="43" t="s">
        <v>70</v>
      </c>
      <c r="G643" s="72" t="s">
        <v>71</v>
      </c>
      <c r="H643" s="273"/>
      <c r="I643" s="43">
        <v>24</v>
      </c>
      <c r="J643" s="73">
        <v>120370.38</v>
      </c>
      <c r="K643" s="45">
        <f t="shared" si="124"/>
        <v>2888889.12</v>
      </c>
      <c r="L643" s="45">
        <f t="shared" si="125"/>
        <v>231111.12960000001</v>
      </c>
      <c r="M643" s="256">
        <f t="shared" si="126"/>
        <v>3120000.2496000002</v>
      </c>
      <c r="N643" s="43"/>
      <c r="O643" s="43"/>
      <c r="P643" s="43"/>
      <c r="Q643" s="10">
        <f t="shared" si="116"/>
        <v>3120000.2496000002</v>
      </c>
      <c r="R643" s="43"/>
    </row>
    <row r="644" spans="1:18" s="274" customFormat="1" ht="15.75" hidden="1">
      <c r="A644" s="196" t="s">
        <v>606</v>
      </c>
      <c r="B644" s="70">
        <v>46296</v>
      </c>
      <c r="C644" s="197" t="s">
        <v>490</v>
      </c>
      <c r="D644" s="70">
        <v>46296</v>
      </c>
      <c r="E644" s="43" t="s">
        <v>491</v>
      </c>
      <c r="F644" s="74" t="s">
        <v>72</v>
      </c>
      <c r="G644" s="72" t="s">
        <v>73</v>
      </c>
      <c r="H644" s="273"/>
      <c r="I644" s="43">
        <v>24</v>
      </c>
      <c r="J644" s="73">
        <v>129629.63</v>
      </c>
      <c r="K644" s="45">
        <f t="shared" si="124"/>
        <v>3111111.12</v>
      </c>
      <c r="L644" s="45">
        <f t="shared" si="125"/>
        <v>248888.88960000002</v>
      </c>
      <c r="M644" s="256">
        <f t="shared" si="126"/>
        <v>3360000.0096</v>
      </c>
      <c r="N644" s="43"/>
      <c r="O644" s="43"/>
      <c r="P644" s="43"/>
      <c r="Q644" s="10">
        <f t="shared" ref="Q644:Q707" si="127">M644-N644-O644-P644</f>
        <v>3360000.0096</v>
      </c>
      <c r="R644" s="43"/>
    </row>
    <row r="645" spans="1:18" s="274" customFormat="1" ht="15.75" hidden="1">
      <c r="A645" s="196" t="s">
        <v>606</v>
      </c>
      <c r="B645" s="70">
        <v>46296</v>
      </c>
      <c r="C645" s="197" t="s">
        <v>490</v>
      </c>
      <c r="D645" s="70">
        <v>46296</v>
      </c>
      <c r="E645" s="43" t="s">
        <v>491</v>
      </c>
      <c r="F645" s="43" t="s">
        <v>180</v>
      </c>
      <c r="G645" s="72" t="s">
        <v>181</v>
      </c>
      <c r="H645" s="273"/>
      <c r="I645" s="43">
        <v>10</v>
      </c>
      <c r="J645" s="73">
        <v>234259.3</v>
      </c>
      <c r="K645" s="45">
        <f t="shared" si="124"/>
        <v>2342593</v>
      </c>
      <c r="L645" s="45">
        <f t="shared" si="125"/>
        <v>187407.44</v>
      </c>
      <c r="M645" s="256">
        <f t="shared" si="126"/>
        <v>2530000.44</v>
      </c>
      <c r="N645" s="43"/>
      <c r="O645" s="43"/>
      <c r="P645" s="43"/>
      <c r="Q645" s="10">
        <f t="shared" si="127"/>
        <v>2530000.44</v>
      </c>
      <c r="R645" s="43"/>
    </row>
    <row r="646" spans="1:18" s="274" customFormat="1" ht="15.75" hidden="1">
      <c r="A646" s="196" t="s">
        <v>606</v>
      </c>
      <c r="B646" s="70">
        <v>46296</v>
      </c>
      <c r="C646" s="197" t="s">
        <v>490</v>
      </c>
      <c r="D646" s="70">
        <v>46296</v>
      </c>
      <c r="E646" s="43" t="s">
        <v>491</v>
      </c>
      <c r="F646" s="74" t="s">
        <v>26</v>
      </c>
      <c r="G646" s="72" t="s">
        <v>182</v>
      </c>
      <c r="H646" s="273"/>
      <c r="I646" s="43">
        <v>10</v>
      </c>
      <c r="J646" s="73">
        <v>256481.5</v>
      </c>
      <c r="K646" s="45">
        <f t="shared" si="124"/>
        <v>2564815</v>
      </c>
      <c r="L646" s="45">
        <f t="shared" si="125"/>
        <v>205185.2</v>
      </c>
      <c r="M646" s="256">
        <f t="shared" si="126"/>
        <v>2770000.2</v>
      </c>
      <c r="N646" s="43"/>
      <c r="O646" s="43"/>
      <c r="P646" s="43"/>
      <c r="Q646" s="10">
        <f t="shared" si="127"/>
        <v>2770000.2</v>
      </c>
      <c r="R646" s="43"/>
    </row>
    <row r="647" spans="1:18" s="274" customFormat="1" ht="15.75" hidden="1">
      <c r="A647" s="196" t="s">
        <v>606</v>
      </c>
      <c r="B647" s="70">
        <v>46296</v>
      </c>
      <c r="C647" s="197" t="s">
        <v>490</v>
      </c>
      <c r="D647" s="70">
        <v>46296</v>
      </c>
      <c r="E647" s="43" t="s">
        <v>491</v>
      </c>
      <c r="F647" s="43" t="s">
        <v>28</v>
      </c>
      <c r="G647" s="72" t="s">
        <v>183</v>
      </c>
      <c r="H647" s="273"/>
      <c r="I647" s="43">
        <v>10</v>
      </c>
      <c r="J647" s="73">
        <v>281481.5</v>
      </c>
      <c r="K647" s="45">
        <f t="shared" si="124"/>
        <v>2814815</v>
      </c>
      <c r="L647" s="45">
        <f t="shared" si="125"/>
        <v>225185.2</v>
      </c>
      <c r="M647" s="256">
        <f t="shared" si="126"/>
        <v>3040000.2</v>
      </c>
      <c r="N647" s="43"/>
      <c r="O647" s="43"/>
      <c r="P647" s="43"/>
      <c r="Q647" s="10">
        <f t="shared" si="127"/>
        <v>3040000.2</v>
      </c>
      <c r="R647" s="43"/>
    </row>
    <row r="648" spans="1:18" s="274" customFormat="1" ht="15.75" hidden="1">
      <c r="A648" s="196" t="s">
        <v>606</v>
      </c>
      <c r="B648" s="70">
        <v>46296</v>
      </c>
      <c r="C648" s="197" t="s">
        <v>490</v>
      </c>
      <c r="D648" s="70">
        <v>46296</v>
      </c>
      <c r="E648" s="43" t="s">
        <v>491</v>
      </c>
      <c r="F648" s="74" t="s">
        <v>184</v>
      </c>
      <c r="G648" s="72" t="s">
        <v>185</v>
      </c>
      <c r="H648" s="273"/>
      <c r="I648" s="43">
        <v>10</v>
      </c>
      <c r="J648" s="73">
        <v>227777.8</v>
      </c>
      <c r="K648" s="45">
        <f t="shared" si="124"/>
        <v>2277778</v>
      </c>
      <c r="L648" s="45">
        <f t="shared" si="125"/>
        <v>182222.24</v>
      </c>
      <c r="M648" s="256">
        <f t="shared" si="126"/>
        <v>2460000.2400000002</v>
      </c>
      <c r="N648" s="43"/>
      <c r="O648" s="43"/>
      <c r="P648" s="43"/>
      <c r="Q648" s="10">
        <f t="shared" si="127"/>
        <v>2460000.2400000002</v>
      </c>
      <c r="R648" s="43"/>
    </row>
    <row r="649" spans="1:18" s="274" customFormat="1" ht="15.75" hidden="1">
      <c r="A649" s="196" t="s">
        <v>606</v>
      </c>
      <c r="B649" s="70">
        <v>46296</v>
      </c>
      <c r="C649" s="197" t="s">
        <v>490</v>
      </c>
      <c r="D649" s="70">
        <v>46296</v>
      </c>
      <c r="E649" s="43" t="s">
        <v>491</v>
      </c>
      <c r="F649" s="43" t="s">
        <v>30</v>
      </c>
      <c r="G649" s="72" t="s">
        <v>186</v>
      </c>
      <c r="H649" s="273"/>
      <c r="I649" s="43">
        <v>10</v>
      </c>
      <c r="J649" s="73">
        <v>252777.8</v>
      </c>
      <c r="K649" s="45">
        <f t="shared" si="124"/>
        <v>2527778</v>
      </c>
      <c r="L649" s="45">
        <f t="shared" si="125"/>
        <v>202222.24</v>
      </c>
      <c r="M649" s="256">
        <f t="shared" si="126"/>
        <v>2730000.24</v>
      </c>
      <c r="N649" s="43"/>
      <c r="O649" s="43"/>
      <c r="P649" s="43"/>
      <c r="Q649" s="10">
        <f t="shared" si="127"/>
        <v>2730000.24</v>
      </c>
      <c r="R649" s="43"/>
    </row>
    <row r="650" spans="1:18" s="274" customFormat="1" ht="15.75" hidden="1">
      <c r="A650" s="196" t="s">
        <v>606</v>
      </c>
      <c r="B650" s="70">
        <v>46296</v>
      </c>
      <c r="C650" s="197" t="s">
        <v>490</v>
      </c>
      <c r="D650" s="70">
        <v>46296</v>
      </c>
      <c r="E650" s="43" t="s">
        <v>491</v>
      </c>
      <c r="F650" s="74" t="s">
        <v>32</v>
      </c>
      <c r="G650" s="72" t="s">
        <v>187</v>
      </c>
      <c r="H650" s="273"/>
      <c r="I650" s="43">
        <v>10</v>
      </c>
      <c r="J650" s="73">
        <v>256481.5</v>
      </c>
      <c r="K650" s="45">
        <f t="shared" si="124"/>
        <v>2564815</v>
      </c>
      <c r="L650" s="45">
        <f t="shared" si="125"/>
        <v>205185.2</v>
      </c>
      <c r="M650" s="256">
        <f t="shared" si="126"/>
        <v>2770000.2</v>
      </c>
      <c r="N650" s="43"/>
      <c r="O650" s="43"/>
      <c r="P650" s="43"/>
      <c r="Q650" s="10">
        <f t="shared" si="127"/>
        <v>2770000.2</v>
      </c>
      <c r="R650" s="43"/>
    </row>
    <row r="651" spans="1:18" s="274" customFormat="1" ht="15.75" hidden="1">
      <c r="A651" s="196" t="s">
        <v>606</v>
      </c>
      <c r="B651" s="70">
        <v>46296</v>
      </c>
      <c r="C651" s="197" t="s">
        <v>490</v>
      </c>
      <c r="D651" s="70">
        <v>46296</v>
      </c>
      <c r="E651" s="43" t="s">
        <v>491</v>
      </c>
      <c r="F651" s="43" t="s">
        <v>34</v>
      </c>
      <c r="G651" s="72" t="s">
        <v>188</v>
      </c>
      <c r="H651" s="273"/>
      <c r="I651" s="43">
        <v>10</v>
      </c>
      <c r="J651" s="73">
        <v>227777.8</v>
      </c>
      <c r="K651" s="45">
        <f t="shared" si="124"/>
        <v>2277778</v>
      </c>
      <c r="L651" s="45">
        <f t="shared" si="125"/>
        <v>182222.24</v>
      </c>
      <c r="M651" s="256">
        <f t="shared" si="126"/>
        <v>2460000.2400000002</v>
      </c>
      <c r="N651" s="43"/>
      <c r="O651" s="43"/>
      <c r="P651" s="43"/>
      <c r="Q651" s="10">
        <f t="shared" si="127"/>
        <v>2460000.2400000002</v>
      </c>
      <c r="R651" s="43"/>
    </row>
    <row r="652" spans="1:18" s="274" customFormat="1" ht="15.75" hidden="1">
      <c r="A652" s="196" t="s">
        <v>606</v>
      </c>
      <c r="B652" s="70">
        <v>46296</v>
      </c>
      <c r="C652" s="197" t="s">
        <v>490</v>
      </c>
      <c r="D652" s="70">
        <v>46296</v>
      </c>
      <c r="E652" s="43" t="s">
        <v>491</v>
      </c>
      <c r="F652" s="74" t="s">
        <v>36</v>
      </c>
      <c r="G652" s="72" t="s">
        <v>189</v>
      </c>
      <c r="H652" s="273"/>
      <c r="I652" s="43">
        <v>10</v>
      </c>
      <c r="J652" s="73">
        <v>252777.8</v>
      </c>
      <c r="K652" s="45">
        <f t="shared" si="124"/>
        <v>2527778</v>
      </c>
      <c r="L652" s="45">
        <f t="shared" si="125"/>
        <v>202222.24</v>
      </c>
      <c r="M652" s="256">
        <f t="shared" si="126"/>
        <v>2730000.24</v>
      </c>
      <c r="N652" s="43"/>
      <c r="O652" s="43"/>
      <c r="P652" s="43"/>
      <c r="Q652" s="10">
        <f t="shared" si="127"/>
        <v>2730000.24</v>
      </c>
      <c r="R652" s="43"/>
    </row>
    <row r="653" spans="1:18" s="274" customFormat="1" ht="15.75" hidden="1">
      <c r="A653" s="196" t="s">
        <v>606</v>
      </c>
      <c r="B653" s="70">
        <v>46296</v>
      </c>
      <c r="C653" s="197" t="s">
        <v>490</v>
      </c>
      <c r="D653" s="70">
        <v>46296</v>
      </c>
      <c r="E653" s="43" t="s">
        <v>491</v>
      </c>
      <c r="F653" s="43" t="s">
        <v>38</v>
      </c>
      <c r="G653" s="72" t="s">
        <v>190</v>
      </c>
      <c r="H653" s="273"/>
      <c r="I653" s="43">
        <v>10</v>
      </c>
      <c r="J653" s="73">
        <v>277777.8</v>
      </c>
      <c r="K653" s="45">
        <f t="shared" si="124"/>
        <v>2777778</v>
      </c>
      <c r="L653" s="45">
        <f t="shared" si="125"/>
        <v>222222.24</v>
      </c>
      <c r="M653" s="256">
        <f t="shared" si="126"/>
        <v>3000000.24</v>
      </c>
      <c r="N653" s="43"/>
      <c r="O653" s="43"/>
      <c r="P653" s="43"/>
      <c r="Q653" s="10">
        <f t="shared" si="127"/>
        <v>3000000.24</v>
      </c>
      <c r="R653" s="43"/>
    </row>
    <row r="654" spans="1:18" s="274" customFormat="1" ht="15.75" hidden="1">
      <c r="A654" s="196" t="s">
        <v>606</v>
      </c>
      <c r="B654" s="70">
        <v>46296</v>
      </c>
      <c r="C654" s="197" t="s">
        <v>490</v>
      </c>
      <c r="D654" s="70">
        <v>46296</v>
      </c>
      <c r="E654" s="43" t="s">
        <v>491</v>
      </c>
      <c r="F654" s="74" t="s">
        <v>40</v>
      </c>
      <c r="G654" s="72" t="s">
        <v>41</v>
      </c>
      <c r="H654" s="273"/>
      <c r="I654" s="43">
        <v>8</v>
      </c>
      <c r="J654" s="73">
        <v>844444.5</v>
      </c>
      <c r="K654" s="45">
        <f t="shared" si="124"/>
        <v>6755556</v>
      </c>
      <c r="L654" s="45">
        <f t="shared" si="125"/>
        <v>540444.48</v>
      </c>
      <c r="M654" s="256">
        <f t="shared" si="126"/>
        <v>7296000.4800000004</v>
      </c>
      <c r="N654" s="43"/>
      <c r="O654" s="43"/>
      <c r="P654" s="43"/>
      <c r="Q654" s="10">
        <f t="shared" si="127"/>
        <v>7296000.4800000004</v>
      </c>
      <c r="R654" s="43"/>
    </row>
    <row r="655" spans="1:18" s="274" customFormat="1" ht="15.75" hidden="1">
      <c r="A655" s="196" t="s">
        <v>606</v>
      </c>
      <c r="B655" s="70">
        <v>46296</v>
      </c>
      <c r="C655" s="197" t="s">
        <v>490</v>
      </c>
      <c r="D655" s="70">
        <v>46296</v>
      </c>
      <c r="E655" s="43" t="s">
        <v>491</v>
      </c>
      <c r="F655" s="43" t="s">
        <v>194</v>
      </c>
      <c r="G655" s="72" t="s">
        <v>276</v>
      </c>
      <c r="H655" s="273"/>
      <c r="I655" s="43">
        <v>4</v>
      </c>
      <c r="J655" s="73">
        <v>1203703.75</v>
      </c>
      <c r="K655" s="45">
        <f t="shared" si="124"/>
        <v>4814815</v>
      </c>
      <c r="L655" s="45">
        <f t="shared" si="125"/>
        <v>385185.2</v>
      </c>
      <c r="M655" s="256">
        <f t="shared" si="126"/>
        <v>5200000.2</v>
      </c>
      <c r="N655" s="43"/>
      <c r="O655" s="43"/>
      <c r="P655" s="43"/>
      <c r="Q655" s="10">
        <f t="shared" si="127"/>
        <v>5200000.2</v>
      </c>
      <c r="R655" s="43"/>
    </row>
    <row r="656" spans="1:18" s="274" customFormat="1" ht="15.75" hidden="1">
      <c r="A656" s="196" t="s">
        <v>606</v>
      </c>
      <c r="B656" s="70">
        <v>46296</v>
      </c>
      <c r="C656" s="197" t="s">
        <v>490</v>
      </c>
      <c r="D656" s="70">
        <v>46296</v>
      </c>
      <c r="E656" s="43" t="s">
        <v>491</v>
      </c>
      <c r="F656" s="74" t="s">
        <v>58</v>
      </c>
      <c r="G656" s="75" t="s">
        <v>59</v>
      </c>
      <c r="H656" s="273"/>
      <c r="I656" s="43">
        <v>4</v>
      </c>
      <c r="J656" s="73">
        <v>1361111</v>
      </c>
      <c r="K656" s="45">
        <f t="shared" si="124"/>
        <v>5444444</v>
      </c>
      <c r="L656" s="45">
        <f t="shared" si="125"/>
        <v>435555.52</v>
      </c>
      <c r="M656" s="256">
        <f t="shared" si="126"/>
        <v>5879999.5199999996</v>
      </c>
      <c r="N656" s="43"/>
      <c r="O656" s="43"/>
      <c r="P656" s="43"/>
      <c r="Q656" s="10">
        <f t="shared" si="127"/>
        <v>5879999.5199999996</v>
      </c>
      <c r="R656" s="43"/>
    </row>
    <row r="657" spans="1:18" s="274" customFormat="1" ht="15.75" hidden="1">
      <c r="A657" s="196" t="s">
        <v>606</v>
      </c>
      <c r="B657" s="70">
        <v>46296</v>
      </c>
      <c r="C657" s="197" t="s">
        <v>490</v>
      </c>
      <c r="D657" s="70">
        <v>46296</v>
      </c>
      <c r="E657" s="43" t="s">
        <v>491</v>
      </c>
      <c r="F657" s="43" t="s">
        <v>206</v>
      </c>
      <c r="G657" s="72" t="s">
        <v>492</v>
      </c>
      <c r="H657" s="273"/>
      <c r="I657" s="43">
        <v>12</v>
      </c>
      <c r="J657" s="73">
        <v>483333.33</v>
      </c>
      <c r="K657" s="45">
        <f t="shared" si="124"/>
        <v>5799999.96</v>
      </c>
      <c r="L657" s="45">
        <f t="shared" si="125"/>
        <v>463999.99680000002</v>
      </c>
      <c r="M657" s="256">
        <f t="shared" si="126"/>
        <v>6263999.9567999998</v>
      </c>
      <c r="N657" s="43"/>
      <c r="O657" s="43"/>
      <c r="P657" s="43"/>
      <c r="Q657" s="10">
        <f t="shared" si="127"/>
        <v>6263999.9567999998</v>
      </c>
      <c r="R657" s="43"/>
    </row>
    <row r="658" spans="1:18" s="274" customFormat="1" ht="15.75" hidden="1">
      <c r="A658" s="196" t="s">
        <v>606</v>
      </c>
      <c r="B658" s="70">
        <v>46296</v>
      </c>
      <c r="C658" s="197" t="s">
        <v>490</v>
      </c>
      <c r="D658" s="70">
        <v>46296</v>
      </c>
      <c r="E658" s="43" t="s">
        <v>491</v>
      </c>
      <c r="F658" s="43" t="s">
        <v>208</v>
      </c>
      <c r="G658" s="72" t="s">
        <v>209</v>
      </c>
      <c r="H658" s="273"/>
      <c r="I658" s="43">
        <v>10</v>
      </c>
      <c r="J658" s="73">
        <v>647222.22</v>
      </c>
      <c r="K658" s="45">
        <f t="shared" si="124"/>
        <v>6472222.1999999993</v>
      </c>
      <c r="L658" s="45">
        <f t="shared" si="125"/>
        <v>517777.77599999995</v>
      </c>
      <c r="M658" s="256">
        <f>K658+L658</f>
        <v>6989999.9759999989</v>
      </c>
      <c r="N658" s="43"/>
      <c r="O658" s="43"/>
      <c r="P658" s="43"/>
      <c r="Q658" s="10">
        <f t="shared" si="127"/>
        <v>6989999.9759999989</v>
      </c>
      <c r="R658" s="43"/>
    </row>
    <row r="659" spans="1:18" s="275" customFormat="1" ht="15.75" hidden="1">
      <c r="A659" s="196" t="s">
        <v>606</v>
      </c>
      <c r="B659" s="76">
        <v>46296</v>
      </c>
      <c r="C659" s="82" t="s">
        <v>493</v>
      </c>
      <c r="D659" s="76"/>
      <c r="E659" s="78" t="s">
        <v>494</v>
      </c>
      <c r="F659" s="78"/>
      <c r="G659" s="84"/>
      <c r="I659" s="78"/>
      <c r="J659" s="80"/>
      <c r="K659" s="81"/>
      <c r="L659" s="81"/>
      <c r="M659" s="120"/>
      <c r="N659" s="81">
        <v>50000000</v>
      </c>
      <c r="O659" s="81"/>
      <c r="P659" s="81"/>
      <c r="Q659" s="10">
        <f t="shared" si="127"/>
        <v>-50000000</v>
      </c>
      <c r="R659" s="78"/>
    </row>
    <row r="660" spans="1:18" s="274" customFormat="1" ht="15.75" hidden="1">
      <c r="A660" s="196" t="s">
        <v>606</v>
      </c>
      <c r="B660" s="70">
        <v>46296</v>
      </c>
      <c r="C660" s="71" t="s">
        <v>495</v>
      </c>
      <c r="D660" s="70" t="s">
        <v>152</v>
      </c>
      <c r="E660" s="43" t="s">
        <v>491</v>
      </c>
      <c r="F660" s="74" t="s">
        <v>56</v>
      </c>
      <c r="G660" s="72" t="s">
        <v>57</v>
      </c>
      <c r="H660" s="273"/>
      <c r="I660" s="43">
        <v>12</v>
      </c>
      <c r="J660" s="73">
        <v>325925.92</v>
      </c>
      <c r="K660" s="45">
        <f t="shared" ref="K660:K667" si="128">J660*I660</f>
        <v>3911111.04</v>
      </c>
      <c r="L660" s="45">
        <f t="shared" ref="L660:L667" si="129">K660*8%</f>
        <v>312888.88319999998</v>
      </c>
      <c r="M660" s="256">
        <f t="shared" ref="M660:M667" si="130">K660+L660</f>
        <v>4223999.9232000001</v>
      </c>
      <c r="N660" s="43"/>
      <c r="O660" s="43"/>
      <c r="P660" s="43"/>
      <c r="Q660" s="10">
        <f t="shared" si="127"/>
        <v>4223999.9232000001</v>
      </c>
      <c r="R660" s="43"/>
    </row>
    <row r="661" spans="1:18" s="274" customFormat="1" ht="15.75" hidden="1">
      <c r="A661" s="196" t="s">
        <v>606</v>
      </c>
      <c r="B661" s="70">
        <v>46296</v>
      </c>
      <c r="C661" s="71" t="s">
        <v>495</v>
      </c>
      <c r="D661" s="70" t="s">
        <v>152</v>
      </c>
      <c r="E661" s="43" t="s">
        <v>491</v>
      </c>
      <c r="F661" s="43" t="s">
        <v>127</v>
      </c>
      <c r="G661" s="72" t="s">
        <v>128</v>
      </c>
      <c r="H661" s="273"/>
      <c r="I661" s="43">
        <v>12</v>
      </c>
      <c r="J661" s="73">
        <v>284259.25</v>
      </c>
      <c r="K661" s="45">
        <f t="shared" si="128"/>
        <v>3411111</v>
      </c>
      <c r="L661" s="45">
        <f t="shared" si="129"/>
        <v>272888.88</v>
      </c>
      <c r="M661" s="256">
        <f t="shared" si="130"/>
        <v>3683999.88</v>
      </c>
      <c r="N661" s="45"/>
      <c r="O661" s="45"/>
      <c r="P661" s="45"/>
      <c r="Q661" s="10">
        <f t="shared" si="127"/>
        <v>3683999.88</v>
      </c>
      <c r="R661" s="43"/>
    </row>
    <row r="662" spans="1:18" s="124" customFormat="1" ht="15.75" hidden="1">
      <c r="A662" s="196" t="s">
        <v>606</v>
      </c>
      <c r="B662" s="85">
        <v>46296</v>
      </c>
      <c r="C662" s="86" t="s">
        <v>495</v>
      </c>
      <c r="D662" s="85" t="s">
        <v>152</v>
      </c>
      <c r="E662" s="65" t="s">
        <v>491</v>
      </c>
      <c r="F662" s="65" t="s">
        <v>219</v>
      </c>
      <c r="G662" s="87" t="s">
        <v>483</v>
      </c>
      <c r="I662" s="65">
        <v>12</v>
      </c>
      <c r="J662" s="88">
        <v>263888.92</v>
      </c>
      <c r="K662" s="67">
        <f t="shared" si="128"/>
        <v>3166667.04</v>
      </c>
      <c r="L662" s="67">
        <f t="shared" si="129"/>
        <v>253333.36320000002</v>
      </c>
      <c r="M662" s="203">
        <f t="shared" si="130"/>
        <v>3420000.4032000001</v>
      </c>
      <c r="N662" s="65"/>
      <c r="O662" s="65"/>
      <c r="P662" s="65"/>
      <c r="Q662" s="10">
        <f t="shared" si="127"/>
        <v>3420000.4032000001</v>
      </c>
      <c r="R662" s="65"/>
    </row>
    <row r="663" spans="1:18" s="124" customFormat="1" ht="15.75" hidden="1">
      <c r="A663" s="196" t="s">
        <v>606</v>
      </c>
      <c r="B663" s="85" t="s">
        <v>496</v>
      </c>
      <c r="C663" s="86" t="s">
        <v>497</v>
      </c>
      <c r="D663" s="85">
        <v>46178</v>
      </c>
      <c r="E663" s="65" t="s">
        <v>491</v>
      </c>
      <c r="F663" s="65" t="s">
        <v>279</v>
      </c>
      <c r="G663" s="87" t="s">
        <v>280</v>
      </c>
      <c r="I663" s="65">
        <v>8</v>
      </c>
      <c r="J663" s="88">
        <v>387962.96</v>
      </c>
      <c r="K663" s="67">
        <f t="shared" si="128"/>
        <v>3103703.68</v>
      </c>
      <c r="L663" s="67">
        <f t="shared" si="129"/>
        <v>248296.29440000001</v>
      </c>
      <c r="M663" s="203">
        <f t="shared" si="130"/>
        <v>3351999.9744000002</v>
      </c>
      <c r="N663" s="65"/>
      <c r="O663" s="65"/>
      <c r="P663" s="65"/>
      <c r="Q663" s="10">
        <f t="shared" si="127"/>
        <v>3351999.9744000002</v>
      </c>
      <c r="R663" s="65"/>
    </row>
    <row r="664" spans="1:18" s="124" customFormat="1" ht="15.75" hidden="1">
      <c r="A664" s="196" t="s">
        <v>606</v>
      </c>
      <c r="B664" s="85" t="s">
        <v>496</v>
      </c>
      <c r="C664" s="86" t="s">
        <v>497</v>
      </c>
      <c r="D664" s="85">
        <v>46178</v>
      </c>
      <c r="E664" s="65" t="s">
        <v>491</v>
      </c>
      <c r="F664" s="65" t="s">
        <v>258</v>
      </c>
      <c r="G664" s="87" t="s">
        <v>259</v>
      </c>
      <c r="I664" s="65">
        <v>8</v>
      </c>
      <c r="J664" s="88">
        <v>472222.22</v>
      </c>
      <c r="K664" s="67">
        <f t="shared" si="128"/>
        <v>3777777.76</v>
      </c>
      <c r="L664" s="67">
        <f t="shared" si="129"/>
        <v>302222.22080000001</v>
      </c>
      <c r="M664" s="203">
        <f t="shared" si="130"/>
        <v>4079999.9808</v>
      </c>
      <c r="N664" s="65"/>
      <c r="O664" s="65"/>
      <c r="P664" s="65"/>
      <c r="Q664" s="10">
        <f t="shared" si="127"/>
        <v>4079999.9808</v>
      </c>
      <c r="R664" s="65"/>
    </row>
    <row r="665" spans="1:18" s="124" customFormat="1" ht="15" hidden="1" customHeight="1">
      <c r="A665" s="196" t="s">
        <v>606</v>
      </c>
      <c r="B665" s="85" t="s">
        <v>496</v>
      </c>
      <c r="C665" s="86" t="s">
        <v>497</v>
      </c>
      <c r="D665" s="85">
        <v>46178</v>
      </c>
      <c r="E665" s="65" t="s">
        <v>491</v>
      </c>
      <c r="F665" s="65" t="s">
        <v>260</v>
      </c>
      <c r="G665" s="87" t="s">
        <v>261</v>
      </c>
      <c r="I665" s="65">
        <v>8</v>
      </c>
      <c r="J665" s="88">
        <v>492592.59</v>
      </c>
      <c r="K665" s="67">
        <f t="shared" si="128"/>
        <v>3940740.72</v>
      </c>
      <c r="L665" s="67">
        <f t="shared" si="129"/>
        <v>315259.25760000001</v>
      </c>
      <c r="M665" s="203">
        <f t="shared" si="130"/>
        <v>4255999.9775999999</v>
      </c>
      <c r="N665" s="65"/>
      <c r="O665" s="65"/>
      <c r="P665" s="65"/>
      <c r="Q665" s="10">
        <f t="shared" si="127"/>
        <v>4255999.9775999999</v>
      </c>
      <c r="R665" s="65"/>
    </row>
    <row r="666" spans="1:18" s="124" customFormat="1" ht="15.75" hidden="1">
      <c r="A666" s="196" t="s">
        <v>606</v>
      </c>
      <c r="B666" s="85" t="s">
        <v>496</v>
      </c>
      <c r="C666" s="86" t="s">
        <v>498</v>
      </c>
      <c r="D666" s="85">
        <v>46115</v>
      </c>
      <c r="E666" s="65" t="s">
        <v>491</v>
      </c>
      <c r="F666" s="65" t="s">
        <v>52</v>
      </c>
      <c r="G666" s="87" t="s">
        <v>499</v>
      </c>
      <c r="I666" s="65">
        <v>6</v>
      </c>
      <c r="J666" s="88">
        <v>1007407.41</v>
      </c>
      <c r="K666" s="67">
        <f t="shared" si="128"/>
        <v>6044444.46</v>
      </c>
      <c r="L666" s="67">
        <f t="shared" si="129"/>
        <v>483555.55680000002</v>
      </c>
      <c r="M666" s="203">
        <f t="shared" si="130"/>
        <v>6528000.0168000003</v>
      </c>
      <c r="N666" s="65"/>
      <c r="O666" s="65"/>
      <c r="P666" s="65"/>
      <c r="Q666" s="10">
        <f t="shared" si="127"/>
        <v>6528000.0168000003</v>
      </c>
      <c r="R666" s="65"/>
    </row>
    <row r="667" spans="1:18" s="124" customFormat="1" ht="15.75" hidden="1">
      <c r="A667" s="196" t="s">
        <v>606</v>
      </c>
      <c r="B667" s="85" t="s">
        <v>496</v>
      </c>
      <c r="C667" s="86" t="s">
        <v>495</v>
      </c>
      <c r="D667" s="85" t="s">
        <v>152</v>
      </c>
      <c r="E667" s="65" t="s">
        <v>491</v>
      </c>
      <c r="F667" s="65" t="s">
        <v>219</v>
      </c>
      <c r="G667" s="87" t="s">
        <v>483</v>
      </c>
      <c r="I667" s="65">
        <v>12</v>
      </c>
      <c r="J667" s="88">
        <v>263888.89</v>
      </c>
      <c r="K667" s="67">
        <f t="shared" si="128"/>
        <v>3166666.68</v>
      </c>
      <c r="L667" s="67">
        <f t="shared" si="129"/>
        <v>253333.33440000002</v>
      </c>
      <c r="M667" s="203">
        <f t="shared" si="130"/>
        <v>3420000.0144000002</v>
      </c>
      <c r="N667" s="65"/>
      <c r="O667" s="65"/>
      <c r="P667" s="65"/>
      <c r="Q667" s="10">
        <f t="shared" si="127"/>
        <v>3420000.0144000002</v>
      </c>
      <c r="R667" s="65"/>
    </row>
    <row r="668" spans="1:18" s="124" customFormat="1" ht="15.75" hidden="1">
      <c r="A668" s="196" t="s">
        <v>606</v>
      </c>
      <c r="B668" s="85" t="s">
        <v>496</v>
      </c>
      <c r="C668" s="86" t="s">
        <v>497</v>
      </c>
      <c r="D668" s="85">
        <v>46178</v>
      </c>
      <c r="E668" s="65" t="s">
        <v>491</v>
      </c>
      <c r="F668" s="65" t="s">
        <v>62</v>
      </c>
      <c r="G668" s="87" t="s">
        <v>63</v>
      </c>
      <c r="I668" s="65">
        <v>6</v>
      </c>
      <c r="J668" s="88"/>
      <c r="K668" s="67"/>
      <c r="L668" s="67"/>
      <c r="M668" s="203"/>
      <c r="N668" s="65"/>
      <c r="O668" s="65"/>
      <c r="P668" s="65"/>
      <c r="Q668" s="10">
        <f t="shared" si="127"/>
        <v>0</v>
      </c>
      <c r="R668" s="65"/>
    </row>
    <row r="669" spans="1:18" s="274" customFormat="1" ht="15.75" hidden="1">
      <c r="A669" s="196" t="s">
        <v>606</v>
      </c>
      <c r="B669" s="70" t="s">
        <v>496</v>
      </c>
      <c r="C669" s="71" t="s">
        <v>500</v>
      </c>
      <c r="D669" s="70">
        <v>46328</v>
      </c>
      <c r="E669" s="43" t="s">
        <v>491</v>
      </c>
      <c r="F669" s="43" t="s">
        <v>40</v>
      </c>
      <c r="G669" s="72" t="s">
        <v>41</v>
      </c>
      <c r="H669" s="273"/>
      <c r="I669" s="43">
        <v>8</v>
      </c>
      <c r="J669" s="73">
        <v>844444.44</v>
      </c>
      <c r="K669" s="45">
        <f t="shared" ref="K669:K693" si="131">J669*I669</f>
        <v>6755555.5199999996</v>
      </c>
      <c r="L669" s="45">
        <f t="shared" ref="L669:L693" si="132">K669*8%</f>
        <v>540444.44160000002</v>
      </c>
      <c r="M669" s="256">
        <f t="shared" ref="M669:M693" si="133">K669+L669</f>
        <v>7295999.9616</v>
      </c>
      <c r="N669" s="43"/>
      <c r="O669" s="43"/>
      <c r="P669" s="43"/>
      <c r="Q669" s="10">
        <f t="shared" si="127"/>
        <v>7295999.9616</v>
      </c>
      <c r="R669" s="43"/>
    </row>
    <row r="670" spans="1:18" s="274" customFormat="1" ht="15.75" hidden="1">
      <c r="A670" s="196" t="s">
        <v>606</v>
      </c>
      <c r="B670" s="70" t="s">
        <v>496</v>
      </c>
      <c r="C670" s="71" t="s">
        <v>500</v>
      </c>
      <c r="D670" s="70">
        <v>46328</v>
      </c>
      <c r="E670" s="43" t="s">
        <v>491</v>
      </c>
      <c r="F670" s="43" t="s">
        <v>77</v>
      </c>
      <c r="G670" s="72" t="s">
        <v>501</v>
      </c>
      <c r="H670" s="273"/>
      <c r="I670" s="43">
        <v>16</v>
      </c>
      <c r="J670" s="73">
        <v>324074.07</v>
      </c>
      <c r="K670" s="45">
        <f t="shared" si="131"/>
        <v>5185185.12</v>
      </c>
      <c r="L670" s="45">
        <f t="shared" si="132"/>
        <v>414814.80960000004</v>
      </c>
      <c r="M670" s="256">
        <f t="shared" si="133"/>
        <v>5599999.9296000004</v>
      </c>
      <c r="N670" s="43"/>
      <c r="O670" s="43"/>
      <c r="P670" s="43"/>
      <c r="Q670" s="10">
        <f t="shared" si="127"/>
        <v>5599999.9296000004</v>
      </c>
      <c r="R670" s="43"/>
    </row>
    <row r="671" spans="1:18" s="274" customFormat="1" ht="15.75" hidden="1">
      <c r="A671" s="196" t="s">
        <v>606</v>
      </c>
      <c r="B671" s="70" t="s">
        <v>496</v>
      </c>
      <c r="C671" s="71" t="s">
        <v>500</v>
      </c>
      <c r="D671" s="70">
        <v>46328</v>
      </c>
      <c r="E671" s="43" t="s">
        <v>491</v>
      </c>
      <c r="F671" s="43" t="s">
        <v>262</v>
      </c>
      <c r="G671" s="72" t="s">
        <v>435</v>
      </c>
      <c r="H671" s="273"/>
      <c r="I671" s="43">
        <v>4</v>
      </c>
      <c r="J671" s="73">
        <v>851851.85</v>
      </c>
      <c r="K671" s="45">
        <f t="shared" si="131"/>
        <v>3407407.4</v>
      </c>
      <c r="L671" s="45">
        <f t="shared" si="132"/>
        <v>272592.592</v>
      </c>
      <c r="M671" s="256">
        <f t="shared" si="133"/>
        <v>3679999.9920000001</v>
      </c>
      <c r="N671" s="43"/>
      <c r="O671" s="43"/>
      <c r="P671" s="43"/>
      <c r="Q671" s="10">
        <f t="shared" si="127"/>
        <v>3679999.9920000001</v>
      </c>
      <c r="R671" s="43"/>
    </row>
    <row r="672" spans="1:18" s="274" customFormat="1" ht="15.75" hidden="1">
      <c r="A672" s="196" t="s">
        <v>606</v>
      </c>
      <c r="B672" s="70" t="s">
        <v>496</v>
      </c>
      <c r="C672" s="71" t="s">
        <v>500</v>
      </c>
      <c r="D672" s="70">
        <v>46328</v>
      </c>
      <c r="E672" s="43" t="s">
        <v>491</v>
      </c>
      <c r="F672" s="43" t="s">
        <v>23</v>
      </c>
      <c r="G672" s="72" t="s">
        <v>82</v>
      </c>
      <c r="H672" s="273"/>
      <c r="I672" s="43">
        <v>4</v>
      </c>
      <c r="J672" s="73">
        <v>1185185.19</v>
      </c>
      <c r="K672" s="45">
        <f t="shared" si="131"/>
        <v>4740740.76</v>
      </c>
      <c r="L672" s="45">
        <f t="shared" si="132"/>
        <v>379259.26079999999</v>
      </c>
      <c r="M672" s="256">
        <f t="shared" si="133"/>
        <v>5120000.0208000001</v>
      </c>
      <c r="N672" s="43"/>
      <c r="O672" s="43"/>
      <c r="P672" s="43"/>
      <c r="Q672" s="10">
        <f t="shared" si="127"/>
        <v>5120000.0208000001</v>
      </c>
      <c r="R672" s="43"/>
    </row>
    <row r="673" spans="1:18" s="274" customFormat="1" ht="15.75" hidden="1">
      <c r="A673" s="196" t="s">
        <v>606</v>
      </c>
      <c r="B673" s="70" t="s">
        <v>496</v>
      </c>
      <c r="C673" s="71" t="s">
        <v>500</v>
      </c>
      <c r="D673" s="70">
        <v>46328</v>
      </c>
      <c r="E673" s="43" t="s">
        <v>491</v>
      </c>
      <c r="F673" s="43" t="s">
        <v>274</v>
      </c>
      <c r="G673" s="72" t="s">
        <v>297</v>
      </c>
      <c r="H673" s="273"/>
      <c r="I673" s="43">
        <v>6</v>
      </c>
      <c r="J673" s="73">
        <v>416666.67</v>
      </c>
      <c r="K673" s="45">
        <f t="shared" si="131"/>
        <v>2500000.02</v>
      </c>
      <c r="L673" s="45">
        <f t="shared" si="132"/>
        <v>200000.00160000002</v>
      </c>
      <c r="M673" s="256">
        <f t="shared" si="133"/>
        <v>2700000.0216000001</v>
      </c>
      <c r="N673" s="43"/>
      <c r="O673" s="43"/>
      <c r="P673" s="43"/>
      <c r="Q673" s="10">
        <f t="shared" si="127"/>
        <v>2700000.0216000001</v>
      </c>
      <c r="R673" s="43"/>
    </row>
    <row r="674" spans="1:18" s="274" customFormat="1" ht="15.75" hidden="1">
      <c r="A674" s="196" t="s">
        <v>606</v>
      </c>
      <c r="B674" s="70" t="s">
        <v>496</v>
      </c>
      <c r="C674" s="71" t="s">
        <v>500</v>
      </c>
      <c r="D674" s="70">
        <v>46328</v>
      </c>
      <c r="E674" s="43" t="s">
        <v>491</v>
      </c>
      <c r="F674" s="43" t="s">
        <v>424</v>
      </c>
      <c r="G674" s="75" t="s">
        <v>425</v>
      </c>
      <c r="H674" s="273"/>
      <c r="I674" s="43">
        <v>2</v>
      </c>
      <c r="J674" s="73">
        <v>882407.5</v>
      </c>
      <c r="K674" s="45">
        <f t="shared" si="131"/>
        <v>1764815</v>
      </c>
      <c r="L674" s="45">
        <f t="shared" si="132"/>
        <v>141185.20000000001</v>
      </c>
      <c r="M674" s="256">
        <f t="shared" si="133"/>
        <v>1906000.2</v>
      </c>
      <c r="N674" s="43"/>
      <c r="O674" s="43"/>
      <c r="P674" s="43"/>
      <c r="Q674" s="10">
        <f t="shared" si="127"/>
        <v>1906000.2</v>
      </c>
      <c r="R674" s="43"/>
    </row>
    <row r="675" spans="1:18" s="274" customFormat="1" ht="15.75" hidden="1">
      <c r="A675" s="196" t="s">
        <v>606</v>
      </c>
      <c r="B675" s="70" t="s">
        <v>496</v>
      </c>
      <c r="C675" s="71" t="s">
        <v>500</v>
      </c>
      <c r="D675" s="70">
        <v>46328</v>
      </c>
      <c r="E675" s="43" t="s">
        <v>491</v>
      </c>
      <c r="F675" s="43" t="s">
        <v>444</v>
      </c>
      <c r="G675" s="75" t="s">
        <v>445</v>
      </c>
      <c r="H675" s="273"/>
      <c r="I675" s="43">
        <v>4</v>
      </c>
      <c r="J675" s="73">
        <v>601852.18999999994</v>
      </c>
      <c r="K675" s="45">
        <f t="shared" si="131"/>
        <v>2407408.7599999998</v>
      </c>
      <c r="L675" s="45">
        <f t="shared" si="132"/>
        <v>192592.70079999999</v>
      </c>
      <c r="M675" s="256">
        <f t="shared" si="133"/>
        <v>2600001.4607999995</v>
      </c>
      <c r="N675" s="43"/>
      <c r="O675" s="43"/>
      <c r="P675" s="43"/>
      <c r="Q675" s="10">
        <f t="shared" si="127"/>
        <v>2600001.4607999995</v>
      </c>
      <c r="R675" s="43"/>
    </row>
    <row r="676" spans="1:18" s="274" customFormat="1" ht="15" hidden="1" customHeight="1">
      <c r="A676" s="196" t="s">
        <v>606</v>
      </c>
      <c r="B676" s="70">
        <v>46055</v>
      </c>
      <c r="C676" s="197" t="s">
        <v>502</v>
      </c>
      <c r="D676" s="70">
        <v>46083</v>
      </c>
      <c r="E676" s="43" t="s">
        <v>491</v>
      </c>
      <c r="F676" s="43" t="s">
        <v>260</v>
      </c>
      <c r="G676" s="75" t="s">
        <v>503</v>
      </c>
      <c r="H676" s="273"/>
      <c r="I676" s="43">
        <v>8</v>
      </c>
      <c r="J676" s="73">
        <v>492592.59</v>
      </c>
      <c r="K676" s="45">
        <f t="shared" si="131"/>
        <v>3940740.72</v>
      </c>
      <c r="L676" s="45">
        <f t="shared" si="132"/>
        <v>315259.25760000001</v>
      </c>
      <c r="M676" s="256">
        <f t="shared" si="133"/>
        <v>4255999.9775999999</v>
      </c>
      <c r="N676" s="43"/>
      <c r="O676" s="43"/>
      <c r="P676" s="43"/>
      <c r="Q676" s="10">
        <f t="shared" si="127"/>
        <v>4255999.9775999999</v>
      </c>
      <c r="R676" s="43"/>
    </row>
    <row r="677" spans="1:18" s="274" customFormat="1" ht="15.75" hidden="1">
      <c r="A677" s="196" t="s">
        <v>606</v>
      </c>
      <c r="B677" s="70">
        <v>46055</v>
      </c>
      <c r="C677" s="197" t="s">
        <v>502</v>
      </c>
      <c r="D677" s="70">
        <v>46083</v>
      </c>
      <c r="E677" s="43" t="s">
        <v>491</v>
      </c>
      <c r="F677" s="43" t="s">
        <v>80</v>
      </c>
      <c r="G677" s="72" t="s">
        <v>81</v>
      </c>
      <c r="H677" s="273"/>
      <c r="I677" s="43">
        <v>4</v>
      </c>
      <c r="J677" s="73">
        <v>824074.07</v>
      </c>
      <c r="K677" s="45">
        <f t="shared" si="131"/>
        <v>3296296.28</v>
      </c>
      <c r="L677" s="45">
        <f t="shared" si="132"/>
        <v>263703.70240000001</v>
      </c>
      <c r="M677" s="256">
        <f t="shared" si="133"/>
        <v>3559999.9823999996</v>
      </c>
      <c r="N677" s="43"/>
      <c r="O677" s="43"/>
      <c r="P677" s="43"/>
      <c r="Q677" s="10">
        <f t="shared" si="127"/>
        <v>3559999.9823999996</v>
      </c>
      <c r="R677" s="43"/>
    </row>
    <row r="678" spans="1:18" s="274" customFormat="1" ht="15.6" hidden="1" customHeight="1">
      <c r="A678" s="196" t="s">
        <v>606</v>
      </c>
      <c r="B678" s="70">
        <v>46055</v>
      </c>
      <c r="C678" s="197" t="s">
        <v>502</v>
      </c>
      <c r="D678" s="70">
        <v>46083</v>
      </c>
      <c r="E678" s="43" t="s">
        <v>491</v>
      </c>
      <c r="F678" s="43" t="s">
        <v>21</v>
      </c>
      <c r="G678" s="75" t="s">
        <v>338</v>
      </c>
      <c r="H678" s="273"/>
      <c r="I678" s="43">
        <v>8</v>
      </c>
      <c r="J678" s="73">
        <v>937962.96</v>
      </c>
      <c r="K678" s="45">
        <f t="shared" si="131"/>
        <v>7503703.6799999997</v>
      </c>
      <c r="L678" s="45">
        <f t="shared" si="132"/>
        <v>600296.29440000001</v>
      </c>
      <c r="M678" s="256">
        <f t="shared" si="133"/>
        <v>8103999.9743999997</v>
      </c>
      <c r="N678" s="43"/>
      <c r="O678" s="43"/>
      <c r="P678" s="43"/>
      <c r="Q678" s="10">
        <f t="shared" si="127"/>
        <v>8103999.9743999997</v>
      </c>
      <c r="R678" s="43"/>
    </row>
    <row r="679" spans="1:18" s="274" customFormat="1" ht="16.899999999999999" hidden="1" customHeight="1">
      <c r="A679" s="196" t="s">
        <v>606</v>
      </c>
      <c r="B679" s="70">
        <v>46055</v>
      </c>
      <c r="C679" s="197" t="s">
        <v>502</v>
      </c>
      <c r="D679" s="70">
        <v>46083</v>
      </c>
      <c r="E679" s="43" t="s">
        <v>491</v>
      </c>
      <c r="F679" s="43" t="s">
        <v>38</v>
      </c>
      <c r="G679" s="75" t="s">
        <v>504</v>
      </c>
      <c r="H679" s="273"/>
      <c r="I679" s="43">
        <v>10</v>
      </c>
      <c r="J679" s="73">
        <v>277777.78000000003</v>
      </c>
      <c r="K679" s="45">
        <f t="shared" si="131"/>
        <v>2777777.8000000003</v>
      </c>
      <c r="L679" s="45">
        <f t="shared" si="132"/>
        <v>222222.22400000002</v>
      </c>
      <c r="M679" s="256">
        <f t="shared" si="133"/>
        <v>3000000.0240000002</v>
      </c>
      <c r="N679" s="43"/>
      <c r="O679" s="43"/>
      <c r="P679" s="43"/>
      <c r="Q679" s="10">
        <f t="shared" si="127"/>
        <v>3000000.0240000002</v>
      </c>
      <c r="R679" s="43"/>
    </row>
    <row r="680" spans="1:18" s="274" customFormat="1" ht="17.45" hidden="1" customHeight="1">
      <c r="A680" s="196" t="s">
        <v>606</v>
      </c>
      <c r="B680" s="70">
        <v>46055</v>
      </c>
      <c r="C680" s="197" t="s">
        <v>502</v>
      </c>
      <c r="D680" s="70">
        <v>46083</v>
      </c>
      <c r="E680" s="43" t="s">
        <v>491</v>
      </c>
      <c r="F680" s="43" t="s">
        <v>40</v>
      </c>
      <c r="G680" s="75" t="s">
        <v>505</v>
      </c>
      <c r="H680" s="273"/>
      <c r="I680" s="43">
        <v>2</v>
      </c>
      <c r="J680" s="73">
        <v>844444.44</v>
      </c>
      <c r="K680" s="45">
        <f t="shared" si="131"/>
        <v>1688888.88</v>
      </c>
      <c r="L680" s="45">
        <f t="shared" si="132"/>
        <v>135111.11040000001</v>
      </c>
      <c r="M680" s="256">
        <f t="shared" si="133"/>
        <v>1823999.9904</v>
      </c>
      <c r="N680" s="43"/>
      <c r="O680" s="43"/>
      <c r="P680" s="43"/>
      <c r="Q680" s="10">
        <f t="shared" si="127"/>
        <v>1823999.9904</v>
      </c>
      <c r="R680" s="43"/>
    </row>
    <row r="681" spans="1:18" s="274" customFormat="1" ht="15.75" hidden="1">
      <c r="A681" s="196" t="s">
        <v>606</v>
      </c>
      <c r="B681" s="70">
        <v>46055</v>
      </c>
      <c r="C681" s="197" t="s">
        <v>502</v>
      </c>
      <c r="D681" s="70">
        <v>46083</v>
      </c>
      <c r="E681" s="43" t="s">
        <v>491</v>
      </c>
      <c r="F681" s="43" t="s">
        <v>274</v>
      </c>
      <c r="G681" s="72" t="s">
        <v>297</v>
      </c>
      <c r="H681" s="273"/>
      <c r="I681" s="43">
        <v>20</v>
      </c>
      <c r="J681" s="73">
        <v>416666.67</v>
      </c>
      <c r="K681" s="45">
        <f t="shared" si="131"/>
        <v>8333333.3999999994</v>
      </c>
      <c r="L681" s="45">
        <f t="shared" si="132"/>
        <v>666666.67200000002</v>
      </c>
      <c r="M681" s="256">
        <f t="shared" si="133"/>
        <v>9000000.0719999988</v>
      </c>
      <c r="N681" s="43"/>
      <c r="O681" s="43"/>
      <c r="P681" s="43"/>
      <c r="Q681" s="10">
        <f t="shared" si="127"/>
        <v>9000000.0719999988</v>
      </c>
      <c r="R681" s="43"/>
    </row>
    <row r="682" spans="1:18" s="274" customFormat="1" ht="15.75" hidden="1">
      <c r="A682" s="196" t="s">
        <v>606</v>
      </c>
      <c r="B682" s="70">
        <v>46175</v>
      </c>
      <c r="C682" s="197" t="s">
        <v>506</v>
      </c>
      <c r="D682" s="70">
        <v>46267</v>
      </c>
      <c r="E682" s="43" t="s">
        <v>491</v>
      </c>
      <c r="F682" s="43" t="s">
        <v>204</v>
      </c>
      <c r="G682" s="72" t="s">
        <v>269</v>
      </c>
      <c r="H682" s="273"/>
      <c r="I682" s="43">
        <v>4</v>
      </c>
      <c r="J682" s="73">
        <v>480555.55</v>
      </c>
      <c r="K682" s="45">
        <f t="shared" si="131"/>
        <v>1922222.2</v>
      </c>
      <c r="L682" s="45">
        <f t="shared" si="132"/>
        <v>153777.77600000001</v>
      </c>
      <c r="M682" s="256">
        <f t="shared" si="133"/>
        <v>2075999.976</v>
      </c>
      <c r="N682" s="43"/>
      <c r="O682" s="43"/>
      <c r="P682" s="43"/>
      <c r="Q682" s="10">
        <f t="shared" si="127"/>
        <v>2075999.976</v>
      </c>
      <c r="R682" s="43"/>
    </row>
    <row r="683" spans="1:18" s="274" customFormat="1" ht="15.75" hidden="1">
      <c r="A683" s="196" t="s">
        <v>606</v>
      </c>
      <c r="B683" s="70">
        <v>46175</v>
      </c>
      <c r="C683" s="197" t="s">
        <v>506</v>
      </c>
      <c r="D683" s="70">
        <v>46267</v>
      </c>
      <c r="E683" s="43" t="s">
        <v>491</v>
      </c>
      <c r="F683" s="43" t="s">
        <v>507</v>
      </c>
      <c r="G683" s="72" t="s">
        <v>320</v>
      </c>
      <c r="H683" s="273"/>
      <c r="I683" s="43">
        <v>8</v>
      </c>
      <c r="J683" s="73">
        <v>324074.07</v>
      </c>
      <c r="K683" s="45">
        <f>J683*I683</f>
        <v>2592592.56</v>
      </c>
      <c r="L683" s="45">
        <f t="shared" si="132"/>
        <v>207407.40480000002</v>
      </c>
      <c r="M683" s="256">
        <f t="shared" si="133"/>
        <v>2799999.9648000002</v>
      </c>
      <c r="N683" s="43"/>
      <c r="O683" s="43"/>
      <c r="P683" s="43"/>
      <c r="Q683" s="10">
        <f t="shared" si="127"/>
        <v>2799999.9648000002</v>
      </c>
      <c r="R683" s="43"/>
    </row>
    <row r="684" spans="1:18" s="274" customFormat="1" ht="30" hidden="1">
      <c r="A684" s="196" t="s">
        <v>606</v>
      </c>
      <c r="B684" s="70">
        <v>46175</v>
      </c>
      <c r="C684" s="197" t="s">
        <v>506</v>
      </c>
      <c r="D684" s="70">
        <v>46267</v>
      </c>
      <c r="E684" s="43" t="s">
        <v>491</v>
      </c>
      <c r="F684" s="43" t="s">
        <v>180</v>
      </c>
      <c r="G684" s="75" t="s">
        <v>181</v>
      </c>
      <c r="H684" s="273"/>
      <c r="I684" s="43">
        <v>10</v>
      </c>
      <c r="J684" s="73">
        <v>234259.3</v>
      </c>
      <c r="K684" s="45">
        <f t="shared" si="131"/>
        <v>2342593</v>
      </c>
      <c r="L684" s="45">
        <f t="shared" si="132"/>
        <v>187407.44</v>
      </c>
      <c r="M684" s="256">
        <f t="shared" si="133"/>
        <v>2530000.44</v>
      </c>
      <c r="N684" s="43"/>
      <c r="O684" s="43"/>
      <c r="P684" s="43"/>
      <c r="Q684" s="10">
        <f t="shared" si="127"/>
        <v>2530000.44</v>
      </c>
      <c r="R684" s="43"/>
    </row>
    <row r="685" spans="1:18" s="274" customFormat="1" ht="15.75" hidden="1">
      <c r="A685" s="196" t="s">
        <v>606</v>
      </c>
      <c r="B685" s="70">
        <v>46175</v>
      </c>
      <c r="C685" s="197" t="s">
        <v>506</v>
      </c>
      <c r="D685" s="70">
        <v>46267</v>
      </c>
      <c r="E685" s="43" t="s">
        <v>491</v>
      </c>
      <c r="F685" s="43" t="s">
        <v>26</v>
      </c>
      <c r="G685" s="72" t="s">
        <v>27</v>
      </c>
      <c r="H685" s="273"/>
      <c r="I685" s="43">
        <v>10</v>
      </c>
      <c r="J685" s="73">
        <v>256481.5</v>
      </c>
      <c r="K685" s="45">
        <f t="shared" si="131"/>
        <v>2564815</v>
      </c>
      <c r="L685" s="45">
        <f t="shared" si="132"/>
        <v>205185.2</v>
      </c>
      <c r="M685" s="256">
        <f t="shared" si="133"/>
        <v>2770000.2</v>
      </c>
      <c r="N685" s="43"/>
      <c r="O685" s="43"/>
      <c r="P685" s="43"/>
      <c r="Q685" s="10">
        <f t="shared" si="127"/>
        <v>2770000.2</v>
      </c>
      <c r="R685" s="43"/>
    </row>
    <row r="686" spans="1:18" s="274" customFormat="1" ht="15.75" hidden="1">
      <c r="A686" s="196" t="s">
        <v>606</v>
      </c>
      <c r="B686" s="70">
        <v>46175</v>
      </c>
      <c r="C686" s="197" t="s">
        <v>506</v>
      </c>
      <c r="D686" s="70">
        <v>46267</v>
      </c>
      <c r="E686" s="43" t="s">
        <v>491</v>
      </c>
      <c r="F686" s="43" t="s">
        <v>28</v>
      </c>
      <c r="G686" s="72" t="s">
        <v>29</v>
      </c>
      <c r="H686" s="273"/>
      <c r="I686" s="43">
        <v>10</v>
      </c>
      <c r="J686" s="73">
        <v>281481.5</v>
      </c>
      <c r="K686" s="45">
        <f t="shared" si="131"/>
        <v>2814815</v>
      </c>
      <c r="L686" s="45">
        <f t="shared" si="132"/>
        <v>225185.2</v>
      </c>
      <c r="M686" s="256">
        <f t="shared" si="133"/>
        <v>3040000.2</v>
      </c>
      <c r="N686" s="43"/>
      <c r="O686" s="43"/>
      <c r="P686" s="43"/>
      <c r="Q686" s="10">
        <f t="shared" si="127"/>
        <v>3040000.2</v>
      </c>
      <c r="R686" s="43"/>
    </row>
    <row r="687" spans="1:18" s="274" customFormat="1" ht="17.45" hidden="1" customHeight="1">
      <c r="A687" s="196" t="s">
        <v>606</v>
      </c>
      <c r="B687" s="70">
        <v>46175</v>
      </c>
      <c r="C687" s="197" t="s">
        <v>506</v>
      </c>
      <c r="D687" s="70">
        <v>46267</v>
      </c>
      <c r="E687" s="43" t="s">
        <v>491</v>
      </c>
      <c r="F687" s="43" t="s">
        <v>184</v>
      </c>
      <c r="G687" s="75" t="s">
        <v>508</v>
      </c>
      <c r="H687" s="273"/>
      <c r="I687" s="43">
        <v>10</v>
      </c>
      <c r="J687" s="73">
        <v>240740.74</v>
      </c>
      <c r="K687" s="45">
        <f t="shared" si="131"/>
        <v>2407407.4</v>
      </c>
      <c r="L687" s="45">
        <f t="shared" si="132"/>
        <v>192592.592</v>
      </c>
      <c r="M687" s="256">
        <f t="shared" si="133"/>
        <v>2599999.9920000001</v>
      </c>
      <c r="N687" s="43"/>
      <c r="O687" s="43"/>
      <c r="P687" s="43"/>
      <c r="Q687" s="10">
        <f t="shared" si="127"/>
        <v>2599999.9920000001</v>
      </c>
      <c r="R687" s="43"/>
    </row>
    <row r="688" spans="1:18" s="274" customFormat="1" ht="15.75" hidden="1">
      <c r="A688" s="196" t="s">
        <v>606</v>
      </c>
      <c r="B688" s="70">
        <v>46175</v>
      </c>
      <c r="C688" s="197" t="s">
        <v>506</v>
      </c>
      <c r="D688" s="70">
        <v>46267</v>
      </c>
      <c r="E688" s="43" t="s">
        <v>491</v>
      </c>
      <c r="F688" s="43" t="s">
        <v>30</v>
      </c>
      <c r="G688" s="72" t="s">
        <v>31</v>
      </c>
      <c r="H688" s="273"/>
      <c r="I688" s="43">
        <v>10</v>
      </c>
      <c r="J688" s="73">
        <v>259259.25</v>
      </c>
      <c r="K688" s="45">
        <f t="shared" si="131"/>
        <v>2592592.5</v>
      </c>
      <c r="L688" s="45">
        <f t="shared" si="132"/>
        <v>207407.4</v>
      </c>
      <c r="M688" s="256">
        <f t="shared" si="133"/>
        <v>2799999.9</v>
      </c>
      <c r="N688" s="43"/>
      <c r="O688" s="43"/>
      <c r="P688" s="43"/>
      <c r="Q688" s="10">
        <f t="shared" si="127"/>
        <v>2799999.9</v>
      </c>
      <c r="R688" s="43"/>
    </row>
    <row r="689" spans="1:18" s="274" customFormat="1" ht="15.75" hidden="1">
      <c r="A689" s="196" t="s">
        <v>606</v>
      </c>
      <c r="B689" s="70">
        <v>46175</v>
      </c>
      <c r="C689" s="197" t="s">
        <v>506</v>
      </c>
      <c r="D689" s="70">
        <v>46267</v>
      </c>
      <c r="E689" s="43" t="s">
        <v>491</v>
      </c>
      <c r="F689" s="43" t="s">
        <v>32</v>
      </c>
      <c r="G689" s="72" t="s">
        <v>33</v>
      </c>
      <c r="H689" s="273"/>
      <c r="I689" s="43">
        <v>10</v>
      </c>
      <c r="J689" s="73">
        <v>226851.85</v>
      </c>
      <c r="K689" s="45">
        <f t="shared" si="131"/>
        <v>2268518.5</v>
      </c>
      <c r="L689" s="45">
        <f t="shared" si="132"/>
        <v>181481.48</v>
      </c>
      <c r="M689" s="256">
        <f t="shared" si="133"/>
        <v>2449999.98</v>
      </c>
      <c r="N689" s="43"/>
      <c r="O689" s="43"/>
      <c r="P689" s="43"/>
      <c r="Q689" s="10">
        <f t="shared" si="127"/>
        <v>2449999.98</v>
      </c>
      <c r="R689" s="43"/>
    </row>
    <row r="690" spans="1:18" s="274" customFormat="1" ht="15.75" hidden="1">
      <c r="A690" s="196" t="s">
        <v>606</v>
      </c>
      <c r="B690" s="70">
        <v>46175</v>
      </c>
      <c r="C690" s="197" t="s">
        <v>506</v>
      </c>
      <c r="D690" s="70">
        <v>46267</v>
      </c>
      <c r="E690" s="43" t="s">
        <v>491</v>
      </c>
      <c r="F690" s="43" t="s">
        <v>34</v>
      </c>
      <c r="G690" s="72" t="s">
        <v>35</v>
      </c>
      <c r="H690" s="273"/>
      <c r="I690" s="43">
        <v>10</v>
      </c>
      <c r="J690" s="73">
        <v>240740.74</v>
      </c>
      <c r="K690" s="45">
        <f t="shared" si="131"/>
        <v>2407407.4</v>
      </c>
      <c r="L690" s="45">
        <f t="shared" si="132"/>
        <v>192592.592</v>
      </c>
      <c r="M690" s="256">
        <f t="shared" si="133"/>
        <v>2599999.9920000001</v>
      </c>
      <c r="N690" s="43"/>
      <c r="O690" s="43"/>
      <c r="P690" s="43"/>
      <c r="Q690" s="10">
        <f t="shared" si="127"/>
        <v>2599999.9920000001</v>
      </c>
      <c r="R690" s="43"/>
    </row>
    <row r="691" spans="1:18" s="274" customFormat="1" ht="15.75" hidden="1">
      <c r="A691" s="196" t="s">
        <v>606</v>
      </c>
      <c r="B691" s="70">
        <v>46175</v>
      </c>
      <c r="C691" s="197" t="s">
        <v>506</v>
      </c>
      <c r="D691" s="70">
        <v>46267</v>
      </c>
      <c r="E691" s="43" t="s">
        <v>491</v>
      </c>
      <c r="F691" s="43" t="s">
        <v>36</v>
      </c>
      <c r="G691" s="72" t="s">
        <v>37</v>
      </c>
      <c r="H691" s="273"/>
      <c r="I691" s="43">
        <v>10</v>
      </c>
      <c r="J691" s="73">
        <v>259259.25</v>
      </c>
      <c r="K691" s="45">
        <f t="shared" si="131"/>
        <v>2592592.5</v>
      </c>
      <c r="L691" s="45">
        <f t="shared" si="132"/>
        <v>207407.4</v>
      </c>
      <c r="M691" s="256">
        <f t="shared" si="133"/>
        <v>2799999.9</v>
      </c>
      <c r="N691" s="43"/>
      <c r="O691" s="43"/>
      <c r="P691" s="43"/>
      <c r="Q691" s="10">
        <f t="shared" si="127"/>
        <v>2799999.9</v>
      </c>
      <c r="R691" s="43"/>
    </row>
    <row r="692" spans="1:18" s="274" customFormat="1" ht="15.75" hidden="1">
      <c r="A692" s="196" t="s">
        <v>606</v>
      </c>
      <c r="B692" s="70">
        <v>46175</v>
      </c>
      <c r="C692" s="197" t="s">
        <v>506</v>
      </c>
      <c r="D692" s="70">
        <v>46267</v>
      </c>
      <c r="E692" s="43" t="s">
        <v>491</v>
      </c>
      <c r="F692" s="43" t="s">
        <v>38</v>
      </c>
      <c r="G692" s="72" t="s">
        <v>39</v>
      </c>
      <c r="H692" s="273"/>
      <c r="I692" s="43">
        <v>10</v>
      </c>
      <c r="J692" s="73">
        <v>277277.77</v>
      </c>
      <c r="K692" s="45">
        <f t="shared" si="131"/>
        <v>2772777.7</v>
      </c>
      <c r="L692" s="45">
        <f t="shared" si="132"/>
        <v>221822.21600000001</v>
      </c>
      <c r="M692" s="256">
        <f t="shared" si="133"/>
        <v>2994599.9160000002</v>
      </c>
      <c r="N692" s="43"/>
      <c r="O692" s="43"/>
      <c r="P692" s="43"/>
      <c r="Q692" s="10">
        <f t="shared" si="127"/>
        <v>2994599.9160000002</v>
      </c>
      <c r="R692" s="43"/>
    </row>
    <row r="693" spans="1:18" s="274" customFormat="1" ht="15.6" hidden="1" customHeight="1">
      <c r="A693" s="196" t="s">
        <v>606</v>
      </c>
      <c r="B693" s="70">
        <v>46175</v>
      </c>
      <c r="C693" s="197" t="s">
        <v>506</v>
      </c>
      <c r="D693" s="70">
        <v>46267</v>
      </c>
      <c r="E693" s="43" t="s">
        <v>491</v>
      </c>
      <c r="F693" s="43" t="s">
        <v>40</v>
      </c>
      <c r="G693" s="75" t="s">
        <v>505</v>
      </c>
      <c r="H693" s="273"/>
      <c r="I693" s="43">
        <v>4</v>
      </c>
      <c r="J693" s="73">
        <v>844444.44</v>
      </c>
      <c r="K693" s="45">
        <f t="shared" si="131"/>
        <v>3377777.76</v>
      </c>
      <c r="L693" s="45">
        <f t="shared" si="132"/>
        <v>270222.22080000001</v>
      </c>
      <c r="M693" s="256">
        <f t="shared" si="133"/>
        <v>3647999.9808</v>
      </c>
      <c r="N693" s="43"/>
      <c r="O693" s="43"/>
      <c r="P693" s="43"/>
      <c r="Q693" s="10">
        <f t="shared" si="127"/>
        <v>3647999.9808</v>
      </c>
      <c r="R693" s="43"/>
    </row>
    <row r="694" spans="1:18" s="275" customFormat="1" ht="15.6" hidden="1" customHeight="1">
      <c r="A694" s="196" t="s">
        <v>606</v>
      </c>
      <c r="B694" s="76">
        <v>46205</v>
      </c>
      <c r="C694" s="82" t="s">
        <v>509</v>
      </c>
      <c r="D694" s="76"/>
      <c r="E694" s="78" t="s">
        <v>494</v>
      </c>
      <c r="M694" s="280"/>
      <c r="N694" s="81">
        <v>50612004</v>
      </c>
      <c r="O694" s="81"/>
      <c r="P694" s="81"/>
      <c r="Q694" s="10">
        <f t="shared" si="127"/>
        <v>-50612004</v>
      </c>
      <c r="R694" s="78"/>
    </row>
    <row r="695" spans="1:18" s="124" customFormat="1" ht="15.75" hidden="1">
      <c r="A695" s="196" t="s">
        <v>606</v>
      </c>
      <c r="B695" s="85" t="s">
        <v>217</v>
      </c>
      <c r="C695" s="198" t="s">
        <v>511</v>
      </c>
      <c r="D695" s="85" t="s">
        <v>510</v>
      </c>
      <c r="E695" s="65" t="s">
        <v>491</v>
      </c>
      <c r="F695" s="65" t="s">
        <v>60</v>
      </c>
      <c r="G695" s="87" t="s">
        <v>61</v>
      </c>
      <c r="I695" s="65">
        <v>8</v>
      </c>
      <c r="J695" s="88">
        <v>1138888.8799999999</v>
      </c>
      <c r="K695" s="67">
        <f t="shared" ref="K695:K704" si="134">J695*I695</f>
        <v>9111111.0399999991</v>
      </c>
      <c r="L695" s="67">
        <f t="shared" ref="L695:L704" si="135">K695*8%</f>
        <v>728888.88319999992</v>
      </c>
      <c r="M695" s="203">
        <f t="shared" ref="M695:M704" si="136">K695+L695</f>
        <v>9839999.9231999982</v>
      </c>
      <c r="N695" s="65"/>
      <c r="O695" s="65"/>
      <c r="P695" s="65"/>
      <c r="Q695" s="10">
        <f t="shared" si="127"/>
        <v>9839999.9231999982</v>
      </c>
      <c r="R695" s="65"/>
    </row>
    <row r="696" spans="1:18" s="124" customFormat="1" ht="15.6" hidden="1" customHeight="1">
      <c r="A696" s="196" t="s">
        <v>606</v>
      </c>
      <c r="B696" s="85" t="s">
        <v>217</v>
      </c>
      <c r="C696" s="198" t="s">
        <v>511</v>
      </c>
      <c r="D696" s="85" t="s">
        <v>510</v>
      </c>
      <c r="E696" s="65" t="s">
        <v>491</v>
      </c>
      <c r="F696" s="65" t="s">
        <v>16</v>
      </c>
      <c r="G696" s="89" t="s">
        <v>17</v>
      </c>
      <c r="I696" s="65">
        <v>8</v>
      </c>
      <c r="J696" s="88">
        <v>851851.85</v>
      </c>
      <c r="K696" s="67">
        <f t="shared" si="134"/>
        <v>6814814.7999999998</v>
      </c>
      <c r="L696" s="67">
        <f t="shared" si="135"/>
        <v>545185.18400000001</v>
      </c>
      <c r="M696" s="203">
        <f t="shared" si="136"/>
        <v>7359999.9840000002</v>
      </c>
      <c r="N696" s="67"/>
      <c r="O696" s="67"/>
      <c r="P696" s="67"/>
      <c r="Q696" s="10">
        <f t="shared" si="127"/>
        <v>7359999.9840000002</v>
      </c>
      <c r="R696" s="65"/>
    </row>
    <row r="697" spans="1:18" s="124" customFormat="1" ht="15.6" hidden="1" customHeight="1">
      <c r="A697" s="196" t="s">
        <v>606</v>
      </c>
      <c r="B697" s="85" t="s">
        <v>217</v>
      </c>
      <c r="C697" s="198" t="s">
        <v>511</v>
      </c>
      <c r="D697" s="85" t="s">
        <v>510</v>
      </c>
      <c r="E697" s="65" t="s">
        <v>491</v>
      </c>
      <c r="F697" s="65" t="s">
        <v>54</v>
      </c>
      <c r="G697" s="89" t="s">
        <v>329</v>
      </c>
      <c r="I697" s="65">
        <v>12</v>
      </c>
      <c r="J697" s="88">
        <v>324074.07</v>
      </c>
      <c r="K697" s="67">
        <f t="shared" si="134"/>
        <v>3888888.84</v>
      </c>
      <c r="L697" s="67">
        <f t="shared" si="135"/>
        <v>311111.10719999997</v>
      </c>
      <c r="M697" s="203">
        <f t="shared" si="136"/>
        <v>4199999.9472000003</v>
      </c>
      <c r="N697" s="67"/>
      <c r="O697" s="67"/>
      <c r="P697" s="67"/>
      <c r="Q697" s="10">
        <f t="shared" si="127"/>
        <v>4199999.9472000003</v>
      </c>
      <c r="R697" s="65"/>
    </row>
    <row r="698" spans="1:18" s="124" customFormat="1" ht="15.6" hidden="1" customHeight="1">
      <c r="A698" s="196" t="s">
        <v>606</v>
      </c>
      <c r="B698" s="85" t="s">
        <v>217</v>
      </c>
      <c r="C698" s="198" t="s">
        <v>511</v>
      </c>
      <c r="D698" s="85" t="s">
        <v>510</v>
      </c>
      <c r="E698" s="65" t="s">
        <v>491</v>
      </c>
      <c r="F698" s="65" t="s">
        <v>56</v>
      </c>
      <c r="G698" s="89" t="s">
        <v>512</v>
      </c>
      <c r="I698" s="65">
        <v>12</v>
      </c>
      <c r="J698" s="88">
        <v>325925.92</v>
      </c>
      <c r="K698" s="67">
        <f t="shared" si="134"/>
        <v>3911111.04</v>
      </c>
      <c r="L698" s="67">
        <f t="shared" si="135"/>
        <v>312888.88319999998</v>
      </c>
      <c r="M698" s="203">
        <f t="shared" si="136"/>
        <v>4223999.9232000001</v>
      </c>
      <c r="N698" s="67"/>
      <c r="O698" s="67"/>
      <c r="P698" s="67"/>
      <c r="Q698" s="10">
        <f t="shared" si="127"/>
        <v>4223999.9232000001</v>
      </c>
      <c r="R698" s="65"/>
    </row>
    <row r="699" spans="1:18" s="124" customFormat="1" ht="15.6" hidden="1" customHeight="1">
      <c r="A699" s="196" t="s">
        <v>606</v>
      </c>
      <c r="B699" s="85" t="s">
        <v>217</v>
      </c>
      <c r="C699" s="198" t="s">
        <v>511</v>
      </c>
      <c r="D699" s="85" t="s">
        <v>510</v>
      </c>
      <c r="E699" s="65" t="s">
        <v>491</v>
      </c>
      <c r="F699" s="65" t="s">
        <v>107</v>
      </c>
      <c r="G699" s="89" t="s">
        <v>108</v>
      </c>
      <c r="I699" s="65">
        <v>12</v>
      </c>
      <c r="J699" s="88">
        <v>349074.07</v>
      </c>
      <c r="K699" s="67">
        <f t="shared" si="134"/>
        <v>4188888.84</v>
      </c>
      <c r="L699" s="67">
        <f t="shared" si="135"/>
        <v>335111.10719999997</v>
      </c>
      <c r="M699" s="203">
        <f t="shared" si="136"/>
        <v>4523999.9472000003</v>
      </c>
      <c r="N699" s="67"/>
      <c r="O699" s="67"/>
      <c r="P699" s="67"/>
      <c r="Q699" s="10">
        <f t="shared" si="127"/>
        <v>4523999.9472000003</v>
      </c>
      <c r="R699" s="65"/>
    </row>
    <row r="700" spans="1:18" s="124" customFormat="1" ht="15.6" hidden="1" customHeight="1">
      <c r="A700" s="196" t="s">
        <v>606</v>
      </c>
      <c r="B700" s="85" t="s">
        <v>217</v>
      </c>
      <c r="C700" s="198" t="s">
        <v>511</v>
      </c>
      <c r="D700" s="85" t="s">
        <v>510</v>
      </c>
      <c r="E700" s="65" t="s">
        <v>491</v>
      </c>
      <c r="F700" s="65" t="s">
        <v>127</v>
      </c>
      <c r="G700" s="89" t="s">
        <v>128</v>
      </c>
      <c r="I700" s="65">
        <v>12</v>
      </c>
      <c r="J700" s="88">
        <v>284259.25</v>
      </c>
      <c r="K700" s="67">
        <f t="shared" si="134"/>
        <v>3411111</v>
      </c>
      <c r="L700" s="67">
        <f t="shared" si="135"/>
        <v>272888.88</v>
      </c>
      <c r="M700" s="203">
        <f t="shared" si="136"/>
        <v>3683999.88</v>
      </c>
      <c r="N700" s="67"/>
      <c r="O700" s="67"/>
      <c r="P700" s="67"/>
      <c r="Q700" s="10">
        <f t="shared" si="127"/>
        <v>3683999.88</v>
      </c>
      <c r="R700" s="65"/>
    </row>
    <row r="701" spans="1:18" s="124" customFormat="1" ht="15.6" hidden="1" customHeight="1">
      <c r="A701" s="196" t="s">
        <v>606</v>
      </c>
      <c r="B701" s="85" t="s">
        <v>217</v>
      </c>
      <c r="C701" s="198" t="s">
        <v>511</v>
      </c>
      <c r="D701" s="85" t="s">
        <v>510</v>
      </c>
      <c r="E701" s="65" t="s">
        <v>491</v>
      </c>
      <c r="F701" s="65" t="s">
        <v>219</v>
      </c>
      <c r="G701" s="89" t="s">
        <v>483</v>
      </c>
      <c r="I701" s="65">
        <v>12</v>
      </c>
      <c r="J701" s="88">
        <v>263888.89</v>
      </c>
      <c r="K701" s="67">
        <f t="shared" si="134"/>
        <v>3166666.68</v>
      </c>
      <c r="L701" s="67">
        <f t="shared" si="135"/>
        <v>253333.33440000002</v>
      </c>
      <c r="M701" s="203">
        <f t="shared" si="136"/>
        <v>3420000.0144000002</v>
      </c>
      <c r="N701" s="67"/>
      <c r="O701" s="67"/>
      <c r="P701" s="67"/>
      <c r="Q701" s="10">
        <f t="shared" si="127"/>
        <v>3420000.0144000002</v>
      </c>
      <c r="R701" s="65"/>
    </row>
    <row r="702" spans="1:18" s="124" customFormat="1" ht="15.6" hidden="1" customHeight="1">
      <c r="A702" s="196" t="s">
        <v>606</v>
      </c>
      <c r="B702" s="85" t="s">
        <v>217</v>
      </c>
      <c r="C702" s="198" t="s">
        <v>511</v>
      </c>
      <c r="D702" s="85" t="s">
        <v>510</v>
      </c>
      <c r="E702" s="65" t="s">
        <v>491</v>
      </c>
      <c r="F702" s="65" t="s">
        <v>130</v>
      </c>
      <c r="G702" s="89" t="s">
        <v>131</v>
      </c>
      <c r="I702" s="65">
        <v>12</v>
      </c>
      <c r="J702" s="88">
        <v>280555.55</v>
      </c>
      <c r="K702" s="67">
        <f t="shared" si="134"/>
        <v>3366666.5999999996</v>
      </c>
      <c r="L702" s="67">
        <f>K702*8%</f>
        <v>269333.32799999998</v>
      </c>
      <c r="M702" s="203">
        <f>K702+L702</f>
        <v>3635999.9279999994</v>
      </c>
      <c r="N702" s="67"/>
      <c r="O702" s="67"/>
      <c r="P702" s="67"/>
      <c r="Q702" s="10">
        <f t="shared" si="127"/>
        <v>3635999.9279999994</v>
      </c>
      <c r="R702" s="65"/>
    </row>
    <row r="703" spans="1:18" s="124" customFormat="1" ht="15.6" hidden="1" customHeight="1">
      <c r="A703" s="196" t="s">
        <v>606</v>
      </c>
      <c r="B703" s="85" t="s">
        <v>217</v>
      </c>
      <c r="C703" s="86" t="s">
        <v>497</v>
      </c>
      <c r="D703" s="85">
        <v>46178</v>
      </c>
      <c r="E703" s="65" t="s">
        <v>491</v>
      </c>
      <c r="F703" s="65" t="s">
        <v>83</v>
      </c>
      <c r="G703" s="89" t="s">
        <v>84</v>
      </c>
      <c r="I703" s="65">
        <v>8</v>
      </c>
      <c r="J703" s="88">
        <v>1097222.22</v>
      </c>
      <c r="K703" s="67">
        <f t="shared" si="134"/>
        <v>8777777.7599999998</v>
      </c>
      <c r="L703" s="67">
        <f t="shared" si="135"/>
        <v>702222.22080000001</v>
      </c>
      <c r="M703" s="203">
        <f t="shared" si="136"/>
        <v>9479999.9807999991</v>
      </c>
      <c r="N703" s="67"/>
      <c r="O703" s="67"/>
      <c r="P703" s="67"/>
      <c r="Q703" s="10">
        <f t="shared" si="127"/>
        <v>9479999.9807999991</v>
      </c>
      <c r="R703" s="65"/>
    </row>
    <row r="704" spans="1:18" s="124" customFormat="1" ht="15.6" hidden="1" customHeight="1">
      <c r="A704" s="196" t="s">
        <v>606</v>
      </c>
      <c r="B704" s="85" t="s">
        <v>217</v>
      </c>
      <c r="C704" s="86" t="s">
        <v>497</v>
      </c>
      <c r="D704" s="85">
        <v>46178</v>
      </c>
      <c r="E704" s="65" t="s">
        <v>491</v>
      </c>
      <c r="F704" s="65" t="s">
        <v>74</v>
      </c>
      <c r="G704" s="89" t="s">
        <v>141</v>
      </c>
      <c r="I704" s="65">
        <v>16</v>
      </c>
      <c r="J704" s="88">
        <v>361111.11</v>
      </c>
      <c r="K704" s="67">
        <f t="shared" si="134"/>
        <v>5777777.7599999998</v>
      </c>
      <c r="L704" s="67">
        <f t="shared" si="135"/>
        <v>462222.22080000001</v>
      </c>
      <c r="M704" s="203">
        <f t="shared" si="136"/>
        <v>6239999.9808</v>
      </c>
      <c r="N704" s="67"/>
      <c r="O704" s="67"/>
      <c r="P704" s="67"/>
      <c r="Q704" s="10">
        <f t="shared" si="127"/>
        <v>6239999.9808</v>
      </c>
      <c r="R704" s="65"/>
    </row>
    <row r="705" spans="1:18" s="275" customFormat="1" ht="15.6" hidden="1" customHeight="1">
      <c r="A705" s="196" t="s">
        <v>606</v>
      </c>
      <c r="B705" s="76">
        <v>46330</v>
      </c>
      <c r="C705" s="78"/>
      <c r="D705" s="76"/>
      <c r="E705" s="78" t="s">
        <v>494</v>
      </c>
      <c r="F705" s="78"/>
      <c r="G705" s="128"/>
      <c r="I705" s="78"/>
      <c r="J705" s="80"/>
      <c r="K705" s="81"/>
      <c r="L705" s="81"/>
      <c r="M705" s="120"/>
      <c r="N705" s="81">
        <v>40000008</v>
      </c>
      <c r="O705" s="81"/>
      <c r="P705" s="81"/>
      <c r="Q705" s="10">
        <f t="shared" si="127"/>
        <v>-40000008</v>
      </c>
      <c r="R705" s="78"/>
    </row>
    <row r="706" spans="1:18" s="124" customFormat="1" ht="15.6" hidden="1" customHeight="1">
      <c r="A706" s="196" t="s">
        <v>606</v>
      </c>
      <c r="B706" s="85" t="s">
        <v>513</v>
      </c>
      <c r="C706" s="86" t="s">
        <v>497</v>
      </c>
      <c r="D706" s="85">
        <v>46178</v>
      </c>
      <c r="E706" s="65" t="s">
        <v>491</v>
      </c>
      <c r="F706" s="65" t="s">
        <v>204</v>
      </c>
      <c r="G706" s="89" t="s">
        <v>269</v>
      </c>
      <c r="I706" s="65">
        <v>10</v>
      </c>
      <c r="J706" s="88">
        <v>480555.55</v>
      </c>
      <c r="K706" s="67">
        <f t="shared" ref="K706:K721" si="137">J706*I706</f>
        <v>4805555.5</v>
      </c>
      <c r="L706" s="67">
        <f t="shared" ref="L706:L721" si="138">K706*8%</f>
        <v>384444.44</v>
      </c>
      <c r="M706" s="203">
        <f t="shared" ref="M706:M721" si="139">K706+L706</f>
        <v>5189999.9400000004</v>
      </c>
      <c r="N706" s="67"/>
      <c r="O706" s="67"/>
      <c r="P706" s="67"/>
      <c r="Q706" s="10">
        <f t="shared" si="127"/>
        <v>5189999.9400000004</v>
      </c>
      <c r="R706" s="65"/>
    </row>
    <row r="707" spans="1:18" s="124" customFormat="1" ht="15.6" hidden="1" customHeight="1">
      <c r="A707" s="196" t="s">
        <v>606</v>
      </c>
      <c r="B707" s="85" t="s">
        <v>513</v>
      </c>
      <c r="C707" s="86" t="s">
        <v>497</v>
      </c>
      <c r="D707" s="85">
        <v>46178</v>
      </c>
      <c r="E707" s="65" t="s">
        <v>491</v>
      </c>
      <c r="F707" s="65" t="s">
        <v>36</v>
      </c>
      <c r="G707" s="89" t="s">
        <v>37</v>
      </c>
      <c r="I707" s="65">
        <v>10</v>
      </c>
      <c r="J707" s="88">
        <v>259259.26</v>
      </c>
      <c r="K707" s="67">
        <f t="shared" si="137"/>
        <v>2592592.6</v>
      </c>
      <c r="L707" s="67">
        <f t="shared" si="138"/>
        <v>207407.40800000002</v>
      </c>
      <c r="M707" s="203">
        <f t="shared" si="139"/>
        <v>2800000.0079999999</v>
      </c>
      <c r="N707" s="67"/>
      <c r="O707" s="67"/>
      <c r="P707" s="67"/>
      <c r="Q707" s="10">
        <f t="shared" si="127"/>
        <v>2800000.0079999999</v>
      </c>
      <c r="R707" s="65"/>
    </row>
    <row r="708" spans="1:18" s="124" customFormat="1" ht="15.6" hidden="1" customHeight="1">
      <c r="A708" s="196" t="s">
        <v>606</v>
      </c>
      <c r="B708" s="85" t="s">
        <v>513</v>
      </c>
      <c r="C708" s="86" t="s">
        <v>497</v>
      </c>
      <c r="D708" s="85">
        <v>46178</v>
      </c>
      <c r="E708" s="65" t="s">
        <v>491</v>
      </c>
      <c r="F708" s="65" t="s">
        <v>34</v>
      </c>
      <c r="G708" s="89" t="s">
        <v>35</v>
      </c>
      <c r="I708" s="65">
        <v>10</v>
      </c>
      <c r="J708" s="88">
        <v>240740.74</v>
      </c>
      <c r="K708" s="67">
        <f t="shared" si="137"/>
        <v>2407407.4</v>
      </c>
      <c r="L708" s="67">
        <f t="shared" si="138"/>
        <v>192592.592</v>
      </c>
      <c r="M708" s="203">
        <f t="shared" si="139"/>
        <v>2599999.9920000001</v>
      </c>
      <c r="N708" s="67"/>
      <c r="O708" s="67"/>
      <c r="P708" s="67"/>
      <c r="Q708" s="10">
        <f t="shared" ref="Q708:Q771" si="140">M708-N708-O708-P708</f>
        <v>2599999.9920000001</v>
      </c>
      <c r="R708" s="65"/>
    </row>
    <row r="709" spans="1:18" s="124" customFormat="1" ht="15.6" hidden="1" customHeight="1">
      <c r="A709" s="196" t="s">
        <v>606</v>
      </c>
      <c r="B709" s="85" t="s">
        <v>513</v>
      </c>
      <c r="C709" s="86" t="s">
        <v>497</v>
      </c>
      <c r="D709" s="85">
        <v>46178</v>
      </c>
      <c r="E709" s="65" t="s">
        <v>491</v>
      </c>
      <c r="F709" s="65" t="s">
        <v>74</v>
      </c>
      <c r="G709" s="89" t="s">
        <v>141</v>
      </c>
      <c r="I709" s="65">
        <v>8</v>
      </c>
      <c r="J709" s="88">
        <v>361111.11</v>
      </c>
      <c r="K709" s="67">
        <f t="shared" si="137"/>
        <v>2888888.88</v>
      </c>
      <c r="L709" s="67">
        <f t="shared" si="138"/>
        <v>231111.11040000001</v>
      </c>
      <c r="M709" s="203">
        <f t="shared" si="139"/>
        <v>3119999.9904</v>
      </c>
      <c r="N709" s="67"/>
      <c r="O709" s="67"/>
      <c r="P709" s="67"/>
      <c r="Q709" s="10">
        <f t="shared" si="140"/>
        <v>3119999.9904</v>
      </c>
      <c r="R709" s="65"/>
    </row>
    <row r="710" spans="1:18" s="124" customFormat="1" ht="15.6" hidden="1" customHeight="1">
      <c r="A710" s="196" t="s">
        <v>606</v>
      </c>
      <c r="B710" s="85" t="s">
        <v>513</v>
      </c>
      <c r="C710" s="86" t="s">
        <v>497</v>
      </c>
      <c r="D710" s="85">
        <v>46178</v>
      </c>
      <c r="E710" s="65" t="s">
        <v>491</v>
      </c>
      <c r="F710" s="65" t="s">
        <v>60</v>
      </c>
      <c r="G710" s="87" t="s">
        <v>61</v>
      </c>
      <c r="I710" s="65">
        <v>8</v>
      </c>
      <c r="J710" s="88">
        <v>1138888.8799999999</v>
      </c>
      <c r="K710" s="67">
        <f t="shared" si="137"/>
        <v>9111111.0399999991</v>
      </c>
      <c r="L710" s="67">
        <f t="shared" si="138"/>
        <v>728888.88319999992</v>
      </c>
      <c r="M710" s="203">
        <f t="shared" si="139"/>
        <v>9839999.9231999982</v>
      </c>
      <c r="N710" s="67"/>
      <c r="O710" s="67"/>
      <c r="P710" s="67"/>
      <c r="Q710" s="10">
        <f t="shared" si="140"/>
        <v>9839999.9231999982</v>
      </c>
      <c r="R710" s="65"/>
    </row>
    <row r="711" spans="1:18" s="124" customFormat="1" ht="15.6" hidden="1" customHeight="1">
      <c r="A711" s="196" t="s">
        <v>606</v>
      </c>
      <c r="B711" s="85" t="s">
        <v>513</v>
      </c>
      <c r="C711" s="86" t="s">
        <v>497</v>
      </c>
      <c r="D711" s="85">
        <v>46178</v>
      </c>
      <c r="E711" s="65" t="s">
        <v>491</v>
      </c>
      <c r="F711" s="65" t="s">
        <v>83</v>
      </c>
      <c r="G711" s="87" t="s">
        <v>84</v>
      </c>
      <c r="I711" s="65">
        <v>8</v>
      </c>
      <c r="J711" s="88">
        <v>1097222.22</v>
      </c>
      <c r="K711" s="67">
        <f t="shared" si="137"/>
        <v>8777777.7599999998</v>
      </c>
      <c r="L711" s="67">
        <f t="shared" si="138"/>
        <v>702222.22080000001</v>
      </c>
      <c r="M711" s="203">
        <f t="shared" si="139"/>
        <v>9479999.9807999991</v>
      </c>
      <c r="N711" s="67"/>
      <c r="O711" s="67"/>
      <c r="P711" s="67"/>
      <c r="Q711" s="10">
        <f t="shared" si="140"/>
        <v>9479999.9807999991</v>
      </c>
      <c r="R711" s="65"/>
    </row>
    <row r="712" spans="1:18" s="124" customFormat="1" ht="15.6" hidden="1" customHeight="1">
      <c r="A712" s="196" t="s">
        <v>606</v>
      </c>
      <c r="B712" s="85" t="s">
        <v>513</v>
      </c>
      <c r="C712" s="86" t="s">
        <v>497</v>
      </c>
      <c r="D712" s="85">
        <v>46178</v>
      </c>
      <c r="E712" s="65" t="s">
        <v>491</v>
      </c>
      <c r="F712" s="65" t="s">
        <v>16</v>
      </c>
      <c r="G712" s="89" t="s">
        <v>17</v>
      </c>
      <c r="I712" s="65">
        <v>8</v>
      </c>
      <c r="J712" s="88">
        <v>851851.85</v>
      </c>
      <c r="K712" s="67">
        <f t="shared" si="137"/>
        <v>6814814.7999999998</v>
      </c>
      <c r="L712" s="67">
        <f t="shared" si="138"/>
        <v>545185.18400000001</v>
      </c>
      <c r="M712" s="203">
        <f t="shared" si="139"/>
        <v>7359999.9840000002</v>
      </c>
      <c r="N712" s="67"/>
      <c r="O712" s="67"/>
      <c r="P712" s="67"/>
      <c r="Q712" s="10">
        <f t="shared" si="140"/>
        <v>7359999.9840000002</v>
      </c>
      <c r="R712" s="65"/>
    </row>
    <row r="713" spans="1:18" s="124" customFormat="1" ht="15.6" hidden="1" customHeight="1">
      <c r="A713" s="196" t="s">
        <v>606</v>
      </c>
      <c r="B713" s="85" t="s">
        <v>514</v>
      </c>
      <c r="C713" s="86" t="s">
        <v>515</v>
      </c>
      <c r="D713" s="85" t="s">
        <v>514</v>
      </c>
      <c r="E713" s="65" t="s">
        <v>516</v>
      </c>
      <c r="F713" s="65" t="s">
        <v>208</v>
      </c>
      <c r="G713" s="87" t="s">
        <v>209</v>
      </c>
      <c r="I713" s="199">
        <v>-6</v>
      </c>
      <c r="J713" s="88">
        <v>647222.22</v>
      </c>
      <c r="K713" s="93">
        <f t="shared" si="137"/>
        <v>-3883333.32</v>
      </c>
      <c r="L713" s="93">
        <f t="shared" si="138"/>
        <v>-310666.66560000001</v>
      </c>
      <c r="M713" s="203">
        <f>K713+L713</f>
        <v>-4193999.9855999998</v>
      </c>
      <c r="N713" s="67"/>
      <c r="O713" s="67"/>
      <c r="P713" s="67"/>
      <c r="Q713" s="10">
        <f t="shared" si="140"/>
        <v>-4193999.9855999998</v>
      </c>
      <c r="R713" s="65"/>
    </row>
    <row r="714" spans="1:18" s="124" customFormat="1" ht="15.6" hidden="1" customHeight="1">
      <c r="A714" s="196" t="s">
        <v>606</v>
      </c>
      <c r="B714" s="85" t="s">
        <v>514</v>
      </c>
      <c r="C714" s="86" t="s">
        <v>517</v>
      </c>
      <c r="D714" s="85" t="s">
        <v>514</v>
      </c>
      <c r="E714" s="65" t="s">
        <v>516</v>
      </c>
      <c r="F714" s="65" t="s">
        <v>444</v>
      </c>
      <c r="G714" s="89" t="s">
        <v>445</v>
      </c>
      <c r="I714" s="199">
        <v>-4</v>
      </c>
      <c r="J714" s="88">
        <v>601852.18999999994</v>
      </c>
      <c r="K714" s="93">
        <f t="shared" si="137"/>
        <v>-2407408.7599999998</v>
      </c>
      <c r="L714" s="93">
        <f t="shared" si="138"/>
        <v>-192592.70079999999</v>
      </c>
      <c r="M714" s="203">
        <f t="shared" ref="M714" si="141">K714+L714</f>
        <v>-2600001.4607999995</v>
      </c>
      <c r="N714" s="67"/>
      <c r="O714" s="67"/>
      <c r="P714" s="67"/>
      <c r="Q714" s="10">
        <f t="shared" si="140"/>
        <v>-2600001.4607999995</v>
      </c>
      <c r="R714" s="65"/>
    </row>
    <row r="715" spans="1:18" s="124" customFormat="1" ht="15.6" hidden="1" customHeight="1">
      <c r="A715" s="196" t="s">
        <v>606</v>
      </c>
      <c r="B715" s="85" t="s">
        <v>514</v>
      </c>
      <c r="C715" s="86" t="s">
        <v>518</v>
      </c>
      <c r="D715" s="85" t="s">
        <v>514</v>
      </c>
      <c r="E715" s="65" t="s">
        <v>516</v>
      </c>
      <c r="F715" s="65" t="s">
        <v>130</v>
      </c>
      <c r="G715" s="89" t="s">
        <v>131</v>
      </c>
      <c r="I715" s="199">
        <v>-12</v>
      </c>
      <c r="J715" s="88">
        <v>280555.55</v>
      </c>
      <c r="K715" s="93">
        <f t="shared" si="137"/>
        <v>-3366666.5999999996</v>
      </c>
      <c r="L715" s="93">
        <f>K715*8%</f>
        <v>-269333.32799999998</v>
      </c>
      <c r="M715" s="203">
        <f>K715+L715</f>
        <v>-3635999.9279999994</v>
      </c>
      <c r="N715" s="67"/>
      <c r="O715" s="67"/>
      <c r="P715" s="67"/>
      <c r="Q715" s="10">
        <f t="shared" si="140"/>
        <v>-3635999.9279999994</v>
      </c>
      <c r="R715" s="65"/>
    </row>
    <row r="716" spans="1:18" s="124" customFormat="1" ht="15.6" hidden="1" customHeight="1">
      <c r="A716" s="196" t="s">
        <v>606</v>
      </c>
      <c r="B716" s="85">
        <v>46147</v>
      </c>
      <c r="C716" s="86" t="s">
        <v>519</v>
      </c>
      <c r="D716" s="85">
        <v>46331</v>
      </c>
      <c r="E716" s="65" t="s">
        <v>491</v>
      </c>
      <c r="F716" s="65" t="s">
        <v>77</v>
      </c>
      <c r="G716" s="87" t="s">
        <v>78</v>
      </c>
      <c r="I716" s="65">
        <v>20</v>
      </c>
      <c r="J716" s="88">
        <v>324074.07</v>
      </c>
      <c r="K716" s="67">
        <f t="shared" si="137"/>
        <v>6481481.4000000004</v>
      </c>
      <c r="L716" s="67">
        <f t="shared" si="138"/>
        <v>518518.51200000005</v>
      </c>
      <c r="M716" s="203">
        <f t="shared" si="139"/>
        <v>6999999.9120000005</v>
      </c>
      <c r="N716" s="67"/>
      <c r="O716" s="67"/>
      <c r="P716" s="67"/>
      <c r="Q716" s="10">
        <f t="shared" si="140"/>
        <v>6999999.9120000005</v>
      </c>
      <c r="R716" s="65"/>
    </row>
    <row r="717" spans="1:18" s="124" customFormat="1" ht="15.6" hidden="1" customHeight="1">
      <c r="A717" s="196" t="s">
        <v>606</v>
      </c>
      <c r="B717" s="85">
        <v>46147</v>
      </c>
      <c r="C717" s="86" t="s">
        <v>519</v>
      </c>
      <c r="D717" s="85">
        <v>46331</v>
      </c>
      <c r="E717" s="65" t="s">
        <v>491</v>
      </c>
      <c r="F717" s="65" t="s">
        <v>50</v>
      </c>
      <c r="G717" s="87" t="s">
        <v>51</v>
      </c>
      <c r="I717" s="65">
        <v>12</v>
      </c>
      <c r="J717" s="88">
        <v>937962.96</v>
      </c>
      <c r="K717" s="67">
        <f t="shared" si="137"/>
        <v>11255555.52</v>
      </c>
      <c r="L717" s="67">
        <f t="shared" si="138"/>
        <v>900444.44160000002</v>
      </c>
      <c r="M717" s="203">
        <f t="shared" si="139"/>
        <v>12155999.9616</v>
      </c>
      <c r="N717" s="67"/>
      <c r="O717" s="67"/>
      <c r="P717" s="67"/>
      <c r="Q717" s="10">
        <f t="shared" si="140"/>
        <v>12155999.9616</v>
      </c>
      <c r="R717" s="65"/>
    </row>
    <row r="718" spans="1:18" s="124" customFormat="1" ht="15.6" hidden="1" customHeight="1">
      <c r="A718" s="196" t="s">
        <v>606</v>
      </c>
      <c r="B718" s="85">
        <v>46147</v>
      </c>
      <c r="C718" s="86" t="s">
        <v>519</v>
      </c>
      <c r="D718" s="85">
        <v>46331</v>
      </c>
      <c r="E718" s="65" t="s">
        <v>491</v>
      </c>
      <c r="F718" s="65" t="s">
        <v>262</v>
      </c>
      <c r="G718" s="87" t="s">
        <v>263</v>
      </c>
      <c r="I718" s="65">
        <v>4</v>
      </c>
      <c r="J718" s="88">
        <v>851851.85</v>
      </c>
      <c r="K718" s="67">
        <f t="shared" si="137"/>
        <v>3407407.4</v>
      </c>
      <c r="L718" s="67">
        <f t="shared" si="138"/>
        <v>272592.592</v>
      </c>
      <c r="M718" s="203">
        <f t="shared" si="139"/>
        <v>3679999.9920000001</v>
      </c>
      <c r="N718" s="67"/>
      <c r="O718" s="67"/>
      <c r="P718" s="67"/>
      <c r="Q718" s="10">
        <f t="shared" si="140"/>
        <v>3679999.9920000001</v>
      </c>
      <c r="R718" s="65"/>
    </row>
    <row r="719" spans="1:18" s="124" customFormat="1" ht="15.6" hidden="1" customHeight="1">
      <c r="A719" s="196" t="s">
        <v>606</v>
      </c>
      <c r="B719" s="85">
        <v>46147</v>
      </c>
      <c r="C719" s="86" t="s">
        <v>519</v>
      </c>
      <c r="D719" s="85">
        <v>46331</v>
      </c>
      <c r="E719" s="65" t="s">
        <v>491</v>
      </c>
      <c r="F719" s="65" t="s">
        <v>52</v>
      </c>
      <c r="G719" s="87" t="s">
        <v>53</v>
      </c>
      <c r="I719" s="65">
        <v>12</v>
      </c>
      <c r="J719" s="88">
        <v>1007407.41</v>
      </c>
      <c r="K719" s="67">
        <f t="shared" si="137"/>
        <v>12088888.92</v>
      </c>
      <c r="L719" s="67">
        <f t="shared" si="138"/>
        <v>967111.11360000004</v>
      </c>
      <c r="M719" s="203">
        <f t="shared" si="139"/>
        <v>13056000.033600001</v>
      </c>
      <c r="N719" s="67"/>
      <c r="O719" s="67"/>
      <c r="P719" s="67"/>
      <c r="Q719" s="10">
        <f t="shared" si="140"/>
        <v>13056000.033600001</v>
      </c>
      <c r="R719" s="65"/>
    </row>
    <row r="720" spans="1:18" s="124" customFormat="1" ht="15.6" hidden="1" customHeight="1">
      <c r="A720" s="196" t="s">
        <v>606</v>
      </c>
      <c r="B720" s="85">
        <v>46147</v>
      </c>
      <c r="C720" s="86" t="s">
        <v>519</v>
      </c>
      <c r="D720" s="85">
        <v>46331</v>
      </c>
      <c r="E720" s="65" t="s">
        <v>491</v>
      </c>
      <c r="F720" s="65" t="s">
        <v>23</v>
      </c>
      <c r="G720" s="87" t="s">
        <v>82</v>
      </c>
      <c r="I720" s="65">
        <v>4</v>
      </c>
      <c r="J720" s="88">
        <v>1185185.19</v>
      </c>
      <c r="K720" s="67">
        <f t="shared" si="137"/>
        <v>4740740.76</v>
      </c>
      <c r="L720" s="67">
        <f t="shared" si="138"/>
        <v>379259.26079999999</v>
      </c>
      <c r="M720" s="203">
        <f t="shared" si="139"/>
        <v>5120000.0208000001</v>
      </c>
      <c r="N720" s="67"/>
      <c r="O720" s="67"/>
      <c r="P720" s="67"/>
      <c r="Q720" s="10">
        <f t="shared" si="140"/>
        <v>5120000.0208000001</v>
      </c>
      <c r="R720" s="65"/>
    </row>
    <row r="721" spans="1:18" s="124" customFormat="1" ht="15.6" hidden="1" customHeight="1">
      <c r="A721" s="196" t="s">
        <v>606</v>
      </c>
      <c r="B721" s="85">
        <v>46147</v>
      </c>
      <c r="C721" s="86" t="s">
        <v>519</v>
      </c>
      <c r="D721" s="85">
        <v>46331</v>
      </c>
      <c r="E721" s="65" t="s">
        <v>491</v>
      </c>
      <c r="F721" s="65" t="s">
        <v>62</v>
      </c>
      <c r="G721" s="87" t="s">
        <v>63</v>
      </c>
      <c r="I721" s="65">
        <v>24</v>
      </c>
      <c r="J721" s="88">
        <v>0</v>
      </c>
      <c r="K721" s="67">
        <f t="shared" si="137"/>
        <v>0</v>
      </c>
      <c r="L721" s="67">
        <f t="shared" si="138"/>
        <v>0</v>
      </c>
      <c r="M721" s="203">
        <f t="shared" si="139"/>
        <v>0</v>
      </c>
      <c r="N721" s="67"/>
      <c r="O721" s="67"/>
      <c r="P721" s="67"/>
      <c r="Q721" s="10">
        <f t="shared" si="140"/>
        <v>0</v>
      </c>
      <c r="R721" s="65"/>
    </row>
    <row r="722" spans="1:18" s="275" customFormat="1" ht="15.6" hidden="1" customHeight="1">
      <c r="A722" s="196" t="s">
        <v>606</v>
      </c>
      <c r="B722" s="76" t="s">
        <v>520</v>
      </c>
      <c r="C722" s="78"/>
      <c r="D722" s="76"/>
      <c r="E722" s="78" t="s">
        <v>494</v>
      </c>
      <c r="F722" s="78"/>
      <c r="G722" s="128"/>
      <c r="I722" s="78"/>
      <c r="J722" s="80"/>
      <c r="K722" s="81"/>
      <c r="L722" s="81"/>
      <c r="M722" s="120"/>
      <c r="N722" s="81">
        <v>40000000</v>
      </c>
      <c r="O722" s="81"/>
      <c r="P722" s="81"/>
      <c r="Q722" s="10">
        <f t="shared" si="140"/>
        <v>-40000000</v>
      </c>
      <c r="R722" s="78"/>
    </row>
    <row r="723" spans="1:18" s="124" customFormat="1" ht="15.6" hidden="1" customHeight="1">
      <c r="A723" s="196" t="s">
        <v>606</v>
      </c>
      <c r="B723" s="85">
        <v>46271</v>
      </c>
      <c r="C723" s="86" t="s">
        <v>521</v>
      </c>
      <c r="D723" s="85">
        <v>46332</v>
      </c>
      <c r="E723" s="65" t="s">
        <v>491</v>
      </c>
      <c r="F723" s="43" t="s">
        <v>204</v>
      </c>
      <c r="G723" s="72" t="s">
        <v>269</v>
      </c>
      <c r="I723" s="43">
        <v>10</v>
      </c>
      <c r="J723" s="73">
        <v>480555.56</v>
      </c>
      <c r="K723" s="45">
        <f t="shared" ref="K723:K731" si="142">J723*I723</f>
        <v>4805555.5999999996</v>
      </c>
      <c r="L723" s="45">
        <f t="shared" ref="L723:L735" si="143">K723*8%</f>
        <v>384444.44799999997</v>
      </c>
      <c r="M723" s="256">
        <f t="shared" ref="M723:M735" si="144">K723+L723</f>
        <v>5190000.0479999995</v>
      </c>
      <c r="N723" s="67"/>
      <c r="O723" s="67"/>
      <c r="P723" s="67"/>
      <c r="Q723" s="10">
        <f t="shared" si="140"/>
        <v>5190000.0479999995</v>
      </c>
      <c r="R723" s="65"/>
    </row>
    <row r="724" spans="1:18" s="124" customFormat="1" ht="15.6" hidden="1" customHeight="1">
      <c r="A724" s="196" t="s">
        <v>606</v>
      </c>
      <c r="B724" s="85">
        <v>46271</v>
      </c>
      <c r="C724" s="86" t="s">
        <v>521</v>
      </c>
      <c r="D724" s="85">
        <v>46332</v>
      </c>
      <c r="E724" s="65" t="s">
        <v>491</v>
      </c>
      <c r="F724" s="43" t="s">
        <v>507</v>
      </c>
      <c r="G724" s="72" t="s">
        <v>320</v>
      </c>
      <c r="I724" s="43">
        <v>40</v>
      </c>
      <c r="J724" s="73">
        <v>324074.07</v>
      </c>
      <c r="K724" s="45">
        <f t="shared" si="142"/>
        <v>12962962.800000001</v>
      </c>
      <c r="L724" s="45">
        <f t="shared" si="143"/>
        <v>1037037.0240000001</v>
      </c>
      <c r="M724" s="256">
        <f t="shared" si="144"/>
        <v>13999999.824000001</v>
      </c>
      <c r="N724" s="67"/>
      <c r="O724" s="67"/>
      <c r="P724" s="67"/>
      <c r="Q724" s="10">
        <f t="shared" si="140"/>
        <v>13999999.824000001</v>
      </c>
      <c r="R724" s="65"/>
    </row>
    <row r="725" spans="1:18" s="124" customFormat="1" ht="15.6" hidden="1" customHeight="1">
      <c r="A725" s="196" t="s">
        <v>606</v>
      </c>
      <c r="B725" s="85">
        <v>46271</v>
      </c>
      <c r="C725" s="86" t="s">
        <v>521</v>
      </c>
      <c r="D725" s="85">
        <v>46332</v>
      </c>
      <c r="E725" s="65" t="s">
        <v>491</v>
      </c>
      <c r="F725" s="65" t="s">
        <v>355</v>
      </c>
      <c r="G725" s="87" t="s">
        <v>522</v>
      </c>
      <c r="I725" s="65">
        <v>4</v>
      </c>
      <c r="J725" s="88">
        <v>1043518.52</v>
      </c>
      <c r="K725" s="45">
        <f t="shared" si="142"/>
        <v>4174074.08</v>
      </c>
      <c r="L725" s="45">
        <f t="shared" si="143"/>
        <v>333925.9264</v>
      </c>
      <c r="M725" s="256">
        <f t="shared" si="144"/>
        <v>4508000.0064000003</v>
      </c>
      <c r="N725" s="67"/>
      <c r="O725" s="67"/>
      <c r="P725" s="67"/>
      <c r="Q725" s="10">
        <f t="shared" si="140"/>
        <v>4508000.0064000003</v>
      </c>
      <c r="R725" s="65"/>
    </row>
    <row r="726" spans="1:18" s="124" customFormat="1" ht="15.6" hidden="1" customHeight="1">
      <c r="A726" s="196" t="s">
        <v>606</v>
      </c>
      <c r="B726" s="85">
        <v>46271</v>
      </c>
      <c r="C726" s="86" t="s">
        <v>521</v>
      </c>
      <c r="D726" s="85">
        <v>46332</v>
      </c>
      <c r="E726" s="65" t="s">
        <v>491</v>
      </c>
      <c r="F726" s="65" t="s">
        <v>262</v>
      </c>
      <c r="G726" s="87" t="s">
        <v>263</v>
      </c>
      <c r="I726" s="65">
        <v>10</v>
      </c>
      <c r="J726" s="88">
        <v>851851.85</v>
      </c>
      <c r="K726" s="45">
        <f t="shared" si="142"/>
        <v>8518518.5</v>
      </c>
      <c r="L726" s="45">
        <f t="shared" si="143"/>
        <v>681481.48</v>
      </c>
      <c r="M726" s="256">
        <f t="shared" si="144"/>
        <v>9199999.9800000004</v>
      </c>
      <c r="N726" s="67"/>
      <c r="O726" s="67"/>
      <c r="P726" s="67"/>
      <c r="Q726" s="10">
        <f t="shared" si="140"/>
        <v>9199999.9800000004</v>
      </c>
      <c r="R726" s="65"/>
    </row>
    <row r="727" spans="1:18" s="124" customFormat="1" ht="15.6" hidden="1" customHeight="1">
      <c r="A727" s="196" t="s">
        <v>606</v>
      </c>
      <c r="B727" s="85">
        <v>46271</v>
      </c>
      <c r="C727" s="86" t="s">
        <v>521</v>
      </c>
      <c r="D727" s="85">
        <v>46332</v>
      </c>
      <c r="E727" s="65" t="s">
        <v>491</v>
      </c>
      <c r="F727" s="43" t="s">
        <v>26</v>
      </c>
      <c r="G727" s="72" t="s">
        <v>27</v>
      </c>
      <c r="I727" s="65">
        <v>10</v>
      </c>
      <c r="J727" s="88">
        <v>256481.48</v>
      </c>
      <c r="K727" s="45">
        <f t="shared" si="142"/>
        <v>2564814.8000000003</v>
      </c>
      <c r="L727" s="45">
        <f t="shared" si="143"/>
        <v>205185.18400000004</v>
      </c>
      <c r="M727" s="256">
        <f t="shared" si="144"/>
        <v>2769999.9840000002</v>
      </c>
      <c r="N727" s="67"/>
      <c r="O727" s="67"/>
      <c r="P727" s="67"/>
      <c r="Q727" s="10">
        <f t="shared" si="140"/>
        <v>2769999.9840000002</v>
      </c>
      <c r="R727" s="65"/>
    </row>
    <row r="728" spans="1:18" s="124" customFormat="1" ht="15.6" hidden="1" customHeight="1">
      <c r="A728" s="196" t="s">
        <v>606</v>
      </c>
      <c r="B728" s="85">
        <v>46271</v>
      </c>
      <c r="C728" s="86" t="s">
        <v>521</v>
      </c>
      <c r="D728" s="85">
        <v>46332</v>
      </c>
      <c r="E728" s="65" t="s">
        <v>491</v>
      </c>
      <c r="F728" s="43" t="s">
        <v>28</v>
      </c>
      <c r="G728" s="72" t="s">
        <v>29</v>
      </c>
      <c r="I728" s="65">
        <v>10</v>
      </c>
      <c r="J728" s="88">
        <v>281481.48</v>
      </c>
      <c r="K728" s="45">
        <f t="shared" si="142"/>
        <v>2814814.8</v>
      </c>
      <c r="L728" s="45">
        <f t="shared" si="143"/>
        <v>225185.18399999998</v>
      </c>
      <c r="M728" s="256">
        <f t="shared" si="144"/>
        <v>3039999.9839999997</v>
      </c>
      <c r="N728" s="67"/>
      <c r="O728" s="67"/>
      <c r="P728" s="67"/>
      <c r="Q728" s="10">
        <f t="shared" si="140"/>
        <v>3039999.9839999997</v>
      </c>
      <c r="R728" s="65"/>
    </row>
    <row r="729" spans="1:18" s="124" customFormat="1" ht="15.6" hidden="1" customHeight="1">
      <c r="A729" s="196" t="s">
        <v>606</v>
      </c>
      <c r="B729" s="85">
        <v>46271</v>
      </c>
      <c r="C729" s="86" t="s">
        <v>521</v>
      </c>
      <c r="D729" s="85">
        <v>46332</v>
      </c>
      <c r="E729" s="65" t="s">
        <v>491</v>
      </c>
      <c r="F729" s="43" t="s">
        <v>243</v>
      </c>
      <c r="G729" s="72" t="s">
        <v>357</v>
      </c>
      <c r="I729" s="65">
        <v>10</v>
      </c>
      <c r="J729" s="88">
        <v>298148.15000000002</v>
      </c>
      <c r="K729" s="45">
        <f t="shared" si="142"/>
        <v>2981481.5</v>
      </c>
      <c r="L729" s="45">
        <f t="shared" si="143"/>
        <v>238518.52000000002</v>
      </c>
      <c r="M729" s="256">
        <f t="shared" si="144"/>
        <v>3220000.02</v>
      </c>
      <c r="N729" s="67"/>
      <c r="O729" s="67"/>
      <c r="P729" s="67"/>
      <c r="Q729" s="10">
        <f t="shared" si="140"/>
        <v>3220000.02</v>
      </c>
      <c r="R729" s="65"/>
    </row>
    <row r="730" spans="1:18" s="124" customFormat="1" ht="15.6" hidden="1" customHeight="1">
      <c r="A730" s="196" t="s">
        <v>606</v>
      </c>
      <c r="B730" s="85">
        <v>46271</v>
      </c>
      <c r="C730" s="86" t="s">
        <v>521</v>
      </c>
      <c r="D730" s="85">
        <v>46332</v>
      </c>
      <c r="E730" s="65" t="s">
        <v>491</v>
      </c>
      <c r="F730" s="65" t="s">
        <v>74</v>
      </c>
      <c r="G730" s="89" t="s">
        <v>141</v>
      </c>
      <c r="I730" s="65">
        <v>24</v>
      </c>
      <c r="J730" s="88">
        <v>361111.11</v>
      </c>
      <c r="K730" s="45">
        <f t="shared" si="142"/>
        <v>8666666.6400000006</v>
      </c>
      <c r="L730" s="45">
        <f t="shared" si="143"/>
        <v>693333.33120000002</v>
      </c>
      <c r="M730" s="256">
        <f t="shared" si="144"/>
        <v>9359999.9712000005</v>
      </c>
      <c r="N730" s="67"/>
      <c r="O730" s="67"/>
      <c r="P730" s="67"/>
      <c r="Q730" s="10">
        <f t="shared" si="140"/>
        <v>9359999.9712000005</v>
      </c>
      <c r="R730" s="65"/>
    </row>
    <row r="731" spans="1:18" s="124" customFormat="1" ht="15.6" hidden="1" customHeight="1">
      <c r="A731" s="196" t="s">
        <v>606</v>
      </c>
      <c r="B731" s="85">
        <v>46271</v>
      </c>
      <c r="C731" s="100" t="s">
        <v>335</v>
      </c>
      <c r="D731" s="85"/>
      <c r="E731" s="65" t="s">
        <v>491</v>
      </c>
      <c r="F731" s="94" t="s">
        <v>85</v>
      </c>
      <c r="G731" s="95" t="s">
        <v>86</v>
      </c>
      <c r="I731" s="94">
        <v>100</v>
      </c>
      <c r="J731" s="127">
        <v>509259.26</v>
      </c>
      <c r="K731" s="98">
        <f t="shared" si="142"/>
        <v>50925926</v>
      </c>
      <c r="L731" s="98">
        <f t="shared" si="143"/>
        <v>4074074.08</v>
      </c>
      <c r="M731" s="257">
        <f t="shared" si="144"/>
        <v>55000000.079999998</v>
      </c>
      <c r="N731" s="67"/>
      <c r="O731" s="67"/>
      <c r="P731" s="67"/>
      <c r="Q731" s="10">
        <f t="shared" si="140"/>
        <v>55000000.079999998</v>
      </c>
      <c r="R731" s="65"/>
    </row>
    <row r="732" spans="1:18" s="124" customFormat="1" ht="15.6" hidden="1" customHeight="1">
      <c r="A732" s="196" t="s">
        <v>606</v>
      </c>
      <c r="B732" s="85" t="s">
        <v>87</v>
      </c>
      <c r="C732" s="100" t="s">
        <v>335</v>
      </c>
      <c r="D732" s="85"/>
      <c r="E732" s="65" t="s">
        <v>491</v>
      </c>
      <c r="F732" s="65" t="s">
        <v>90</v>
      </c>
      <c r="G732" s="89" t="s">
        <v>91</v>
      </c>
      <c r="I732" s="67">
        <v>10</v>
      </c>
      <c r="J732" s="93">
        <v>814814.81</v>
      </c>
      <c r="K732" s="93">
        <f t="shared" ref="K732:K735" si="145">I732*J732</f>
        <v>8148148.1000000006</v>
      </c>
      <c r="L732" s="93">
        <f t="shared" si="143"/>
        <v>651851.84800000011</v>
      </c>
      <c r="M732" s="203">
        <f>K732+L732</f>
        <v>8799999.9480000008</v>
      </c>
      <c r="N732" s="93"/>
      <c r="O732" s="93"/>
      <c r="P732" s="93"/>
      <c r="Q732" s="10">
        <f t="shared" si="140"/>
        <v>8799999.9480000008</v>
      </c>
      <c r="R732" s="65"/>
    </row>
    <row r="733" spans="1:18" s="124" customFormat="1" ht="15.6" hidden="1" customHeight="1">
      <c r="A733" s="196" t="s">
        <v>606</v>
      </c>
      <c r="B733" s="85" t="s">
        <v>87</v>
      </c>
      <c r="C733" s="100" t="s">
        <v>335</v>
      </c>
      <c r="D733" s="85"/>
      <c r="E733" s="65" t="s">
        <v>491</v>
      </c>
      <c r="F733" s="65" t="s">
        <v>93</v>
      </c>
      <c r="G733" s="89" t="s">
        <v>94</v>
      </c>
      <c r="I733" s="67">
        <v>10</v>
      </c>
      <c r="J733" s="93">
        <v>907407.41</v>
      </c>
      <c r="K733" s="93">
        <f t="shared" si="145"/>
        <v>9074074.0999999996</v>
      </c>
      <c r="L733" s="93">
        <f t="shared" si="143"/>
        <v>725925.92799999996</v>
      </c>
      <c r="M733" s="203">
        <f t="shared" si="144"/>
        <v>9800000.027999999</v>
      </c>
      <c r="N733" s="93"/>
      <c r="O733" s="93"/>
      <c r="P733" s="93"/>
      <c r="Q733" s="10">
        <f t="shared" si="140"/>
        <v>9800000.027999999</v>
      </c>
      <c r="R733" s="65"/>
    </row>
    <row r="734" spans="1:18" s="124" customFormat="1" ht="15.6" hidden="1" customHeight="1">
      <c r="A734" s="196" t="s">
        <v>606</v>
      </c>
      <c r="B734" s="85" t="s">
        <v>336</v>
      </c>
      <c r="C734" s="100" t="s">
        <v>335</v>
      </c>
      <c r="D734" s="85"/>
      <c r="E734" s="65" t="s">
        <v>491</v>
      </c>
      <c r="F734" s="94" t="s">
        <v>96</v>
      </c>
      <c r="G734" s="95" t="s">
        <v>97</v>
      </c>
      <c r="I734" s="127">
        <v>10</v>
      </c>
      <c r="J734" s="98">
        <v>574074.06999999995</v>
      </c>
      <c r="K734" s="98">
        <f t="shared" si="145"/>
        <v>5740740.6999999993</v>
      </c>
      <c r="L734" s="98">
        <f t="shared" si="143"/>
        <v>459259.25599999994</v>
      </c>
      <c r="M734" s="257">
        <f t="shared" si="144"/>
        <v>6199999.9559999993</v>
      </c>
      <c r="N734" s="93"/>
      <c r="O734" s="93"/>
      <c r="P734" s="93"/>
      <c r="Q734" s="10">
        <f t="shared" si="140"/>
        <v>6199999.9559999993</v>
      </c>
      <c r="R734" s="65"/>
    </row>
    <row r="735" spans="1:18" s="124" customFormat="1" ht="15.6" hidden="1" customHeight="1">
      <c r="A735" s="196" t="s">
        <v>606</v>
      </c>
      <c r="B735" s="85" t="s">
        <v>336</v>
      </c>
      <c r="C735" s="100" t="s">
        <v>335</v>
      </c>
      <c r="D735" s="85"/>
      <c r="E735" s="65" t="s">
        <v>491</v>
      </c>
      <c r="F735" s="65" t="s">
        <v>90</v>
      </c>
      <c r="G735" s="89" t="s">
        <v>91</v>
      </c>
      <c r="I735" s="67">
        <v>20</v>
      </c>
      <c r="J735" s="93">
        <v>814814.81</v>
      </c>
      <c r="K735" s="93">
        <f t="shared" si="145"/>
        <v>16296296.200000001</v>
      </c>
      <c r="L735" s="93">
        <f t="shared" si="143"/>
        <v>1303703.6960000002</v>
      </c>
      <c r="M735" s="203">
        <f t="shared" si="144"/>
        <v>17599999.896000002</v>
      </c>
      <c r="N735" s="93"/>
      <c r="O735" s="93"/>
      <c r="P735" s="93"/>
      <c r="Q735" s="10">
        <f t="shared" si="140"/>
        <v>17599999.896000002</v>
      </c>
      <c r="R735" s="65"/>
    </row>
    <row r="736" spans="1:18" s="124" customFormat="1" ht="15.6" hidden="1" customHeight="1">
      <c r="A736" s="196" t="s">
        <v>606</v>
      </c>
      <c r="B736" s="85" t="s">
        <v>336</v>
      </c>
      <c r="C736" s="86" t="s">
        <v>523</v>
      </c>
      <c r="D736" s="85">
        <v>46029</v>
      </c>
      <c r="E736" s="65" t="s">
        <v>491</v>
      </c>
      <c r="F736" s="94" t="s">
        <v>98</v>
      </c>
      <c r="G736" s="95" t="s">
        <v>251</v>
      </c>
      <c r="I736" s="127">
        <v>30</v>
      </c>
      <c r="J736" s="98">
        <v>694444.44</v>
      </c>
      <c r="K736" s="98">
        <f>I736*J736</f>
        <v>20833333.199999999</v>
      </c>
      <c r="L736" s="98">
        <f>K736*8%</f>
        <v>1666666.656</v>
      </c>
      <c r="M736" s="257">
        <f>K736+L736</f>
        <v>22499999.855999999</v>
      </c>
      <c r="N736" s="93"/>
      <c r="O736" s="93"/>
      <c r="P736" s="93"/>
      <c r="Q736" s="10">
        <f t="shared" si="140"/>
        <v>22499999.855999999</v>
      </c>
      <c r="R736" s="65"/>
    </row>
    <row r="737" spans="1:18" s="275" customFormat="1" ht="15.6" hidden="1" customHeight="1">
      <c r="A737" s="196" t="s">
        <v>606</v>
      </c>
      <c r="B737" s="76" t="s">
        <v>524</v>
      </c>
      <c r="C737" s="78"/>
      <c r="D737" s="76"/>
      <c r="E737" s="78" t="s">
        <v>494</v>
      </c>
      <c r="F737" s="78"/>
      <c r="G737" s="128"/>
      <c r="I737" s="78"/>
      <c r="J737" s="80"/>
      <c r="K737" s="81"/>
      <c r="L737" s="81"/>
      <c r="M737" s="120"/>
      <c r="N737" s="81">
        <v>50000000</v>
      </c>
      <c r="O737" s="81"/>
      <c r="P737" s="81"/>
      <c r="Q737" s="10">
        <f t="shared" si="140"/>
        <v>-50000000</v>
      </c>
      <c r="R737" s="78"/>
    </row>
    <row r="738" spans="1:18" s="124" customFormat="1" ht="15.6" hidden="1" customHeight="1">
      <c r="A738" s="196" t="s">
        <v>606</v>
      </c>
      <c r="B738" s="85" t="s">
        <v>159</v>
      </c>
      <c r="C738" s="86" t="s">
        <v>523</v>
      </c>
      <c r="D738" s="85">
        <v>46029</v>
      </c>
      <c r="E738" s="65" t="s">
        <v>491</v>
      </c>
      <c r="F738" s="94" t="s">
        <v>161</v>
      </c>
      <c r="G738" s="95" t="s">
        <v>162</v>
      </c>
      <c r="I738" s="200">
        <v>18</v>
      </c>
      <c r="J738" s="201">
        <v>231481.48</v>
      </c>
      <c r="K738" s="201">
        <f t="shared" ref="K738:K742" si="146">I738*J738</f>
        <v>4166666.64</v>
      </c>
      <c r="L738" s="201">
        <f t="shared" ref="L738:L759" si="147">K738*8%</f>
        <v>333333.33120000002</v>
      </c>
      <c r="M738" s="264">
        <f t="shared" ref="M738:M759" si="148">K738+L738</f>
        <v>4499999.9712000005</v>
      </c>
      <c r="N738" s="67"/>
      <c r="O738" s="67"/>
      <c r="P738" s="67"/>
      <c r="Q738" s="10">
        <f t="shared" si="140"/>
        <v>4499999.9712000005</v>
      </c>
      <c r="R738" s="65"/>
    </row>
    <row r="739" spans="1:18" s="124" customFormat="1" ht="15.6" hidden="1" customHeight="1">
      <c r="A739" s="196" t="s">
        <v>606</v>
      </c>
      <c r="B739" s="85" t="s">
        <v>159</v>
      </c>
      <c r="C739" s="86" t="s">
        <v>523</v>
      </c>
      <c r="D739" s="85">
        <v>46029</v>
      </c>
      <c r="E739" s="65" t="s">
        <v>491</v>
      </c>
      <c r="F739" s="94" t="s">
        <v>165</v>
      </c>
      <c r="G739" s="95" t="s">
        <v>409</v>
      </c>
      <c r="I739" s="200">
        <v>60</v>
      </c>
      <c r="J739" s="201">
        <v>203703.7</v>
      </c>
      <c r="K739" s="201">
        <f>I739*J739</f>
        <v>12222222</v>
      </c>
      <c r="L739" s="201">
        <f>K739*8%</f>
        <v>977777.76</v>
      </c>
      <c r="M739" s="264">
        <f>K739+L739</f>
        <v>13199999.76</v>
      </c>
      <c r="N739" s="67"/>
      <c r="O739" s="67"/>
      <c r="P739" s="67"/>
      <c r="Q739" s="10">
        <f t="shared" si="140"/>
        <v>13199999.76</v>
      </c>
      <c r="R739" s="65"/>
    </row>
    <row r="740" spans="1:18" s="124" customFormat="1" ht="15.6" hidden="1" customHeight="1">
      <c r="A740" s="196" t="s">
        <v>606</v>
      </c>
      <c r="B740" s="85" t="s">
        <v>159</v>
      </c>
      <c r="C740" s="86" t="s">
        <v>523</v>
      </c>
      <c r="D740" s="85">
        <v>46029</v>
      </c>
      <c r="E740" s="65" t="s">
        <v>491</v>
      </c>
      <c r="F740" s="94" t="s">
        <v>167</v>
      </c>
      <c r="G740" s="95" t="s">
        <v>410</v>
      </c>
      <c r="I740" s="200">
        <v>30</v>
      </c>
      <c r="J740" s="201">
        <v>231481.48</v>
      </c>
      <c r="K740" s="201">
        <f>I740*J740</f>
        <v>6944444.4000000004</v>
      </c>
      <c r="L740" s="201">
        <f>K740*8%</f>
        <v>555555.55200000003</v>
      </c>
      <c r="M740" s="264">
        <f>K740+L740</f>
        <v>7499999.9520000005</v>
      </c>
      <c r="N740" s="67"/>
      <c r="O740" s="67"/>
      <c r="P740" s="67"/>
      <c r="Q740" s="10">
        <f t="shared" si="140"/>
        <v>7499999.9520000005</v>
      </c>
      <c r="R740" s="65"/>
    </row>
    <row r="741" spans="1:18" s="124" customFormat="1" ht="15.6" hidden="1" customHeight="1">
      <c r="A741" s="196" t="s">
        <v>606</v>
      </c>
      <c r="B741" s="85" t="s">
        <v>159</v>
      </c>
      <c r="C741" s="100" t="s">
        <v>335</v>
      </c>
      <c r="D741" s="85"/>
      <c r="E741" s="65" t="s">
        <v>491</v>
      </c>
      <c r="F741" s="94" t="s">
        <v>163</v>
      </c>
      <c r="G741" s="95" t="s">
        <v>164</v>
      </c>
      <c r="I741" s="200">
        <v>20</v>
      </c>
      <c r="J741" s="201">
        <v>231481.48</v>
      </c>
      <c r="K741" s="201">
        <f t="shared" si="146"/>
        <v>4629629.6000000006</v>
      </c>
      <c r="L741" s="201">
        <f t="shared" si="147"/>
        <v>370370.36800000007</v>
      </c>
      <c r="M741" s="264">
        <f t="shared" si="148"/>
        <v>4999999.9680000003</v>
      </c>
      <c r="N741" s="67"/>
      <c r="O741" s="67"/>
      <c r="P741" s="67"/>
      <c r="Q741" s="10">
        <f t="shared" si="140"/>
        <v>4999999.9680000003</v>
      </c>
      <c r="R741" s="65"/>
    </row>
    <row r="742" spans="1:18" s="124" customFormat="1" ht="15.6" hidden="1" customHeight="1">
      <c r="A742" s="196" t="s">
        <v>606</v>
      </c>
      <c r="B742" s="85" t="s">
        <v>159</v>
      </c>
      <c r="C742" s="100" t="s">
        <v>335</v>
      </c>
      <c r="D742" s="85"/>
      <c r="E742" s="65" t="s">
        <v>491</v>
      </c>
      <c r="F742" s="94" t="s">
        <v>169</v>
      </c>
      <c r="G742" s="95" t="s">
        <v>170</v>
      </c>
      <c r="I742" s="200">
        <v>20</v>
      </c>
      <c r="J742" s="201">
        <v>425925.93</v>
      </c>
      <c r="K742" s="201">
        <f t="shared" si="146"/>
        <v>8518518.5999999996</v>
      </c>
      <c r="L742" s="201">
        <f t="shared" si="147"/>
        <v>681481.48800000001</v>
      </c>
      <c r="M742" s="264">
        <f t="shared" si="148"/>
        <v>9200000.0879999995</v>
      </c>
      <c r="N742" s="67"/>
      <c r="O742" s="67"/>
      <c r="P742" s="67"/>
      <c r="Q742" s="10">
        <f t="shared" si="140"/>
        <v>9200000.0879999995</v>
      </c>
      <c r="R742" s="65"/>
    </row>
    <row r="743" spans="1:18" s="124" customFormat="1" ht="15.6" hidden="1" customHeight="1">
      <c r="A743" s="196" t="s">
        <v>606</v>
      </c>
      <c r="B743" s="85" t="s">
        <v>175</v>
      </c>
      <c r="C743" s="86" t="s">
        <v>523</v>
      </c>
      <c r="D743" s="85">
        <v>46029</v>
      </c>
      <c r="E743" s="65" t="s">
        <v>491</v>
      </c>
      <c r="F743" s="65" t="s">
        <v>258</v>
      </c>
      <c r="G743" s="87" t="s">
        <v>259</v>
      </c>
      <c r="I743" s="65">
        <v>8</v>
      </c>
      <c r="J743" s="88">
        <v>472222.22</v>
      </c>
      <c r="K743" s="67">
        <f t="shared" ref="K743:K759" si="149">J743*I743</f>
        <v>3777777.76</v>
      </c>
      <c r="L743" s="67">
        <f t="shared" si="147"/>
        <v>302222.22080000001</v>
      </c>
      <c r="M743" s="203">
        <f t="shared" si="148"/>
        <v>4079999.9808</v>
      </c>
      <c r="N743" s="67"/>
      <c r="O743" s="67"/>
      <c r="P743" s="67"/>
      <c r="Q743" s="10">
        <f t="shared" si="140"/>
        <v>4079999.9808</v>
      </c>
      <c r="R743" s="65"/>
    </row>
    <row r="744" spans="1:18" s="124" customFormat="1" ht="15.6" hidden="1" customHeight="1">
      <c r="A744" s="196" t="s">
        <v>606</v>
      </c>
      <c r="B744" s="85" t="s">
        <v>175</v>
      </c>
      <c r="C744" s="86" t="s">
        <v>523</v>
      </c>
      <c r="D744" s="85">
        <v>46029</v>
      </c>
      <c r="E744" s="65" t="s">
        <v>491</v>
      </c>
      <c r="F744" s="65" t="s">
        <v>260</v>
      </c>
      <c r="G744" s="87" t="s">
        <v>261</v>
      </c>
      <c r="I744" s="65">
        <v>8</v>
      </c>
      <c r="J744" s="88">
        <v>492592.59</v>
      </c>
      <c r="K744" s="67">
        <f t="shared" si="149"/>
        <v>3940740.72</v>
      </c>
      <c r="L744" s="67">
        <f t="shared" si="147"/>
        <v>315259.25760000001</v>
      </c>
      <c r="M744" s="203">
        <f t="shared" si="148"/>
        <v>4255999.9775999999</v>
      </c>
      <c r="N744" s="67"/>
      <c r="O744" s="67"/>
      <c r="P744" s="67"/>
      <c r="Q744" s="10">
        <f t="shared" si="140"/>
        <v>4255999.9775999999</v>
      </c>
      <c r="R744" s="65"/>
    </row>
    <row r="745" spans="1:18" s="124" customFormat="1" ht="15.6" hidden="1" customHeight="1">
      <c r="A745" s="196" t="s">
        <v>606</v>
      </c>
      <c r="B745" s="85" t="s">
        <v>175</v>
      </c>
      <c r="C745" s="86" t="s">
        <v>523</v>
      </c>
      <c r="D745" s="85">
        <v>46029</v>
      </c>
      <c r="E745" s="65" t="s">
        <v>491</v>
      </c>
      <c r="F745" s="65" t="s">
        <v>80</v>
      </c>
      <c r="G745" s="87" t="s">
        <v>81</v>
      </c>
      <c r="I745" s="65">
        <v>12</v>
      </c>
      <c r="J745" s="88">
        <v>824074.07</v>
      </c>
      <c r="K745" s="67">
        <f t="shared" si="149"/>
        <v>9888888.8399999999</v>
      </c>
      <c r="L745" s="67">
        <f t="shared" si="147"/>
        <v>791111.10719999997</v>
      </c>
      <c r="M745" s="203">
        <f t="shared" si="148"/>
        <v>10679999.9472</v>
      </c>
      <c r="N745" s="67"/>
      <c r="O745" s="67"/>
      <c r="P745" s="67"/>
      <c r="Q745" s="10">
        <f t="shared" si="140"/>
        <v>10679999.9472</v>
      </c>
      <c r="R745" s="65"/>
    </row>
    <row r="746" spans="1:18" s="124" customFormat="1" ht="15.6" hidden="1" customHeight="1">
      <c r="A746" s="196" t="s">
        <v>606</v>
      </c>
      <c r="B746" s="85" t="s">
        <v>175</v>
      </c>
      <c r="C746" s="86" t="s">
        <v>523</v>
      </c>
      <c r="D746" s="85">
        <v>46029</v>
      </c>
      <c r="E746" s="65" t="s">
        <v>491</v>
      </c>
      <c r="F746" s="65" t="s">
        <v>21</v>
      </c>
      <c r="G746" s="89" t="s">
        <v>338</v>
      </c>
      <c r="I746" s="65">
        <v>12</v>
      </c>
      <c r="J746" s="88">
        <v>937962.96</v>
      </c>
      <c r="K746" s="67">
        <f t="shared" si="149"/>
        <v>11255555.52</v>
      </c>
      <c r="L746" s="67">
        <f t="shared" si="147"/>
        <v>900444.44160000002</v>
      </c>
      <c r="M746" s="203">
        <f t="shared" si="148"/>
        <v>12155999.9616</v>
      </c>
      <c r="N746" s="67"/>
      <c r="O746" s="67"/>
      <c r="P746" s="67"/>
      <c r="Q746" s="10">
        <f t="shared" si="140"/>
        <v>12155999.9616</v>
      </c>
      <c r="R746" s="65"/>
    </row>
    <row r="747" spans="1:18" s="124" customFormat="1" ht="15.6" hidden="1" customHeight="1">
      <c r="A747" s="196" t="s">
        <v>606</v>
      </c>
      <c r="B747" s="85" t="s">
        <v>175</v>
      </c>
      <c r="C747" s="86" t="s">
        <v>523</v>
      </c>
      <c r="D747" s="85">
        <v>46029</v>
      </c>
      <c r="E747" s="65" t="s">
        <v>491</v>
      </c>
      <c r="F747" s="65" t="s">
        <v>355</v>
      </c>
      <c r="G747" s="87" t="s">
        <v>522</v>
      </c>
      <c r="I747" s="65">
        <v>10</v>
      </c>
      <c r="J747" s="88">
        <v>1043518.52</v>
      </c>
      <c r="K747" s="67">
        <f t="shared" si="149"/>
        <v>10435185.199999999</v>
      </c>
      <c r="L747" s="67">
        <f t="shared" si="147"/>
        <v>834814.81599999999</v>
      </c>
      <c r="M747" s="203">
        <f t="shared" si="148"/>
        <v>11270000.015999999</v>
      </c>
      <c r="N747" s="67"/>
      <c r="O747" s="67"/>
      <c r="P747" s="67"/>
      <c r="Q747" s="10">
        <f t="shared" si="140"/>
        <v>11270000.015999999</v>
      </c>
      <c r="R747" s="65"/>
    </row>
    <row r="748" spans="1:18" s="124" customFormat="1" ht="15.6" hidden="1" customHeight="1">
      <c r="A748" s="196" t="s">
        <v>606</v>
      </c>
      <c r="B748" s="85" t="s">
        <v>175</v>
      </c>
      <c r="C748" s="86" t="s">
        <v>523</v>
      </c>
      <c r="D748" s="85">
        <v>46029</v>
      </c>
      <c r="E748" s="65" t="s">
        <v>491</v>
      </c>
      <c r="F748" s="65" t="s">
        <v>262</v>
      </c>
      <c r="G748" s="87" t="s">
        <v>263</v>
      </c>
      <c r="I748" s="65">
        <v>20</v>
      </c>
      <c r="J748" s="88">
        <v>851851.85</v>
      </c>
      <c r="K748" s="67">
        <f t="shared" si="149"/>
        <v>17037037</v>
      </c>
      <c r="L748" s="67">
        <f t="shared" si="147"/>
        <v>1362962.96</v>
      </c>
      <c r="M748" s="203">
        <f t="shared" si="148"/>
        <v>18399999.960000001</v>
      </c>
      <c r="N748" s="67"/>
      <c r="O748" s="67"/>
      <c r="P748" s="67"/>
      <c r="Q748" s="10">
        <f t="shared" si="140"/>
        <v>18399999.960000001</v>
      </c>
      <c r="R748" s="65"/>
    </row>
    <row r="749" spans="1:18" s="124" customFormat="1" ht="15.6" hidden="1" customHeight="1">
      <c r="A749" s="196" t="s">
        <v>606</v>
      </c>
      <c r="B749" s="85" t="s">
        <v>175</v>
      </c>
      <c r="C749" s="86" t="s">
        <v>523</v>
      </c>
      <c r="D749" s="85">
        <v>46029</v>
      </c>
      <c r="E749" s="65" t="s">
        <v>491</v>
      </c>
      <c r="F749" s="65" t="s">
        <v>180</v>
      </c>
      <c r="G749" s="89" t="s">
        <v>181</v>
      </c>
      <c r="I749" s="65">
        <v>10</v>
      </c>
      <c r="J749" s="88">
        <v>234259.3</v>
      </c>
      <c r="K749" s="67">
        <f t="shared" si="149"/>
        <v>2342593</v>
      </c>
      <c r="L749" s="67">
        <f t="shared" si="147"/>
        <v>187407.44</v>
      </c>
      <c r="M749" s="203">
        <f t="shared" si="148"/>
        <v>2530000.44</v>
      </c>
      <c r="N749" s="67"/>
      <c r="O749" s="67"/>
      <c r="P749" s="67"/>
      <c r="Q749" s="10">
        <f t="shared" si="140"/>
        <v>2530000.44</v>
      </c>
      <c r="R749" s="65"/>
    </row>
    <row r="750" spans="1:18" s="124" customFormat="1" ht="15.6" hidden="1" customHeight="1">
      <c r="A750" s="196" t="s">
        <v>606</v>
      </c>
      <c r="B750" s="85" t="s">
        <v>175</v>
      </c>
      <c r="C750" s="86" t="s">
        <v>523</v>
      </c>
      <c r="D750" s="85">
        <v>46029</v>
      </c>
      <c r="E750" s="65" t="s">
        <v>491</v>
      </c>
      <c r="F750" s="65" t="s">
        <v>184</v>
      </c>
      <c r="G750" s="89" t="s">
        <v>508</v>
      </c>
      <c r="I750" s="65">
        <v>20</v>
      </c>
      <c r="J750" s="88">
        <v>227777.78</v>
      </c>
      <c r="K750" s="67">
        <f t="shared" si="149"/>
        <v>4555555.5999999996</v>
      </c>
      <c r="L750" s="67">
        <f t="shared" si="147"/>
        <v>364444.44799999997</v>
      </c>
      <c r="M750" s="203">
        <f t="shared" si="148"/>
        <v>4920000.0479999995</v>
      </c>
      <c r="N750" s="67"/>
      <c r="O750" s="67"/>
      <c r="P750" s="67"/>
      <c r="Q750" s="10">
        <f t="shared" si="140"/>
        <v>4920000.0479999995</v>
      </c>
      <c r="R750" s="65"/>
    </row>
    <row r="751" spans="1:18" s="124" customFormat="1" ht="15.6" hidden="1" customHeight="1">
      <c r="A751" s="196" t="s">
        <v>606</v>
      </c>
      <c r="B751" s="85" t="s">
        <v>175</v>
      </c>
      <c r="C751" s="86" t="s">
        <v>523</v>
      </c>
      <c r="D751" s="85">
        <v>46029</v>
      </c>
      <c r="E751" s="65" t="s">
        <v>491</v>
      </c>
      <c r="F751" s="65" t="s">
        <v>30</v>
      </c>
      <c r="G751" s="87" t="s">
        <v>31</v>
      </c>
      <c r="I751" s="65">
        <v>20</v>
      </c>
      <c r="J751" s="88">
        <v>252777.78</v>
      </c>
      <c r="K751" s="67">
        <f t="shared" si="149"/>
        <v>5055555.5999999996</v>
      </c>
      <c r="L751" s="67">
        <f t="shared" si="147"/>
        <v>404444.44799999997</v>
      </c>
      <c r="M751" s="203">
        <f t="shared" si="148"/>
        <v>5460000.0479999995</v>
      </c>
      <c r="N751" s="67"/>
      <c r="O751" s="67"/>
      <c r="P751" s="67"/>
      <c r="Q751" s="10">
        <f t="shared" si="140"/>
        <v>5460000.0479999995</v>
      </c>
      <c r="R751" s="65"/>
    </row>
    <row r="752" spans="1:18" s="124" customFormat="1" ht="15.6" hidden="1" customHeight="1">
      <c r="A752" s="196" t="s">
        <v>606</v>
      </c>
      <c r="B752" s="85" t="s">
        <v>175</v>
      </c>
      <c r="C752" s="86" t="s">
        <v>523</v>
      </c>
      <c r="D752" s="85">
        <v>46029</v>
      </c>
      <c r="E752" s="65" t="s">
        <v>491</v>
      </c>
      <c r="F752" s="65" t="s">
        <v>40</v>
      </c>
      <c r="G752" s="87" t="s">
        <v>41</v>
      </c>
      <c r="I752" s="65">
        <v>8</v>
      </c>
      <c r="J752" s="88">
        <v>844444.44</v>
      </c>
      <c r="K752" s="67">
        <f t="shared" si="149"/>
        <v>6755555.5199999996</v>
      </c>
      <c r="L752" s="67">
        <f t="shared" si="147"/>
        <v>540444.44160000002</v>
      </c>
      <c r="M752" s="203">
        <f t="shared" si="148"/>
        <v>7295999.9616</v>
      </c>
      <c r="N752" s="67"/>
      <c r="O752" s="67"/>
      <c r="P752" s="67"/>
      <c r="Q752" s="10">
        <f t="shared" si="140"/>
        <v>7295999.9616</v>
      </c>
      <c r="R752" s="65"/>
    </row>
    <row r="753" spans="1:18" s="124" customFormat="1" ht="15.6" hidden="1" customHeight="1">
      <c r="A753" s="196" t="s">
        <v>606</v>
      </c>
      <c r="B753" s="85" t="s">
        <v>175</v>
      </c>
      <c r="C753" s="86" t="s">
        <v>523</v>
      </c>
      <c r="D753" s="85">
        <v>46029</v>
      </c>
      <c r="E753" s="65" t="s">
        <v>491</v>
      </c>
      <c r="F753" s="65" t="s">
        <v>107</v>
      </c>
      <c r="G753" s="89" t="s">
        <v>108</v>
      </c>
      <c r="I753" s="65">
        <v>4</v>
      </c>
      <c r="J753" s="88">
        <v>0</v>
      </c>
      <c r="K753" s="67">
        <f t="shared" si="149"/>
        <v>0</v>
      </c>
      <c r="L753" s="67">
        <f t="shared" si="147"/>
        <v>0</v>
      </c>
      <c r="M753" s="203">
        <f t="shared" si="148"/>
        <v>0</v>
      </c>
      <c r="N753" s="67"/>
      <c r="O753" s="67"/>
      <c r="P753" s="67"/>
      <c r="Q753" s="10">
        <f t="shared" si="140"/>
        <v>0</v>
      </c>
      <c r="R753" s="65"/>
    </row>
    <row r="754" spans="1:18" s="124" customFormat="1" ht="15.75" hidden="1">
      <c r="A754" s="196" t="s">
        <v>606</v>
      </c>
      <c r="B754" s="85" t="s">
        <v>407</v>
      </c>
      <c r="C754" s="86" t="s">
        <v>523</v>
      </c>
      <c r="D754" s="85">
        <v>46029</v>
      </c>
      <c r="E754" s="65" t="s">
        <v>491</v>
      </c>
      <c r="F754" s="94" t="s">
        <v>98</v>
      </c>
      <c r="G754" s="95" t="s">
        <v>251</v>
      </c>
      <c r="I754" s="94">
        <v>20</v>
      </c>
      <c r="J754" s="97">
        <v>694444.44</v>
      </c>
      <c r="K754" s="127">
        <f t="shared" si="149"/>
        <v>13888888.799999999</v>
      </c>
      <c r="L754" s="127">
        <f t="shared" si="147"/>
        <v>1111111.1039999998</v>
      </c>
      <c r="M754" s="257">
        <f t="shared" si="148"/>
        <v>14999999.903999999</v>
      </c>
      <c r="N754" s="67"/>
      <c r="O754" s="67"/>
      <c r="P754" s="67"/>
      <c r="Q754" s="10">
        <f t="shared" si="140"/>
        <v>14999999.903999999</v>
      </c>
      <c r="R754" s="65"/>
    </row>
    <row r="755" spans="1:18" s="124" customFormat="1" ht="15.75" hidden="1">
      <c r="A755" s="196" t="s">
        <v>606</v>
      </c>
      <c r="B755" s="85" t="s">
        <v>470</v>
      </c>
      <c r="C755" s="86" t="s">
        <v>526</v>
      </c>
      <c r="D755" s="85" t="s">
        <v>525</v>
      </c>
      <c r="E755" s="65" t="s">
        <v>491</v>
      </c>
      <c r="F755" s="65" t="s">
        <v>32</v>
      </c>
      <c r="G755" s="87" t="s">
        <v>33</v>
      </c>
      <c r="I755" s="65">
        <v>10</v>
      </c>
      <c r="J755" s="88">
        <v>226851.85</v>
      </c>
      <c r="K755" s="67">
        <f t="shared" si="149"/>
        <v>2268518.5</v>
      </c>
      <c r="L755" s="67">
        <f t="shared" si="147"/>
        <v>181481.48</v>
      </c>
      <c r="M755" s="203">
        <f t="shared" si="148"/>
        <v>2449999.98</v>
      </c>
      <c r="N755" s="67"/>
      <c r="O755" s="67"/>
      <c r="P755" s="67"/>
      <c r="Q755" s="10">
        <f t="shared" si="140"/>
        <v>2449999.98</v>
      </c>
      <c r="R755" s="65"/>
    </row>
    <row r="756" spans="1:18" s="124" customFormat="1" ht="15.75" hidden="1">
      <c r="A756" s="196" t="s">
        <v>606</v>
      </c>
      <c r="B756" s="85" t="s">
        <v>470</v>
      </c>
      <c r="C756" s="86" t="s">
        <v>526</v>
      </c>
      <c r="D756" s="85" t="s">
        <v>525</v>
      </c>
      <c r="E756" s="65" t="s">
        <v>491</v>
      </c>
      <c r="F756" s="65" t="s">
        <v>34</v>
      </c>
      <c r="G756" s="87" t="s">
        <v>35</v>
      </c>
      <c r="I756" s="65">
        <v>10</v>
      </c>
      <c r="J756" s="88">
        <v>240740.74</v>
      </c>
      <c r="K756" s="67">
        <f t="shared" si="149"/>
        <v>2407407.4</v>
      </c>
      <c r="L756" s="67">
        <f t="shared" si="147"/>
        <v>192592.592</v>
      </c>
      <c r="M756" s="203">
        <f t="shared" si="148"/>
        <v>2599999.9920000001</v>
      </c>
      <c r="N756" s="67"/>
      <c r="O756" s="67"/>
      <c r="P756" s="67"/>
      <c r="Q756" s="10">
        <f t="shared" si="140"/>
        <v>2599999.9920000001</v>
      </c>
      <c r="R756" s="65"/>
    </row>
    <row r="757" spans="1:18" s="124" customFormat="1" ht="15.75" hidden="1">
      <c r="A757" s="196" t="s">
        <v>606</v>
      </c>
      <c r="B757" s="85" t="s">
        <v>470</v>
      </c>
      <c r="C757" s="86" t="s">
        <v>526</v>
      </c>
      <c r="D757" s="85" t="s">
        <v>525</v>
      </c>
      <c r="E757" s="65" t="s">
        <v>491</v>
      </c>
      <c r="F757" s="65" t="s">
        <v>36</v>
      </c>
      <c r="G757" s="87" t="s">
        <v>37</v>
      </c>
      <c r="I757" s="65">
        <v>10</v>
      </c>
      <c r="J757" s="88">
        <v>259259.25</v>
      </c>
      <c r="K757" s="67">
        <f t="shared" si="149"/>
        <v>2592592.5</v>
      </c>
      <c r="L757" s="67">
        <f t="shared" si="147"/>
        <v>207407.4</v>
      </c>
      <c r="M757" s="203">
        <f t="shared" si="148"/>
        <v>2799999.9</v>
      </c>
      <c r="N757" s="67"/>
      <c r="O757" s="67"/>
      <c r="P757" s="67"/>
      <c r="Q757" s="10">
        <f t="shared" si="140"/>
        <v>2799999.9</v>
      </c>
      <c r="R757" s="65"/>
    </row>
    <row r="758" spans="1:18" s="124" customFormat="1" ht="15.75" hidden="1">
      <c r="A758" s="196" t="s">
        <v>606</v>
      </c>
      <c r="B758" s="85" t="s">
        <v>470</v>
      </c>
      <c r="C758" s="86" t="s">
        <v>526</v>
      </c>
      <c r="D758" s="85" t="s">
        <v>525</v>
      </c>
      <c r="E758" s="65" t="s">
        <v>491</v>
      </c>
      <c r="F758" s="65" t="s">
        <v>38</v>
      </c>
      <c r="G758" s="87" t="s">
        <v>39</v>
      </c>
      <c r="I758" s="65">
        <v>10</v>
      </c>
      <c r="J758" s="88">
        <v>277277.77</v>
      </c>
      <c r="K758" s="67">
        <f t="shared" si="149"/>
        <v>2772777.7</v>
      </c>
      <c r="L758" s="67">
        <f t="shared" si="147"/>
        <v>221822.21600000001</v>
      </c>
      <c r="M758" s="203">
        <f t="shared" si="148"/>
        <v>2994599.9160000002</v>
      </c>
      <c r="N758" s="67"/>
      <c r="O758" s="67"/>
      <c r="P758" s="67"/>
      <c r="Q758" s="10">
        <f t="shared" si="140"/>
        <v>2994599.9160000002</v>
      </c>
      <c r="R758" s="65"/>
    </row>
    <row r="759" spans="1:18" s="124" customFormat="1" ht="15.75" hidden="1">
      <c r="A759" s="196" t="s">
        <v>606</v>
      </c>
      <c r="B759" s="85" t="s">
        <v>470</v>
      </c>
      <c r="C759" s="86" t="s">
        <v>526</v>
      </c>
      <c r="D759" s="85" t="s">
        <v>525</v>
      </c>
      <c r="E759" s="65" t="s">
        <v>491</v>
      </c>
      <c r="F759" s="65" t="s">
        <v>262</v>
      </c>
      <c r="G759" s="87" t="s">
        <v>263</v>
      </c>
      <c r="I759" s="65">
        <v>10</v>
      </c>
      <c r="J759" s="88">
        <v>851851.85</v>
      </c>
      <c r="K759" s="67">
        <f t="shared" si="149"/>
        <v>8518518.5</v>
      </c>
      <c r="L759" s="67">
        <f t="shared" si="147"/>
        <v>681481.48</v>
      </c>
      <c r="M759" s="203">
        <f t="shared" si="148"/>
        <v>9199999.9800000004</v>
      </c>
      <c r="N759" s="67"/>
      <c r="O759" s="67"/>
      <c r="P759" s="67"/>
      <c r="Q759" s="10">
        <f t="shared" si="140"/>
        <v>9199999.9800000004</v>
      </c>
      <c r="R759" s="65"/>
    </row>
    <row r="760" spans="1:18" s="124" customFormat="1" ht="15.75" hidden="1">
      <c r="A760" s="196" t="s">
        <v>606</v>
      </c>
      <c r="B760" s="85" t="s">
        <v>470</v>
      </c>
      <c r="C760" s="86" t="s">
        <v>526</v>
      </c>
      <c r="D760" s="85" t="s">
        <v>525</v>
      </c>
      <c r="E760" s="65" t="s">
        <v>491</v>
      </c>
      <c r="F760" s="65" t="s">
        <v>204</v>
      </c>
      <c r="G760" s="87" t="s">
        <v>269</v>
      </c>
      <c r="I760" s="65">
        <v>10</v>
      </c>
      <c r="J760" s="88">
        <v>480555.56</v>
      </c>
      <c r="K760" s="67">
        <f>J760*I760</f>
        <v>4805555.5999999996</v>
      </c>
      <c r="L760" s="67">
        <f t="shared" ref="L760:L788" si="150">K760*8%</f>
        <v>384444.44799999997</v>
      </c>
      <c r="M760" s="203">
        <f t="shared" ref="M760:M788" si="151">K760+L760</f>
        <v>5190000.0479999995</v>
      </c>
      <c r="N760" s="67"/>
      <c r="O760" s="67"/>
      <c r="P760" s="67"/>
      <c r="Q760" s="10">
        <f t="shared" si="140"/>
        <v>5190000.0479999995</v>
      </c>
      <c r="R760" s="65"/>
    </row>
    <row r="761" spans="1:18" s="124" customFormat="1" ht="15.75" hidden="1">
      <c r="A761" s="196" t="s">
        <v>606</v>
      </c>
      <c r="B761" s="85" t="s">
        <v>470</v>
      </c>
      <c r="C761" s="86" t="s">
        <v>526</v>
      </c>
      <c r="D761" s="85" t="s">
        <v>525</v>
      </c>
      <c r="E761" s="65" t="s">
        <v>491</v>
      </c>
      <c r="F761" s="65" t="s">
        <v>119</v>
      </c>
      <c r="G761" s="89" t="s">
        <v>527</v>
      </c>
      <c r="I761" s="65">
        <v>1</v>
      </c>
      <c r="J761" s="88">
        <v>659259.26</v>
      </c>
      <c r="K761" s="67">
        <f t="shared" ref="K761:K769" si="152">J761*I761</f>
        <v>659259.26</v>
      </c>
      <c r="L761" s="67">
        <f t="shared" si="150"/>
        <v>52740.7408</v>
      </c>
      <c r="M761" s="203">
        <f t="shared" si="151"/>
        <v>712000.00080000004</v>
      </c>
      <c r="N761" s="67"/>
      <c r="O761" s="67"/>
      <c r="P761" s="67"/>
      <c r="Q761" s="10">
        <f t="shared" si="140"/>
        <v>712000.00080000004</v>
      </c>
      <c r="R761" s="65"/>
    </row>
    <row r="762" spans="1:18" s="124" customFormat="1" ht="15.75" hidden="1">
      <c r="A762" s="196" t="s">
        <v>606</v>
      </c>
      <c r="B762" s="85" t="s">
        <v>470</v>
      </c>
      <c r="C762" s="86" t="s">
        <v>526</v>
      </c>
      <c r="D762" s="85" t="s">
        <v>525</v>
      </c>
      <c r="E762" s="65" t="s">
        <v>491</v>
      </c>
      <c r="F762" s="65" t="s">
        <v>42</v>
      </c>
      <c r="G762" s="89" t="s">
        <v>528</v>
      </c>
      <c r="I762" s="65">
        <v>1</v>
      </c>
      <c r="J762" s="88">
        <v>569444.43999999994</v>
      </c>
      <c r="K762" s="67">
        <f t="shared" si="152"/>
        <v>569444.43999999994</v>
      </c>
      <c r="L762" s="67">
        <f t="shared" si="150"/>
        <v>45555.555199999995</v>
      </c>
      <c r="M762" s="203">
        <f t="shared" si="151"/>
        <v>614999.99519999989</v>
      </c>
      <c r="N762" s="67"/>
      <c r="O762" s="67"/>
      <c r="P762" s="67"/>
      <c r="Q762" s="10">
        <f t="shared" si="140"/>
        <v>614999.99519999989</v>
      </c>
      <c r="R762" s="65"/>
    </row>
    <row r="763" spans="1:18" s="124" customFormat="1" ht="15.75" hidden="1">
      <c r="A763" s="196" t="s">
        <v>606</v>
      </c>
      <c r="B763" s="85" t="s">
        <v>470</v>
      </c>
      <c r="C763" s="86" t="s">
        <v>526</v>
      </c>
      <c r="D763" s="85" t="s">
        <v>525</v>
      </c>
      <c r="E763" s="65" t="s">
        <v>491</v>
      </c>
      <c r="F763" s="65" t="s">
        <v>44</v>
      </c>
      <c r="G763" s="89" t="s">
        <v>529</v>
      </c>
      <c r="I763" s="65">
        <v>1</v>
      </c>
      <c r="J763" s="88">
        <v>564814.81000000006</v>
      </c>
      <c r="K763" s="67">
        <f t="shared" si="152"/>
        <v>564814.81000000006</v>
      </c>
      <c r="L763" s="67">
        <f t="shared" si="150"/>
        <v>45185.184800000003</v>
      </c>
      <c r="M763" s="203">
        <f t="shared" si="151"/>
        <v>609999.9948000001</v>
      </c>
      <c r="N763" s="67"/>
      <c r="O763" s="67"/>
      <c r="P763" s="67"/>
      <c r="Q763" s="10">
        <f t="shared" si="140"/>
        <v>609999.9948000001</v>
      </c>
      <c r="R763" s="65"/>
    </row>
    <row r="764" spans="1:18" s="124" customFormat="1" ht="15.75" hidden="1">
      <c r="A764" s="196" t="s">
        <v>606</v>
      </c>
      <c r="B764" s="85" t="s">
        <v>470</v>
      </c>
      <c r="C764" s="86" t="s">
        <v>526</v>
      </c>
      <c r="D764" s="85" t="s">
        <v>525</v>
      </c>
      <c r="E764" s="65" t="s">
        <v>491</v>
      </c>
      <c r="F764" s="65" t="s">
        <v>46</v>
      </c>
      <c r="G764" s="89" t="s">
        <v>530</v>
      </c>
      <c r="I764" s="65">
        <v>3</v>
      </c>
      <c r="J764" s="88">
        <v>194444.44</v>
      </c>
      <c r="K764" s="67">
        <f t="shared" si="152"/>
        <v>583333.32000000007</v>
      </c>
      <c r="L764" s="67">
        <f t="shared" si="150"/>
        <v>46666.665600000008</v>
      </c>
      <c r="M764" s="203">
        <f t="shared" si="151"/>
        <v>629999.98560000001</v>
      </c>
      <c r="N764" s="67"/>
      <c r="O764" s="67"/>
      <c r="P764" s="67"/>
      <c r="Q764" s="10">
        <f t="shared" si="140"/>
        <v>629999.98560000001</v>
      </c>
      <c r="R764" s="65"/>
    </row>
    <row r="765" spans="1:18" s="124" customFormat="1" ht="15.75" hidden="1">
      <c r="A765" s="196" t="s">
        <v>606</v>
      </c>
      <c r="B765" s="85" t="s">
        <v>470</v>
      </c>
      <c r="C765" s="100" t="s">
        <v>335</v>
      </c>
      <c r="D765" s="85"/>
      <c r="E765" s="65" t="s">
        <v>491</v>
      </c>
      <c r="F765" s="65" t="s">
        <v>101</v>
      </c>
      <c r="G765" s="89" t="s">
        <v>102</v>
      </c>
      <c r="I765" s="65">
        <v>8</v>
      </c>
      <c r="J765" s="88">
        <v>861111.11</v>
      </c>
      <c r="K765" s="67">
        <f t="shared" si="152"/>
        <v>6888888.8799999999</v>
      </c>
      <c r="L765" s="67">
        <f t="shared" si="150"/>
        <v>551111.11040000001</v>
      </c>
      <c r="M765" s="203">
        <f t="shared" si="151"/>
        <v>7439999.9903999995</v>
      </c>
      <c r="N765" s="67"/>
      <c r="O765" s="67"/>
      <c r="P765" s="67"/>
      <c r="Q765" s="10">
        <f t="shared" si="140"/>
        <v>7439999.9903999995</v>
      </c>
      <c r="R765" s="65"/>
    </row>
    <row r="766" spans="1:18" s="124" customFormat="1" ht="15.75" hidden="1">
      <c r="A766" s="196" t="s">
        <v>606</v>
      </c>
      <c r="B766" s="85" t="s">
        <v>470</v>
      </c>
      <c r="C766" s="100" t="s">
        <v>335</v>
      </c>
      <c r="D766" s="85"/>
      <c r="E766" s="65" t="s">
        <v>491</v>
      </c>
      <c r="F766" s="65" t="s">
        <v>90</v>
      </c>
      <c r="G766" s="89" t="s">
        <v>91</v>
      </c>
      <c r="I766" s="65">
        <v>20</v>
      </c>
      <c r="J766" s="88">
        <v>814814.81</v>
      </c>
      <c r="K766" s="67">
        <f>J766*I766</f>
        <v>16296296.200000001</v>
      </c>
      <c r="L766" s="67">
        <f t="shared" si="150"/>
        <v>1303703.6960000002</v>
      </c>
      <c r="M766" s="203">
        <f t="shared" si="151"/>
        <v>17599999.896000002</v>
      </c>
      <c r="N766" s="67"/>
      <c r="O766" s="67"/>
      <c r="P766" s="67"/>
      <c r="Q766" s="10">
        <f t="shared" si="140"/>
        <v>17599999.896000002</v>
      </c>
      <c r="R766" s="65"/>
    </row>
    <row r="767" spans="1:18" s="124" customFormat="1" ht="15.75" hidden="1">
      <c r="A767" s="196" t="s">
        <v>606</v>
      </c>
      <c r="B767" s="85" t="s">
        <v>470</v>
      </c>
      <c r="C767" s="100" t="s">
        <v>335</v>
      </c>
      <c r="D767" s="85"/>
      <c r="E767" s="65" t="s">
        <v>491</v>
      </c>
      <c r="F767" s="65" t="s">
        <v>103</v>
      </c>
      <c r="G767" s="89" t="s">
        <v>104</v>
      </c>
      <c r="I767" s="65">
        <v>12</v>
      </c>
      <c r="J767" s="88">
        <v>675925.93</v>
      </c>
      <c r="K767" s="67">
        <f t="shared" si="152"/>
        <v>8111111.1600000001</v>
      </c>
      <c r="L767" s="67">
        <f t="shared" si="150"/>
        <v>648888.89280000003</v>
      </c>
      <c r="M767" s="203">
        <f t="shared" si="151"/>
        <v>8760000.0527999997</v>
      </c>
      <c r="N767" s="67"/>
      <c r="O767" s="67"/>
      <c r="P767" s="67"/>
      <c r="Q767" s="10">
        <f t="shared" si="140"/>
        <v>8760000.0527999997</v>
      </c>
      <c r="R767" s="65"/>
    </row>
    <row r="768" spans="1:18" s="124" customFormat="1" ht="15.75" hidden="1">
      <c r="A768" s="196" t="s">
        <v>606</v>
      </c>
      <c r="B768" s="85" t="s">
        <v>470</v>
      </c>
      <c r="C768" s="100" t="s">
        <v>335</v>
      </c>
      <c r="D768" s="85"/>
      <c r="E768" s="65" t="s">
        <v>491</v>
      </c>
      <c r="F768" s="65" t="s">
        <v>62</v>
      </c>
      <c r="G768" s="89" t="s">
        <v>63</v>
      </c>
      <c r="I768" s="65">
        <v>12</v>
      </c>
      <c r="J768" s="88">
        <v>0</v>
      </c>
      <c r="K768" s="67">
        <f t="shared" si="152"/>
        <v>0</v>
      </c>
      <c r="L768" s="67">
        <f t="shared" si="150"/>
        <v>0</v>
      </c>
      <c r="M768" s="203">
        <f t="shared" si="151"/>
        <v>0</v>
      </c>
      <c r="N768" s="67"/>
      <c r="O768" s="67"/>
      <c r="P768" s="67"/>
      <c r="Q768" s="10">
        <f t="shared" si="140"/>
        <v>0</v>
      </c>
      <c r="R768" s="65"/>
    </row>
    <row r="769" spans="1:18" s="124" customFormat="1" ht="15.75" hidden="1">
      <c r="A769" s="196" t="s">
        <v>606</v>
      </c>
      <c r="B769" s="85" t="s">
        <v>440</v>
      </c>
      <c r="C769" s="100" t="s">
        <v>335</v>
      </c>
      <c r="D769" s="85"/>
      <c r="E769" s="65" t="s">
        <v>491</v>
      </c>
      <c r="F769" s="65" t="s">
        <v>101</v>
      </c>
      <c r="G769" s="89" t="s">
        <v>102</v>
      </c>
      <c r="I769" s="65">
        <v>20</v>
      </c>
      <c r="J769" s="88">
        <v>861111.11</v>
      </c>
      <c r="K769" s="67">
        <f t="shared" si="152"/>
        <v>17222222.199999999</v>
      </c>
      <c r="L769" s="67">
        <f t="shared" si="150"/>
        <v>1377777.7760000001</v>
      </c>
      <c r="M769" s="203">
        <f t="shared" si="151"/>
        <v>18599999.976</v>
      </c>
      <c r="N769" s="67"/>
      <c r="O769" s="67"/>
      <c r="P769" s="67"/>
      <c r="Q769" s="10">
        <f t="shared" si="140"/>
        <v>18599999.976</v>
      </c>
      <c r="R769" s="65"/>
    </row>
    <row r="770" spans="1:18" s="124" customFormat="1" ht="15.75" hidden="1">
      <c r="A770" s="196" t="s">
        <v>606</v>
      </c>
      <c r="B770" s="76">
        <v>46228</v>
      </c>
      <c r="C770" s="78"/>
      <c r="D770" s="76"/>
      <c r="E770" s="78" t="s">
        <v>494</v>
      </c>
      <c r="F770" s="78"/>
      <c r="G770" s="128"/>
      <c r="H770" s="275"/>
      <c r="I770" s="78"/>
      <c r="J770" s="80"/>
      <c r="K770" s="81"/>
      <c r="L770" s="81"/>
      <c r="M770" s="120"/>
      <c r="N770" s="81">
        <v>45000000</v>
      </c>
      <c r="O770" s="67"/>
      <c r="P770" s="67"/>
      <c r="Q770" s="10">
        <f t="shared" si="140"/>
        <v>-45000000</v>
      </c>
      <c r="R770" s="65"/>
    </row>
    <row r="771" spans="1:18" s="72" customFormat="1" ht="25.5" hidden="1">
      <c r="A771" s="3" t="s">
        <v>607</v>
      </c>
      <c r="B771" s="41" t="s">
        <v>19</v>
      </c>
      <c r="C771" s="49" t="s">
        <v>531</v>
      </c>
      <c r="D771" s="41" t="str">
        <f t="shared" ref="D771:D783" si="153">B771</f>
        <v>30/12/2025</v>
      </c>
      <c r="E771" s="43" t="s">
        <v>532</v>
      </c>
      <c r="F771" s="44" t="s">
        <v>38</v>
      </c>
      <c r="G771" s="44" t="s">
        <v>39</v>
      </c>
      <c r="H771" s="43" t="s">
        <v>113</v>
      </c>
      <c r="I771" s="47">
        <v>10</v>
      </c>
      <c r="J771" s="110">
        <v>277778</v>
      </c>
      <c r="K771" s="110">
        <f t="shared" ref="K771:K815" si="154">I771*J771</f>
        <v>2777780</v>
      </c>
      <c r="L771" s="110">
        <f t="shared" si="150"/>
        <v>222222.4</v>
      </c>
      <c r="M771" s="265">
        <f t="shared" si="151"/>
        <v>3000002.4</v>
      </c>
      <c r="N771" s="65"/>
      <c r="O771" s="65"/>
      <c r="P771" s="65"/>
      <c r="Q771" s="10">
        <f t="shared" si="140"/>
        <v>3000002.4</v>
      </c>
      <c r="R771" s="67"/>
    </row>
    <row r="772" spans="1:18" s="72" customFormat="1" ht="15.75" hidden="1">
      <c r="A772" s="3" t="s">
        <v>607</v>
      </c>
      <c r="B772" s="41" t="s">
        <v>19</v>
      </c>
      <c r="C772" s="49" t="s">
        <v>531</v>
      </c>
      <c r="D772" s="41" t="str">
        <f t="shared" si="153"/>
        <v>30/12/2025</v>
      </c>
      <c r="E772" s="43" t="s">
        <v>532</v>
      </c>
      <c r="F772" s="44" t="s">
        <v>40</v>
      </c>
      <c r="G772" s="44" t="s">
        <v>41</v>
      </c>
      <c r="H772" s="43" t="s">
        <v>113</v>
      </c>
      <c r="I772" s="47">
        <v>4</v>
      </c>
      <c r="J772" s="110">
        <v>844444</v>
      </c>
      <c r="K772" s="110">
        <f t="shared" si="154"/>
        <v>3377776</v>
      </c>
      <c r="L772" s="110">
        <f t="shared" si="150"/>
        <v>270222.08000000002</v>
      </c>
      <c r="M772" s="265">
        <f t="shared" si="151"/>
        <v>3647998.08</v>
      </c>
      <c r="N772" s="65"/>
      <c r="O772" s="65"/>
      <c r="P772" s="65"/>
      <c r="Q772" s="10">
        <f t="shared" ref="Q772:Q835" si="155">M772-N772-O772-P772</f>
        <v>3647998.08</v>
      </c>
      <c r="R772" s="67"/>
    </row>
    <row r="773" spans="1:18" s="72" customFormat="1" ht="15.75" hidden="1">
      <c r="A773" s="3" t="s">
        <v>607</v>
      </c>
      <c r="B773" s="41" t="s">
        <v>19</v>
      </c>
      <c r="C773" s="49" t="s">
        <v>531</v>
      </c>
      <c r="D773" s="41" t="str">
        <f t="shared" si="153"/>
        <v>30/12/2025</v>
      </c>
      <c r="E773" s="43" t="s">
        <v>532</v>
      </c>
      <c r="F773" s="44" t="s">
        <v>46</v>
      </c>
      <c r="G773" s="44" t="s">
        <v>47</v>
      </c>
      <c r="H773" s="43" t="s">
        <v>113</v>
      </c>
      <c r="I773" s="47">
        <v>24</v>
      </c>
      <c r="J773" s="110">
        <v>194444</v>
      </c>
      <c r="K773" s="110">
        <f t="shared" si="154"/>
        <v>4666656</v>
      </c>
      <c r="L773" s="110">
        <f t="shared" si="150"/>
        <v>373332.47999999998</v>
      </c>
      <c r="M773" s="265">
        <f t="shared" si="151"/>
        <v>5039988.4800000004</v>
      </c>
      <c r="N773" s="65"/>
      <c r="O773" s="65"/>
      <c r="P773" s="65"/>
      <c r="Q773" s="10">
        <f t="shared" si="155"/>
        <v>5039988.4800000004</v>
      </c>
      <c r="R773" s="67"/>
    </row>
    <row r="774" spans="1:18" s="72" customFormat="1" ht="15.75" hidden="1">
      <c r="A774" s="3" t="s">
        <v>607</v>
      </c>
      <c r="B774" s="41" t="s">
        <v>19</v>
      </c>
      <c r="C774" s="49" t="s">
        <v>531</v>
      </c>
      <c r="D774" s="41" t="str">
        <f t="shared" si="153"/>
        <v>30/12/2025</v>
      </c>
      <c r="E774" s="43" t="s">
        <v>532</v>
      </c>
      <c r="F774" s="44" t="s">
        <v>77</v>
      </c>
      <c r="G774" s="44" t="s">
        <v>78</v>
      </c>
      <c r="H774" s="43" t="s">
        <v>113</v>
      </c>
      <c r="I774" s="47">
        <v>12</v>
      </c>
      <c r="J774" s="110">
        <v>314815</v>
      </c>
      <c r="K774" s="110">
        <f t="shared" si="154"/>
        <v>3777780</v>
      </c>
      <c r="L774" s="110">
        <f t="shared" si="150"/>
        <v>302222.40000000002</v>
      </c>
      <c r="M774" s="265">
        <f t="shared" si="151"/>
        <v>4080002.4</v>
      </c>
      <c r="N774" s="65"/>
      <c r="O774" s="65"/>
      <c r="P774" s="65"/>
      <c r="Q774" s="10">
        <f t="shared" si="155"/>
        <v>4080002.4</v>
      </c>
      <c r="R774" s="67"/>
    </row>
    <row r="775" spans="1:18" s="72" customFormat="1" ht="15.75" hidden="1">
      <c r="A775" s="3" t="s">
        <v>607</v>
      </c>
      <c r="B775" s="41" t="s">
        <v>19</v>
      </c>
      <c r="C775" s="49" t="s">
        <v>531</v>
      </c>
      <c r="D775" s="41" t="str">
        <f t="shared" si="153"/>
        <v>30/12/2025</v>
      </c>
      <c r="E775" s="43" t="s">
        <v>532</v>
      </c>
      <c r="F775" s="44" t="s">
        <v>62</v>
      </c>
      <c r="G775" s="44" t="s">
        <v>63</v>
      </c>
      <c r="H775" s="43" t="s">
        <v>113</v>
      </c>
      <c r="I775" s="47">
        <v>10</v>
      </c>
      <c r="J775" s="110">
        <v>78704</v>
      </c>
      <c r="K775" s="110">
        <f t="shared" si="154"/>
        <v>787040</v>
      </c>
      <c r="L775" s="110">
        <f t="shared" si="150"/>
        <v>62963.200000000004</v>
      </c>
      <c r="M775" s="265">
        <f t="shared" si="151"/>
        <v>850003.2</v>
      </c>
      <c r="N775" s="65"/>
      <c r="O775" s="65"/>
      <c r="P775" s="65"/>
      <c r="Q775" s="10">
        <f t="shared" si="155"/>
        <v>850003.2</v>
      </c>
      <c r="R775" s="67"/>
    </row>
    <row r="776" spans="1:18" s="72" customFormat="1" ht="15.75" hidden="1">
      <c r="A776" s="3" t="s">
        <v>607</v>
      </c>
      <c r="B776" s="41" t="s">
        <v>19</v>
      </c>
      <c r="C776" s="49" t="s">
        <v>531</v>
      </c>
      <c r="D776" s="41" t="str">
        <f t="shared" si="153"/>
        <v>30/12/2025</v>
      </c>
      <c r="E776" s="43" t="s">
        <v>532</v>
      </c>
      <c r="F776" s="44" t="s">
        <v>180</v>
      </c>
      <c r="G776" s="44" t="s">
        <v>181</v>
      </c>
      <c r="H776" s="43" t="s">
        <v>113</v>
      </c>
      <c r="I776" s="47">
        <v>10</v>
      </c>
      <c r="J776" s="110">
        <v>234259</v>
      </c>
      <c r="K776" s="110">
        <f t="shared" si="154"/>
        <v>2342590</v>
      </c>
      <c r="L776" s="110">
        <f t="shared" si="150"/>
        <v>187407.2</v>
      </c>
      <c r="M776" s="265">
        <f t="shared" si="151"/>
        <v>2529997.2000000002</v>
      </c>
      <c r="N776" s="65"/>
      <c r="O776" s="65"/>
      <c r="P776" s="65"/>
      <c r="Q776" s="10">
        <f t="shared" si="155"/>
        <v>2529997.2000000002</v>
      </c>
      <c r="R776" s="67"/>
    </row>
    <row r="777" spans="1:18" s="72" customFormat="1" ht="15.75" hidden="1">
      <c r="A777" s="3" t="s">
        <v>607</v>
      </c>
      <c r="B777" s="41" t="s">
        <v>19</v>
      </c>
      <c r="C777" s="49" t="s">
        <v>531</v>
      </c>
      <c r="D777" s="41" t="str">
        <f t="shared" si="153"/>
        <v>30/12/2025</v>
      </c>
      <c r="E777" s="43" t="s">
        <v>532</v>
      </c>
      <c r="F777" s="44" t="s">
        <v>26</v>
      </c>
      <c r="G777" s="44" t="s">
        <v>27</v>
      </c>
      <c r="H777" s="43" t="s">
        <v>113</v>
      </c>
      <c r="I777" s="47">
        <v>10</v>
      </c>
      <c r="J777" s="110">
        <v>256481</v>
      </c>
      <c r="K777" s="110">
        <f t="shared" si="154"/>
        <v>2564810</v>
      </c>
      <c r="L777" s="110">
        <f t="shared" si="150"/>
        <v>205184.80000000002</v>
      </c>
      <c r="M777" s="265">
        <f t="shared" si="151"/>
        <v>2769994.8</v>
      </c>
      <c r="N777" s="65"/>
      <c r="O777" s="65"/>
      <c r="P777" s="65"/>
      <c r="Q777" s="10">
        <f t="shared" si="155"/>
        <v>2769994.8</v>
      </c>
      <c r="R777" s="67"/>
    </row>
    <row r="778" spans="1:18" s="72" customFormat="1" ht="15.75" hidden="1">
      <c r="A778" s="3" t="s">
        <v>607</v>
      </c>
      <c r="B778" s="41" t="s">
        <v>19</v>
      </c>
      <c r="C778" s="49" t="s">
        <v>531</v>
      </c>
      <c r="D778" s="41" t="str">
        <f t="shared" si="153"/>
        <v>30/12/2025</v>
      </c>
      <c r="E778" s="43" t="s">
        <v>532</v>
      </c>
      <c r="F778" s="44" t="s">
        <v>28</v>
      </c>
      <c r="G778" s="44" t="s">
        <v>29</v>
      </c>
      <c r="H778" s="43" t="s">
        <v>113</v>
      </c>
      <c r="I778" s="47">
        <v>10</v>
      </c>
      <c r="J778" s="110">
        <v>281481</v>
      </c>
      <c r="K778" s="110">
        <f t="shared" si="154"/>
        <v>2814810</v>
      </c>
      <c r="L778" s="110">
        <f t="shared" si="150"/>
        <v>225184.80000000002</v>
      </c>
      <c r="M778" s="265">
        <f t="shared" si="151"/>
        <v>3039994.8</v>
      </c>
      <c r="N778" s="65"/>
      <c r="O778" s="65"/>
      <c r="P778" s="65"/>
      <c r="Q778" s="10">
        <f t="shared" si="155"/>
        <v>3039994.8</v>
      </c>
      <c r="R778" s="67"/>
    </row>
    <row r="779" spans="1:18" s="72" customFormat="1" ht="25.5" hidden="1">
      <c r="A779" s="3" t="s">
        <v>607</v>
      </c>
      <c r="B779" s="41" t="s">
        <v>19</v>
      </c>
      <c r="C779" s="49" t="s">
        <v>531</v>
      </c>
      <c r="D779" s="41" t="str">
        <f t="shared" si="153"/>
        <v>30/12/2025</v>
      </c>
      <c r="E779" s="43" t="s">
        <v>532</v>
      </c>
      <c r="F779" s="44" t="s">
        <v>184</v>
      </c>
      <c r="G779" s="44" t="s">
        <v>272</v>
      </c>
      <c r="H779" s="43" t="s">
        <v>113</v>
      </c>
      <c r="I779" s="47">
        <v>10</v>
      </c>
      <c r="J779" s="110">
        <v>227778</v>
      </c>
      <c r="K779" s="110">
        <f t="shared" si="154"/>
        <v>2277780</v>
      </c>
      <c r="L779" s="110">
        <f t="shared" si="150"/>
        <v>182222.4</v>
      </c>
      <c r="M779" s="265">
        <f t="shared" si="151"/>
        <v>2460002.4</v>
      </c>
      <c r="N779" s="65"/>
      <c r="O779" s="65"/>
      <c r="P779" s="65"/>
      <c r="Q779" s="10">
        <f t="shared" si="155"/>
        <v>2460002.4</v>
      </c>
      <c r="R779" s="67"/>
    </row>
    <row r="780" spans="1:18" s="72" customFormat="1" ht="25.5" hidden="1">
      <c r="A780" s="3" t="s">
        <v>607</v>
      </c>
      <c r="B780" s="41" t="s">
        <v>19</v>
      </c>
      <c r="C780" s="49" t="s">
        <v>531</v>
      </c>
      <c r="D780" s="41" t="str">
        <f t="shared" si="153"/>
        <v>30/12/2025</v>
      </c>
      <c r="E780" s="43" t="s">
        <v>532</v>
      </c>
      <c r="F780" s="44" t="s">
        <v>30</v>
      </c>
      <c r="G780" s="44" t="s">
        <v>31</v>
      </c>
      <c r="H780" s="43" t="s">
        <v>113</v>
      </c>
      <c r="I780" s="47">
        <v>10</v>
      </c>
      <c r="J780" s="110">
        <v>252778</v>
      </c>
      <c r="K780" s="110">
        <f t="shared" si="154"/>
        <v>2527780</v>
      </c>
      <c r="L780" s="110">
        <f t="shared" si="150"/>
        <v>202222.4</v>
      </c>
      <c r="M780" s="265">
        <f t="shared" si="151"/>
        <v>2730002.4</v>
      </c>
      <c r="N780" s="65"/>
      <c r="O780" s="65"/>
      <c r="P780" s="65"/>
      <c r="Q780" s="10">
        <f t="shared" si="155"/>
        <v>2730002.4</v>
      </c>
      <c r="R780" s="67"/>
    </row>
    <row r="781" spans="1:18" s="72" customFormat="1" ht="25.5" hidden="1">
      <c r="A781" s="3" t="s">
        <v>607</v>
      </c>
      <c r="B781" s="41" t="s">
        <v>19</v>
      </c>
      <c r="C781" s="49" t="s">
        <v>531</v>
      </c>
      <c r="D781" s="41" t="str">
        <f t="shared" si="153"/>
        <v>30/12/2025</v>
      </c>
      <c r="E781" s="43" t="s">
        <v>532</v>
      </c>
      <c r="F781" s="44" t="s">
        <v>32</v>
      </c>
      <c r="G781" s="44" t="s">
        <v>33</v>
      </c>
      <c r="H781" s="43" t="s">
        <v>113</v>
      </c>
      <c r="I781" s="47">
        <v>10</v>
      </c>
      <c r="J781" s="110">
        <v>256481</v>
      </c>
      <c r="K781" s="110">
        <f t="shared" si="154"/>
        <v>2564810</v>
      </c>
      <c r="L781" s="110">
        <f t="shared" si="150"/>
        <v>205184.80000000002</v>
      </c>
      <c r="M781" s="265">
        <f t="shared" si="151"/>
        <v>2769994.8</v>
      </c>
      <c r="N781" s="65"/>
      <c r="O781" s="65"/>
      <c r="P781" s="65"/>
      <c r="Q781" s="10">
        <f t="shared" si="155"/>
        <v>2769994.8</v>
      </c>
      <c r="R781" s="67"/>
    </row>
    <row r="782" spans="1:18" s="72" customFormat="1" ht="25.5" hidden="1">
      <c r="A782" s="3" t="s">
        <v>607</v>
      </c>
      <c r="B782" s="41" t="s">
        <v>19</v>
      </c>
      <c r="C782" s="49" t="s">
        <v>531</v>
      </c>
      <c r="D782" s="41" t="str">
        <f t="shared" si="153"/>
        <v>30/12/2025</v>
      </c>
      <c r="E782" s="43" t="s">
        <v>532</v>
      </c>
      <c r="F782" s="44" t="s">
        <v>34</v>
      </c>
      <c r="G782" s="44" t="s">
        <v>35</v>
      </c>
      <c r="H782" s="43" t="s">
        <v>113</v>
      </c>
      <c r="I782" s="47">
        <v>10</v>
      </c>
      <c r="J782" s="110">
        <v>227778</v>
      </c>
      <c r="K782" s="110">
        <f t="shared" si="154"/>
        <v>2277780</v>
      </c>
      <c r="L782" s="110">
        <f t="shared" si="150"/>
        <v>182222.4</v>
      </c>
      <c r="M782" s="265">
        <f t="shared" si="151"/>
        <v>2460002.4</v>
      </c>
      <c r="N782" s="65"/>
      <c r="O782" s="65"/>
      <c r="P782" s="65"/>
      <c r="Q782" s="10">
        <f t="shared" si="155"/>
        <v>2460002.4</v>
      </c>
      <c r="R782" s="67"/>
    </row>
    <row r="783" spans="1:18" s="72" customFormat="1" ht="25.5" hidden="1">
      <c r="A783" s="3" t="s">
        <v>607</v>
      </c>
      <c r="B783" s="41" t="s">
        <v>19</v>
      </c>
      <c r="C783" s="49" t="s">
        <v>531</v>
      </c>
      <c r="D783" s="41" t="str">
        <f t="shared" si="153"/>
        <v>30/12/2025</v>
      </c>
      <c r="E783" s="43" t="s">
        <v>532</v>
      </c>
      <c r="F783" s="44" t="s">
        <v>36</v>
      </c>
      <c r="G783" s="44" t="s">
        <v>37</v>
      </c>
      <c r="H783" s="43" t="s">
        <v>113</v>
      </c>
      <c r="I783" s="47">
        <v>10</v>
      </c>
      <c r="J783" s="110">
        <v>252778</v>
      </c>
      <c r="K783" s="110">
        <f t="shared" si="154"/>
        <v>2527780</v>
      </c>
      <c r="L783" s="110">
        <f t="shared" si="150"/>
        <v>202222.4</v>
      </c>
      <c r="M783" s="265">
        <f t="shared" si="151"/>
        <v>2730002.4</v>
      </c>
      <c r="N783" s="65"/>
      <c r="O783" s="65"/>
      <c r="P783" s="65"/>
      <c r="Q783" s="10">
        <f t="shared" si="155"/>
        <v>2730002.4</v>
      </c>
      <c r="R783" s="67"/>
    </row>
    <row r="784" spans="1:18" s="72" customFormat="1" ht="25.5" hidden="1">
      <c r="A784" s="3" t="s">
        <v>607</v>
      </c>
      <c r="B784" s="41" t="s">
        <v>19</v>
      </c>
      <c r="C784" s="58" t="s">
        <v>533</v>
      </c>
      <c r="D784" s="41">
        <v>46297</v>
      </c>
      <c r="E784" s="43" t="s">
        <v>532</v>
      </c>
      <c r="F784" s="44" t="s">
        <v>60</v>
      </c>
      <c r="G784" s="44" t="s">
        <v>534</v>
      </c>
      <c r="H784" s="43" t="s">
        <v>113</v>
      </c>
      <c r="I784" s="47">
        <v>2</v>
      </c>
      <c r="J784" s="110">
        <v>1138889</v>
      </c>
      <c r="K784" s="110">
        <f t="shared" si="154"/>
        <v>2277778</v>
      </c>
      <c r="L784" s="110">
        <f t="shared" si="150"/>
        <v>182222.24</v>
      </c>
      <c r="M784" s="266">
        <f t="shared" si="151"/>
        <v>2460000.2400000002</v>
      </c>
      <c r="N784" s="65"/>
      <c r="O784" s="65"/>
      <c r="P784" s="65"/>
      <c r="Q784" s="10">
        <f t="shared" si="155"/>
        <v>2460000.2400000002</v>
      </c>
      <c r="R784" s="67"/>
    </row>
    <row r="785" spans="1:20" s="72" customFormat="1" ht="25.5" hidden="1">
      <c r="A785" s="3" t="s">
        <v>607</v>
      </c>
      <c r="B785" s="41" t="s">
        <v>19</v>
      </c>
      <c r="C785" s="58" t="s">
        <v>533</v>
      </c>
      <c r="D785" s="41">
        <v>46297</v>
      </c>
      <c r="E785" s="43" t="s">
        <v>532</v>
      </c>
      <c r="F785" s="44" t="s">
        <v>16</v>
      </c>
      <c r="G785" s="44" t="s">
        <v>535</v>
      </c>
      <c r="H785" s="43" t="s">
        <v>113</v>
      </c>
      <c r="I785" s="47">
        <v>2</v>
      </c>
      <c r="J785" s="110">
        <v>851852</v>
      </c>
      <c r="K785" s="110">
        <f t="shared" si="154"/>
        <v>1703704</v>
      </c>
      <c r="L785" s="110">
        <f t="shared" si="150"/>
        <v>136296.32000000001</v>
      </c>
      <c r="M785" s="266">
        <f t="shared" si="151"/>
        <v>1840000.32</v>
      </c>
      <c r="N785" s="65"/>
      <c r="O785" s="65"/>
      <c r="P785" s="65"/>
      <c r="Q785" s="10">
        <f t="shared" si="155"/>
        <v>1840000.32</v>
      </c>
      <c r="R785" s="67"/>
    </row>
    <row r="786" spans="1:20" s="72" customFormat="1" ht="39.75" hidden="1" customHeight="1">
      <c r="A786" s="3" t="s">
        <v>607</v>
      </c>
      <c r="B786" s="41" t="s">
        <v>19</v>
      </c>
      <c r="C786" s="58" t="s">
        <v>537</v>
      </c>
      <c r="D786" s="41" t="s">
        <v>536</v>
      </c>
      <c r="E786" s="43" t="s">
        <v>532</v>
      </c>
      <c r="F786" s="44" t="s">
        <v>48</v>
      </c>
      <c r="G786" s="44" t="s">
        <v>538</v>
      </c>
      <c r="H786" s="43" t="s">
        <v>113</v>
      </c>
      <c r="I786" s="47">
        <v>12</v>
      </c>
      <c r="J786" s="110">
        <v>601852</v>
      </c>
      <c r="K786" s="110">
        <f t="shared" si="154"/>
        <v>7222224</v>
      </c>
      <c r="L786" s="110">
        <f t="shared" si="150"/>
        <v>577777.92000000004</v>
      </c>
      <c r="M786" s="266">
        <f t="shared" si="151"/>
        <v>7800001.9199999999</v>
      </c>
      <c r="N786" s="88"/>
      <c r="O786" s="88"/>
      <c r="P786" s="88"/>
      <c r="Q786" s="10">
        <f t="shared" si="155"/>
        <v>7800001.9199999999</v>
      </c>
      <c r="R786" s="67"/>
      <c r="T786" s="72" t="s">
        <v>539</v>
      </c>
    </row>
    <row r="787" spans="1:20" s="72" customFormat="1" ht="15.75" hidden="1">
      <c r="A787" s="3" t="s">
        <v>607</v>
      </c>
      <c r="B787" s="41" t="s">
        <v>19</v>
      </c>
      <c r="C787" s="58" t="s">
        <v>537</v>
      </c>
      <c r="D787" s="41" t="s">
        <v>536</v>
      </c>
      <c r="E787" s="43" t="s">
        <v>532</v>
      </c>
      <c r="F787" s="44" t="s">
        <v>540</v>
      </c>
      <c r="G787" s="44" t="s">
        <v>229</v>
      </c>
      <c r="H787" s="43" t="s">
        <v>113</v>
      </c>
      <c r="I787" s="47">
        <v>12</v>
      </c>
      <c r="J787" s="110">
        <v>324074</v>
      </c>
      <c r="K787" s="110">
        <f t="shared" si="154"/>
        <v>3888888</v>
      </c>
      <c r="L787" s="110">
        <f t="shared" si="150"/>
        <v>311111.03999999998</v>
      </c>
      <c r="M787" s="266">
        <f t="shared" si="151"/>
        <v>4199999.04</v>
      </c>
      <c r="N787" s="65"/>
      <c r="O787" s="65"/>
      <c r="P787" s="65"/>
      <c r="Q787" s="10">
        <f t="shared" si="155"/>
        <v>4199999.04</v>
      </c>
      <c r="R787" s="67"/>
      <c r="T787" s="72" t="s">
        <v>539</v>
      </c>
    </row>
    <row r="788" spans="1:20" s="72" customFormat="1" ht="15.75" hidden="1">
      <c r="A788" s="3" t="s">
        <v>607</v>
      </c>
      <c r="B788" s="41" t="s">
        <v>19</v>
      </c>
      <c r="C788" s="58" t="s">
        <v>537</v>
      </c>
      <c r="D788" s="41" t="s">
        <v>536</v>
      </c>
      <c r="E788" s="43" t="s">
        <v>532</v>
      </c>
      <c r="F788" s="44" t="s">
        <v>56</v>
      </c>
      <c r="G788" s="44" t="s">
        <v>541</v>
      </c>
      <c r="H788" s="43" t="s">
        <v>113</v>
      </c>
      <c r="I788" s="47">
        <v>24</v>
      </c>
      <c r="J788" s="110">
        <v>325926</v>
      </c>
      <c r="K788" s="110">
        <f t="shared" si="154"/>
        <v>7822224</v>
      </c>
      <c r="L788" s="110">
        <f t="shared" si="150"/>
        <v>625777.92000000004</v>
      </c>
      <c r="M788" s="266">
        <f t="shared" si="151"/>
        <v>8448001.9199999999</v>
      </c>
      <c r="N788" s="65"/>
      <c r="O788" s="65"/>
      <c r="P788" s="65"/>
      <c r="Q788" s="10">
        <f t="shared" si="155"/>
        <v>8448001.9199999999</v>
      </c>
      <c r="R788" s="67"/>
      <c r="T788" s="72" t="s">
        <v>539</v>
      </c>
    </row>
    <row r="789" spans="1:20" s="72" customFormat="1" ht="15.75" hidden="1">
      <c r="A789" s="3" t="s">
        <v>607</v>
      </c>
      <c r="B789" s="41" t="s">
        <v>19</v>
      </c>
      <c r="C789" s="49" t="s">
        <v>531</v>
      </c>
      <c r="D789" s="41" t="str">
        <f>B789</f>
        <v>30/12/2025</v>
      </c>
      <c r="E789" s="43" t="s">
        <v>532</v>
      </c>
      <c r="F789" s="44" t="s">
        <v>62</v>
      </c>
      <c r="G789" s="44" t="s">
        <v>63</v>
      </c>
      <c r="H789" s="43" t="s">
        <v>113</v>
      </c>
      <c r="I789" s="47">
        <v>12</v>
      </c>
      <c r="J789" s="110"/>
      <c r="K789" s="110"/>
      <c r="L789" s="45"/>
      <c r="M789" s="256"/>
      <c r="N789" s="65"/>
      <c r="O789" s="65"/>
      <c r="P789" s="65"/>
      <c r="Q789" s="10">
        <f t="shared" si="155"/>
        <v>0</v>
      </c>
      <c r="R789" s="67"/>
    </row>
    <row r="790" spans="1:20" s="72" customFormat="1" ht="15.75" hidden="1">
      <c r="A790" s="3" t="s">
        <v>607</v>
      </c>
      <c r="B790" s="41"/>
      <c r="C790" s="49"/>
      <c r="D790" s="41"/>
      <c r="E790" s="202" t="s">
        <v>608</v>
      </c>
      <c r="F790" s="44"/>
      <c r="G790" s="44"/>
      <c r="H790" s="43"/>
      <c r="I790" s="47"/>
      <c r="J790" s="110"/>
      <c r="K790" s="110"/>
      <c r="L790" s="45"/>
      <c r="M790" s="203"/>
      <c r="O790" s="203"/>
      <c r="P790" s="203">
        <f>SUM(M771:M788)*2%</f>
        <v>1257119.784</v>
      </c>
      <c r="Q790" s="10">
        <f t="shared" si="155"/>
        <v>-1257119.784</v>
      </c>
      <c r="R790" s="67"/>
    </row>
    <row r="791" spans="1:20" s="281" customFormat="1" ht="30" hidden="1">
      <c r="A791" s="3" t="s">
        <v>607</v>
      </c>
      <c r="B791" s="51">
        <v>46054</v>
      </c>
      <c r="C791" s="52" t="s">
        <v>542</v>
      </c>
      <c r="D791" s="51"/>
      <c r="E791" s="204" t="s">
        <v>543</v>
      </c>
      <c r="F791" s="60"/>
      <c r="G791" s="60"/>
      <c r="H791" s="53"/>
      <c r="I791" s="205"/>
      <c r="J791" s="206"/>
      <c r="K791" s="206">
        <f t="shared" si="154"/>
        <v>0</v>
      </c>
      <c r="L791" s="54">
        <f t="shared" ref="L791:L817" si="156">K791*8%</f>
        <v>0</v>
      </c>
      <c r="M791" s="207"/>
      <c r="N791" s="207">
        <v>18656000</v>
      </c>
      <c r="O791" s="207"/>
      <c r="P791" s="207"/>
      <c r="Q791" s="10">
        <f t="shared" si="155"/>
        <v>-18656000</v>
      </c>
      <c r="R791" s="54"/>
    </row>
    <row r="792" spans="1:20" s="72" customFormat="1" ht="18" hidden="1" customHeight="1">
      <c r="A792" s="3" t="s">
        <v>607</v>
      </c>
      <c r="B792" s="41">
        <v>46083</v>
      </c>
      <c r="C792" s="49" t="s">
        <v>544</v>
      </c>
      <c r="D792" s="41">
        <v>46114</v>
      </c>
      <c r="E792" s="43" t="s">
        <v>532</v>
      </c>
      <c r="F792" s="44" t="s">
        <v>260</v>
      </c>
      <c r="G792" s="44" t="s">
        <v>261</v>
      </c>
      <c r="H792" s="43" t="s">
        <v>113</v>
      </c>
      <c r="I792" s="47">
        <v>4</v>
      </c>
      <c r="J792" s="110">
        <v>492592.59</v>
      </c>
      <c r="K792" s="110">
        <f t="shared" si="154"/>
        <v>1970370.36</v>
      </c>
      <c r="L792" s="110">
        <f t="shared" si="156"/>
        <v>157629.62880000001</v>
      </c>
      <c r="M792" s="266">
        <f>K792+L792</f>
        <v>2127999.9887999999</v>
      </c>
      <c r="N792" s="67"/>
      <c r="O792" s="67"/>
      <c r="P792" s="67"/>
      <c r="Q792" s="10">
        <f t="shared" si="155"/>
        <v>2127999.9887999999</v>
      </c>
      <c r="R792" s="67"/>
    </row>
    <row r="793" spans="1:20" s="72" customFormat="1" ht="25.5" hidden="1" customHeight="1">
      <c r="A793" s="3" t="s">
        <v>607</v>
      </c>
      <c r="B793" s="41">
        <v>46083</v>
      </c>
      <c r="C793" s="49" t="s">
        <v>544</v>
      </c>
      <c r="D793" s="41">
        <v>46114</v>
      </c>
      <c r="E793" s="43" t="s">
        <v>532</v>
      </c>
      <c r="F793" s="44" t="s">
        <v>62</v>
      </c>
      <c r="G793" s="44" t="s">
        <v>63</v>
      </c>
      <c r="H793" s="43" t="s">
        <v>113</v>
      </c>
      <c r="I793" s="47">
        <v>10</v>
      </c>
      <c r="J793" s="110">
        <v>78703.7</v>
      </c>
      <c r="K793" s="110">
        <f t="shared" si="154"/>
        <v>787037</v>
      </c>
      <c r="L793" s="110">
        <f t="shared" si="156"/>
        <v>62962.96</v>
      </c>
      <c r="M793" s="266">
        <f>K793+L793</f>
        <v>849999.96</v>
      </c>
      <c r="N793" s="67"/>
      <c r="O793" s="67"/>
      <c r="P793" s="67"/>
      <c r="Q793" s="10">
        <f t="shared" si="155"/>
        <v>849999.96</v>
      </c>
      <c r="R793" s="67"/>
    </row>
    <row r="794" spans="1:20" s="72" customFormat="1" ht="30.75" hidden="1" customHeight="1">
      <c r="A794" s="3" t="s">
        <v>607</v>
      </c>
      <c r="B794" s="41">
        <v>46083</v>
      </c>
      <c r="C794" s="49" t="s">
        <v>544</v>
      </c>
      <c r="D794" s="41">
        <v>46114</v>
      </c>
      <c r="E794" s="43" t="s">
        <v>532</v>
      </c>
      <c r="F794" s="44" t="s">
        <v>38</v>
      </c>
      <c r="G794" s="44" t="s">
        <v>39</v>
      </c>
      <c r="H794" s="43" t="s">
        <v>113</v>
      </c>
      <c r="I794" s="47">
        <v>10</v>
      </c>
      <c r="J794" s="110">
        <v>277777.77</v>
      </c>
      <c r="K794" s="110">
        <f t="shared" si="154"/>
        <v>2777777.7</v>
      </c>
      <c r="L794" s="110">
        <f t="shared" si="156"/>
        <v>222222.21600000001</v>
      </c>
      <c r="M794" s="266">
        <f>K794+L794</f>
        <v>2999999.9160000002</v>
      </c>
      <c r="N794" s="67"/>
      <c r="O794" s="67"/>
      <c r="P794" s="67"/>
      <c r="Q794" s="10">
        <f t="shared" si="155"/>
        <v>2999999.9160000002</v>
      </c>
      <c r="R794" s="67"/>
    </row>
    <row r="795" spans="1:20" s="72" customFormat="1" ht="18" hidden="1" customHeight="1">
      <c r="A795" s="3" t="s">
        <v>607</v>
      </c>
      <c r="B795" s="41">
        <v>46083</v>
      </c>
      <c r="C795" s="49" t="s">
        <v>544</v>
      </c>
      <c r="D795" s="41">
        <v>46114</v>
      </c>
      <c r="E795" s="43" t="s">
        <v>532</v>
      </c>
      <c r="F795" s="44" t="s">
        <v>40</v>
      </c>
      <c r="G795" s="44" t="s">
        <v>41</v>
      </c>
      <c r="H795" s="43" t="s">
        <v>113</v>
      </c>
      <c r="I795" s="47">
        <v>2</v>
      </c>
      <c r="J795" s="110">
        <v>844444.44</v>
      </c>
      <c r="K795" s="110">
        <f t="shared" si="154"/>
        <v>1688888.88</v>
      </c>
      <c r="L795" s="110">
        <f t="shared" si="156"/>
        <v>135111.11040000001</v>
      </c>
      <c r="M795" s="266">
        <f>K795+L795</f>
        <v>1823999.9904</v>
      </c>
      <c r="N795" s="67"/>
      <c r="O795" s="67"/>
      <c r="P795" s="67"/>
      <c r="Q795" s="10">
        <f t="shared" si="155"/>
        <v>1823999.9904</v>
      </c>
      <c r="R795" s="67"/>
    </row>
    <row r="796" spans="1:20" s="72" customFormat="1" ht="25.15" hidden="1" customHeight="1">
      <c r="A796" s="3" t="s">
        <v>607</v>
      </c>
      <c r="B796" s="41">
        <v>46083</v>
      </c>
      <c r="C796" s="58" t="s">
        <v>533</v>
      </c>
      <c r="D796" s="41">
        <v>46297</v>
      </c>
      <c r="E796" s="43" t="s">
        <v>532</v>
      </c>
      <c r="F796" s="44" t="s">
        <v>16</v>
      </c>
      <c r="G796" s="44" t="s">
        <v>535</v>
      </c>
      <c r="H796" s="43" t="s">
        <v>113</v>
      </c>
      <c r="I796" s="47">
        <v>4</v>
      </c>
      <c r="J796" s="110">
        <v>851852</v>
      </c>
      <c r="K796" s="110">
        <f t="shared" si="154"/>
        <v>3407408</v>
      </c>
      <c r="L796" s="110">
        <f t="shared" si="156"/>
        <v>272592.64000000001</v>
      </c>
      <c r="M796" s="266">
        <f>K796+L796</f>
        <v>3680000.64</v>
      </c>
      <c r="N796" s="67"/>
      <c r="O796" s="67"/>
      <c r="P796" s="67"/>
      <c r="Q796" s="10">
        <f t="shared" si="155"/>
        <v>3680000.64</v>
      </c>
      <c r="R796" s="67"/>
    </row>
    <row r="797" spans="1:20" s="281" customFormat="1" ht="30" hidden="1">
      <c r="A797" s="3" t="s">
        <v>607</v>
      </c>
      <c r="B797" s="51" t="s">
        <v>545</v>
      </c>
      <c r="C797" s="52"/>
      <c r="D797" s="51" t="s">
        <v>546</v>
      </c>
      <c r="E797" s="204" t="s">
        <v>543</v>
      </c>
      <c r="F797" s="60"/>
      <c r="G797" s="60"/>
      <c r="H797" s="53"/>
      <c r="I797" s="205"/>
      <c r="J797" s="206"/>
      <c r="K797" s="206">
        <f t="shared" si="154"/>
        <v>0</v>
      </c>
      <c r="L797" s="206">
        <f t="shared" si="156"/>
        <v>0</v>
      </c>
      <c r="M797" s="207"/>
      <c r="N797" s="207">
        <v>35233986</v>
      </c>
      <c r="O797" s="207"/>
      <c r="P797" s="207"/>
      <c r="Q797" s="10">
        <f t="shared" si="155"/>
        <v>-35233986</v>
      </c>
      <c r="R797" s="54"/>
    </row>
    <row r="798" spans="1:20" s="72" customFormat="1" ht="18" hidden="1" customHeight="1">
      <c r="A798" s="3" t="s">
        <v>607</v>
      </c>
      <c r="B798" s="41">
        <v>46083</v>
      </c>
      <c r="C798" s="58" t="s">
        <v>537</v>
      </c>
      <c r="D798" s="41" t="s">
        <v>536</v>
      </c>
      <c r="E798" s="43" t="s">
        <v>532</v>
      </c>
      <c r="F798" s="44" t="s">
        <v>54</v>
      </c>
      <c r="G798" s="44" t="s">
        <v>229</v>
      </c>
      <c r="H798" s="43" t="s">
        <v>113</v>
      </c>
      <c r="I798" s="47">
        <v>12</v>
      </c>
      <c r="J798" s="110">
        <v>324074.07</v>
      </c>
      <c r="K798" s="110">
        <f t="shared" si="154"/>
        <v>3888888.84</v>
      </c>
      <c r="L798" s="110">
        <f t="shared" si="156"/>
        <v>311111.10719999997</v>
      </c>
      <c r="M798" s="266">
        <f>K798+L798</f>
        <v>4199999.9472000003</v>
      </c>
      <c r="N798" s="67"/>
      <c r="O798" s="67"/>
      <c r="P798" s="67"/>
      <c r="Q798" s="10">
        <f t="shared" si="155"/>
        <v>4199999.9472000003</v>
      </c>
      <c r="R798" s="67"/>
    </row>
    <row r="799" spans="1:20" s="281" customFormat="1" ht="30" hidden="1">
      <c r="A799" s="3" t="s">
        <v>607</v>
      </c>
      <c r="B799" s="51"/>
      <c r="C799" s="52"/>
      <c r="D799" s="51">
        <v>46147</v>
      </c>
      <c r="E799" s="204" t="s">
        <v>543</v>
      </c>
      <c r="F799" s="60"/>
      <c r="G799" s="60"/>
      <c r="H799" s="53"/>
      <c r="I799" s="205"/>
      <c r="J799" s="206"/>
      <c r="K799" s="206">
        <f t="shared" si="154"/>
        <v>0</v>
      </c>
      <c r="L799" s="206">
        <f t="shared" si="156"/>
        <v>0</v>
      </c>
      <c r="M799" s="207"/>
      <c r="N799" s="207">
        <v>23390844</v>
      </c>
      <c r="O799" s="207"/>
      <c r="P799" s="207"/>
      <c r="Q799" s="10">
        <f t="shared" si="155"/>
        <v>-23390844</v>
      </c>
      <c r="R799" s="54"/>
    </row>
    <row r="800" spans="1:20" s="87" customFormat="1" ht="25.9" hidden="1" customHeight="1">
      <c r="A800" s="3" t="s">
        <v>607</v>
      </c>
      <c r="B800" s="63"/>
      <c r="C800" s="111"/>
      <c r="D800" s="41">
        <v>46208</v>
      </c>
      <c r="E800" s="64" t="s">
        <v>547</v>
      </c>
      <c r="F800" s="44" t="s">
        <v>46</v>
      </c>
      <c r="G800" s="44" t="s">
        <v>47</v>
      </c>
      <c r="H800" s="43" t="s">
        <v>113</v>
      </c>
      <c r="I800" s="208">
        <v>-18</v>
      </c>
      <c r="J800" s="110">
        <v>194444</v>
      </c>
      <c r="K800" s="209">
        <f t="shared" si="154"/>
        <v>-3499992</v>
      </c>
      <c r="L800" s="209">
        <f t="shared" si="156"/>
        <v>-279999.35999999999</v>
      </c>
      <c r="M800" s="266">
        <f t="shared" ref="M800:M817" si="157">K800+L800</f>
        <v>-3779991.36</v>
      </c>
      <c r="N800" s="67"/>
      <c r="O800" s="67"/>
      <c r="P800" s="67"/>
      <c r="Q800" s="10">
        <f t="shared" si="155"/>
        <v>-3779991.36</v>
      </c>
      <c r="R800" s="67"/>
    </row>
    <row r="801" spans="1:20" s="87" customFormat="1" ht="25.9" hidden="1" customHeight="1">
      <c r="A801" s="3" t="s">
        <v>607</v>
      </c>
      <c r="B801" s="63"/>
      <c r="C801" s="111"/>
      <c r="D801" s="41">
        <v>46208</v>
      </c>
      <c r="E801" s="64" t="s">
        <v>547</v>
      </c>
      <c r="F801" s="44" t="s">
        <v>180</v>
      </c>
      <c r="G801" s="44" t="s">
        <v>181</v>
      </c>
      <c r="H801" s="43" t="s">
        <v>113</v>
      </c>
      <c r="I801" s="208">
        <v>-10</v>
      </c>
      <c r="J801" s="110">
        <v>234259</v>
      </c>
      <c r="K801" s="209">
        <f t="shared" si="154"/>
        <v>-2342590</v>
      </c>
      <c r="L801" s="209">
        <f t="shared" si="156"/>
        <v>-187407.2</v>
      </c>
      <c r="M801" s="266">
        <f t="shared" si="157"/>
        <v>-2529997.2000000002</v>
      </c>
      <c r="N801" s="67"/>
      <c r="O801" s="67"/>
      <c r="P801" s="67"/>
      <c r="Q801" s="10">
        <f t="shared" si="155"/>
        <v>-2529997.2000000002</v>
      </c>
      <c r="R801" s="67"/>
    </row>
    <row r="802" spans="1:20" s="87" customFormat="1" ht="25.9" hidden="1" customHeight="1">
      <c r="A802" s="3" t="s">
        <v>607</v>
      </c>
      <c r="B802" s="63"/>
      <c r="C802" s="111"/>
      <c r="D802" s="41">
        <v>46208</v>
      </c>
      <c r="E802" s="64" t="s">
        <v>547</v>
      </c>
      <c r="F802" s="44" t="s">
        <v>26</v>
      </c>
      <c r="G802" s="44" t="s">
        <v>27</v>
      </c>
      <c r="H802" s="43" t="s">
        <v>113</v>
      </c>
      <c r="I802" s="208">
        <v>-10</v>
      </c>
      <c r="J802" s="110">
        <v>256481</v>
      </c>
      <c r="K802" s="209">
        <f t="shared" si="154"/>
        <v>-2564810</v>
      </c>
      <c r="L802" s="209">
        <f t="shared" si="156"/>
        <v>-205184.80000000002</v>
      </c>
      <c r="M802" s="266">
        <f t="shared" si="157"/>
        <v>-2769994.8</v>
      </c>
      <c r="N802" s="67"/>
      <c r="O802" s="67"/>
      <c r="P802" s="67"/>
      <c r="Q802" s="10">
        <f t="shared" si="155"/>
        <v>-2769994.8</v>
      </c>
      <c r="R802" s="67"/>
    </row>
    <row r="803" spans="1:20" s="87" customFormat="1" ht="25.9" hidden="1" customHeight="1">
      <c r="A803" s="3" t="s">
        <v>607</v>
      </c>
      <c r="B803" s="63"/>
      <c r="C803" s="111"/>
      <c r="D803" s="41">
        <v>46208</v>
      </c>
      <c r="E803" s="64" t="s">
        <v>547</v>
      </c>
      <c r="F803" s="44" t="s">
        <v>184</v>
      </c>
      <c r="G803" s="44" t="s">
        <v>272</v>
      </c>
      <c r="H803" s="43" t="s">
        <v>113</v>
      </c>
      <c r="I803" s="208">
        <v>-10</v>
      </c>
      <c r="J803" s="110">
        <v>227778</v>
      </c>
      <c r="K803" s="209">
        <f t="shared" si="154"/>
        <v>-2277780</v>
      </c>
      <c r="L803" s="209">
        <f t="shared" si="156"/>
        <v>-182222.4</v>
      </c>
      <c r="M803" s="266">
        <f t="shared" si="157"/>
        <v>-2460002.4</v>
      </c>
      <c r="N803" s="67"/>
      <c r="O803" s="67"/>
      <c r="P803" s="67"/>
      <c r="Q803" s="10">
        <f t="shared" si="155"/>
        <v>-2460002.4</v>
      </c>
      <c r="R803" s="67"/>
    </row>
    <row r="804" spans="1:20" s="72" customFormat="1" ht="18" hidden="1" customHeight="1">
      <c r="A804" s="3" t="s">
        <v>607</v>
      </c>
      <c r="B804" s="41">
        <v>46117</v>
      </c>
      <c r="C804" s="58" t="s">
        <v>548</v>
      </c>
      <c r="D804" s="41">
        <v>46208</v>
      </c>
      <c r="E804" s="43" t="s">
        <v>532</v>
      </c>
      <c r="F804" s="44" t="s">
        <v>355</v>
      </c>
      <c r="G804" s="44" t="s">
        <v>356</v>
      </c>
      <c r="H804" s="43" t="s">
        <v>25</v>
      </c>
      <c r="I804" s="47">
        <v>2</v>
      </c>
      <c r="J804" s="110">
        <v>1043518.52</v>
      </c>
      <c r="K804" s="110">
        <f t="shared" si="154"/>
        <v>2087037.04</v>
      </c>
      <c r="L804" s="110">
        <f t="shared" si="156"/>
        <v>166962.9632</v>
      </c>
      <c r="M804" s="266">
        <f t="shared" si="157"/>
        <v>2254000.0032000002</v>
      </c>
      <c r="N804" s="67"/>
      <c r="O804" s="67"/>
      <c r="P804" s="67"/>
      <c r="Q804" s="10">
        <f t="shared" si="155"/>
        <v>2254000.0032000002</v>
      </c>
      <c r="R804" s="67"/>
      <c r="T804" s="224"/>
    </row>
    <row r="805" spans="1:20" s="72" customFormat="1" ht="18" hidden="1" customHeight="1">
      <c r="A805" s="3" t="s">
        <v>607</v>
      </c>
      <c r="B805" s="41">
        <v>46117</v>
      </c>
      <c r="C805" s="58" t="s">
        <v>548</v>
      </c>
      <c r="D805" s="41">
        <v>46208</v>
      </c>
      <c r="E805" s="43" t="s">
        <v>532</v>
      </c>
      <c r="F805" s="44" t="s">
        <v>262</v>
      </c>
      <c r="G805" s="44" t="s">
        <v>263</v>
      </c>
      <c r="H805" s="43" t="s">
        <v>25</v>
      </c>
      <c r="I805" s="47">
        <v>2</v>
      </c>
      <c r="J805" s="110">
        <v>851851.85</v>
      </c>
      <c r="K805" s="110">
        <f t="shared" si="154"/>
        <v>1703703.7</v>
      </c>
      <c r="L805" s="110">
        <f t="shared" si="156"/>
        <v>136296.296</v>
      </c>
      <c r="M805" s="266">
        <f t="shared" si="157"/>
        <v>1839999.996</v>
      </c>
      <c r="N805" s="67"/>
      <c r="O805" s="67"/>
      <c r="P805" s="67"/>
      <c r="Q805" s="10">
        <f t="shared" si="155"/>
        <v>1839999.996</v>
      </c>
      <c r="R805" s="67"/>
    </row>
    <row r="806" spans="1:20" s="72" customFormat="1" ht="25.5" hidden="1">
      <c r="A806" s="3" t="s">
        <v>607</v>
      </c>
      <c r="B806" s="41">
        <v>46117</v>
      </c>
      <c r="C806" s="58" t="s">
        <v>548</v>
      </c>
      <c r="D806" s="41">
        <v>46208</v>
      </c>
      <c r="E806" s="43" t="s">
        <v>532</v>
      </c>
      <c r="F806" s="44" t="s">
        <v>30</v>
      </c>
      <c r="G806" s="44" t="s">
        <v>31</v>
      </c>
      <c r="H806" s="43" t="s">
        <v>113</v>
      </c>
      <c r="I806" s="47">
        <v>20</v>
      </c>
      <c r="J806" s="110">
        <v>252777.78</v>
      </c>
      <c r="K806" s="110">
        <f t="shared" si="154"/>
        <v>5055555.5999999996</v>
      </c>
      <c r="L806" s="110">
        <f t="shared" si="156"/>
        <v>404444.44799999997</v>
      </c>
      <c r="M806" s="266">
        <f t="shared" si="157"/>
        <v>5460000.0479999995</v>
      </c>
      <c r="N806" s="67"/>
      <c r="O806" s="67"/>
      <c r="P806" s="67"/>
      <c r="Q806" s="10">
        <f t="shared" si="155"/>
        <v>5460000.0479999995</v>
      </c>
      <c r="R806" s="67"/>
    </row>
    <row r="807" spans="1:20" s="72" customFormat="1" ht="25.5" hidden="1">
      <c r="A807" s="3" t="s">
        <v>607</v>
      </c>
      <c r="B807" s="41">
        <v>46117</v>
      </c>
      <c r="C807" s="58" t="s">
        <v>548</v>
      </c>
      <c r="D807" s="41">
        <v>46208</v>
      </c>
      <c r="E807" s="43" t="s">
        <v>532</v>
      </c>
      <c r="F807" s="44" t="s">
        <v>36</v>
      </c>
      <c r="G807" s="44" t="s">
        <v>37</v>
      </c>
      <c r="H807" s="43" t="s">
        <v>113</v>
      </c>
      <c r="I807" s="47">
        <v>20</v>
      </c>
      <c r="J807" s="110">
        <v>252777.78</v>
      </c>
      <c r="K807" s="110">
        <f t="shared" si="154"/>
        <v>5055555.5999999996</v>
      </c>
      <c r="L807" s="110">
        <f t="shared" si="156"/>
        <v>404444.44799999997</v>
      </c>
      <c r="M807" s="266">
        <f t="shared" si="157"/>
        <v>5460000.0479999995</v>
      </c>
      <c r="N807" s="67"/>
      <c r="O807" s="67"/>
      <c r="P807" s="67"/>
      <c r="Q807" s="10">
        <f t="shared" si="155"/>
        <v>5460000.0479999995</v>
      </c>
      <c r="R807" s="67"/>
    </row>
    <row r="808" spans="1:20" s="72" customFormat="1" ht="25.5" hidden="1">
      <c r="A808" s="3" t="s">
        <v>607</v>
      </c>
      <c r="B808" s="41">
        <v>46117</v>
      </c>
      <c r="C808" s="58" t="s">
        <v>548</v>
      </c>
      <c r="D808" s="41">
        <v>46208</v>
      </c>
      <c r="E808" s="43" t="s">
        <v>532</v>
      </c>
      <c r="F808" s="44" t="s">
        <v>38</v>
      </c>
      <c r="G808" s="44" t="s">
        <v>39</v>
      </c>
      <c r="H808" s="43" t="s">
        <v>113</v>
      </c>
      <c r="I808" s="47">
        <v>20</v>
      </c>
      <c r="J808" s="110">
        <v>277777.78000000003</v>
      </c>
      <c r="K808" s="110">
        <f t="shared" si="154"/>
        <v>5555555.6000000006</v>
      </c>
      <c r="L808" s="110">
        <f t="shared" si="156"/>
        <v>444444.44800000003</v>
      </c>
      <c r="M808" s="266">
        <f t="shared" si="157"/>
        <v>6000000.0480000004</v>
      </c>
      <c r="N808" s="67"/>
      <c r="O808" s="67"/>
      <c r="P808" s="67"/>
      <c r="Q808" s="10">
        <f t="shared" si="155"/>
        <v>6000000.0480000004</v>
      </c>
      <c r="R808" s="67"/>
    </row>
    <row r="809" spans="1:20" s="72" customFormat="1" ht="25.5" hidden="1">
      <c r="A809" s="3" t="s">
        <v>607</v>
      </c>
      <c r="B809" s="41">
        <v>46117</v>
      </c>
      <c r="C809" s="58" t="s">
        <v>548</v>
      </c>
      <c r="D809" s="41">
        <v>46208</v>
      </c>
      <c r="E809" s="43" t="s">
        <v>532</v>
      </c>
      <c r="F809" s="44" t="s">
        <v>60</v>
      </c>
      <c r="G809" s="44" t="s">
        <v>61</v>
      </c>
      <c r="H809" s="43" t="s">
        <v>113</v>
      </c>
      <c r="I809" s="47">
        <v>4</v>
      </c>
      <c r="J809" s="110">
        <v>1138889</v>
      </c>
      <c r="K809" s="110">
        <f t="shared" si="154"/>
        <v>4555556</v>
      </c>
      <c r="L809" s="110">
        <f t="shared" si="156"/>
        <v>364444.48</v>
      </c>
      <c r="M809" s="266">
        <f t="shared" si="157"/>
        <v>4920000.4800000004</v>
      </c>
      <c r="N809" s="67"/>
      <c r="O809" s="67"/>
      <c r="P809" s="67"/>
      <c r="Q809" s="10">
        <f t="shared" si="155"/>
        <v>4920000.4800000004</v>
      </c>
      <c r="R809" s="67"/>
    </row>
    <row r="810" spans="1:20" s="72" customFormat="1" ht="25.5" hidden="1">
      <c r="A810" s="3" t="s">
        <v>607</v>
      </c>
      <c r="B810" s="41">
        <v>46117</v>
      </c>
      <c r="C810" s="58" t="s">
        <v>548</v>
      </c>
      <c r="D810" s="41">
        <v>46208</v>
      </c>
      <c r="E810" s="43" t="s">
        <v>532</v>
      </c>
      <c r="F810" s="44" t="s">
        <v>83</v>
      </c>
      <c r="G810" s="44" t="s">
        <v>84</v>
      </c>
      <c r="H810" s="43" t="s">
        <v>113</v>
      </c>
      <c r="I810" s="47">
        <v>4</v>
      </c>
      <c r="J810" s="110">
        <v>1097222.22</v>
      </c>
      <c r="K810" s="110">
        <f t="shared" si="154"/>
        <v>4388888.88</v>
      </c>
      <c r="L810" s="110">
        <f t="shared" si="156"/>
        <v>351111.11040000001</v>
      </c>
      <c r="M810" s="266">
        <f t="shared" si="157"/>
        <v>4739999.9903999995</v>
      </c>
      <c r="N810" s="67"/>
      <c r="O810" s="67"/>
      <c r="P810" s="67"/>
      <c r="Q810" s="10">
        <f t="shared" si="155"/>
        <v>4739999.9903999995</v>
      </c>
      <c r="R810" s="67"/>
    </row>
    <row r="811" spans="1:20" s="72" customFormat="1" ht="18" hidden="1" customHeight="1">
      <c r="A811" s="3" t="s">
        <v>607</v>
      </c>
      <c r="B811" s="41">
        <v>46117</v>
      </c>
      <c r="C811" s="58" t="s">
        <v>548</v>
      </c>
      <c r="D811" s="41">
        <v>46208</v>
      </c>
      <c r="E811" s="43" t="s">
        <v>532</v>
      </c>
      <c r="F811" s="44" t="s">
        <v>56</v>
      </c>
      <c r="G811" s="44" t="s">
        <v>57</v>
      </c>
      <c r="H811" s="43" t="s">
        <v>113</v>
      </c>
      <c r="I811" s="47">
        <v>60</v>
      </c>
      <c r="J811" s="110">
        <v>325925.93</v>
      </c>
      <c r="K811" s="110">
        <f t="shared" si="154"/>
        <v>19555555.800000001</v>
      </c>
      <c r="L811" s="110">
        <f t="shared" si="156"/>
        <v>1564444.4640000002</v>
      </c>
      <c r="M811" s="266">
        <f t="shared" si="157"/>
        <v>21120000.264000002</v>
      </c>
      <c r="N811" s="67"/>
      <c r="O811" s="67"/>
      <c r="P811" s="67"/>
      <c r="Q811" s="10">
        <f t="shared" si="155"/>
        <v>21120000.264000002</v>
      </c>
      <c r="R811" s="67"/>
    </row>
    <row r="812" spans="1:20" s="72" customFormat="1" ht="18" hidden="1" customHeight="1">
      <c r="A812" s="3" t="s">
        <v>607</v>
      </c>
      <c r="B812" s="41">
        <v>46117</v>
      </c>
      <c r="C812" s="58" t="s">
        <v>548</v>
      </c>
      <c r="D812" s="41">
        <v>46208</v>
      </c>
      <c r="E812" s="43" t="s">
        <v>532</v>
      </c>
      <c r="F812" s="44" t="s">
        <v>62</v>
      </c>
      <c r="G812" s="44" t="s">
        <v>63</v>
      </c>
      <c r="H812" s="43" t="s">
        <v>113</v>
      </c>
      <c r="I812" s="47">
        <v>10</v>
      </c>
      <c r="J812" s="110">
        <v>78703.7</v>
      </c>
      <c r="K812" s="110">
        <f t="shared" si="154"/>
        <v>787037</v>
      </c>
      <c r="L812" s="110">
        <f t="shared" si="156"/>
        <v>62962.96</v>
      </c>
      <c r="M812" s="266">
        <f t="shared" si="157"/>
        <v>849999.96</v>
      </c>
      <c r="N812" s="67"/>
      <c r="O812" s="67"/>
      <c r="P812" s="67"/>
      <c r="Q812" s="10">
        <f t="shared" si="155"/>
        <v>849999.96</v>
      </c>
      <c r="R812" s="67"/>
    </row>
    <row r="813" spans="1:20" s="72" customFormat="1" ht="18" hidden="1" customHeight="1">
      <c r="A813" s="3" t="s">
        <v>607</v>
      </c>
      <c r="B813" s="41">
        <v>46117</v>
      </c>
      <c r="C813" s="58" t="s">
        <v>548</v>
      </c>
      <c r="D813" s="41">
        <v>46208</v>
      </c>
      <c r="E813" s="43" t="s">
        <v>532</v>
      </c>
      <c r="F813" s="44" t="s">
        <v>74</v>
      </c>
      <c r="G813" s="44" t="s">
        <v>141</v>
      </c>
      <c r="H813" s="43" t="s">
        <v>113</v>
      </c>
      <c r="I813" s="47">
        <v>8</v>
      </c>
      <c r="J813" s="110">
        <v>361111.11</v>
      </c>
      <c r="K813" s="110">
        <f t="shared" si="154"/>
        <v>2888888.88</v>
      </c>
      <c r="L813" s="110">
        <f t="shared" si="156"/>
        <v>231111.11040000001</v>
      </c>
      <c r="M813" s="266">
        <f t="shared" si="157"/>
        <v>3119999.9904</v>
      </c>
      <c r="N813" s="67"/>
      <c r="O813" s="67"/>
      <c r="P813" s="67"/>
      <c r="Q813" s="10">
        <f t="shared" si="155"/>
        <v>3119999.9904</v>
      </c>
      <c r="R813" s="67"/>
    </row>
    <row r="814" spans="1:20" s="72" customFormat="1" ht="18" hidden="1" customHeight="1">
      <c r="A814" s="3" t="s">
        <v>607</v>
      </c>
      <c r="B814" s="41">
        <v>46117</v>
      </c>
      <c r="C814" s="58" t="s">
        <v>548</v>
      </c>
      <c r="D814" s="41">
        <v>46208</v>
      </c>
      <c r="E814" s="43" t="s">
        <v>532</v>
      </c>
      <c r="F814" s="44" t="s">
        <v>274</v>
      </c>
      <c r="G814" s="44" t="s">
        <v>297</v>
      </c>
      <c r="H814" s="43" t="s">
        <v>25</v>
      </c>
      <c r="I814" s="47">
        <v>20</v>
      </c>
      <c r="J814" s="110">
        <v>416666.66</v>
      </c>
      <c r="K814" s="110">
        <f t="shared" si="154"/>
        <v>8333333.1999999993</v>
      </c>
      <c r="L814" s="110">
        <f t="shared" si="156"/>
        <v>666666.65599999996</v>
      </c>
      <c r="M814" s="266">
        <f t="shared" si="157"/>
        <v>8999999.8559999987</v>
      </c>
      <c r="N814" s="67"/>
      <c r="O814" s="67"/>
      <c r="P814" s="67"/>
      <c r="Q814" s="10">
        <f t="shared" si="155"/>
        <v>8999999.8559999987</v>
      </c>
      <c r="R814" s="67"/>
    </row>
    <row r="815" spans="1:20" s="72" customFormat="1" ht="18" hidden="1" customHeight="1">
      <c r="A815" s="3" t="s">
        <v>607</v>
      </c>
      <c r="B815" s="41">
        <v>46117</v>
      </c>
      <c r="C815" s="58" t="s">
        <v>548</v>
      </c>
      <c r="D815" s="41">
        <v>46208</v>
      </c>
      <c r="E815" s="43" t="s">
        <v>532</v>
      </c>
      <c r="F815" s="44" t="s">
        <v>77</v>
      </c>
      <c r="G815" s="44" t="s">
        <v>78</v>
      </c>
      <c r="H815" s="43" t="s">
        <v>25</v>
      </c>
      <c r="I815" s="47">
        <v>11</v>
      </c>
      <c r="J815" s="110">
        <v>324074.07</v>
      </c>
      <c r="K815" s="110">
        <f t="shared" si="154"/>
        <v>3564814.77</v>
      </c>
      <c r="L815" s="110">
        <f t="shared" si="156"/>
        <v>285185.18160000001</v>
      </c>
      <c r="M815" s="266">
        <f t="shared" si="157"/>
        <v>3849999.9516000003</v>
      </c>
      <c r="N815" s="67"/>
      <c r="O815" s="67"/>
      <c r="P815" s="67"/>
      <c r="Q815" s="10">
        <f t="shared" si="155"/>
        <v>3849999.9516000003</v>
      </c>
      <c r="R815" s="67"/>
    </row>
    <row r="816" spans="1:20" s="87" customFormat="1" ht="25.5" hidden="1">
      <c r="A816" s="3" t="s">
        <v>607</v>
      </c>
      <c r="B816" s="63">
        <v>46117</v>
      </c>
      <c r="C816" s="58" t="s">
        <v>549</v>
      </c>
      <c r="D816" s="63" t="s">
        <v>331</v>
      </c>
      <c r="E816" s="65" t="s">
        <v>532</v>
      </c>
      <c r="F816" s="68" t="s">
        <v>301</v>
      </c>
      <c r="G816" s="68" t="s">
        <v>302</v>
      </c>
      <c r="H816" s="65" t="s">
        <v>113</v>
      </c>
      <c r="I816" s="113">
        <v>20</v>
      </c>
      <c r="J816" s="110">
        <v>268518.52</v>
      </c>
      <c r="K816" s="110">
        <f>I816*J816</f>
        <v>5370370.4000000004</v>
      </c>
      <c r="L816" s="110">
        <f t="shared" si="156"/>
        <v>429629.63200000004</v>
      </c>
      <c r="M816" s="266">
        <f t="shared" si="157"/>
        <v>5800000.0320000006</v>
      </c>
      <c r="N816" s="67"/>
      <c r="O816" s="67"/>
      <c r="P816" s="67"/>
      <c r="Q816" s="10">
        <f t="shared" si="155"/>
        <v>5800000.0320000006</v>
      </c>
      <c r="R816" s="67"/>
    </row>
    <row r="817" spans="1:18" s="87" customFormat="1" ht="25.5" hidden="1">
      <c r="A817" s="3" t="s">
        <v>607</v>
      </c>
      <c r="B817" s="63">
        <v>46059</v>
      </c>
      <c r="C817" s="58" t="s">
        <v>550</v>
      </c>
      <c r="D817" s="63">
        <v>46059</v>
      </c>
      <c r="E817" s="65" t="s">
        <v>532</v>
      </c>
      <c r="F817" s="68" t="s">
        <v>301</v>
      </c>
      <c r="G817" s="68" t="s">
        <v>302</v>
      </c>
      <c r="H817" s="65" t="s">
        <v>113</v>
      </c>
      <c r="I817" s="113">
        <v>20</v>
      </c>
      <c r="J817" s="110">
        <v>268518.52</v>
      </c>
      <c r="K817" s="110">
        <f>I817*J817</f>
        <v>5370370.4000000004</v>
      </c>
      <c r="L817" s="110">
        <f t="shared" si="156"/>
        <v>429629.63200000004</v>
      </c>
      <c r="M817" s="266">
        <f t="shared" si="157"/>
        <v>5800000.0320000006</v>
      </c>
      <c r="N817" s="67"/>
      <c r="O817" s="67"/>
      <c r="P817" s="67"/>
      <c r="Q817" s="10">
        <f t="shared" si="155"/>
        <v>5800000.0320000006</v>
      </c>
      <c r="R817" s="67"/>
    </row>
    <row r="818" spans="1:18" s="281" customFormat="1" ht="30" hidden="1">
      <c r="A818" s="3" t="s">
        <v>607</v>
      </c>
      <c r="B818" s="51"/>
      <c r="C818" s="52"/>
      <c r="D818" s="51">
        <v>46271</v>
      </c>
      <c r="E818" s="204" t="s">
        <v>543</v>
      </c>
      <c r="F818" s="60"/>
      <c r="G818" s="60"/>
      <c r="H818" s="53"/>
      <c r="I818" s="205"/>
      <c r="J818" s="206"/>
      <c r="K818" s="206">
        <f t="shared" ref="K818:K823" si="158">I818*J818</f>
        <v>0</v>
      </c>
      <c r="L818" s="206">
        <f t="shared" ref="L818:L823" si="159">K818*8%</f>
        <v>0</v>
      </c>
      <c r="M818" s="207"/>
      <c r="N818" s="207">
        <v>68674055</v>
      </c>
      <c r="O818" s="207"/>
      <c r="P818" s="207"/>
      <c r="Q818" s="10">
        <f t="shared" si="155"/>
        <v>-68674055</v>
      </c>
      <c r="R818" s="54"/>
    </row>
    <row r="819" spans="1:18" s="87" customFormat="1" ht="18" hidden="1" customHeight="1">
      <c r="A819" s="3" t="s">
        <v>607</v>
      </c>
      <c r="B819" s="63">
        <v>46301</v>
      </c>
      <c r="C819" s="58" t="s">
        <v>551</v>
      </c>
      <c r="D819" s="63">
        <v>46362</v>
      </c>
      <c r="E819" s="65" t="s">
        <v>532</v>
      </c>
      <c r="F819" s="44" t="s">
        <v>274</v>
      </c>
      <c r="G819" s="44" t="s">
        <v>297</v>
      </c>
      <c r="H819" s="43" t="s">
        <v>25</v>
      </c>
      <c r="I819" s="47">
        <v>20</v>
      </c>
      <c r="J819" s="110">
        <v>416666.66</v>
      </c>
      <c r="K819" s="110">
        <f t="shared" si="158"/>
        <v>8333333.1999999993</v>
      </c>
      <c r="L819" s="110">
        <f t="shared" si="159"/>
        <v>666666.65599999996</v>
      </c>
      <c r="M819" s="266">
        <f t="shared" ref="M819:M821" si="160">K819+L819</f>
        <v>8999999.8559999987</v>
      </c>
      <c r="N819" s="67"/>
      <c r="O819" s="67"/>
      <c r="P819" s="67"/>
      <c r="Q819" s="10">
        <f t="shared" si="155"/>
        <v>8999999.8559999987</v>
      </c>
      <c r="R819" s="67"/>
    </row>
    <row r="820" spans="1:18" s="87" customFormat="1" ht="18" hidden="1" customHeight="1">
      <c r="A820" s="3" t="s">
        <v>607</v>
      </c>
      <c r="B820" s="63">
        <v>46301</v>
      </c>
      <c r="C820" s="111" t="s">
        <v>551</v>
      </c>
      <c r="D820" s="63">
        <v>46362</v>
      </c>
      <c r="E820" s="65" t="s">
        <v>532</v>
      </c>
      <c r="F820" s="44" t="s">
        <v>74</v>
      </c>
      <c r="G820" s="44" t="s">
        <v>141</v>
      </c>
      <c r="H820" s="43" t="s">
        <v>113</v>
      </c>
      <c r="I820" s="47">
        <v>24</v>
      </c>
      <c r="J820" s="110">
        <v>361111.11</v>
      </c>
      <c r="K820" s="110">
        <f t="shared" si="158"/>
        <v>8666666.6400000006</v>
      </c>
      <c r="L820" s="110">
        <f t="shared" si="159"/>
        <v>693333.33120000002</v>
      </c>
      <c r="M820" s="266">
        <f t="shared" si="160"/>
        <v>9359999.9712000005</v>
      </c>
      <c r="N820" s="67"/>
      <c r="O820" s="67"/>
      <c r="P820" s="67"/>
      <c r="Q820" s="10">
        <f t="shared" si="155"/>
        <v>9359999.9712000005</v>
      </c>
      <c r="R820" s="67"/>
    </row>
    <row r="821" spans="1:18" s="87" customFormat="1" ht="18" hidden="1" customHeight="1">
      <c r="A821" s="3" t="s">
        <v>607</v>
      </c>
      <c r="B821" s="63">
        <v>46301</v>
      </c>
      <c r="C821" s="144" t="s">
        <v>335</v>
      </c>
      <c r="D821" s="63"/>
      <c r="E821" s="65" t="s">
        <v>532</v>
      </c>
      <c r="F821" s="210" t="s">
        <v>85</v>
      </c>
      <c r="G821" s="210" t="s">
        <v>86</v>
      </c>
      <c r="H821" s="94" t="s">
        <v>113</v>
      </c>
      <c r="I821" s="211">
        <v>30</v>
      </c>
      <c r="J821" s="212">
        <v>509259.26</v>
      </c>
      <c r="K821" s="212">
        <f t="shared" si="158"/>
        <v>15277777.800000001</v>
      </c>
      <c r="L821" s="212">
        <f t="shared" si="159"/>
        <v>1222222.2240000002</v>
      </c>
      <c r="M821" s="267">
        <f t="shared" si="160"/>
        <v>16500000.024</v>
      </c>
      <c r="N821" s="67"/>
      <c r="O821" s="67"/>
      <c r="P821" s="67"/>
      <c r="Q821" s="10">
        <f t="shared" si="155"/>
        <v>16500000.024</v>
      </c>
      <c r="R821" s="67"/>
    </row>
    <row r="822" spans="1:18" s="87" customFormat="1" ht="18" hidden="1" customHeight="1">
      <c r="A822" s="3" t="s">
        <v>607</v>
      </c>
      <c r="B822" s="63" t="s">
        <v>405</v>
      </c>
      <c r="C822" s="144" t="s">
        <v>335</v>
      </c>
      <c r="D822" s="63"/>
      <c r="E822" s="65" t="s">
        <v>532</v>
      </c>
      <c r="F822" s="44" t="s">
        <v>90</v>
      </c>
      <c r="G822" s="44" t="s">
        <v>91</v>
      </c>
      <c r="H822" s="43" t="s">
        <v>92</v>
      </c>
      <c r="I822" s="47">
        <v>20</v>
      </c>
      <c r="J822" s="110">
        <v>814814.81</v>
      </c>
      <c r="K822" s="110">
        <f t="shared" si="158"/>
        <v>16296296.200000001</v>
      </c>
      <c r="L822" s="110">
        <f t="shared" si="159"/>
        <v>1303703.6960000002</v>
      </c>
      <c r="M822" s="266">
        <f>K822+L822</f>
        <v>17599999.896000002</v>
      </c>
      <c r="N822" s="67"/>
      <c r="O822" s="67"/>
      <c r="P822" s="67"/>
      <c r="Q822" s="10">
        <f t="shared" si="155"/>
        <v>17599999.896000002</v>
      </c>
      <c r="R822" s="67"/>
    </row>
    <row r="823" spans="1:18" s="87" customFormat="1" ht="18" hidden="1" customHeight="1">
      <c r="A823" s="3" t="s">
        <v>607</v>
      </c>
      <c r="B823" s="63" t="s">
        <v>405</v>
      </c>
      <c r="C823" s="144" t="s">
        <v>335</v>
      </c>
      <c r="D823" s="63"/>
      <c r="E823" s="65" t="s">
        <v>532</v>
      </c>
      <c r="F823" s="44" t="s">
        <v>93</v>
      </c>
      <c r="G823" s="44" t="s">
        <v>94</v>
      </c>
      <c r="H823" s="43" t="s">
        <v>92</v>
      </c>
      <c r="I823" s="47">
        <v>2</v>
      </c>
      <c r="J823" s="110">
        <v>907407.41</v>
      </c>
      <c r="K823" s="110">
        <f t="shared" si="158"/>
        <v>1814814.82</v>
      </c>
      <c r="L823" s="110">
        <f t="shared" si="159"/>
        <v>145185.1856</v>
      </c>
      <c r="M823" s="266">
        <f t="shared" ref="M823" si="161">K823+L823</f>
        <v>1960000.0056</v>
      </c>
      <c r="N823" s="67"/>
      <c r="O823" s="67"/>
      <c r="P823" s="67"/>
      <c r="Q823" s="10">
        <f t="shared" si="155"/>
        <v>1960000.0056</v>
      </c>
      <c r="R823" s="67"/>
    </row>
    <row r="824" spans="1:18" s="281" customFormat="1" ht="18" hidden="1" customHeight="1">
      <c r="A824" s="3" t="s">
        <v>607</v>
      </c>
      <c r="B824" s="51" t="s">
        <v>485</v>
      </c>
      <c r="C824" s="52"/>
      <c r="D824" s="51"/>
      <c r="E824" s="204" t="s">
        <v>281</v>
      </c>
      <c r="F824" s="60"/>
      <c r="G824" s="60"/>
      <c r="H824" s="53"/>
      <c r="I824" s="205"/>
      <c r="J824" s="206"/>
      <c r="K824" s="206"/>
      <c r="L824" s="206"/>
      <c r="M824" s="207"/>
      <c r="O824" s="207">
        <v>220000</v>
      </c>
      <c r="P824" s="207"/>
      <c r="Q824" s="10">
        <f t="shared" si="155"/>
        <v>-220000</v>
      </c>
      <c r="R824" s="54"/>
    </row>
    <row r="825" spans="1:18" s="87" customFormat="1" ht="18" hidden="1" customHeight="1">
      <c r="A825" s="3" t="s">
        <v>607</v>
      </c>
      <c r="B825" s="63">
        <v>46210</v>
      </c>
      <c r="C825" s="144" t="s">
        <v>335</v>
      </c>
      <c r="D825" s="63"/>
      <c r="E825" s="65" t="s">
        <v>532</v>
      </c>
      <c r="F825" s="44" t="s">
        <v>90</v>
      </c>
      <c r="G825" s="44" t="s">
        <v>91</v>
      </c>
      <c r="H825" s="43" t="s">
        <v>92</v>
      </c>
      <c r="I825" s="47">
        <v>30</v>
      </c>
      <c r="J825" s="110">
        <v>814814.81</v>
      </c>
      <c r="K825" s="110">
        <f t="shared" ref="K825:K826" si="162">I825*J825</f>
        <v>24444444.300000001</v>
      </c>
      <c r="L825" s="110">
        <f t="shared" ref="L825:L826" si="163">K825*8%</f>
        <v>1955555.544</v>
      </c>
      <c r="M825" s="266">
        <f>K825+L825</f>
        <v>26399999.844000001</v>
      </c>
      <c r="N825" s="67"/>
      <c r="O825" s="67"/>
      <c r="P825" s="67"/>
      <c r="Q825" s="10">
        <f t="shared" si="155"/>
        <v>26399999.844000001</v>
      </c>
      <c r="R825" s="67"/>
    </row>
    <row r="826" spans="1:18" s="87" customFormat="1" ht="18" hidden="1" customHeight="1">
      <c r="A826" s="3" t="s">
        <v>607</v>
      </c>
      <c r="B826" s="63">
        <v>46210</v>
      </c>
      <c r="C826" s="140" t="s">
        <v>553</v>
      </c>
      <c r="D826" s="63" t="s">
        <v>552</v>
      </c>
      <c r="E826" s="65" t="s">
        <v>532</v>
      </c>
      <c r="F826" s="210" t="s">
        <v>98</v>
      </c>
      <c r="G826" s="210" t="s">
        <v>251</v>
      </c>
      <c r="H826" s="94" t="s">
        <v>113</v>
      </c>
      <c r="I826" s="211">
        <v>2</v>
      </c>
      <c r="J826" s="212">
        <v>694444.44</v>
      </c>
      <c r="K826" s="212">
        <f t="shared" si="162"/>
        <v>1388888.88</v>
      </c>
      <c r="L826" s="212">
        <f t="shared" si="163"/>
        <v>111111.11039999999</v>
      </c>
      <c r="M826" s="267">
        <f>K826+L826</f>
        <v>1499999.9903999998</v>
      </c>
      <c r="N826" s="67"/>
      <c r="O826" s="67"/>
      <c r="P826" s="67"/>
      <c r="Q826" s="10">
        <f t="shared" si="155"/>
        <v>1499999.9903999998</v>
      </c>
      <c r="R826" s="67"/>
    </row>
    <row r="827" spans="1:18" s="281" customFormat="1" ht="18" hidden="1" customHeight="1">
      <c r="A827" s="3" t="s">
        <v>607</v>
      </c>
      <c r="B827" s="51">
        <v>46241</v>
      </c>
      <c r="C827" s="52"/>
      <c r="D827" s="51"/>
      <c r="E827" s="204" t="s">
        <v>281</v>
      </c>
      <c r="F827" s="60"/>
      <c r="G827" s="60"/>
      <c r="H827" s="53"/>
      <c r="I827" s="205"/>
      <c r="J827" s="206"/>
      <c r="K827" s="206"/>
      <c r="L827" s="206"/>
      <c r="M827" s="207"/>
      <c r="O827" s="207">
        <v>425000</v>
      </c>
      <c r="P827" s="207"/>
      <c r="Q827" s="10">
        <f t="shared" si="155"/>
        <v>-425000</v>
      </c>
      <c r="R827" s="54"/>
    </row>
    <row r="828" spans="1:18" s="72" customFormat="1" ht="15.75" hidden="1">
      <c r="A828" s="69" t="s">
        <v>609</v>
      </c>
      <c r="B828" s="70" t="s">
        <v>554</v>
      </c>
      <c r="C828" s="49" t="s">
        <v>555</v>
      </c>
      <c r="D828" s="41" t="s">
        <v>393</v>
      </c>
      <c r="E828" s="43" t="s">
        <v>556</v>
      </c>
      <c r="F828" s="65" t="s">
        <v>204</v>
      </c>
      <c r="G828" s="64" t="s">
        <v>269</v>
      </c>
      <c r="H828" s="65" t="s">
        <v>25</v>
      </c>
      <c r="I828" s="66">
        <v>10</v>
      </c>
      <c r="J828" s="67">
        <v>480555.55</v>
      </c>
      <c r="K828" s="67">
        <f>I828*J828</f>
        <v>4805555.5</v>
      </c>
      <c r="L828" s="67">
        <f>K828*8%</f>
        <v>384444.44</v>
      </c>
      <c r="M828" s="203">
        <f>K828+L828</f>
        <v>5189999.9400000004</v>
      </c>
      <c r="N828" s="111"/>
      <c r="O828" s="111"/>
      <c r="P828" s="111"/>
      <c r="Q828" s="10">
        <f t="shared" si="155"/>
        <v>5189999.9400000004</v>
      </c>
      <c r="R828" s="112"/>
    </row>
    <row r="829" spans="1:18" s="72" customFormat="1" ht="15.75" hidden="1">
      <c r="A829" s="69" t="s">
        <v>609</v>
      </c>
      <c r="B829" s="70" t="s">
        <v>554</v>
      </c>
      <c r="C829" s="49" t="s">
        <v>555</v>
      </c>
      <c r="D829" s="41" t="s">
        <v>393</v>
      </c>
      <c r="E829" s="43" t="s">
        <v>556</v>
      </c>
      <c r="F829" s="65" t="s">
        <v>557</v>
      </c>
      <c r="G829" s="64" t="s">
        <v>209</v>
      </c>
      <c r="H829" s="65" t="s">
        <v>113</v>
      </c>
      <c r="I829" s="66">
        <v>10</v>
      </c>
      <c r="J829" s="67">
        <v>647222.22</v>
      </c>
      <c r="K829" s="67">
        <f t="shared" ref="K829:K870" si="164">I829*J829</f>
        <v>6472222.1999999993</v>
      </c>
      <c r="L829" s="67">
        <f t="shared" ref="L829:L870" si="165">K829*8%</f>
        <v>517777.77599999995</v>
      </c>
      <c r="M829" s="203">
        <f t="shared" ref="M829:M870" si="166">K829+L829</f>
        <v>6989999.9759999989</v>
      </c>
      <c r="N829" s="111"/>
      <c r="O829" s="111"/>
      <c r="P829" s="111"/>
      <c r="Q829" s="10">
        <f t="shared" si="155"/>
        <v>6989999.9759999989</v>
      </c>
      <c r="R829" s="112"/>
    </row>
    <row r="830" spans="1:18" s="72" customFormat="1" ht="15.75" hidden="1">
      <c r="A830" s="69" t="s">
        <v>609</v>
      </c>
      <c r="B830" s="70" t="s">
        <v>554</v>
      </c>
      <c r="C830" s="49" t="s">
        <v>555</v>
      </c>
      <c r="D830" s="41" t="s">
        <v>393</v>
      </c>
      <c r="E830" s="43" t="s">
        <v>556</v>
      </c>
      <c r="F830" s="65" t="s">
        <v>77</v>
      </c>
      <c r="G830" s="65" t="s">
        <v>78</v>
      </c>
      <c r="H830" s="65" t="s">
        <v>113</v>
      </c>
      <c r="I830" s="66">
        <v>30</v>
      </c>
      <c r="J830" s="67">
        <v>314814.81</v>
      </c>
      <c r="K830" s="67">
        <f t="shared" si="164"/>
        <v>9444444.3000000007</v>
      </c>
      <c r="L830" s="67">
        <f t="shared" si="165"/>
        <v>755555.54400000011</v>
      </c>
      <c r="M830" s="203">
        <f t="shared" si="166"/>
        <v>10199999.844000001</v>
      </c>
      <c r="N830" s="111"/>
      <c r="O830" s="111"/>
      <c r="P830" s="111"/>
      <c r="Q830" s="10">
        <f t="shared" si="155"/>
        <v>10199999.844000001</v>
      </c>
      <c r="R830" s="112"/>
    </row>
    <row r="831" spans="1:18" s="72" customFormat="1" ht="15.75" hidden="1">
      <c r="A831" s="69" t="s">
        <v>609</v>
      </c>
      <c r="B831" s="70" t="s">
        <v>554</v>
      </c>
      <c r="C831" s="49" t="s">
        <v>555</v>
      </c>
      <c r="D831" s="41" t="s">
        <v>393</v>
      </c>
      <c r="E831" s="43" t="s">
        <v>556</v>
      </c>
      <c r="F831" s="65" t="s">
        <v>206</v>
      </c>
      <c r="G831" s="64" t="s">
        <v>369</v>
      </c>
      <c r="H831" s="65" t="s">
        <v>113</v>
      </c>
      <c r="I831" s="66">
        <v>10</v>
      </c>
      <c r="J831" s="67">
        <v>483333.33</v>
      </c>
      <c r="K831" s="67">
        <f t="shared" si="164"/>
        <v>4833333.3</v>
      </c>
      <c r="L831" s="67">
        <f t="shared" si="165"/>
        <v>386666.66399999999</v>
      </c>
      <c r="M831" s="203">
        <f t="shared" si="166"/>
        <v>5219999.9639999997</v>
      </c>
      <c r="N831" s="111"/>
      <c r="O831" s="111"/>
      <c r="P831" s="111"/>
      <c r="Q831" s="10">
        <f t="shared" si="155"/>
        <v>5219999.9639999997</v>
      </c>
      <c r="R831" s="112"/>
    </row>
    <row r="832" spans="1:18" s="87" customFormat="1" ht="15.75" hidden="1">
      <c r="A832" s="69" t="s">
        <v>609</v>
      </c>
      <c r="B832" s="85" t="s">
        <v>554</v>
      </c>
      <c r="C832" s="49" t="s">
        <v>555</v>
      </c>
      <c r="D832" s="41" t="s">
        <v>393</v>
      </c>
      <c r="E832" s="43" t="s">
        <v>556</v>
      </c>
      <c r="F832" s="65" t="s">
        <v>80</v>
      </c>
      <c r="G832" s="64" t="s">
        <v>81</v>
      </c>
      <c r="H832" s="65" t="s">
        <v>113</v>
      </c>
      <c r="I832" s="66">
        <v>10</v>
      </c>
      <c r="J832" s="67">
        <v>824074.07</v>
      </c>
      <c r="K832" s="67">
        <f t="shared" si="164"/>
        <v>8240740.6999999993</v>
      </c>
      <c r="L832" s="67">
        <f t="shared" si="165"/>
        <v>659259.25599999994</v>
      </c>
      <c r="M832" s="203">
        <f t="shared" si="166"/>
        <v>8899999.9559999984</v>
      </c>
      <c r="N832" s="111"/>
      <c r="O832" s="111"/>
      <c r="P832" s="111"/>
      <c r="Q832" s="10">
        <f t="shared" si="155"/>
        <v>8899999.9559999984</v>
      </c>
      <c r="R832" s="112"/>
    </row>
    <row r="833" spans="1:18" s="87" customFormat="1" ht="15.75" hidden="1">
      <c r="A833" s="69" t="s">
        <v>609</v>
      </c>
      <c r="B833" s="85" t="s">
        <v>554</v>
      </c>
      <c r="C833" s="49" t="s">
        <v>555</v>
      </c>
      <c r="D833" s="41" t="s">
        <v>393</v>
      </c>
      <c r="E833" s="43" t="s">
        <v>556</v>
      </c>
      <c r="F833" s="65" t="s">
        <v>21</v>
      </c>
      <c r="G833" s="65" t="s">
        <v>22</v>
      </c>
      <c r="H833" s="65" t="s">
        <v>113</v>
      </c>
      <c r="I833" s="66">
        <v>10</v>
      </c>
      <c r="J833" s="67">
        <v>937962.96</v>
      </c>
      <c r="K833" s="67">
        <f t="shared" si="164"/>
        <v>9379629.5999999996</v>
      </c>
      <c r="L833" s="67">
        <f t="shared" si="165"/>
        <v>750370.36800000002</v>
      </c>
      <c r="M833" s="203">
        <f t="shared" si="166"/>
        <v>10129999.968</v>
      </c>
      <c r="N833" s="111"/>
      <c r="O833" s="111"/>
      <c r="P833" s="111"/>
      <c r="Q833" s="10">
        <f t="shared" si="155"/>
        <v>10129999.968</v>
      </c>
      <c r="R833" s="112"/>
    </row>
    <row r="834" spans="1:18" s="87" customFormat="1" ht="15.75" hidden="1">
      <c r="A834" s="69" t="s">
        <v>609</v>
      </c>
      <c r="B834" s="85" t="s">
        <v>554</v>
      </c>
      <c r="C834" s="49" t="s">
        <v>555</v>
      </c>
      <c r="D834" s="41" t="s">
        <v>393</v>
      </c>
      <c r="E834" s="43" t="s">
        <v>556</v>
      </c>
      <c r="F834" s="65" t="s">
        <v>68</v>
      </c>
      <c r="G834" s="64" t="s">
        <v>69</v>
      </c>
      <c r="H834" s="65" t="s">
        <v>113</v>
      </c>
      <c r="I834" s="66">
        <v>12</v>
      </c>
      <c r="J834" s="67">
        <v>111111.11</v>
      </c>
      <c r="K834" s="67">
        <f t="shared" si="164"/>
        <v>1333333.32</v>
      </c>
      <c r="L834" s="67">
        <f t="shared" si="165"/>
        <v>106666.66560000001</v>
      </c>
      <c r="M834" s="203">
        <f t="shared" si="166"/>
        <v>1439999.9856</v>
      </c>
      <c r="N834" s="111"/>
      <c r="O834" s="111"/>
      <c r="P834" s="111"/>
      <c r="Q834" s="10">
        <f t="shared" si="155"/>
        <v>1439999.9856</v>
      </c>
      <c r="R834" s="112"/>
    </row>
    <row r="835" spans="1:18" s="72" customFormat="1" ht="15.75" hidden="1">
      <c r="A835" s="69" t="s">
        <v>609</v>
      </c>
      <c r="B835" s="70" t="s">
        <v>554</v>
      </c>
      <c r="C835" s="49" t="s">
        <v>555</v>
      </c>
      <c r="D835" s="41" t="s">
        <v>393</v>
      </c>
      <c r="E835" s="43" t="s">
        <v>556</v>
      </c>
      <c r="F835" s="65" t="s">
        <v>70</v>
      </c>
      <c r="G835" s="64" t="s">
        <v>71</v>
      </c>
      <c r="H835" s="65" t="s">
        <v>113</v>
      </c>
      <c r="I835" s="66">
        <v>12</v>
      </c>
      <c r="J835" s="67">
        <v>120370.37</v>
      </c>
      <c r="K835" s="67">
        <f t="shared" si="164"/>
        <v>1444444.44</v>
      </c>
      <c r="L835" s="67">
        <f t="shared" si="165"/>
        <v>115555.5552</v>
      </c>
      <c r="M835" s="203">
        <f t="shared" si="166"/>
        <v>1559999.9952</v>
      </c>
      <c r="N835" s="111"/>
      <c r="O835" s="111"/>
      <c r="P835" s="111"/>
      <c r="Q835" s="10">
        <f t="shared" si="155"/>
        <v>1559999.9952</v>
      </c>
      <c r="R835" s="112"/>
    </row>
    <row r="836" spans="1:18" s="72" customFormat="1" ht="15.75" hidden="1">
      <c r="A836" s="69" t="s">
        <v>609</v>
      </c>
      <c r="B836" s="70" t="s">
        <v>554</v>
      </c>
      <c r="C836" s="49" t="s">
        <v>555</v>
      </c>
      <c r="D836" s="41" t="s">
        <v>393</v>
      </c>
      <c r="E836" s="43" t="s">
        <v>556</v>
      </c>
      <c r="F836" s="65" t="s">
        <v>72</v>
      </c>
      <c r="G836" s="65" t="s">
        <v>73</v>
      </c>
      <c r="H836" s="65" t="s">
        <v>113</v>
      </c>
      <c r="I836" s="66">
        <v>12</v>
      </c>
      <c r="J836" s="67">
        <v>129629.62</v>
      </c>
      <c r="K836" s="67">
        <f t="shared" si="164"/>
        <v>1555555.44</v>
      </c>
      <c r="L836" s="67">
        <f t="shared" si="165"/>
        <v>124444.43519999999</v>
      </c>
      <c r="M836" s="203">
        <f t="shared" si="166"/>
        <v>1679999.8751999999</v>
      </c>
      <c r="N836" s="111"/>
      <c r="O836" s="111"/>
      <c r="P836" s="111"/>
      <c r="Q836" s="10">
        <f t="shared" ref="Q836:Q899" si="167">M836-N836-O836-P836</f>
        <v>1679999.8751999999</v>
      </c>
      <c r="R836" s="112"/>
    </row>
    <row r="837" spans="1:18" s="72" customFormat="1" ht="15.75" hidden="1">
      <c r="A837" s="69" t="s">
        <v>609</v>
      </c>
      <c r="B837" s="70" t="s">
        <v>554</v>
      </c>
      <c r="C837" s="49" t="s">
        <v>555</v>
      </c>
      <c r="D837" s="41" t="s">
        <v>393</v>
      </c>
      <c r="E837" s="43" t="s">
        <v>556</v>
      </c>
      <c r="F837" s="65" t="s">
        <v>23</v>
      </c>
      <c r="G837" s="64" t="s">
        <v>82</v>
      </c>
      <c r="H837" s="65" t="s">
        <v>277</v>
      </c>
      <c r="I837" s="66">
        <v>10</v>
      </c>
      <c r="J837" s="67">
        <v>1185185.18</v>
      </c>
      <c r="K837" s="67">
        <f t="shared" si="164"/>
        <v>11851851.799999999</v>
      </c>
      <c r="L837" s="67">
        <f t="shared" si="165"/>
        <v>948148.14399999997</v>
      </c>
      <c r="M837" s="203">
        <f t="shared" si="166"/>
        <v>12799999.943999998</v>
      </c>
      <c r="N837" s="111"/>
      <c r="O837" s="111"/>
      <c r="P837" s="111"/>
      <c r="Q837" s="10">
        <f t="shared" si="167"/>
        <v>12799999.943999998</v>
      </c>
      <c r="R837" s="112"/>
    </row>
    <row r="838" spans="1:18" s="72" customFormat="1" ht="30" hidden="1">
      <c r="A838" s="69" t="s">
        <v>609</v>
      </c>
      <c r="B838" s="70" t="s">
        <v>554</v>
      </c>
      <c r="C838" s="49" t="s">
        <v>555</v>
      </c>
      <c r="D838" s="41" t="s">
        <v>393</v>
      </c>
      <c r="E838" s="43" t="s">
        <v>556</v>
      </c>
      <c r="F838" s="65" t="s">
        <v>180</v>
      </c>
      <c r="G838" s="64" t="s">
        <v>181</v>
      </c>
      <c r="H838" s="65" t="s">
        <v>113</v>
      </c>
      <c r="I838" s="66">
        <v>20</v>
      </c>
      <c r="J838" s="67">
        <v>234259.25</v>
      </c>
      <c r="K838" s="67">
        <f t="shared" si="164"/>
        <v>4685185</v>
      </c>
      <c r="L838" s="67">
        <f t="shared" si="165"/>
        <v>374814.8</v>
      </c>
      <c r="M838" s="203">
        <f t="shared" si="166"/>
        <v>5059999.8</v>
      </c>
      <c r="N838" s="111"/>
      <c r="O838" s="111"/>
      <c r="P838" s="111"/>
      <c r="Q838" s="10">
        <f t="shared" si="167"/>
        <v>5059999.8</v>
      </c>
      <c r="R838" s="112"/>
    </row>
    <row r="839" spans="1:18" s="72" customFormat="1" ht="15.75" hidden="1">
      <c r="A839" s="69" t="s">
        <v>609</v>
      </c>
      <c r="B839" s="70" t="s">
        <v>554</v>
      </c>
      <c r="C839" s="49" t="s">
        <v>555</v>
      </c>
      <c r="D839" s="41" t="s">
        <v>393</v>
      </c>
      <c r="E839" s="43" t="s">
        <v>556</v>
      </c>
      <c r="F839" s="65" t="s">
        <v>26</v>
      </c>
      <c r="G839" s="65" t="s">
        <v>27</v>
      </c>
      <c r="H839" s="65" t="s">
        <v>113</v>
      </c>
      <c r="I839" s="66">
        <v>20</v>
      </c>
      <c r="J839" s="67">
        <v>256481.48</v>
      </c>
      <c r="K839" s="67">
        <f t="shared" si="164"/>
        <v>5129629.6000000006</v>
      </c>
      <c r="L839" s="67">
        <f t="shared" si="165"/>
        <v>410370.36800000007</v>
      </c>
      <c r="M839" s="203">
        <f t="shared" si="166"/>
        <v>5539999.9680000003</v>
      </c>
      <c r="N839" s="111"/>
      <c r="O839" s="111"/>
      <c r="P839" s="111"/>
      <c r="Q839" s="10">
        <f t="shared" si="167"/>
        <v>5539999.9680000003</v>
      </c>
      <c r="R839" s="112"/>
    </row>
    <row r="840" spans="1:18" s="72" customFormat="1" ht="30" hidden="1">
      <c r="A840" s="69" t="s">
        <v>609</v>
      </c>
      <c r="B840" s="70" t="s">
        <v>554</v>
      </c>
      <c r="C840" s="49" t="s">
        <v>555</v>
      </c>
      <c r="D840" s="41" t="s">
        <v>393</v>
      </c>
      <c r="E840" s="43" t="s">
        <v>556</v>
      </c>
      <c r="F840" s="65" t="s">
        <v>28</v>
      </c>
      <c r="G840" s="64" t="s">
        <v>29</v>
      </c>
      <c r="H840" s="65" t="s">
        <v>113</v>
      </c>
      <c r="I840" s="66">
        <v>20</v>
      </c>
      <c r="J840" s="67">
        <v>281481.48</v>
      </c>
      <c r="K840" s="67">
        <f t="shared" si="164"/>
        <v>5629629.5999999996</v>
      </c>
      <c r="L840" s="67">
        <f t="shared" si="165"/>
        <v>450370.36799999996</v>
      </c>
      <c r="M840" s="203">
        <f t="shared" si="166"/>
        <v>6079999.9679999994</v>
      </c>
      <c r="N840" s="111"/>
      <c r="O840" s="111"/>
      <c r="P840" s="111"/>
      <c r="Q840" s="10">
        <f t="shared" si="167"/>
        <v>6079999.9679999994</v>
      </c>
      <c r="R840" s="112"/>
    </row>
    <row r="841" spans="1:18" s="72" customFormat="1" ht="30" hidden="1">
      <c r="A841" s="69" t="s">
        <v>609</v>
      </c>
      <c r="B841" s="70" t="s">
        <v>554</v>
      </c>
      <c r="C841" s="49" t="s">
        <v>555</v>
      </c>
      <c r="D841" s="41" t="s">
        <v>393</v>
      </c>
      <c r="E841" s="43" t="s">
        <v>556</v>
      </c>
      <c r="F841" s="65" t="s">
        <v>184</v>
      </c>
      <c r="G841" s="64" t="s">
        <v>272</v>
      </c>
      <c r="H841" s="65" t="s">
        <v>113</v>
      </c>
      <c r="I841" s="66">
        <v>20</v>
      </c>
      <c r="J841" s="67">
        <v>240740.74</v>
      </c>
      <c r="K841" s="67">
        <f t="shared" si="164"/>
        <v>4814814.8</v>
      </c>
      <c r="L841" s="67">
        <f t="shared" si="165"/>
        <v>385185.18400000001</v>
      </c>
      <c r="M841" s="203">
        <f t="shared" si="166"/>
        <v>5199999.9840000002</v>
      </c>
      <c r="N841" s="111"/>
      <c r="O841" s="111"/>
      <c r="P841" s="111"/>
      <c r="Q841" s="10">
        <f t="shared" si="167"/>
        <v>5199999.9840000002</v>
      </c>
      <c r="R841" s="112"/>
    </row>
    <row r="842" spans="1:18" s="72" customFormat="1" ht="15.75" hidden="1">
      <c r="A842" s="69" t="s">
        <v>609</v>
      </c>
      <c r="B842" s="70" t="s">
        <v>554</v>
      </c>
      <c r="C842" s="49" t="s">
        <v>555</v>
      </c>
      <c r="D842" s="41" t="s">
        <v>393</v>
      </c>
      <c r="E842" s="43" t="s">
        <v>556</v>
      </c>
      <c r="F842" s="65" t="s">
        <v>30</v>
      </c>
      <c r="G842" s="65" t="s">
        <v>31</v>
      </c>
      <c r="H842" s="65" t="s">
        <v>113</v>
      </c>
      <c r="I842" s="66">
        <v>20</v>
      </c>
      <c r="J842" s="67">
        <v>259259.25</v>
      </c>
      <c r="K842" s="67">
        <f t="shared" si="164"/>
        <v>5185185</v>
      </c>
      <c r="L842" s="67">
        <f t="shared" si="165"/>
        <v>414814.8</v>
      </c>
      <c r="M842" s="203">
        <f t="shared" si="166"/>
        <v>5599999.7999999998</v>
      </c>
      <c r="N842" s="111"/>
      <c r="O842" s="111"/>
      <c r="P842" s="111"/>
      <c r="Q842" s="10">
        <f t="shared" si="167"/>
        <v>5599999.7999999998</v>
      </c>
      <c r="R842" s="112"/>
    </row>
    <row r="843" spans="1:18" s="72" customFormat="1" ht="30" hidden="1">
      <c r="A843" s="69" t="s">
        <v>609</v>
      </c>
      <c r="B843" s="70" t="s">
        <v>554</v>
      </c>
      <c r="C843" s="49" t="s">
        <v>555</v>
      </c>
      <c r="D843" s="41" t="s">
        <v>393</v>
      </c>
      <c r="E843" s="43" t="s">
        <v>556</v>
      </c>
      <c r="F843" s="65" t="s">
        <v>32</v>
      </c>
      <c r="G843" s="64" t="s">
        <v>33</v>
      </c>
      <c r="H843" s="65" t="s">
        <v>113</v>
      </c>
      <c r="I843" s="66">
        <v>20</v>
      </c>
      <c r="J843" s="67">
        <v>226851.85</v>
      </c>
      <c r="K843" s="67">
        <f t="shared" si="164"/>
        <v>4537037</v>
      </c>
      <c r="L843" s="67">
        <f t="shared" si="165"/>
        <v>362962.96</v>
      </c>
      <c r="M843" s="203">
        <f t="shared" si="166"/>
        <v>4899999.96</v>
      </c>
      <c r="N843" s="111"/>
      <c r="O843" s="111"/>
      <c r="P843" s="111"/>
      <c r="Q843" s="10">
        <f t="shared" si="167"/>
        <v>4899999.96</v>
      </c>
      <c r="R843" s="112"/>
    </row>
    <row r="844" spans="1:18" s="72" customFormat="1" ht="30" hidden="1">
      <c r="A844" s="69" t="s">
        <v>609</v>
      </c>
      <c r="B844" s="70" t="s">
        <v>554</v>
      </c>
      <c r="C844" s="49" t="s">
        <v>555</v>
      </c>
      <c r="D844" s="41" t="s">
        <v>393</v>
      </c>
      <c r="E844" s="43" t="s">
        <v>556</v>
      </c>
      <c r="F844" s="65" t="s">
        <v>34</v>
      </c>
      <c r="G844" s="64" t="s">
        <v>35</v>
      </c>
      <c r="H844" s="65" t="s">
        <v>113</v>
      </c>
      <c r="I844" s="66">
        <v>20</v>
      </c>
      <c r="J844" s="67">
        <v>240740.74</v>
      </c>
      <c r="K844" s="67">
        <f t="shared" si="164"/>
        <v>4814814.8</v>
      </c>
      <c r="L844" s="67">
        <f t="shared" si="165"/>
        <v>385185.18400000001</v>
      </c>
      <c r="M844" s="203">
        <f t="shared" si="166"/>
        <v>5199999.9840000002</v>
      </c>
      <c r="N844" s="111"/>
      <c r="O844" s="111"/>
      <c r="P844" s="111"/>
      <c r="Q844" s="10">
        <f t="shared" si="167"/>
        <v>5199999.9840000002</v>
      </c>
      <c r="R844" s="112"/>
    </row>
    <row r="845" spans="1:18" s="72" customFormat="1" ht="15.75" hidden="1">
      <c r="A845" s="69" t="s">
        <v>609</v>
      </c>
      <c r="B845" s="70" t="s">
        <v>554</v>
      </c>
      <c r="C845" s="49" t="s">
        <v>555</v>
      </c>
      <c r="D845" s="41" t="s">
        <v>393</v>
      </c>
      <c r="E845" s="43" t="s">
        <v>556</v>
      </c>
      <c r="F845" s="65" t="s">
        <v>36</v>
      </c>
      <c r="G845" s="65" t="s">
        <v>37</v>
      </c>
      <c r="H845" s="65" t="s">
        <v>113</v>
      </c>
      <c r="I845" s="66">
        <v>20</v>
      </c>
      <c r="J845" s="67">
        <v>259259.25</v>
      </c>
      <c r="K845" s="67">
        <f t="shared" si="164"/>
        <v>5185185</v>
      </c>
      <c r="L845" s="67">
        <f t="shared" si="165"/>
        <v>414814.8</v>
      </c>
      <c r="M845" s="203">
        <f t="shared" si="166"/>
        <v>5599999.7999999998</v>
      </c>
      <c r="N845" s="111"/>
      <c r="O845" s="111"/>
      <c r="P845" s="111"/>
      <c r="Q845" s="10">
        <f t="shared" si="167"/>
        <v>5599999.7999999998</v>
      </c>
      <c r="R845" s="112"/>
    </row>
    <row r="846" spans="1:18" s="72" customFormat="1" ht="30" hidden="1">
      <c r="A846" s="69" t="s">
        <v>609</v>
      </c>
      <c r="B846" s="70" t="s">
        <v>554</v>
      </c>
      <c r="C846" s="49" t="s">
        <v>555</v>
      </c>
      <c r="D846" s="41" t="s">
        <v>393</v>
      </c>
      <c r="E846" s="43" t="s">
        <v>556</v>
      </c>
      <c r="F846" s="65" t="s">
        <v>38</v>
      </c>
      <c r="G846" s="64" t="s">
        <v>39</v>
      </c>
      <c r="H846" s="65" t="s">
        <v>113</v>
      </c>
      <c r="I846" s="66">
        <v>20</v>
      </c>
      <c r="J846" s="67">
        <v>277777.77</v>
      </c>
      <c r="K846" s="67">
        <f t="shared" si="164"/>
        <v>5555555.4000000004</v>
      </c>
      <c r="L846" s="67">
        <f t="shared" si="165"/>
        <v>444444.43200000003</v>
      </c>
      <c r="M846" s="203">
        <f t="shared" si="166"/>
        <v>5999999.8320000004</v>
      </c>
      <c r="N846" s="111"/>
      <c r="O846" s="111"/>
      <c r="P846" s="111"/>
      <c r="Q846" s="10">
        <f t="shared" si="167"/>
        <v>5999999.8320000004</v>
      </c>
      <c r="R846" s="112"/>
    </row>
    <row r="847" spans="1:18" s="72" customFormat="1" ht="15.75" hidden="1">
      <c r="A847" s="69" t="s">
        <v>609</v>
      </c>
      <c r="B847" s="70" t="s">
        <v>554</v>
      </c>
      <c r="C847" s="49" t="s">
        <v>555</v>
      </c>
      <c r="D847" s="41" t="s">
        <v>393</v>
      </c>
      <c r="E847" s="43" t="s">
        <v>556</v>
      </c>
      <c r="F847" s="65" t="s">
        <v>40</v>
      </c>
      <c r="G847" s="64" t="s">
        <v>41</v>
      </c>
      <c r="H847" s="65" t="s">
        <v>113</v>
      </c>
      <c r="I847" s="66">
        <v>10</v>
      </c>
      <c r="J847" s="67">
        <v>844444.44</v>
      </c>
      <c r="K847" s="67">
        <f t="shared" si="164"/>
        <v>8444444.3999999985</v>
      </c>
      <c r="L847" s="67">
        <f t="shared" si="165"/>
        <v>675555.55199999991</v>
      </c>
      <c r="M847" s="203">
        <f t="shared" si="166"/>
        <v>9119999.9519999977</v>
      </c>
      <c r="N847" s="111"/>
      <c r="O847" s="111"/>
      <c r="P847" s="111"/>
      <c r="Q847" s="10">
        <f t="shared" si="167"/>
        <v>9119999.9519999977</v>
      </c>
      <c r="R847" s="112"/>
    </row>
    <row r="848" spans="1:18" s="72" customFormat="1" ht="15.75" hidden="1">
      <c r="A848" s="69" t="s">
        <v>609</v>
      </c>
      <c r="B848" s="70" t="s">
        <v>554</v>
      </c>
      <c r="C848" s="49" t="s">
        <v>555</v>
      </c>
      <c r="D848" s="41" t="s">
        <v>393</v>
      </c>
      <c r="E848" s="43" t="s">
        <v>556</v>
      </c>
      <c r="F848" s="65" t="s">
        <v>119</v>
      </c>
      <c r="G848" s="65" t="s">
        <v>191</v>
      </c>
      <c r="H848" s="65" t="s">
        <v>113</v>
      </c>
      <c r="I848" s="66">
        <v>10</v>
      </c>
      <c r="J848" s="67">
        <v>659259.25</v>
      </c>
      <c r="K848" s="67">
        <f t="shared" si="164"/>
        <v>6592592.5</v>
      </c>
      <c r="L848" s="67">
        <f t="shared" si="165"/>
        <v>527407.4</v>
      </c>
      <c r="M848" s="203">
        <f t="shared" si="166"/>
        <v>7119999.9000000004</v>
      </c>
      <c r="N848" s="111"/>
      <c r="O848" s="111"/>
      <c r="P848" s="111"/>
      <c r="Q848" s="10">
        <f t="shared" si="167"/>
        <v>7119999.9000000004</v>
      </c>
      <c r="R848" s="112"/>
    </row>
    <row r="849" spans="1:18" s="72" customFormat="1" ht="15.75" hidden="1">
      <c r="A849" s="69" t="s">
        <v>609</v>
      </c>
      <c r="B849" s="70" t="s">
        <v>554</v>
      </c>
      <c r="C849" s="49" t="s">
        <v>555</v>
      </c>
      <c r="D849" s="41" t="s">
        <v>393</v>
      </c>
      <c r="E849" s="43" t="s">
        <v>556</v>
      </c>
      <c r="F849" s="65" t="s">
        <v>42</v>
      </c>
      <c r="G849" s="64" t="s">
        <v>43</v>
      </c>
      <c r="H849" s="65" t="s">
        <v>113</v>
      </c>
      <c r="I849" s="66">
        <v>10</v>
      </c>
      <c r="J849" s="67">
        <v>569444.43999999994</v>
      </c>
      <c r="K849" s="67">
        <f t="shared" si="164"/>
        <v>5694444.3999999994</v>
      </c>
      <c r="L849" s="67">
        <f t="shared" si="165"/>
        <v>455555.55199999997</v>
      </c>
      <c r="M849" s="203">
        <f t="shared" si="166"/>
        <v>6149999.9519999996</v>
      </c>
      <c r="N849" s="111"/>
      <c r="O849" s="111"/>
      <c r="P849" s="111"/>
      <c r="Q849" s="10">
        <f t="shared" si="167"/>
        <v>6149999.9519999996</v>
      </c>
      <c r="R849" s="112"/>
    </row>
    <row r="850" spans="1:18" s="72" customFormat="1" ht="15.75" hidden="1">
      <c r="A850" s="69" t="s">
        <v>609</v>
      </c>
      <c r="B850" s="70" t="s">
        <v>554</v>
      </c>
      <c r="C850" s="49" t="s">
        <v>555</v>
      </c>
      <c r="D850" s="41" t="s">
        <v>393</v>
      </c>
      <c r="E850" s="43" t="s">
        <v>556</v>
      </c>
      <c r="F850" s="65" t="s">
        <v>44</v>
      </c>
      <c r="G850" s="64" t="s">
        <v>45</v>
      </c>
      <c r="H850" s="65" t="s">
        <v>113</v>
      </c>
      <c r="I850" s="66">
        <v>12</v>
      </c>
      <c r="J850" s="67">
        <v>564815</v>
      </c>
      <c r="K850" s="67">
        <f t="shared" si="164"/>
        <v>6777780</v>
      </c>
      <c r="L850" s="67">
        <f t="shared" si="165"/>
        <v>542222.4</v>
      </c>
      <c r="M850" s="203">
        <f t="shared" si="166"/>
        <v>7320002.4000000004</v>
      </c>
      <c r="N850" s="111"/>
      <c r="O850" s="111"/>
      <c r="P850" s="111"/>
      <c r="Q850" s="10">
        <f t="shared" si="167"/>
        <v>7320002.4000000004</v>
      </c>
      <c r="R850" s="112"/>
    </row>
    <row r="851" spans="1:18" s="72" customFormat="1" ht="15.75" hidden="1">
      <c r="A851" s="69" t="s">
        <v>609</v>
      </c>
      <c r="B851" s="70" t="s">
        <v>554</v>
      </c>
      <c r="C851" s="49" t="s">
        <v>555</v>
      </c>
      <c r="D851" s="41" t="s">
        <v>393</v>
      </c>
      <c r="E851" s="43" t="s">
        <v>556</v>
      </c>
      <c r="F851" s="65" t="s">
        <v>148</v>
      </c>
      <c r="G851" s="65" t="s">
        <v>149</v>
      </c>
      <c r="H851" s="65" t="s">
        <v>113</v>
      </c>
      <c r="I851" s="66">
        <v>12</v>
      </c>
      <c r="J851" s="67">
        <v>358333.33</v>
      </c>
      <c r="K851" s="67">
        <f t="shared" si="164"/>
        <v>4299999.96</v>
      </c>
      <c r="L851" s="67">
        <f t="shared" si="165"/>
        <v>343999.99680000002</v>
      </c>
      <c r="M851" s="203">
        <f t="shared" si="166"/>
        <v>4643999.9567999998</v>
      </c>
      <c r="N851" s="111"/>
      <c r="O851" s="111"/>
      <c r="P851" s="111"/>
      <c r="Q851" s="10">
        <f t="shared" si="167"/>
        <v>4643999.9567999998</v>
      </c>
      <c r="R851" s="112"/>
    </row>
    <row r="852" spans="1:18" s="72" customFormat="1" ht="15.75" hidden="1">
      <c r="A852" s="69" t="s">
        <v>609</v>
      </c>
      <c r="B852" s="70" t="s">
        <v>554</v>
      </c>
      <c r="C852" s="49" t="s">
        <v>555</v>
      </c>
      <c r="D852" s="41" t="s">
        <v>393</v>
      </c>
      <c r="E852" s="43" t="s">
        <v>556</v>
      </c>
      <c r="F852" s="65" t="s">
        <v>192</v>
      </c>
      <c r="G852" s="64" t="s">
        <v>193</v>
      </c>
      <c r="H852" s="65" t="s">
        <v>113</v>
      </c>
      <c r="I852" s="66">
        <v>12</v>
      </c>
      <c r="J852" s="67">
        <v>398148.08</v>
      </c>
      <c r="K852" s="67">
        <f t="shared" si="164"/>
        <v>4777776.96</v>
      </c>
      <c r="L852" s="67">
        <f t="shared" si="165"/>
        <v>382222.1568</v>
      </c>
      <c r="M852" s="203">
        <f t="shared" si="166"/>
        <v>5159999.1168</v>
      </c>
      <c r="N852" s="111"/>
      <c r="O852" s="111"/>
      <c r="P852" s="111"/>
      <c r="Q852" s="10">
        <f t="shared" si="167"/>
        <v>5159999.1168</v>
      </c>
      <c r="R852" s="112"/>
    </row>
    <row r="853" spans="1:18" s="72" customFormat="1" ht="15.75" hidden="1">
      <c r="A853" s="69" t="s">
        <v>609</v>
      </c>
      <c r="B853" s="70" t="s">
        <v>554</v>
      </c>
      <c r="C853" s="49" t="s">
        <v>555</v>
      </c>
      <c r="D853" s="41" t="s">
        <v>393</v>
      </c>
      <c r="E853" s="43" t="s">
        <v>556</v>
      </c>
      <c r="F853" s="65" t="s">
        <v>194</v>
      </c>
      <c r="G853" s="64" t="s">
        <v>276</v>
      </c>
      <c r="H853" s="65" t="s">
        <v>113</v>
      </c>
      <c r="I853" s="66">
        <v>10</v>
      </c>
      <c r="J853" s="67">
        <v>1203703.7</v>
      </c>
      <c r="K853" s="67">
        <f t="shared" si="164"/>
        <v>12037037</v>
      </c>
      <c r="L853" s="67">
        <f t="shared" si="165"/>
        <v>962962.96</v>
      </c>
      <c r="M853" s="203">
        <f t="shared" si="166"/>
        <v>12999999.960000001</v>
      </c>
      <c r="N853" s="111"/>
      <c r="O853" s="111"/>
      <c r="P853" s="111"/>
      <c r="Q853" s="10">
        <f t="shared" si="167"/>
        <v>12999999.960000001</v>
      </c>
      <c r="R853" s="112"/>
    </row>
    <row r="854" spans="1:18" s="72" customFormat="1" ht="15.75" hidden="1">
      <c r="A854" s="69" t="s">
        <v>609</v>
      </c>
      <c r="B854" s="70" t="s">
        <v>554</v>
      </c>
      <c r="C854" s="49" t="s">
        <v>555</v>
      </c>
      <c r="D854" s="41" t="s">
        <v>393</v>
      </c>
      <c r="E854" s="43" t="s">
        <v>556</v>
      </c>
      <c r="F854" s="65" t="s">
        <v>58</v>
      </c>
      <c r="G854" s="65" t="s">
        <v>59</v>
      </c>
      <c r="H854" s="65" t="s">
        <v>113</v>
      </c>
      <c r="I854" s="66">
        <v>10</v>
      </c>
      <c r="J854" s="67">
        <v>1361111.11</v>
      </c>
      <c r="K854" s="67">
        <f t="shared" si="164"/>
        <v>13611111.100000001</v>
      </c>
      <c r="L854" s="67">
        <f t="shared" si="165"/>
        <v>1088888.888</v>
      </c>
      <c r="M854" s="203">
        <f t="shared" si="166"/>
        <v>14699999.988000002</v>
      </c>
      <c r="N854" s="111"/>
      <c r="O854" s="111"/>
      <c r="P854" s="111"/>
      <c r="Q854" s="10">
        <f t="shared" si="167"/>
        <v>14699999.988000002</v>
      </c>
      <c r="R854" s="112"/>
    </row>
    <row r="855" spans="1:18" s="72" customFormat="1" ht="15.75" hidden="1">
      <c r="A855" s="69" t="s">
        <v>609</v>
      </c>
      <c r="B855" s="70" t="s">
        <v>554</v>
      </c>
      <c r="C855" s="49" t="s">
        <v>555</v>
      </c>
      <c r="D855" s="41" t="s">
        <v>393</v>
      </c>
      <c r="E855" s="43" t="s">
        <v>556</v>
      </c>
      <c r="F855" s="65" t="s">
        <v>424</v>
      </c>
      <c r="G855" s="64" t="s">
        <v>425</v>
      </c>
      <c r="H855" s="65" t="s">
        <v>558</v>
      </c>
      <c r="I855" s="66">
        <v>4</v>
      </c>
      <c r="J855" s="67">
        <v>882407</v>
      </c>
      <c r="K855" s="67">
        <f t="shared" si="164"/>
        <v>3529628</v>
      </c>
      <c r="L855" s="67">
        <f t="shared" si="165"/>
        <v>282370.24</v>
      </c>
      <c r="M855" s="203">
        <f t="shared" si="166"/>
        <v>3811998.24</v>
      </c>
      <c r="N855" s="111"/>
      <c r="O855" s="111"/>
      <c r="P855" s="111"/>
      <c r="Q855" s="10">
        <f t="shared" si="167"/>
        <v>3811998.24</v>
      </c>
      <c r="R855" s="112"/>
    </row>
    <row r="856" spans="1:18" s="72" customFormat="1" ht="15.75" hidden="1">
      <c r="A856" s="69" t="s">
        <v>609</v>
      </c>
      <c r="B856" s="70" t="s">
        <v>554</v>
      </c>
      <c r="C856" s="49" t="s">
        <v>555</v>
      </c>
      <c r="D856" s="41" t="s">
        <v>393</v>
      </c>
      <c r="E856" s="43" t="s">
        <v>556</v>
      </c>
      <c r="F856" s="65" t="s">
        <v>386</v>
      </c>
      <c r="G856" s="64" t="s">
        <v>387</v>
      </c>
      <c r="H856" s="65" t="s">
        <v>113</v>
      </c>
      <c r="I856" s="66">
        <v>12</v>
      </c>
      <c r="J856" s="67">
        <v>847222.22</v>
      </c>
      <c r="K856" s="67">
        <f t="shared" si="164"/>
        <v>10166666.640000001</v>
      </c>
      <c r="L856" s="67">
        <f t="shared" si="165"/>
        <v>813333.33120000002</v>
      </c>
      <c r="M856" s="203">
        <f t="shared" si="166"/>
        <v>10979999.9712</v>
      </c>
      <c r="N856" s="111"/>
      <c r="O856" s="111"/>
      <c r="P856" s="111"/>
      <c r="Q856" s="10">
        <f t="shared" si="167"/>
        <v>10979999.9712</v>
      </c>
      <c r="R856" s="112"/>
    </row>
    <row r="857" spans="1:18" s="72" customFormat="1" ht="16.149999999999999" hidden="1" customHeight="1">
      <c r="A857" s="69" t="s">
        <v>609</v>
      </c>
      <c r="B857" s="70" t="s">
        <v>554</v>
      </c>
      <c r="C857" s="49" t="s">
        <v>559</v>
      </c>
      <c r="D857" s="41">
        <v>46297</v>
      </c>
      <c r="E857" s="43" t="s">
        <v>556</v>
      </c>
      <c r="F857" s="65" t="s">
        <v>60</v>
      </c>
      <c r="G857" s="64" t="s">
        <v>61</v>
      </c>
      <c r="H857" s="65" t="s">
        <v>113</v>
      </c>
      <c r="I857" s="66">
        <v>8</v>
      </c>
      <c r="J857" s="67">
        <v>1138888.8799999999</v>
      </c>
      <c r="K857" s="67">
        <f t="shared" si="164"/>
        <v>9111111.0399999991</v>
      </c>
      <c r="L857" s="67">
        <f t="shared" si="165"/>
        <v>728888.88319999992</v>
      </c>
      <c r="M857" s="203">
        <f t="shared" si="166"/>
        <v>9839999.9231999982</v>
      </c>
      <c r="N857" s="111"/>
      <c r="O857" s="111"/>
      <c r="P857" s="111"/>
      <c r="Q857" s="10">
        <f t="shared" si="167"/>
        <v>9839999.9231999982</v>
      </c>
      <c r="R857" s="112"/>
    </row>
    <row r="858" spans="1:18" s="72" customFormat="1" ht="16.149999999999999" hidden="1" customHeight="1">
      <c r="A858" s="69" t="s">
        <v>609</v>
      </c>
      <c r="B858" s="70" t="s">
        <v>554</v>
      </c>
      <c r="C858" s="49" t="s">
        <v>559</v>
      </c>
      <c r="D858" s="41">
        <v>46297</v>
      </c>
      <c r="E858" s="43" t="s">
        <v>556</v>
      </c>
      <c r="F858" s="65" t="s">
        <v>16</v>
      </c>
      <c r="G858" s="65" t="s">
        <v>17</v>
      </c>
      <c r="H858" s="65" t="s">
        <v>113</v>
      </c>
      <c r="I858" s="66">
        <v>8</v>
      </c>
      <c r="J858" s="67">
        <v>851851.75</v>
      </c>
      <c r="K858" s="67">
        <f t="shared" si="164"/>
        <v>6814814</v>
      </c>
      <c r="L858" s="67">
        <f t="shared" si="165"/>
        <v>545185.12</v>
      </c>
      <c r="M858" s="203">
        <f t="shared" si="166"/>
        <v>7359999.1200000001</v>
      </c>
      <c r="N858" s="111"/>
      <c r="O858" s="111"/>
      <c r="P858" s="111"/>
      <c r="Q858" s="10">
        <f t="shared" si="167"/>
        <v>7359999.1200000001</v>
      </c>
      <c r="R858" s="112"/>
    </row>
    <row r="859" spans="1:18" s="72" customFormat="1" ht="15.75" hidden="1">
      <c r="A859" s="69" t="s">
        <v>609</v>
      </c>
      <c r="B859" s="70" t="s">
        <v>554</v>
      </c>
      <c r="C859" s="49" t="s">
        <v>560</v>
      </c>
      <c r="D859" s="41" t="s">
        <v>152</v>
      </c>
      <c r="E859" s="43" t="s">
        <v>556</v>
      </c>
      <c r="F859" s="65" t="s">
        <v>54</v>
      </c>
      <c r="G859" s="64" t="s">
        <v>229</v>
      </c>
      <c r="H859" s="65" t="s">
        <v>113</v>
      </c>
      <c r="I859" s="66">
        <v>12</v>
      </c>
      <c r="J859" s="67">
        <v>324074.07</v>
      </c>
      <c r="K859" s="67">
        <f t="shared" si="164"/>
        <v>3888888.84</v>
      </c>
      <c r="L859" s="67">
        <f t="shared" si="165"/>
        <v>311111.10719999997</v>
      </c>
      <c r="M859" s="203">
        <f t="shared" si="166"/>
        <v>4199999.9472000003</v>
      </c>
      <c r="N859" s="111"/>
      <c r="O859" s="111"/>
      <c r="P859" s="111"/>
      <c r="Q859" s="10">
        <f t="shared" si="167"/>
        <v>4199999.9472000003</v>
      </c>
      <c r="R859" s="112"/>
    </row>
    <row r="860" spans="1:18" s="72" customFormat="1" ht="15.75" hidden="1">
      <c r="A860" s="69" t="s">
        <v>609</v>
      </c>
      <c r="B860" s="70" t="s">
        <v>554</v>
      </c>
      <c r="C860" s="49" t="s">
        <v>560</v>
      </c>
      <c r="D860" s="41" t="s">
        <v>152</v>
      </c>
      <c r="E860" s="43" t="s">
        <v>556</v>
      </c>
      <c r="F860" s="65" t="s">
        <v>56</v>
      </c>
      <c r="G860" s="64" t="s">
        <v>57</v>
      </c>
      <c r="H860" s="65" t="s">
        <v>113</v>
      </c>
      <c r="I860" s="66">
        <v>12</v>
      </c>
      <c r="J860" s="67">
        <v>325925.92</v>
      </c>
      <c r="K860" s="67">
        <f t="shared" si="164"/>
        <v>3911111.04</v>
      </c>
      <c r="L860" s="67">
        <f t="shared" si="165"/>
        <v>312888.88319999998</v>
      </c>
      <c r="M860" s="203">
        <f t="shared" si="166"/>
        <v>4223999.9232000001</v>
      </c>
      <c r="N860" s="111"/>
      <c r="O860" s="111"/>
      <c r="P860" s="111"/>
      <c r="Q860" s="10">
        <f t="shared" si="167"/>
        <v>4223999.9232000001</v>
      </c>
      <c r="R860" s="112"/>
    </row>
    <row r="861" spans="1:18" s="72" customFormat="1" ht="15.75" hidden="1">
      <c r="A861" s="69" t="s">
        <v>609</v>
      </c>
      <c r="B861" s="70" t="s">
        <v>554</v>
      </c>
      <c r="C861" s="49" t="s">
        <v>560</v>
      </c>
      <c r="D861" s="41" t="s">
        <v>152</v>
      </c>
      <c r="E861" s="43" t="s">
        <v>556</v>
      </c>
      <c r="F861" s="65" t="s">
        <v>107</v>
      </c>
      <c r="G861" s="65" t="s">
        <v>108</v>
      </c>
      <c r="H861" s="65" t="s">
        <v>113</v>
      </c>
      <c r="I861" s="66">
        <v>12</v>
      </c>
      <c r="J861" s="67">
        <v>349074.07</v>
      </c>
      <c r="K861" s="67">
        <f t="shared" si="164"/>
        <v>4188888.84</v>
      </c>
      <c r="L861" s="67">
        <f t="shared" si="165"/>
        <v>335111.10719999997</v>
      </c>
      <c r="M861" s="203">
        <f t="shared" si="166"/>
        <v>4523999.9472000003</v>
      </c>
      <c r="N861" s="111"/>
      <c r="O861" s="111"/>
      <c r="P861" s="111"/>
      <c r="Q861" s="10">
        <f t="shared" si="167"/>
        <v>4523999.9472000003</v>
      </c>
      <c r="R861" s="112"/>
    </row>
    <row r="862" spans="1:18" s="72" customFormat="1" ht="15.75" hidden="1">
      <c r="A862" s="69" t="s">
        <v>609</v>
      </c>
      <c r="B862" s="70" t="s">
        <v>554</v>
      </c>
      <c r="C862" s="49" t="s">
        <v>560</v>
      </c>
      <c r="D862" s="41" t="s">
        <v>152</v>
      </c>
      <c r="E862" s="43" t="s">
        <v>556</v>
      </c>
      <c r="F862" s="65" t="s">
        <v>127</v>
      </c>
      <c r="G862" s="64" t="s">
        <v>128</v>
      </c>
      <c r="H862" s="65" t="s">
        <v>113</v>
      </c>
      <c r="I862" s="66">
        <v>12</v>
      </c>
      <c r="J862" s="67">
        <v>284259.25</v>
      </c>
      <c r="K862" s="67">
        <f t="shared" si="164"/>
        <v>3411111</v>
      </c>
      <c r="L862" s="67">
        <f t="shared" si="165"/>
        <v>272888.88</v>
      </c>
      <c r="M862" s="203">
        <f t="shared" si="166"/>
        <v>3683999.88</v>
      </c>
      <c r="N862" s="111"/>
      <c r="O862" s="111"/>
      <c r="P862" s="111"/>
      <c r="Q862" s="10">
        <f t="shared" si="167"/>
        <v>3683999.88</v>
      </c>
      <c r="R862" s="112"/>
    </row>
    <row r="863" spans="1:18" s="72" customFormat="1" ht="15.75" hidden="1">
      <c r="A863" s="69" t="s">
        <v>609</v>
      </c>
      <c r="B863" s="70" t="s">
        <v>554</v>
      </c>
      <c r="C863" s="49" t="s">
        <v>560</v>
      </c>
      <c r="D863" s="41" t="s">
        <v>152</v>
      </c>
      <c r="E863" s="43" t="s">
        <v>556</v>
      </c>
      <c r="F863" s="65" t="s">
        <v>130</v>
      </c>
      <c r="G863" s="64" t="s">
        <v>131</v>
      </c>
      <c r="H863" s="65" t="s">
        <v>113</v>
      </c>
      <c r="I863" s="66">
        <v>12</v>
      </c>
      <c r="J863" s="67">
        <v>280555.55</v>
      </c>
      <c r="K863" s="67">
        <f t="shared" si="164"/>
        <v>3366666.5999999996</v>
      </c>
      <c r="L863" s="67">
        <f t="shared" si="165"/>
        <v>269333.32799999998</v>
      </c>
      <c r="M863" s="203">
        <f t="shared" si="166"/>
        <v>3635999.9279999994</v>
      </c>
      <c r="N863" s="111"/>
      <c r="O863" s="111"/>
      <c r="P863" s="111"/>
      <c r="Q863" s="10">
        <f t="shared" si="167"/>
        <v>3635999.9279999994</v>
      </c>
      <c r="R863" s="112"/>
    </row>
    <row r="864" spans="1:18" s="72" customFormat="1" ht="15.75" hidden="1">
      <c r="A864" s="69" t="s">
        <v>609</v>
      </c>
      <c r="B864" s="70" t="s">
        <v>554</v>
      </c>
      <c r="C864" s="49" t="s">
        <v>560</v>
      </c>
      <c r="D864" s="41" t="s">
        <v>152</v>
      </c>
      <c r="E864" s="43" t="s">
        <v>556</v>
      </c>
      <c r="F864" s="65" t="s">
        <v>219</v>
      </c>
      <c r="G864" s="65" t="s">
        <v>483</v>
      </c>
      <c r="H864" s="65" t="s">
        <v>113</v>
      </c>
      <c r="I864" s="66">
        <v>12</v>
      </c>
      <c r="J864" s="67">
        <v>263888.88</v>
      </c>
      <c r="K864" s="67">
        <f t="shared" si="164"/>
        <v>3166666.56</v>
      </c>
      <c r="L864" s="67">
        <f t="shared" si="165"/>
        <v>253333.3248</v>
      </c>
      <c r="M864" s="203">
        <f t="shared" si="166"/>
        <v>3419999.8848000001</v>
      </c>
      <c r="N864" s="111"/>
      <c r="O864" s="111"/>
      <c r="P864" s="111"/>
      <c r="Q864" s="10">
        <f t="shared" si="167"/>
        <v>3419999.8848000001</v>
      </c>
      <c r="R864" s="112"/>
    </row>
    <row r="865" spans="1:18" s="87" customFormat="1" ht="15.75" hidden="1">
      <c r="A865" s="69" t="s">
        <v>609</v>
      </c>
      <c r="B865" s="85" t="s">
        <v>554</v>
      </c>
      <c r="C865" s="58" t="s">
        <v>561</v>
      </c>
      <c r="D865" s="181">
        <v>46240</v>
      </c>
      <c r="E865" s="65" t="s">
        <v>556</v>
      </c>
      <c r="F865" s="65" t="s">
        <v>386</v>
      </c>
      <c r="G865" s="64" t="s">
        <v>387</v>
      </c>
      <c r="H865" s="65" t="s">
        <v>113</v>
      </c>
      <c r="I865" s="66">
        <v>12</v>
      </c>
      <c r="J865" s="67">
        <v>847222.22</v>
      </c>
      <c r="K865" s="67">
        <f t="shared" si="164"/>
        <v>10166666.640000001</v>
      </c>
      <c r="L865" s="67">
        <f t="shared" si="165"/>
        <v>813333.33120000002</v>
      </c>
      <c r="M865" s="203">
        <f t="shared" si="166"/>
        <v>10979999.9712</v>
      </c>
      <c r="N865" s="111"/>
      <c r="O865" s="111"/>
      <c r="P865" s="111"/>
      <c r="Q865" s="10">
        <f t="shared" si="167"/>
        <v>10979999.9712</v>
      </c>
      <c r="R865" s="112"/>
    </row>
    <row r="866" spans="1:18" s="87" customFormat="1" ht="15.75" hidden="1">
      <c r="A866" s="69" t="s">
        <v>609</v>
      </c>
      <c r="B866" s="85" t="s">
        <v>554</v>
      </c>
      <c r="C866" s="58" t="s">
        <v>561</v>
      </c>
      <c r="D866" s="181">
        <v>46240</v>
      </c>
      <c r="E866" s="65" t="s">
        <v>556</v>
      </c>
      <c r="F866" s="65" t="s">
        <v>74</v>
      </c>
      <c r="G866" s="64" t="s">
        <v>141</v>
      </c>
      <c r="H866" s="65" t="s">
        <v>113</v>
      </c>
      <c r="I866" s="66">
        <v>16</v>
      </c>
      <c r="J866" s="67">
        <v>361111.11</v>
      </c>
      <c r="K866" s="67">
        <f t="shared" si="164"/>
        <v>5777777.7599999998</v>
      </c>
      <c r="L866" s="67">
        <f t="shared" si="165"/>
        <v>462222.22080000001</v>
      </c>
      <c r="M866" s="203">
        <f t="shared" si="166"/>
        <v>6239999.9808</v>
      </c>
      <c r="N866" s="111"/>
      <c r="O866" s="111"/>
      <c r="P866" s="111"/>
      <c r="Q866" s="10">
        <f t="shared" si="167"/>
        <v>6239999.9808</v>
      </c>
      <c r="R866" s="112"/>
    </row>
    <row r="867" spans="1:18" s="87" customFormat="1" ht="15.75" hidden="1">
      <c r="A867" s="69" t="s">
        <v>609</v>
      </c>
      <c r="B867" s="85" t="s">
        <v>554</v>
      </c>
      <c r="C867" s="58" t="s">
        <v>561</v>
      </c>
      <c r="D867" s="181">
        <v>46240</v>
      </c>
      <c r="E867" s="65" t="s">
        <v>556</v>
      </c>
      <c r="F867" s="65" t="s">
        <v>279</v>
      </c>
      <c r="G867" s="65" t="s">
        <v>280</v>
      </c>
      <c r="H867" s="65" t="s">
        <v>113</v>
      </c>
      <c r="I867" s="66">
        <v>10</v>
      </c>
      <c r="J867" s="67">
        <v>387962.96</v>
      </c>
      <c r="K867" s="67">
        <f t="shared" si="164"/>
        <v>3879629.6</v>
      </c>
      <c r="L867" s="67">
        <f t="shared" si="165"/>
        <v>310370.36800000002</v>
      </c>
      <c r="M867" s="203">
        <f t="shared" si="166"/>
        <v>4189999.9680000003</v>
      </c>
      <c r="N867" s="111"/>
      <c r="O867" s="111"/>
      <c r="P867" s="111"/>
      <c r="Q867" s="10">
        <f t="shared" si="167"/>
        <v>4189999.9680000003</v>
      </c>
      <c r="R867" s="112"/>
    </row>
    <row r="868" spans="1:18" s="87" customFormat="1" ht="15.75" hidden="1">
      <c r="A868" s="69" t="s">
        <v>609</v>
      </c>
      <c r="B868" s="85" t="s">
        <v>554</v>
      </c>
      <c r="C868" s="58" t="s">
        <v>561</v>
      </c>
      <c r="D868" s="181">
        <v>46240</v>
      </c>
      <c r="E868" s="65" t="s">
        <v>556</v>
      </c>
      <c r="F868" s="65" t="s">
        <v>258</v>
      </c>
      <c r="G868" s="64" t="s">
        <v>259</v>
      </c>
      <c r="H868" s="65" t="s">
        <v>113</v>
      </c>
      <c r="I868" s="66">
        <v>10</v>
      </c>
      <c r="J868" s="67">
        <v>472222.22</v>
      </c>
      <c r="K868" s="67">
        <f t="shared" si="164"/>
        <v>4722222.1999999993</v>
      </c>
      <c r="L868" s="67">
        <f t="shared" si="165"/>
        <v>377777.77599999995</v>
      </c>
      <c r="M868" s="203">
        <f t="shared" si="166"/>
        <v>5099999.9759999989</v>
      </c>
      <c r="N868" s="111"/>
      <c r="O868" s="111"/>
      <c r="P868" s="111"/>
      <c r="Q868" s="10">
        <f t="shared" si="167"/>
        <v>5099999.9759999989</v>
      </c>
      <c r="R868" s="112"/>
    </row>
    <row r="869" spans="1:18" s="87" customFormat="1" ht="15.75" hidden="1">
      <c r="A869" s="69" t="s">
        <v>609</v>
      </c>
      <c r="B869" s="85" t="s">
        <v>554</v>
      </c>
      <c r="C869" s="58" t="s">
        <v>561</v>
      </c>
      <c r="D869" s="181">
        <v>46240</v>
      </c>
      <c r="E869" s="65" t="s">
        <v>556</v>
      </c>
      <c r="F869" s="65" t="s">
        <v>260</v>
      </c>
      <c r="G869" s="64" t="s">
        <v>261</v>
      </c>
      <c r="H869" s="65" t="s">
        <v>412</v>
      </c>
      <c r="I869" s="66">
        <v>10</v>
      </c>
      <c r="J869" s="67">
        <v>492592.6</v>
      </c>
      <c r="K869" s="67">
        <f t="shared" si="164"/>
        <v>4925926</v>
      </c>
      <c r="L869" s="67">
        <f t="shared" si="165"/>
        <v>394074.08</v>
      </c>
      <c r="M869" s="203">
        <f t="shared" si="166"/>
        <v>5320000.08</v>
      </c>
      <c r="N869" s="111"/>
      <c r="O869" s="111"/>
      <c r="P869" s="111"/>
      <c r="Q869" s="10">
        <f t="shared" si="167"/>
        <v>5320000.08</v>
      </c>
      <c r="R869" s="112"/>
    </row>
    <row r="870" spans="1:18" s="87" customFormat="1" ht="18" hidden="1" customHeight="1">
      <c r="A870" s="69" t="s">
        <v>609</v>
      </c>
      <c r="B870" s="213">
        <v>46328</v>
      </c>
      <c r="C870" s="58" t="s">
        <v>562</v>
      </c>
      <c r="D870" s="63"/>
      <c r="E870" s="65" t="s">
        <v>563</v>
      </c>
      <c r="F870" s="65" t="s">
        <v>386</v>
      </c>
      <c r="G870" s="64" t="s">
        <v>387</v>
      </c>
      <c r="H870" s="65" t="s">
        <v>113</v>
      </c>
      <c r="I870" s="66">
        <v>-12</v>
      </c>
      <c r="J870" s="67">
        <v>847222.22</v>
      </c>
      <c r="K870" s="67">
        <f t="shared" si="164"/>
        <v>-10166666.640000001</v>
      </c>
      <c r="L870" s="67">
        <f t="shared" si="165"/>
        <v>-813333.33120000002</v>
      </c>
      <c r="M870" s="203">
        <f t="shared" si="166"/>
        <v>-10979999.9712</v>
      </c>
      <c r="N870" s="67"/>
      <c r="O870" s="67"/>
      <c r="P870" s="67"/>
      <c r="Q870" s="10">
        <f t="shared" si="167"/>
        <v>-10979999.9712</v>
      </c>
      <c r="R870" s="67"/>
    </row>
    <row r="871" spans="1:18" s="87" customFormat="1" ht="15.75" hidden="1">
      <c r="A871" s="69" t="s">
        <v>609</v>
      </c>
      <c r="B871" s="85">
        <v>46148</v>
      </c>
      <c r="C871" s="58" t="s">
        <v>561</v>
      </c>
      <c r="D871" s="181">
        <v>46240</v>
      </c>
      <c r="E871" s="65" t="s">
        <v>556</v>
      </c>
      <c r="F871" s="65" t="s">
        <v>204</v>
      </c>
      <c r="G871" s="65" t="s">
        <v>269</v>
      </c>
      <c r="H871" s="65" t="s">
        <v>25</v>
      </c>
      <c r="I871" s="66">
        <v>16</v>
      </c>
      <c r="J871" s="67">
        <v>480555.55</v>
      </c>
      <c r="K871" s="67">
        <f>I871*J871</f>
        <v>7688888.7999999998</v>
      </c>
      <c r="L871" s="67">
        <f>K871*8%</f>
        <v>615111.10400000005</v>
      </c>
      <c r="M871" s="203">
        <f>K871+L871</f>
        <v>8303999.9040000001</v>
      </c>
      <c r="N871" s="111"/>
      <c r="O871" s="111"/>
      <c r="P871" s="111"/>
      <c r="Q871" s="10">
        <f t="shared" si="167"/>
        <v>8303999.9040000001</v>
      </c>
      <c r="R871" s="112"/>
    </row>
    <row r="872" spans="1:18" s="87" customFormat="1" ht="15.75" hidden="1">
      <c r="A872" s="69" t="s">
        <v>609</v>
      </c>
      <c r="B872" s="85">
        <v>46148</v>
      </c>
      <c r="C872" s="58" t="s">
        <v>561</v>
      </c>
      <c r="D872" s="181">
        <v>46240</v>
      </c>
      <c r="E872" s="65" t="s">
        <v>556</v>
      </c>
      <c r="F872" s="65" t="s">
        <v>557</v>
      </c>
      <c r="G872" s="64" t="s">
        <v>209</v>
      </c>
      <c r="H872" s="65" t="s">
        <v>25</v>
      </c>
      <c r="I872" s="66">
        <v>16</v>
      </c>
      <c r="J872" s="67">
        <v>647222.22</v>
      </c>
      <c r="K872" s="67">
        <f t="shared" ref="K872:K892" si="168">I872*J872</f>
        <v>10355555.52</v>
      </c>
      <c r="L872" s="67">
        <f t="shared" ref="L872:L892" si="169">K872*8%</f>
        <v>828444.44160000002</v>
      </c>
      <c r="M872" s="203">
        <f t="shared" ref="M872:M876" si="170">K872+L872</f>
        <v>11183999.9616</v>
      </c>
      <c r="N872" s="111"/>
      <c r="O872" s="111"/>
      <c r="P872" s="111"/>
      <c r="Q872" s="10">
        <f t="shared" si="167"/>
        <v>11183999.9616</v>
      </c>
      <c r="R872" s="112"/>
    </row>
    <row r="873" spans="1:18" s="87" customFormat="1" ht="15.75" hidden="1">
      <c r="A873" s="69" t="s">
        <v>609</v>
      </c>
      <c r="B873" s="85">
        <v>46148</v>
      </c>
      <c r="C873" s="58" t="s">
        <v>561</v>
      </c>
      <c r="D873" s="181">
        <v>46240</v>
      </c>
      <c r="E873" s="65" t="s">
        <v>556</v>
      </c>
      <c r="F873" s="65" t="s">
        <v>77</v>
      </c>
      <c r="G873" s="64" t="s">
        <v>78</v>
      </c>
      <c r="H873" s="65" t="s">
        <v>25</v>
      </c>
      <c r="I873" s="66">
        <v>12</v>
      </c>
      <c r="J873" s="67">
        <v>324074.07</v>
      </c>
      <c r="K873" s="67">
        <f t="shared" si="168"/>
        <v>3888888.84</v>
      </c>
      <c r="L873" s="67">
        <f t="shared" si="169"/>
        <v>311111.10719999997</v>
      </c>
      <c r="M873" s="203">
        <f t="shared" si="170"/>
        <v>4199999.9472000003</v>
      </c>
      <c r="N873" s="111"/>
      <c r="O873" s="111"/>
      <c r="P873" s="111"/>
      <c r="Q873" s="10">
        <f t="shared" si="167"/>
        <v>4199999.9472000003</v>
      </c>
      <c r="R873" s="112"/>
    </row>
    <row r="874" spans="1:18" s="87" customFormat="1" ht="15.75" hidden="1">
      <c r="A874" s="69" t="s">
        <v>609</v>
      </c>
      <c r="B874" s="85">
        <v>46148</v>
      </c>
      <c r="C874" s="58" t="s">
        <v>561</v>
      </c>
      <c r="D874" s="181">
        <v>46240</v>
      </c>
      <c r="E874" s="65" t="s">
        <v>556</v>
      </c>
      <c r="F874" s="65" t="s">
        <v>262</v>
      </c>
      <c r="G874" s="65" t="s">
        <v>564</v>
      </c>
      <c r="H874" s="65" t="s">
        <v>25</v>
      </c>
      <c r="I874" s="66">
        <v>10</v>
      </c>
      <c r="J874" s="67">
        <v>851851.85</v>
      </c>
      <c r="K874" s="67">
        <f t="shared" si="168"/>
        <v>8518518.5</v>
      </c>
      <c r="L874" s="67">
        <f t="shared" si="169"/>
        <v>681481.48</v>
      </c>
      <c r="M874" s="203">
        <f t="shared" si="170"/>
        <v>9199999.9800000004</v>
      </c>
      <c r="N874" s="111"/>
      <c r="O874" s="111"/>
      <c r="P874" s="111"/>
      <c r="Q874" s="10">
        <f t="shared" si="167"/>
        <v>9199999.9800000004</v>
      </c>
      <c r="R874" s="112"/>
    </row>
    <row r="875" spans="1:18" s="87" customFormat="1" ht="15.75" hidden="1">
      <c r="A875" s="69" t="s">
        <v>609</v>
      </c>
      <c r="B875" s="85">
        <v>46148</v>
      </c>
      <c r="C875" s="58" t="s">
        <v>561</v>
      </c>
      <c r="D875" s="181">
        <v>46240</v>
      </c>
      <c r="E875" s="65" t="s">
        <v>556</v>
      </c>
      <c r="F875" s="65" t="s">
        <v>74</v>
      </c>
      <c r="G875" s="64" t="s">
        <v>141</v>
      </c>
      <c r="H875" s="65" t="s">
        <v>113</v>
      </c>
      <c r="I875" s="66">
        <v>16</v>
      </c>
      <c r="J875" s="67">
        <v>382777.78</v>
      </c>
      <c r="K875" s="67">
        <f t="shared" si="168"/>
        <v>6124444.4800000004</v>
      </c>
      <c r="L875" s="67">
        <f t="shared" si="169"/>
        <v>489955.55840000004</v>
      </c>
      <c r="M875" s="203">
        <f t="shared" si="170"/>
        <v>6614400.0384000009</v>
      </c>
      <c r="N875" s="111"/>
      <c r="O875" s="111"/>
      <c r="P875" s="111"/>
      <c r="Q875" s="10">
        <f t="shared" si="167"/>
        <v>6614400.0384000009</v>
      </c>
      <c r="R875" s="112"/>
    </row>
    <row r="876" spans="1:18" s="87" customFormat="1" ht="15.75" hidden="1">
      <c r="A876" s="69" t="s">
        <v>609</v>
      </c>
      <c r="B876" s="85">
        <v>46148</v>
      </c>
      <c r="C876" s="156" t="s">
        <v>252</v>
      </c>
      <c r="D876" s="63"/>
      <c r="E876" s="65" t="s">
        <v>556</v>
      </c>
      <c r="F876" s="94" t="s">
        <v>85</v>
      </c>
      <c r="G876" s="125" t="s">
        <v>86</v>
      </c>
      <c r="H876" s="94" t="s">
        <v>113</v>
      </c>
      <c r="I876" s="157">
        <v>100</v>
      </c>
      <c r="J876" s="127">
        <v>509259.26</v>
      </c>
      <c r="K876" s="127">
        <f t="shared" si="168"/>
        <v>50925926</v>
      </c>
      <c r="L876" s="127">
        <f t="shared" si="169"/>
        <v>4074074.08</v>
      </c>
      <c r="M876" s="257">
        <f t="shared" si="170"/>
        <v>55000000.079999998</v>
      </c>
      <c r="N876" s="111"/>
      <c r="O876" s="111"/>
      <c r="P876" s="111"/>
      <c r="Q876" s="10">
        <f t="shared" si="167"/>
        <v>55000000.079999998</v>
      </c>
      <c r="R876" s="112"/>
    </row>
    <row r="877" spans="1:18" s="87" customFormat="1" ht="18" hidden="1" customHeight="1">
      <c r="A877" s="69" t="s">
        <v>609</v>
      </c>
      <c r="B877" s="85" t="s">
        <v>405</v>
      </c>
      <c r="C877" s="156" t="s">
        <v>252</v>
      </c>
      <c r="D877" s="63"/>
      <c r="E877" s="65" t="s">
        <v>556</v>
      </c>
      <c r="F877" s="65" t="s">
        <v>90</v>
      </c>
      <c r="G877" s="65" t="s">
        <v>91</v>
      </c>
      <c r="H877" s="65" t="s">
        <v>92</v>
      </c>
      <c r="I877" s="66">
        <v>40</v>
      </c>
      <c r="J877" s="67">
        <v>814814.81</v>
      </c>
      <c r="K877" s="67">
        <f t="shared" si="168"/>
        <v>32592592.400000002</v>
      </c>
      <c r="L877" s="67">
        <f t="shared" si="169"/>
        <v>2607407.3920000005</v>
      </c>
      <c r="M877" s="203">
        <f>K877+L877</f>
        <v>35199999.792000003</v>
      </c>
      <c r="N877" s="67"/>
      <c r="O877" s="67"/>
      <c r="P877" s="67"/>
      <c r="Q877" s="10">
        <f t="shared" si="167"/>
        <v>35199999.792000003</v>
      </c>
      <c r="R877" s="67"/>
    </row>
    <row r="878" spans="1:18" s="87" customFormat="1" ht="18" hidden="1" customHeight="1">
      <c r="A878" s="69" t="s">
        <v>609</v>
      </c>
      <c r="B878" s="85" t="s">
        <v>405</v>
      </c>
      <c r="C878" s="156" t="s">
        <v>252</v>
      </c>
      <c r="D878" s="63"/>
      <c r="E878" s="65" t="s">
        <v>556</v>
      </c>
      <c r="F878" s="65" t="s">
        <v>93</v>
      </c>
      <c r="G878" s="64" t="s">
        <v>94</v>
      </c>
      <c r="H878" s="65" t="s">
        <v>92</v>
      </c>
      <c r="I878" s="66">
        <v>20</v>
      </c>
      <c r="J878" s="67">
        <v>907407.41</v>
      </c>
      <c r="K878" s="67">
        <f t="shared" si="168"/>
        <v>18148148.199999999</v>
      </c>
      <c r="L878" s="67">
        <f t="shared" si="169"/>
        <v>1451851.8559999999</v>
      </c>
      <c r="M878" s="203">
        <f t="shared" ref="M878:M892" si="171">K878+L878</f>
        <v>19600000.055999998</v>
      </c>
      <c r="N878" s="67"/>
      <c r="O878" s="67"/>
      <c r="P878" s="67"/>
      <c r="Q878" s="10">
        <f t="shared" si="167"/>
        <v>19600000.055999998</v>
      </c>
      <c r="R878" s="67"/>
    </row>
    <row r="879" spans="1:18" s="87" customFormat="1" ht="18" hidden="1" customHeight="1">
      <c r="A879" s="69" t="s">
        <v>609</v>
      </c>
      <c r="B879" s="85" t="s">
        <v>565</v>
      </c>
      <c r="C879" s="156" t="s">
        <v>252</v>
      </c>
      <c r="D879" s="63"/>
      <c r="E879" s="65" t="s">
        <v>556</v>
      </c>
      <c r="F879" s="94" t="s">
        <v>566</v>
      </c>
      <c r="G879" s="125" t="s">
        <v>567</v>
      </c>
      <c r="H879" s="94" t="s">
        <v>18</v>
      </c>
      <c r="I879" s="157">
        <v>50</v>
      </c>
      <c r="J879" s="127">
        <v>574074.06999999995</v>
      </c>
      <c r="K879" s="127">
        <f t="shared" si="168"/>
        <v>28703703.499999996</v>
      </c>
      <c r="L879" s="127">
        <f t="shared" si="169"/>
        <v>2296296.2799999998</v>
      </c>
      <c r="M879" s="257">
        <f t="shared" si="171"/>
        <v>30999999.779999997</v>
      </c>
      <c r="N879" s="67"/>
      <c r="O879" s="67"/>
      <c r="P879" s="67"/>
      <c r="Q879" s="10">
        <f t="shared" si="167"/>
        <v>30999999.779999997</v>
      </c>
      <c r="R879" s="67"/>
    </row>
    <row r="880" spans="1:18" s="87" customFormat="1" ht="18" hidden="1" customHeight="1">
      <c r="A880" s="69" t="s">
        <v>609</v>
      </c>
      <c r="B880" s="85" t="s">
        <v>565</v>
      </c>
      <c r="C880" s="58" t="s">
        <v>568</v>
      </c>
      <c r="D880" s="41">
        <v>46029</v>
      </c>
      <c r="E880" s="65" t="s">
        <v>556</v>
      </c>
      <c r="F880" s="94" t="s">
        <v>98</v>
      </c>
      <c r="G880" s="94" t="s">
        <v>251</v>
      </c>
      <c r="H880" s="94" t="s">
        <v>18</v>
      </c>
      <c r="I880" s="157">
        <v>50</v>
      </c>
      <c r="J880" s="127">
        <v>694444.44</v>
      </c>
      <c r="K880" s="127">
        <f t="shared" si="168"/>
        <v>34722222</v>
      </c>
      <c r="L880" s="127">
        <f t="shared" si="169"/>
        <v>2777777.7600000002</v>
      </c>
      <c r="M880" s="257">
        <f t="shared" si="171"/>
        <v>37499999.759999998</v>
      </c>
      <c r="N880" s="67"/>
      <c r="O880" s="67"/>
      <c r="P880" s="67"/>
      <c r="Q880" s="10">
        <f t="shared" si="167"/>
        <v>37499999.759999998</v>
      </c>
      <c r="R880" s="67"/>
    </row>
    <row r="881" spans="1:18" s="279" customFormat="1" ht="18" hidden="1" customHeight="1">
      <c r="A881" s="69" t="s">
        <v>609</v>
      </c>
      <c r="B881" s="188" t="s">
        <v>95</v>
      </c>
      <c r="C881" s="214"/>
      <c r="D881" s="189"/>
      <c r="E881" s="190" t="s">
        <v>569</v>
      </c>
      <c r="F881" s="190"/>
      <c r="G881" s="190"/>
      <c r="H881" s="190"/>
      <c r="I881" s="215"/>
      <c r="J881" s="216"/>
      <c r="K881" s="216">
        <f t="shared" si="168"/>
        <v>0</v>
      </c>
      <c r="L881" s="216">
        <f t="shared" si="169"/>
        <v>0</v>
      </c>
      <c r="M881" s="217"/>
      <c r="N881" s="217">
        <v>71332402</v>
      </c>
      <c r="O881" s="217"/>
      <c r="P881" s="217"/>
      <c r="Q881" s="10">
        <f t="shared" si="167"/>
        <v>-71332402</v>
      </c>
      <c r="R881" s="216"/>
    </row>
    <row r="882" spans="1:18" s="87" customFormat="1" ht="18" hidden="1" customHeight="1">
      <c r="A882" s="69" t="s">
        <v>609</v>
      </c>
      <c r="B882" s="85" t="s">
        <v>407</v>
      </c>
      <c r="C882" s="58" t="s">
        <v>568</v>
      </c>
      <c r="D882" s="63">
        <v>46029</v>
      </c>
      <c r="E882" s="65" t="s">
        <v>556</v>
      </c>
      <c r="F882" s="94" t="s">
        <v>161</v>
      </c>
      <c r="G882" s="125" t="s">
        <v>162</v>
      </c>
      <c r="H882" s="94" t="s">
        <v>18</v>
      </c>
      <c r="I882" s="157">
        <v>36</v>
      </c>
      <c r="J882" s="127">
        <v>231481.48</v>
      </c>
      <c r="K882" s="127">
        <f t="shared" si="168"/>
        <v>8333333.2800000003</v>
      </c>
      <c r="L882" s="127">
        <f t="shared" si="169"/>
        <v>666666.66240000003</v>
      </c>
      <c r="M882" s="257">
        <f t="shared" si="171"/>
        <v>8999999.942400001</v>
      </c>
      <c r="N882" s="67"/>
      <c r="O882" s="67"/>
      <c r="P882" s="67"/>
      <c r="Q882" s="10">
        <f t="shared" si="167"/>
        <v>8999999.942400001</v>
      </c>
      <c r="R882" s="67"/>
    </row>
    <row r="883" spans="1:18" s="87" customFormat="1" ht="18" hidden="1" customHeight="1">
      <c r="A883" s="69" t="s">
        <v>609</v>
      </c>
      <c r="B883" s="85" t="s">
        <v>407</v>
      </c>
      <c r="C883" s="58" t="s">
        <v>568</v>
      </c>
      <c r="D883" s="63">
        <v>46029</v>
      </c>
      <c r="E883" s="65" t="s">
        <v>556</v>
      </c>
      <c r="F883" s="94" t="s">
        <v>163</v>
      </c>
      <c r="G883" s="94" t="s">
        <v>164</v>
      </c>
      <c r="H883" s="94" t="s">
        <v>18</v>
      </c>
      <c r="I883" s="157">
        <v>40</v>
      </c>
      <c r="J883" s="127">
        <v>185185.19</v>
      </c>
      <c r="K883" s="127">
        <f t="shared" si="168"/>
        <v>7407407.5999999996</v>
      </c>
      <c r="L883" s="127">
        <f t="shared" si="169"/>
        <v>592592.60800000001</v>
      </c>
      <c r="M883" s="257">
        <f t="shared" si="171"/>
        <v>8000000.2079999996</v>
      </c>
      <c r="N883" s="67"/>
      <c r="O883" s="67"/>
      <c r="P883" s="67"/>
      <c r="Q883" s="10">
        <f t="shared" si="167"/>
        <v>8000000.2079999996</v>
      </c>
      <c r="R883" s="67"/>
    </row>
    <row r="884" spans="1:18" s="87" customFormat="1" ht="18" hidden="1" customHeight="1">
      <c r="A884" s="69" t="s">
        <v>609</v>
      </c>
      <c r="B884" s="85" t="s">
        <v>407</v>
      </c>
      <c r="C884" s="58" t="s">
        <v>568</v>
      </c>
      <c r="D884" s="63">
        <v>46029</v>
      </c>
      <c r="E884" s="65" t="s">
        <v>556</v>
      </c>
      <c r="F884" s="94" t="s">
        <v>165</v>
      </c>
      <c r="G884" s="125" t="s">
        <v>409</v>
      </c>
      <c r="H884" s="94" t="s">
        <v>18</v>
      </c>
      <c r="I884" s="157">
        <v>60</v>
      </c>
      <c r="J884" s="127">
        <v>203703.7</v>
      </c>
      <c r="K884" s="127">
        <f t="shared" si="168"/>
        <v>12222222</v>
      </c>
      <c r="L884" s="127">
        <f t="shared" si="169"/>
        <v>977777.76</v>
      </c>
      <c r="M884" s="257">
        <f t="shared" si="171"/>
        <v>13199999.76</v>
      </c>
      <c r="N884" s="67"/>
      <c r="O884" s="67"/>
      <c r="P884" s="67"/>
      <c r="Q884" s="10">
        <f t="shared" si="167"/>
        <v>13199999.76</v>
      </c>
      <c r="R884" s="67"/>
    </row>
    <row r="885" spans="1:18" s="87" customFormat="1" ht="18" hidden="1" customHeight="1">
      <c r="A885" s="69" t="s">
        <v>609</v>
      </c>
      <c r="B885" s="85" t="s">
        <v>407</v>
      </c>
      <c r="C885" s="58" t="s">
        <v>568</v>
      </c>
      <c r="D885" s="63">
        <v>46029</v>
      </c>
      <c r="E885" s="65" t="s">
        <v>556</v>
      </c>
      <c r="F885" s="94" t="s">
        <v>167</v>
      </c>
      <c r="G885" s="125" t="s">
        <v>410</v>
      </c>
      <c r="H885" s="94" t="s">
        <v>18</v>
      </c>
      <c r="I885" s="157">
        <v>60</v>
      </c>
      <c r="J885" s="127">
        <v>231481.48</v>
      </c>
      <c r="K885" s="127">
        <f t="shared" si="168"/>
        <v>13888888.800000001</v>
      </c>
      <c r="L885" s="127">
        <f t="shared" si="169"/>
        <v>1111111.1040000001</v>
      </c>
      <c r="M885" s="257">
        <f t="shared" si="171"/>
        <v>14999999.904000001</v>
      </c>
      <c r="N885" s="67"/>
      <c r="O885" s="67"/>
      <c r="P885" s="67"/>
      <c r="Q885" s="10">
        <f t="shared" si="167"/>
        <v>14999999.904000001</v>
      </c>
      <c r="R885" s="67"/>
    </row>
    <row r="886" spans="1:18" s="87" customFormat="1" ht="18" hidden="1" customHeight="1">
      <c r="A886" s="69" t="s">
        <v>609</v>
      </c>
      <c r="B886" s="85" t="s">
        <v>407</v>
      </c>
      <c r="C886" s="58" t="s">
        <v>568</v>
      </c>
      <c r="D886" s="63">
        <v>46029</v>
      </c>
      <c r="E886" s="65" t="s">
        <v>556</v>
      </c>
      <c r="F886" s="94" t="s">
        <v>169</v>
      </c>
      <c r="G886" s="125" t="s">
        <v>170</v>
      </c>
      <c r="H886" s="94" t="s">
        <v>18</v>
      </c>
      <c r="I886" s="157">
        <v>40</v>
      </c>
      <c r="J886" s="127">
        <v>425925.93</v>
      </c>
      <c r="K886" s="127">
        <f t="shared" si="168"/>
        <v>17037037.199999999</v>
      </c>
      <c r="L886" s="127">
        <f t="shared" si="169"/>
        <v>1362962.976</v>
      </c>
      <c r="M886" s="257">
        <f t="shared" si="171"/>
        <v>18400000.175999999</v>
      </c>
      <c r="N886" s="67"/>
      <c r="O886" s="67"/>
      <c r="P886" s="67"/>
      <c r="Q886" s="10">
        <f t="shared" si="167"/>
        <v>18400000.175999999</v>
      </c>
      <c r="R886" s="67"/>
    </row>
    <row r="887" spans="1:18" s="87" customFormat="1" ht="18" hidden="1" customHeight="1">
      <c r="A887" s="69" t="s">
        <v>609</v>
      </c>
      <c r="B887" s="213" t="s">
        <v>570</v>
      </c>
      <c r="C887" s="58" t="s">
        <v>571</v>
      </c>
      <c r="D887" s="63">
        <v>46088</v>
      </c>
      <c r="E887" s="65" t="s">
        <v>556</v>
      </c>
      <c r="F887" s="65" t="s">
        <v>28</v>
      </c>
      <c r="G887" s="65" t="s">
        <v>29</v>
      </c>
      <c r="H887" s="65" t="s">
        <v>18</v>
      </c>
      <c r="I887" s="66">
        <v>30</v>
      </c>
      <c r="J887" s="67">
        <v>281481.48</v>
      </c>
      <c r="K887" s="67">
        <f t="shared" si="168"/>
        <v>8444444.3999999985</v>
      </c>
      <c r="L887" s="67">
        <f t="shared" si="169"/>
        <v>675555.55199999991</v>
      </c>
      <c r="M887" s="203">
        <f t="shared" si="171"/>
        <v>9119999.9519999977</v>
      </c>
      <c r="N887" s="67"/>
      <c r="O887" s="67"/>
      <c r="P887" s="67"/>
      <c r="Q887" s="10">
        <f t="shared" si="167"/>
        <v>9119999.9519999977</v>
      </c>
      <c r="R887" s="67"/>
    </row>
    <row r="888" spans="1:18" s="87" customFormat="1" ht="18" hidden="1" customHeight="1">
      <c r="A888" s="69" t="s">
        <v>609</v>
      </c>
      <c r="B888" s="213" t="s">
        <v>570</v>
      </c>
      <c r="C888" s="58" t="s">
        <v>571</v>
      </c>
      <c r="D888" s="63">
        <v>46088</v>
      </c>
      <c r="E888" s="65" t="s">
        <v>556</v>
      </c>
      <c r="F888" s="65" t="s">
        <v>243</v>
      </c>
      <c r="G888" s="64" t="s">
        <v>249</v>
      </c>
      <c r="H888" s="65" t="s">
        <v>18</v>
      </c>
      <c r="I888" s="66">
        <v>20</v>
      </c>
      <c r="J888" s="67">
        <v>298148.15000000002</v>
      </c>
      <c r="K888" s="67">
        <f t="shared" si="168"/>
        <v>5962963</v>
      </c>
      <c r="L888" s="67">
        <f t="shared" si="169"/>
        <v>477037.04000000004</v>
      </c>
      <c r="M888" s="203">
        <f t="shared" si="171"/>
        <v>6440000.04</v>
      </c>
      <c r="N888" s="67"/>
      <c r="O888" s="67"/>
      <c r="P888" s="67"/>
      <c r="Q888" s="10">
        <f t="shared" si="167"/>
        <v>6440000.04</v>
      </c>
      <c r="R888" s="67"/>
    </row>
    <row r="889" spans="1:18" s="87" customFormat="1" ht="18" hidden="1" customHeight="1">
      <c r="A889" s="69" t="s">
        <v>609</v>
      </c>
      <c r="B889" s="213" t="s">
        <v>570</v>
      </c>
      <c r="C889" s="58" t="s">
        <v>571</v>
      </c>
      <c r="D889" s="63">
        <v>46088</v>
      </c>
      <c r="E889" s="65" t="s">
        <v>556</v>
      </c>
      <c r="F889" s="65" t="s">
        <v>30</v>
      </c>
      <c r="G889" s="64" t="s">
        <v>31</v>
      </c>
      <c r="H889" s="65" t="s">
        <v>18</v>
      </c>
      <c r="I889" s="66">
        <v>30</v>
      </c>
      <c r="J889" s="67">
        <v>259259.25</v>
      </c>
      <c r="K889" s="67">
        <f t="shared" si="168"/>
        <v>7777777.5</v>
      </c>
      <c r="L889" s="67">
        <f t="shared" si="169"/>
        <v>622222.20000000007</v>
      </c>
      <c r="M889" s="203">
        <f t="shared" si="171"/>
        <v>8399999.6999999993</v>
      </c>
      <c r="N889" s="67"/>
      <c r="O889" s="67"/>
      <c r="P889" s="67"/>
      <c r="Q889" s="10">
        <f t="shared" si="167"/>
        <v>8399999.6999999993</v>
      </c>
      <c r="R889" s="67"/>
    </row>
    <row r="890" spans="1:18" s="87" customFormat="1" ht="18" hidden="1" customHeight="1">
      <c r="A890" s="69" t="s">
        <v>609</v>
      </c>
      <c r="B890" s="213" t="s">
        <v>570</v>
      </c>
      <c r="C890" s="58" t="s">
        <v>571</v>
      </c>
      <c r="D890" s="63">
        <v>46088</v>
      </c>
      <c r="E890" s="65" t="s">
        <v>556</v>
      </c>
      <c r="F890" s="65" t="s">
        <v>301</v>
      </c>
      <c r="G890" s="65" t="s">
        <v>361</v>
      </c>
      <c r="H890" s="65" t="s">
        <v>18</v>
      </c>
      <c r="I890" s="66">
        <v>30</v>
      </c>
      <c r="J890" s="67">
        <v>268518.52</v>
      </c>
      <c r="K890" s="67">
        <f t="shared" si="168"/>
        <v>8055555.6000000006</v>
      </c>
      <c r="L890" s="67">
        <f t="shared" si="169"/>
        <v>644444.44800000009</v>
      </c>
      <c r="M890" s="203">
        <f t="shared" si="171"/>
        <v>8700000.0480000004</v>
      </c>
      <c r="N890" s="67"/>
      <c r="O890" s="67"/>
      <c r="P890" s="67"/>
      <c r="Q890" s="10">
        <f t="shared" si="167"/>
        <v>8700000.0480000004</v>
      </c>
      <c r="R890" s="67"/>
    </row>
    <row r="891" spans="1:18" s="87" customFormat="1" ht="18" hidden="1" customHeight="1">
      <c r="A891" s="69" t="s">
        <v>609</v>
      </c>
      <c r="B891" s="213" t="s">
        <v>570</v>
      </c>
      <c r="C891" s="58" t="s">
        <v>571</v>
      </c>
      <c r="D891" s="63">
        <v>46088</v>
      </c>
      <c r="E891" s="65" t="s">
        <v>556</v>
      </c>
      <c r="F891" s="65" t="s">
        <v>36</v>
      </c>
      <c r="G891" s="64" t="s">
        <v>37</v>
      </c>
      <c r="H891" s="65" t="s">
        <v>18</v>
      </c>
      <c r="I891" s="66">
        <v>40</v>
      </c>
      <c r="J891" s="67">
        <v>259259.25</v>
      </c>
      <c r="K891" s="67">
        <f t="shared" si="168"/>
        <v>10370370</v>
      </c>
      <c r="L891" s="67">
        <f t="shared" si="169"/>
        <v>829629.6</v>
      </c>
      <c r="M891" s="203">
        <f t="shared" si="171"/>
        <v>11199999.6</v>
      </c>
      <c r="N891" s="67"/>
      <c r="O891" s="67"/>
      <c r="P891" s="67"/>
      <c r="Q891" s="10">
        <f t="shared" si="167"/>
        <v>11199999.6</v>
      </c>
      <c r="R891" s="67"/>
    </row>
    <row r="892" spans="1:18" s="87" customFormat="1" ht="18" hidden="1" customHeight="1">
      <c r="A892" s="69" t="s">
        <v>609</v>
      </c>
      <c r="B892" s="213" t="s">
        <v>570</v>
      </c>
      <c r="C892" s="58" t="s">
        <v>571</v>
      </c>
      <c r="D892" s="63">
        <v>46088</v>
      </c>
      <c r="E892" s="65" t="s">
        <v>556</v>
      </c>
      <c r="F892" s="65" t="s">
        <v>38</v>
      </c>
      <c r="G892" s="64" t="s">
        <v>39</v>
      </c>
      <c r="H892" s="65" t="s">
        <v>18</v>
      </c>
      <c r="I892" s="66">
        <v>20</v>
      </c>
      <c r="J892" s="67">
        <v>277777.8</v>
      </c>
      <c r="K892" s="67">
        <f t="shared" si="168"/>
        <v>5555556</v>
      </c>
      <c r="L892" s="67">
        <f t="shared" si="169"/>
        <v>444444.48</v>
      </c>
      <c r="M892" s="203">
        <f t="shared" si="171"/>
        <v>6000000.4800000004</v>
      </c>
      <c r="N892" s="67"/>
      <c r="O892" s="67"/>
      <c r="P892" s="67"/>
      <c r="Q892" s="10">
        <f t="shared" si="167"/>
        <v>6000000.4800000004</v>
      </c>
      <c r="R892" s="67"/>
    </row>
    <row r="893" spans="1:18" s="87" customFormat="1" ht="18" hidden="1" customHeight="1">
      <c r="A893" s="69" t="s">
        <v>609</v>
      </c>
      <c r="B893" s="213">
        <v>46210</v>
      </c>
      <c r="C893" s="58" t="s">
        <v>572</v>
      </c>
      <c r="D893" s="63">
        <v>46241</v>
      </c>
      <c r="E893" s="65" t="s">
        <v>556</v>
      </c>
      <c r="F893" s="65" t="s">
        <v>204</v>
      </c>
      <c r="G893" s="64" t="s">
        <v>269</v>
      </c>
      <c r="H893" s="65" t="s">
        <v>25</v>
      </c>
      <c r="I893" s="66">
        <v>20</v>
      </c>
      <c r="J893" s="67">
        <v>480555.55</v>
      </c>
      <c r="K893" s="67">
        <f>I893*J893</f>
        <v>9611111</v>
      </c>
      <c r="L893" s="67">
        <f>K893*8%</f>
        <v>768888.88</v>
      </c>
      <c r="M893" s="203">
        <f>K893+L893</f>
        <v>10379999.880000001</v>
      </c>
      <c r="N893" s="67"/>
      <c r="O893" s="67"/>
      <c r="P893" s="67"/>
      <c r="Q893" s="10">
        <f t="shared" si="167"/>
        <v>10379999.880000001</v>
      </c>
      <c r="R893" s="67"/>
    </row>
    <row r="894" spans="1:18" s="87" customFormat="1" ht="18" hidden="1" customHeight="1">
      <c r="A894" s="69" t="s">
        <v>609</v>
      </c>
      <c r="B894" s="213">
        <v>46210</v>
      </c>
      <c r="C894" s="58" t="s">
        <v>572</v>
      </c>
      <c r="D894" s="63">
        <v>46241</v>
      </c>
      <c r="E894" s="65" t="s">
        <v>556</v>
      </c>
      <c r="F894" s="65" t="s">
        <v>206</v>
      </c>
      <c r="G894" s="64" t="s">
        <v>369</v>
      </c>
      <c r="H894" s="65" t="s">
        <v>113</v>
      </c>
      <c r="I894" s="66">
        <v>20</v>
      </c>
      <c r="J894" s="67">
        <v>483333.33</v>
      </c>
      <c r="K894" s="67">
        <f t="shared" ref="K894:K903" si="172">I894*J894</f>
        <v>9666666.5999999996</v>
      </c>
      <c r="L894" s="67">
        <f t="shared" ref="L894:L921" si="173">K894*8%</f>
        <v>773333.32799999998</v>
      </c>
      <c r="M894" s="203">
        <f t="shared" ref="M894:M921" si="174">K894+L894</f>
        <v>10439999.927999999</v>
      </c>
      <c r="N894" s="67"/>
      <c r="O894" s="67"/>
      <c r="P894" s="67"/>
      <c r="Q894" s="10">
        <f t="shared" si="167"/>
        <v>10439999.927999999</v>
      </c>
      <c r="R894" s="67"/>
    </row>
    <row r="895" spans="1:18" s="87" customFormat="1" ht="18" hidden="1" customHeight="1">
      <c r="A895" s="69" t="s">
        <v>609</v>
      </c>
      <c r="B895" s="213">
        <v>46210</v>
      </c>
      <c r="C895" s="58" t="s">
        <v>572</v>
      </c>
      <c r="D895" s="63">
        <v>46241</v>
      </c>
      <c r="E895" s="65" t="s">
        <v>556</v>
      </c>
      <c r="F895" s="65" t="s">
        <v>77</v>
      </c>
      <c r="G895" s="65" t="s">
        <v>78</v>
      </c>
      <c r="H895" s="65" t="s">
        <v>113</v>
      </c>
      <c r="I895" s="66">
        <v>40</v>
      </c>
      <c r="J895" s="67">
        <v>324074.07</v>
      </c>
      <c r="K895" s="67">
        <f t="shared" si="172"/>
        <v>12962962.800000001</v>
      </c>
      <c r="L895" s="67">
        <f t="shared" si="173"/>
        <v>1037037.0240000001</v>
      </c>
      <c r="M895" s="203">
        <f t="shared" si="174"/>
        <v>13999999.824000001</v>
      </c>
      <c r="N895" s="67"/>
      <c r="O895" s="67"/>
      <c r="P895" s="67"/>
      <c r="Q895" s="10">
        <f t="shared" si="167"/>
        <v>13999999.824000001</v>
      </c>
      <c r="R895" s="67"/>
    </row>
    <row r="896" spans="1:18" s="87" customFormat="1" ht="18" hidden="1" customHeight="1">
      <c r="A896" s="69" t="s">
        <v>609</v>
      </c>
      <c r="B896" s="213">
        <v>46210</v>
      </c>
      <c r="C896" s="58" t="s">
        <v>572</v>
      </c>
      <c r="D896" s="63">
        <v>46241</v>
      </c>
      <c r="E896" s="65" t="s">
        <v>556</v>
      </c>
      <c r="F896" s="65" t="s">
        <v>557</v>
      </c>
      <c r="G896" s="64" t="s">
        <v>209</v>
      </c>
      <c r="H896" s="65" t="s">
        <v>25</v>
      </c>
      <c r="I896" s="66">
        <v>10</v>
      </c>
      <c r="J896" s="67">
        <v>647222.22</v>
      </c>
      <c r="K896" s="67">
        <f t="shared" si="172"/>
        <v>6472222.1999999993</v>
      </c>
      <c r="L896" s="67">
        <f t="shared" si="173"/>
        <v>517777.77599999995</v>
      </c>
      <c r="M896" s="203">
        <f t="shared" si="174"/>
        <v>6989999.9759999989</v>
      </c>
      <c r="N896" s="67"/>
      <c r="O896" s="67"/>
      <c r="P896" s="67"/>
      <c r="Q896" s="10">
        <f t="shared" si="167"/>
        <v>6989999.9759999989</v>
      </c>
      <c r="R896" s="67"/>
    </row>
    <row r="897" spans="1:18" s="87" customFormat="1" ht="18" hidden="1" customHeight="1">
      <c r="A897" s="69" t="s">
        <v>609</v>
      </c>
      <c r="B897" s="213">
        <v>46210</v>
      </c>
      <c r="C897" s="58" t="s">
        <v>572</v>
      </c>
      <c r="D897" s="63">
        <v>46241</v>
      </c>
      <c r="E897" s="65" t="s">
        <v>556</v>
      </c>
      <c r="F897" s="65" t="s">
        <v>26</v>
      </c>
      <c r="G897" s="64" t="s">
        <v>27</v>
      </c>
      <c r="H897" s="65" t="s">
        <v>113</v>
      </c>
      <c r="I897" s="66">
        <v>30</v>
      </c>
      <c r="J897" s="67">
        <v>256481.48</v>
      </c>
      <c r="K897" s="67">
        <f t="shared" si="172"/>
        <v>7694444.4000000004</v>
      </c>
      <c r="L897" s="67">
        <f t="shared" si="173"/>
        <v>615555.55200000003</v>
      </c>
      <c r="M897" s="203">
        <f t="shared" si="174"/>
        <v>8309999.9520000005</v>
      </c>
      <c r="N897" s="67"/>
      <c r="O897" s="67"/>
      <c r="P897" s="67"/>
      <c r="Q897" s="10">
        <f t="shared" si="167"/>
        <v>8309999.9520000005</v>
      </c>
      <c r="R897" s="67"/>
    </row>
    <row r="898" spans="1:18" s="87" customFormat="1" ht="18" hidden="1" customHeight="1">
      <c r="A898" s="69" t="s">
        <v>609</v>
      </c>
      <c r="B898" s="213">
        <v>46210</v>
      </c>
      <c r="C898" s="58" t="s">
        <v>572</v>
      </c>
      <c r="D898" s="63">
        <v>46241</v>
      </c>
      <c r="E898" s="65" t="s">
        <v>556</v>
      </c>
      <c r="F898" s="65" t="s">
        <v>184</v>
      </c>
      <c r="G898" s="65" t="s">
        <v>272</v>
      </c>
      <c r="H898" s="65" t="s">
        <v>113</v>
      </c>
      <c r="I898" s="66">
        <v>30</v>
      </c>
      <c r="J898" s="67">
        <v>240740.74</v>
      </c>
      <c r="K898" s="67">
        <f t="shared" si="172"/>
        <v>7222222.1999999993</v>
      </c>
      <c r="L898" s="67">
        <f t="shared" si="173"/>
        <v>577777.77599999995</v>
      </c>
      <c r="M898" s="203">
        <f t="shared" si="174"/>
        <v>7799999.9759999989</v>
      </c>
      <c r="N898" s="67"/>
      <c r="O898" s="67"/>
      <c r="P898" s="67"/>
      <c r="Q898" s="10">
        <f t="shared" si="167"/>
        <v>7799999.9759999989</v>
      </c>
      <c r="R898" s="67"/>
    </row>
    <row r="899" spans="1:18" s="87" customFormat="1" ht="18" hidden="1" customHeight="1">
      <c r="A899" s="69" t="s">
        <v>609</v>
      </c>
      <c r="B899" s="213">
        <v>46210</v>
      </c>
      <c r="C899" s="58" t="s">
        <v>572</v>
      </c>
      <c r="D899" s="63">
        <v>46241</v>
      </c>
      <c r="E899" s="65" t="s">
        <v>556</v>
      </c>
      <c r="F899" s="65" t="s">
        <v>34</v>
      </c>
      <c r="G899" s="64" t="s">
        <v>35</v>
      </c>
      <c r="H899" s="65" t="s">
        <v>113</v>
      </c>
      <c r="I899" s="66">
        <v>30</v>
      </c>
      <c r="J899" s="67">
        <v>240740.74</v>
      </c>
      <c r="K899" s="67">
        <f t="shared" si="172"/>
        <v>7222222.1999999993</v>
      </c>
      <c r="L899" s="67">
        <f t="shared" si="173"/>
        <v>577777.77599999995</v>
      </c>
      <c r="M899" s="203">
        <f t="shared" si="174"/>
        <v>7799999.9759999989</v>
      </c>
      <c r="N899" s="67"/>
      <c r="O899" s="67"/>
      <c r="P899" s="67"/>
      <c r="Q899" s="10">
        <f t="shared" si="167"/>
        <v>7799999.9759999989</v>
      </c>
      <c r="R899" s="67"/>
    </row>
    <row r="900" spans="1:18" s="87" customFormat="1" ht="18" hidden="1" customHeight="1">
      <c r="A900" s="69" t="s">
        <v>609</v>
      </c>
      <c r="B900" s="213">
        <v>46210</v>
      </c>
      <c r="C900" s="58" t="s">
        <v>572</v>
      </c>
      <c r="D900" s="63">
        <v>46241</v>
      </c>
      <c r="E900" s="65" t="s">
        <v>556</v>
      </c>
      <c r="F900" s="65" t="s">
        <v>279</v>
      </c>
      <c r="G900" s="64" t="s">
        <v>280</v>
      </c>
      <c r="H900" s="65" t="s">
        <v>113</v>
      </c>
      <c r="I900" s="66">
        <v>16</v>
      </c>
      <c r="J900" s="67">
        <v>387962.96</v>
      </c>
      <c r="K900" s="67">
        <f t="shared" si="172"/>
        <v>6207407.3600000003</v>
      </c>
      <c r="L900" s="67">
        <f t="shared" si="173"/>
        <v>496592.58880000003</v>
      </c>
      <c r="M900" s="203">
        <f t="shared" si="174"/>
        <v>6703999.9488000004</v>
      </c>
      <c r="N900" s="67"/>
      <c r="O900" s="67"/>
      <c r="P900" s="67"/>
      <c r="Q900" s="10">
        <f t="shared" ref="Q900:Q963" si="175">M900-N900-O900-P900</f>
        <v>6703999.9488000004</v>
      </c>
      <c r="R900" s="67"/>
    </row>
    <row r="901" spans="1:18" s="87" customFormat="1" ht="18" hidden="1" customHeight="1">
      <c r="A901" s="69" t="s">
        <v>609</v>
      </c>
      <c r="B901" s="213">
        <v>46210</v>
      </c>
      <c r="C901" s="58" t="s">
        <v>572</v>
      </c>
      <c r="D901" s="63">
        <v>46241</v>
      </c>
      <c r="E901" s="65" t="s">
        <v>556</v>
      </c>
      <c r="F901" s="65" t="s">
        <v>258</v>
      </c>
      <c r="G901" s="65" t="s">
        <v>259</v>
      </c>
      <c r="H901" s="65" t="s">
        <v>113</v>
      </c>
      <c r="I901" s="66">
        <v>16</v>
      </c>
      <c r="J901" s="67">
        <v>472222.22</v>
      </c>
      <c r="K901" s="67">
        <f t="shared" si="172"/>
        <v>7555555.5199999996</v>
      </c>
      <c r="L901" s="67">
        <f t="shared" si="173"/>
        <v>604444.44160000002</v>
      </c>
      <c r="M901" s="203">
        <f t="shared" si="174"/>
        <v>8159999.9616</v>
      </c>
      <c r="N901" s="67"/>
      <c r="O901" s="67"/>
      <c r="P901" s="67"/>
      <c r="Q901" s="10">
        <f t="shared" si="175"/>
        <v>8159999.9616</v>
      </c>
      <c r="R901" s="67"/>
    </row>
    <row r="902" spans="1:18" s="87" customFormat="1" ht="18" hidden="1" customHeight="1">
      <c r="A902" s="69" t="s">
        <v>609</v>
      </c>
      <c r="B902" s="213">
        <v>46210</v>
      </c>
      <c r="C902" s="58" t="s">
        <v>572</v>
      </c>
      <c r="D902" s="63">
        <v>46241</v>
      </c>
      <c r="E902" s="65" t="s">
        <v>556</v>
      </c>
      <c r="F902" s="65" t="s">
        <v>260</v>
      </c>
      <c r="G902" s="64" t="s">
        <v>261</v>
      </c>
      <c r="H902" s="65" t="s">
        <v>412</v>
      </c>
      <c r="I902" s="66">
        <v>16</v>
      </c>
      <c r="J902" s="67">
        <v>492592.6</v>
      </c>
      <c r="K902" s="67">
        <f t="shared" si="172"/>
        <v>7881481.5999999996</v>
      </c>
      <c r="L902" s="67">
        <f t="shared" si="173"/>
        <v>630518.52799999993</v>
      </c>
      <c r="M902" s="203">
        <f t="shared" si="174"/>
        <v>8512000.1279999986</v>
      </c>
      <c r="N902" s="67"/>
      <c r="O902" s="67"/>
      <c r="P902" s="67"/>
      <c r="Q902" s="10">
        <f t="shared" si="175"/>
        <v>8512000.1279999986</v>
      </c>
      <c r="R902" s="67"/>
    </row>
    <row r="903" spans="1:18" s="87" customFormat="1" ht="18" hidden="1" customHeight="1">
      <c r="A903" s="69" t="s">
        <v>609</v>
      </c>
      <c r="B903" s="213">
        <v>46210</v>
      </c>
      <c r="C903" s="58" t="s">
        <v>572</v>
      </c>
      <c r="D903" s="63">
        <v>46241</v>
      </c>
      <c r="E903" s="65" t="s">
        <v>556</v>
      </c>
      <c r="F903" s="65" t="s">
        <v>262</v>
      </c>
      <c r="G903" s="64" t="s">
        <v>564</v>
      </c>
      <c r="H903" s="65" t="s">
        <v>25</v>
      </c>
      <c r="I903" s="66">
        <v>10</v>
      </c>
      <c r="J903" s="67">
        <v>851851.85</v>
      </c>
      <c r="K903" s="67">
        <f t="shared" si="172"/>
        <v>8518518.5</v>
      </c>
      <c r="L903" s="67">
        <f t="shared" si="173"/>
        <v>681481.48</v>
      </c>
      <c r="M903" s="203">
        <f t="shared" si="174"/>
        <v>9199999.9800000004</v>
      </c>
      <c r="N903" s="67"/>
      <c r="O903" s="67"/>
      <c r="P903" s="67"/>
      <c r="Q903" s="10">
        <f t="shared" si="175"/>
        <v>9199999.9800000004</v>
      </c>
      <c r="R903" s="67"/>
    </row>
    <row r="904" spans="1:18" s="87" customFormat="1" ht="18" hidden="1" customHeight="1">
      <c r="A904" s="69" t="s">
        <v>609</v>
      </c>
      <c r="B904" s="213">
        <v>46210</v>
      </c>
      <c r="C904" s="58" t="s">
        <v>572</v>
      </c>
      <c r="D904" s="63">
        <v>46241</v>
      </c>
      <c r="E904" s="65" t="s">
        <v>556</v>
      </c>
      <c r="F904" s="64" t="s">
        <v>48</v>
      </c>
      <c r="G904" s="64" t="s">
        <v>49</v>
      </c>
      <c r="H904" s="65" t="s">
        <v>113</v>
      </c>
      <c r="I904" s="65">
        <v>12</v>
      </c>
      <c r="J904" s="88">
        <v>601851.85</v>
      </c>
      <c r="K904" s="67">
        <f t="shared" ref="K904:K909" si="176">J904*I904</f>
        <v>7222222.1999999993</v>
      </c>
      <c r="L904" s="67">
        <f t="shared" si="173"/>
        <v>577777.77599999995</v>
      </c>
      <c r="M904" s="203">
        <f t="shared" si="174"/>
        <v>7799999.9759999989</v>
      </c>
      <c r="N904" s="67"/>
      <c r="O904" s="67"/>
      <c r="P904" s="67"/>
      <c r="Q904" s="10">
        <f t="shared" si="175"/>
        <v>7799999.9759999989</v>
      </c>
      <c r="R904" s="67"/>
    </row>
    <row r="905" spans="1:18" s="87" customFormat="1" ht="18" hidden="1" customHeight="1">
      <c r="A905" s="69" t="s">
        <v>609</v>
      </c>
      <c r="B905" s="213">
        <v>46210</v>
      </c>
      <c r="C905" s="58" t="s">
        <v>572</v>
      </c>
      <c r="D905" s="63">
        <v>46241</v>
      </c>
      <c r="E905" s="65" t="s">
        <v>556</v>
      </c>
      <c r="F905" s="65" t="s">
        <v>50</v>
      </c>
      <c r="G905" s="65" t="s">
        <v>51</v>
      </c>
      <c r="H905" s="65" t="s">
        <v>113</v>
      </c>
      <c r="I905" s="92">
        <v>12</v>
      </c>
      <c r="J905" s="93">
        <v>937962.96</v>
      </c>
      <c r="K905" s="93">
        <f t="shared" si="176"/>
        <v>11255555.52</v>
      </c>
      <c r="L905" s="93">
        <f t="shared" si="173"/>
        <v>900444.44160000002</v>
      </c>
      <c r="M905" s="203">
        <f t="shared" si="174"/>
        <v>12155999.9616</v>
      </c>
      <c r="N905" s="67"/>
      <c r="O905" s="67"/>
      <c r="P905" s="67"/>
      <c r="Q905" s="10">
        <f t="shared" si="175"/>
        <v>12155999.9616</v>
      </c>
      <c r="R905" s="67"/>
    </row>
    <row r="906" spans="1:18" s="87" customFormat="1" ht="18" hidden="1" customHeight="1">
      <c r="A906" s="69" t="s">
        <v>609</v>
      </c>
      <c r="B906" s="213">
        <v>46210</v>
      </c>
      <c r="C906" s="58" t="s">
        <v>572</v>
      </c>
      <c r="D906" s="63">
        <v>46241</v>
      </c>
      <c r="E906" s="65" t="s">
        <v>556</v>
      </c>
      <c r="F906" s="65" t="s">
        <v>226</v>
      </c>
      <c r="G906" s="65" t="s">
        <v>573</v>
      </c>
      <c r="H906" s="65" t="s">
        <v>113</v>
      </c>
      <c r="I906" s="92">
        <v>12</v>
      </c>
      <c r="J906" s="93">
        <v>799074.07</v>
      </c>
      <c r="K906" s="93">
        <f t="shared" si="176"/>
        <v>9588888.8399999999</v>
      </c>
      <c r="L906" s="93">
        <f t="shared" si="173"/>
        <v>767111.10719999997</v>
      </c>
      <c r="M906" s="203">
        <f t="shared" si="174"/>
        <v>10355999.9472</v>
      </c>
      <c r="N906" s="67"/>
      <c r="O906" s="67"/>
      <c r="P906" s="67"/>
      <c r="Q906" s="10">
        <f t="shared" si="175"/>
        <v>10355999.9472</v>
      </c>
      <c r="R906" s="67"/>
    </row>
    <row r="907" spans="1:18" s="87" customFormat="1" ht="18" hidden="1" customHeight="1">
      <c r="A907" s="69" t="s">
        <v>609</v>
      </c>
      <c r="B907" s="213">
        <v>46210</v>
      </c>
      <c r="C907" s="58" t="s">
        <v>572</v>
      </c>
      <c r="D907" s="63">
        <v>46241</v>
      </c>
      <c r="E907" s="65" t="s">
        <v>556</v>
      </c>
      <c r="F907" s="65" t="s">
        <v>52</v>
      </c>
      <c r="G907" s="65" t="s">
        <v>53</v>
      </c>
      <c r="H907" s="65" t="s">
        <v>113</v>
      </c>
      <c r="I907" s="92">
        <v>12</v>
      </c>
      <c r="J907" s="93">
        <v>1007407.4</v>
      </c>
      <c r="K907" s="93">
        <f t="shared" si="176"/>
        <v>12088888.800000001</v>
      </c>
      <c r="L907" s="93">
        <f t="shared" si="173"/>
        <v>967111.10400000005</v>
      </c>
      <c r="M907" s="203">
        <f t="shared" si="174"/>
        <v>13055999.904000001</v>
      </c>
      <c r="N907" s="67"/>
      <c r="O907" s="67"/>
      <c r="P907" s="67"/>
      <c r="Q907" s="10">
        <f t="shared" si="175"/>
        <v>13055999.904000001</v>
      </c>
      <c r="R907" s="67"/>
    </row>
    <row r="908" spans="1:18" s="87" customFormat="1" ht="18" hidden="1" customHeight="1">
      <c r="A908" s="69" t="s">
        <v>609</v>
      </c>
      <c r="B908" s="213">
        <v>46210</v>
      </c>
      <c r="C908" s="58" t="s">
        <v>572</v>
      </c>
      <c r="D908" s="63">
        <v>46241</v>
      </c>
      <c r="E908" s="65" t="s">
        <v>556</v>
      </c>
      <c r="F908" s="65" t="s">
        <v>62</v>
      </c>
      <c r="G908" s="64" t="s">
        <v>63</v>
      </c>
      <c r="H908" s="65" t="s">
        <v>113</v>
      </c>
      <c r="I908" s="66">
        <v>48</v>
      </c>
      <c r="J908" s="67">
        <v>0</v>
      </c>
      <c r="K908" s="67">
        <f t="shared" si="176"/>
        <v>0</v>
      </c>
      <c r="L908" s="67">
        <f t="shared" si="173"/>
        <v>0</v>
      </c>
      <c r="M908" s="203">
        <f t="shared" si="174"/>
        <v>0</v>
      </c>
      <c r="N908" s="67"/>
      <c r="O908" s="67"/>
      <c r="P908" s="67"/>
      <c r="Q908" s="10">
        <f t="shared" si="175"/>
        <v>0</v>
      </c>
      <c r="R908" s="67"/>
    </row>
    <row r="909" spans="1:18" s="87" customFormat="1" ht="18" hidden="1" customHeight="1">
      <c r="A909" s="69" t="s">
        <v>609</v>
      </c>
      <c r="B909" s="213">
        <v>46210</v>
      </c>
      <c r="C909" s="58" t="s">
        <v>572</v>
      </c>
      <c r="D909" s="63">
        <v>46241</v>
      </c>
      <c r="E909" s="65" t="s">
        <v>556</v>
      </c>
      <c r="F909" s="65" t="s">
        <v>107</v>
      </c>
      <c r="G909" s="65" t="s">
        <v>108</v>
      </c>
      <c r="H909" s="65" t="s">
        <v>113</v>
      </c>
      <c r="I909" s="66">
        <v>9</v>
      </c>
      <c r="J909" s="67">
        <v>0</v>
      </c>
      <c r="K909" s="67">
        <f t="shared" si="176"/>
        <v>0</v>
      </c>
      <c r="L909" s="67">
        <f t="shared" si="173"/>
        <v>0</v>
      </c>
      <c r="M909" s="203">
        <f t="shared" si="174"/>
        <v>0</v>
      </c>
      <c r="N909" s="67"/>
      <c r="O909" s="67"/>
      <c r="P909" s="67"/>
      <c r="Q909" s="10">
        <f t="shared" si="175"/>
        <v>0</v>
      </c>
      <c r="R909" s="67"/>
    </row>
    <row r="910" spans="1:18" s="87" customFormat="1" ht="18" hidden="1" customHeight="1">
      <c r="A910" s="69" t="s">
        <v>609</v>
      </c>
      <c r="B910" s="213">
        <v>46302</v>
      </c>
      <c r="C910" s="58" t="s">
        <v>574</v>
      </c>
      <c r="D910" s="63"/>
      <c r="E910" s="65" t="s">
        <v>563</v>
      </c>
      <c r="F910" s="65" t="s">
        <v>119</v>
      </c>
      <c r="G910" s="65" t="s">
        <v>191</v>
      </c>
      <c r="H910" s="65" t="s">
        <v>113</v>
      </c>
      <c r="I910" s="66">
        <v>-10</v>
      </c>
      <c r="J910" s="67">
        <v>659259.25</v>
      </c>
      <c r="K910" s="67">
        <f t="shared" ref="K910:K921" si="177">I910*J910</f>
        <v>-6592592.5</v>
      </c>
      <c r="L910" s="67">
        <f t="shared" si="173"/>
        <v>-527407.4</v>
      </c>
      <c r="M910" s="203">
        <f t="shared" si="174"/>
        <v>-7119999.9000000004</v>
      </c>
      <c r="N910" s="67"/>
      <c r="O910" s="67"/>
      <c r="P910" s="67"/>
      <c r="Q910" s="10">
        <f t="shared" si="175"/>
        <v>-7119999.9000000004</v>
      </c>
      <c r="R910" s="67"/>
    </row>
    <row r="911" spans="1:18" s="87" customFormat="1" ht="18" hidden="1" customHeight="1">
      <c r="A911" s="69" t="s">
        <v>609</v>
      </c>
      <c r="B911" s="213">
        <v>46302</v>
      </c>
      <c r="C911" s="58" t="s">
        <v>574</v>
      </c>
      <c r="D911" s="63"/>
      <c r="E911" s="65" t="s">
        <v>563</v>
      </c>
      <c r="F911" s="65" t="s">
        <v>42</v>
      </c>
      <c r="G911" s="64" t="s">
        <v>43</v>
      </c>
      <c r="H911" s="65" t="s">
        <v>113</v>
      </c>
      <c r="I911" s="66">
        <v>-10</v>
      </c>
      <c r="J911" s="67">
        <v>569444.43999999994</v>
      </c>
      <c r="K911" s="67">
        <f t="shared" si="177"/>
        <v>-5694444.3999999994</v>
      </c>
      <c r="L911" s="67">
        <f t="shared" si="173"/>
        <v>-455555.55199999997</v>
      </c>
      <c r="M911" s="203">
        <f t="shared" si="174"/>
        <v>-6149999.9519999996</v>
      </c>
      <c r="N911" s="67"/>
      <c r="O911" s="67"/>
      <c r="P911" s="67"/>
      <c r="Q911" s="10">
        <f t="shared" si="175"/>
        <v>-6149999.9519999996</v>
      </c>
      <c r="R911" s="67"/>
    </row>
    <row r="912" spans="1:18" s="87" customFormat="1" ht="18" hidden="1" customHeight="1">
      <c r="A912" s="69" t="s">
        <v>609</v>
      </c>
      <c r="B912" s="213">
        <v>46302</v>
      </c>
      <c r="C912" s="58" t="s">
        <v>574</v>
      </c>
      <c r="D912" s="63"/>
      <c r="E912" s="65" t="s">
        <v>563</v>
      </c>
      <c r="F912" s="65" t="s">
        <v>44</v>
      </c>
      <c r="G912" s="64" t="s">
        <v>45</v>
      </c>
      <c r="H912" s="65" t="s">
        <v>113</v>
      </c>
      <c r="I912" s="66">
        <v>-12</v>
      </c>
      <c r="J912" s="67">
        <v>564815</v>
      </c>
      <c r="K912" s="67">
        <f t="shared" si="177"/>
        <v>-6777780</v>
      </c>
      <c r="L912" s="67">
        <f t="shared" si="173"/>
        <v>-542222.4</v>
      </c>
      <c r="M912" s="203">
        <f t="shared" si="174"/>
        <v>-7320002.4000000004</v>
      </c>
      <c r="N912" s="67"/>
      <c r="O912" s="67"/>
      <c r="P912" s="67"/>
      <c r="Q912" s="10">
        <f t="shared" si="175"/>
        <v>-7320002.4000000004</v>
      </c>
      <c r="R912" s="67"/>
    </row>
    <row r="913" spans="1:18" s="87" customFormat="1" ht="18" hidden="1" customHeight="1">
      <c r="A913" s="69" t="s">
        <v>609</v>
      </c>
      <c r="B913" s="213">
        <v>46302</v>
      </c>
      <c r="C913" s="58" t="s">
        <v>574</v>
      </c>
      <c r="D913" s="63"/>
      <c r="E913" s="65" t="s">
        <v>563</v>
      </c>
      <c r="F913" s="65" t="s">
        <v>148</v>
      </c>
      <c r="G913" s="65" t="s">
        <v>149</v>
      </c>
      <c r="H913" s="65" t="s">
        <v>113</v>
      </c>
      <c r="I913" s="66">
        <v>-8</v>
      </c>
      <c r="J913" s="67">
        <v>358333.33</v>
      </c>
      <c r="K913" s="67">
        <f t="shared" si="177"/>
        <v>-2866666.64</v>
      </c>
      <c r="L913" s="67">
        <f t="shared" si="173"/>
        <v>-229333.33120000002</v>
      </c>
      <c r="M913" s="203">
        <f t="shared" si="174"/>
        <v>-3095999.9712</v>
      </c>
      <c r="N913" s="67"/>
      <c r="O913" s="67"/>
      <c r="P913" s="67"/>
      <c r="Q913" s="10">
        <f t="shared" si="175"/>
        <v>-3095999.9712</v>
      </c>
      <c r="R913" s="67"/>
    </row>
    <row r="914" spans="1:18" s="87" customFormat="1" ht="18" hidden="1" customHeight="1">
      <c r="A914" s="69" t="s">
        <v>609</v>
      </c>
      <c r="B914" s="213">
        <v>46302</v>
      </c>
      <c r="C914" s="58" t="s">
        <v>574</v>
      </c>
      <c r="D914" s="63"/>
      <c r="E914" s="65" t="s">
        <v>563</v>
      </c>
      <c r="F914" s="65" t="s">
        <v>192</v>
      </c>
      <c r="G914" s="64" t="s">
        <v>193</v>
      </c>
      <c r="H914" s="65" t="s">
        <v>113</v>
      </c>
      <c r="I914" s="66">
        <v>-12</v>
      </c>
      <c r="J914" s="67">
        <v>398148.08</v>
      </c>
      <c r="K914" s="67">
        <f t="shared" si="177"/>
        <v>-4777776.96</v>
      </c>
      <c r="L914" s="67">
        <f t="shared" si="173"/>
        <v>-382222.1568</v>
      </c>
      <c r="M914" s="203">
        <f t="shared" si="174"/>
        <v>-5159999.1168</v>
      </c>
      <c r="N914" s="67"/>
      <c r="O914" s="67"/>
      <c r="P914" s="67"/>
      <c r="Q914" s="10">
        <f t="shared" si="175"/>
        <v>-5159999.1168</v>
      </c>
      <c r="R914" s="67"/>
    </row>
    <row r="915" spans="1:18" s="87" customFormat="1" ht="18" hidden="1" customHeight="1">
      <c r="A915" s="69" t="s">
        <v>609</v>
      </c>
      <c r="B915" s="213">
        <v>46302</v>
      </c>
      <c r="C915" s="58" t="s">
        <v>574</v>
      </c>
      <c r="D915" s="63"/>
      <c r="E915" s="65" t="s">
        <v>563</v>
      </c>
      <c r="F915" s="65" t="s">
        <v>194</v>
      </c>
      <c r="G915" s="64" t="s">
        <v>276</v>
      </c>
      <c r="H915" s="65" t="s">
        <v>113</v>
      </c>
      <c r="I915" s="66">
        <v>-9</v>
      </c>
      <c r="J915" s="67">
        <v>1203703.7</v>
      </c>
      <c r="K915" s="67">
        <f t="shared" si="177"/>
        <v>-10833333.299999999</v>
      </c>
      <c r="L915" s="67">
        <f t="shared" si="173"/>
        <v>-866666.66399999987</v>
      </c>
      <c r="M915" s="203">
        <f t="shared" si="174"/>
        <v>-11699999.963999998</v>
      </c>
      <c r="N915" s="67"/>
      <c r="O915" s="67"/>
      <c r="P915" s="67"/>
      <c r="Q915" s="10">
        <f t="shared" si="175"/>
        <v>-11699999.963999998</v>
      </c>
      <c r="R915" s="67"/>
    </row>
    <row r="916" spans="1:18" s="87" customFormat="1" ht="18" hidden="1" customHeight="1">
      <c r="A916" s="69" t="s">
        <v>609</v>
      </c>
      <c r="B916" s="213">
        <v>46302</v>
      </c>
      <c r="C916" s="58" t="s">
        <v>574</v>
      </c>
      <c r="D916" s="63"/>
      <c r="E916" s="65" t="s">
        <v>563</v>
      </c>
      <c r="F916" s="65" t="s">
        <v>58</v>
      </c>
      <c r="G916" s="65" t="s">
        <v>59</v>
      </c>
      <c r="H916" s="65" t="s">
        <v>113</v>
      </c>
      <c r="I916" s="66">
        <v>-10</v>
      </c>
      <c r="J916" s="67">
        <v>1361111.11</v>
      </c>
      <c r="K916" s="67">
        <f t="shared" si="177"/>
        <v>-13611111.100000001</v>
      </c>
      <c r="L916" s="67">
        <f t="shared" si="173"/>
        <v>-1088888.888</v>
      </c>
      <c r="M916" s="203">
        <f t="shared" si="174"/>
        <v>-14699999.988000002</v>
      </c>
      <c r="N916" s="67"/>
      <c r="O916" s="67"/>
      <c r="P916" s="67"/>
      <c r="Q916" s="10">
        <f t="shared" si="175"/>
        <v>-14699999.988000002</v>
      </c>
      <c r="R916" s="67"/>
    </row>
    <row r="917" spans="1:18" s="87" customFormat="1" ht="18" hidden="1" customHeight="1">
      <c r="A917" s="69" t="s">
        <v>609</v>
      </c>
      <c r="B917" s="213">
        <v>46302</v>
      </c>
      <c r="C917" s="58" t="s">
        <v>574</v>
      </c>
      <c r="D917" s="63"/>
      <c r="E917" s="65" t="s">
        <v>563</v>
      </c>
      <c r="F917" s="65" t="s">
        <v>424</v>
      </c>
      <c r="G917" s="64" t="s">
        <v>425</v>
      </c>
      <c r="H917" s="65" t="s">
        <v>558</v>
      </c>
      <c r="I917" s="66">
        <v>-4</v>
      </c>
      <c r="J917" s="67">
        <v>882407</v>
      </c>
      <c r="K917" s="67">
        <f t="shared" si="177"/>
        <v>-3529628</v>
      </c>
      <c r="L917" s="67">
        <f t="shared" si="173"/>
        <v>-282370.24</v>
      </c>
      <c r="M917" s="203">
        <f t="shared" si="174"/>
        <v>-3811998.24</v>
      </c>
      <c r="N917" s="67"/>
      <c r="O917" s="67"/>
      <c r="P917" s="67"/>
      <c r="Q917" s="10">
        <f t="shared" si="175"/>
        <v>-3811998.24</v>
      </c>
      <c r="R917" s="67"/>
    </row>
    <row r="918" spans="1:18" s="87" customFormat="1" ht="18" hidden="1" customHeight="1">
      <c r="A918" s="69" t="s">
        <v>609</v>
      </c>
      <c r="B918" s="213">
        <v>46302</v>
      </c>
      <c r="C918" s="58" t="s">
        <v>575</v>
      </c>
      <c r="D918" s="63"/>
      <c r="E918" s="65" t="s">
        <v>576</v>
      </c>
      <c r="F918" s="65" t="s">
        <v>386</v>
      </c>
      <c r="G918" s="64" t="s">
        <v>387</v>
      </c>
      <c r="H918" s="65" t="s">
        <v>113</v>
      </c>
      <c r="I918" s="66">
        <v>-12</v>
      </c>
      <c r="J918" s="67">
        <v>847222.22</v>
      </c>
      <c r="K918" s="67">
        <f t="shared" si="177"/>
        <v>-10166666.640000001</v>
      </c>
      <c r="L918" s="67">
        <f t="shared" si="173"/>
        <v>-813333.33120000002</v>
      </c>
      <c r="M918" s="203">
        <f t="shared" si="174"/>
        <v>-10979999.9712</v>
      </c>
      <c r="N918" s="67"/>
      <c r="O918" s="67"/>
      <c r="P918" s="67"/>
      <c r="Q918" s="10">
        <f t="shared" si="175"/>
        <v>-10979999.9712</v>
      </c>
      <c r="R918" s="67"/>
    </row>
    <row r="919" spans="1:18" s="87" customFormat="1" ht="18" hidden="1" customHeight="1">
      <c r="A919" s="69" t="s">
        <v>609</v>
      </c>
      <c r="B919" s="213" t="s">
        <v>106</v>
      </c>
      <c r="C919" s="42" t="s">
        <v>252</v>
      </c>
      <c r="D919" s="63"/>
      <c r="E919" s="65"/>
      <c r="F919" s="65" t="s">
        <v>101</v>
      </c>
      <c r="G919" s="64" t="s">
        <v>102</v>
      </c>
      <c r="H919" s="65" t="s">
        <v>412</v>
      </c>
      <c r="I919" s="66">
        <v>20</v>
      </c>
      <c r="J919" s="67">
        <v>861111.11</v>
      </c>
      <c r="K919" s="67">
        <f t="shared" si="177"/>
        <v>17222222.199999999</v>
      </c>
      <c r="L919" s="67">
        <f t="shared" si="173"/>
        <v>1377777.7760000001</v>
      </c>
      <c r="M919" s="203">
        <f t="shared" si="174"/>
        <v>18599999.976</v>
      </c>
      <c r="N919" s="67"/>
      <c r="O919" s="67"/>
      <c r="P919" s="67"/>
      <c r="Q919" s="10">
        <f t="shared" si="175"/>
        <v>18599999.976</v>
      </c>
      <c r="R919" s="67"/>
    </row>
    <row r="920" spans="1:18" s="87" customFormat="1" ht="18" hidden="1" customHeight="1">
      <c r="A920" s="69" t="s">
        <v>609</v>
      </c>
      <c r="B920" s="213" t="s">
        <v>106</v>
      </c>
      <c r="C920" s="42" t="s">
        <v>252</v>
      </c>
      <c r="D920" s="63"/>
      <c r="E920" s="65"/>
      <c r="F920" s="65" t="s">
        <v>103</v>
      </c>
      <c r="G920" s="64" t="s">
        <v>104</v>
      </c>
      <c r="H920" s="65" t="s">
        <v>113</v>
      </c>
      <c r="I920" s="66">
        <v>18</v>
      </c>
      <c r="J920" s="67">
        <v>675925.93</v>
      </c>
      <c r="K920" s="67">
        <f t="shared" si="177"/>
        <v>12166666.74</v>
      </c>
      <c r="L920" s="67">
        <f t="shared" si="173"/>
        <v>973333.33920000005</v>
      </c>
      <c r="M920" s="203">
        <f t="shared" si="174"/>
        <v>13140000.0792</v>
      </c>
      <c r="N920" s="67"/>
      <c r="O920" s="67"/>
      <c r="P920" s="67"/>
      <c r="Q920" s="10">
        <f t="shared" si="175"/>
        <v>13140000.0792</v>
      </c>
      <c r="R920" s="67"/>
    </row>
    <row r="921" spans="1:18" s="87" customFormat="1" ht="18" hidden="1" customHeight="1">
      <c r="A921" s="69" t="s">
        <v>609</v>
      </c>
      <c r="B921" s="213" t="s">
        <v>106</v>
      </c>
      <c r="C921" s="42" t="s">
        <v>252</v>
      </c>
      <c r="D921" s="63"/>
      <c r="E921" s="65"/>
      <c r="F921" s="65" t="s">
        <v>62</v>
      </c>
      <c r="G921" s="64" t="s">
        <v>63</v>
      </c>
      <c r="H921" s="65" t="s">
        <v>113</v>
      </c>
      <c r="I921" s="66">
        <v>18</v>
      </c>
      <c r="J921" s="67">
        <v>0</v>
      </c>
      <c r="K921" s="67">
        <f t="shared" si="177"/>
        <v>0</v>
      </c>
      <c r="L921" s="67">
        <f t="shared" si="173"/>
        <v>0</v>
      </c>
      <c r="M921" s="203">
        <f t="shared" si="174"/>
        <v>0</v>
      </c>
      <c r="N921" s="67"/>
      <c r="O921" s="67"/>
      <c r="P921" s="67"/>
      <c r="Q921" s="10">
        <f t="shared" si="175"/>
        <v>0</v>
      </c>
      <c r="R921" s="67"/>
    </row>
    <row r="922" spans="1:18" s="72" customFormat="1" ht="15.75" hidden="1">
      <c r="A922" s="69" t="s">
        <v>610</v>
      </c>
      <c r="B922" s="218" t="s">
        <v>577</v>
      </c>
      <c r="C922" s="219" t="s">
        <v>578</v>
      </c>
      <c r="D922" s="220" t="str">
        <f>B922</f>
        <v>31/12/2025</v>
      </c>
      <c r="E922" s="72" t="s">
        <v>579</v>
      </c>
      <c r="F922" s="221" t="s">
        <v>80</v>
      </c>
      <c r="G922" s="44" t="s">
        <v>81</v>
      </c>
      <c r="H922" s="72" t="s">
        <v>113</v>
      </c>
      <c r="I922" s="222">
        <v>4</v>
      </c>
      <c r="J922" s="223">
        <v>824074</v>
      </c>
      <c r="K922" s="224">
        <f>I922*J922</f>
        <v>3296296</v>
      </c>
      <c r="L922" s="224">
        <f>K922*8%</f>
        <v>263703.67999999999</v>
      </c>
      <c r="M922" s="268">
        <f>K922+L922</f>
        <v>3559999.68</v>
      </c>
      <c r="N922" s="225"/>
      <c r="O922" s="225"/>
      <c r="P922" s="225"/>
      <c r="Q922" s="10">
        <f t="shared" si="175"/>
        <v>3559999.68</v>
      </c>
      <c r="R922" s="226"/>
    </row>
    <row r="923" spans="1:18" s="72" customFormat="1" ht="15.75" hidden="1">
      <c r="A923" s="69" t="s">
        <v>610</v>
      </c>
      <c r="B923" s="218" t="s">
        <v>577</v>
      </c>
      <c r="C923" s="219" t="s">
        <v>578</v>
      </c>
      <c r="D923" s="220" t="str">
        <f t="shared" ref="D923:D927" si="178">B923</f>
        <v>31/12/2025</v>
      </c>
      <c r="E923" s="72" t="s">
        <v>579</v>
      </c>
      <c r="F923" s="221" t="s">
        <v>21</v>
      </c>
      <c r="G923" s="44" t="s">
        <v>22</v>
      </c>
      <c r="H923" s="72" t="s">
        <v>113</v>
      </c>
      <c r="I923" s="227">
        <v>4</v>
      </c>
      <c r="J923" s="223">
        <v>937963</v>
      </c>
      <c r="K923" s="224">
        <f t="shared" ref="K923:K933" si="179">I923*J923</f>
        <v>3751852</v>
      </c>
      <c r="L923" s="224">
        <f t="shared" ref="L923:L933" si="180">K923*8%</f>
        <v>300148.16000000003</v>
      </c>
      <c r="M923" s="268">
        <f t="shared" ref="M923:M933" si="181">K923+L923</f>
        <v>4052000.16</v>
      </c>
      <c r="N923" s="225"/>
      <c r="O923" s="225"/>
      <c r="P923" s="225"/>
      <c r="Q923" s="10">
        <f t="shared" si="175"/>
        <v>4052000.16</v>
      </c>
      <c r="R923" s="226"/>
    </row>
    <row r="924" spans="1:18" s="72" customFormat="1" ht="15.75" hidden="1">
      <c r="A924" s="69" t="s">
        <v>610</v>
      </c>
      <c r="B924" s="218" t="s">
        <v>577</v>
      </c>
      <c r="C924" s="219" t="s">
        <v>578</v>
      </c>
      <c r="D924" s="220" t="str">
        <f>B924</f>
        <v>31/12/2025</v>
      </c>
      <c r="E924" s="72" t="s">
        <v>579</v>
      </c>
      <c r="F924" s="221" t="s">
        <v>46</v>
      </c>
      <c r="G924" s="44" t="s">
        <v>47</v>
      </c>
      <c r="H924" s="72" t="s">
        <v>113</v>
      </c>
      <c r="I924" s="227">
        <v>18</v>
      </c>
      <c r="J924" s="223">
        <v>194444</v>
      </c>
      <c r="K924" s="224">
        <f t="shared" si="179"/>
        <v>3499992</v>
      </c>
      <c r="L924" s="224">
        <f t="shared" si="180"/>
        <v>279999.35999999999</v>
      </c>
      <c r="M924" s="268">
        <f t="shared" si="181"/>
        <v>3779991.36</v>
      </c>
      <c r="N924" s="225"/>
      <c r="O924" s="225"/>
      <c r="P924" s="225"/>
      <c r="Q924" s="10">
        <f t="shared" si="175"/>
        <v>3779991.36</v>
      </c>
      <c r="R924" s="226"/>
    </row>
    <row r="925" spans="1:18" s="72" customFormat="1" ht="15.75" hidden="1">
      <c r="A925" s="69" t="s">
        <v>610</v>
      </c>
      <c r="B925" s="218" t="s">
        <v>577</v>
      </c>
      <c r="C925" s="219" t="s">
        <v>578</v>
      </c>
      <c r="D925" s="220" t="str">
        <f t="shared" si="178"/>
        <v>31/12/2025</v>
      </c>
      <c r="E925" s="72" t="s">
        <v>579</v>
      </c>
      <c r="F925" s="221" t="s">
        <v>194</v>
      </c>
      <c r="G925" s="44" t="s">
        <v>276</v>
      </c>
      <c r="H925" s="72" t="s">
        <v>113</v>
      </c>
      <c r="I925" s="227">
        <v>4</v>
      </c>
      <c r="J925" s="223">
        <v>1203705</v>
      </c>
      <c r="K925" s="224">
        <f t="shared" si="179"/>
        <v>4814820</v>
      </c>
      <c r="L925" s="224">
        <f t="shared" si="180"/>
        <v>385185.60000000003</v>
      </c>
      <c r="M925" s="268">
        <f t="shared" si="181"/>
        <v>5200005.5999999996</v>
      </c>
      <c r="N925" s="225"/>
      <c r="O925" s="225"/>
      <c r="P925" s="225"/>
      <c r="Q925" s="10">
        <f t="shared" si="175"/>
        <v>5200005.5999999996</v>
      </c>
      <c r="R925" s="226"/>
    </row>
    <row r="926" spans="1:18" s="72" customFormat="1" ht="15.75" hidden="1">
      <c r="A926" s="69" t="s">
        <v>610</v>
      </c>
      <c r="B926" s="218" t="s">
        <v>577</v>
      </c>
      <c r="C926" s="219" t="s">
        <v>578</v>
      </c>
      <c r="D926" s="220" t="str">
        <f t="shared" si="178"/>
        <v>31/12/2025</v>
      </c>
      <c r="E926" s="72" t="s">
        <v>579</v>
      </c>
      <c r="F926" s="221" t="s">
        <v>58</v>
      </c>
      <c r="G926" s="44" t="s">
        <v>59</v>
      </c>
      <c r="H926" s="72" t="s">
        <v>113</v>
      </c>
      <c r="I926" s="227">
        <v>4</v>
      </c>
      <c r="J926" s="223">
        <v>1361111</v>
      </c>
      <c r="K926" s="224">
        <f t="shared" si="179"/>
        <v>5444444</v>
      </c>
      <c r="L926" s="224">
        <f t="shared" si="180"/>
        <v>435555.52</v>
      </c>
      <c r="M926" s="268">
        <f t="shared" si="181"/>
        <v>5879999.5199999996</v>
      </c>
      <c r="N926" s="225"/>
      <c r="O926" s="225"/>
      <c r="P926" s="225"/>
      <c r="Q926" s="10">
        <f t="shared" si="175"/>
        <v>5879999.5199999996</v>
      </c>
      <c r="R926" s="226"/>
    </row>
    <row r="927" spans="1:18" s="87" customFormat="1" ht="15.75" hidden="1">
      <c r="A927" s="69" t="s">
        <v>610</v>
      </c>
      <c r="B927" s="228" t="s">
        <v>577</v>
      </c>
      <c r="C927" s="219" t="s">
        <v>578</v>
      </c>
      <c r="D927" s="220" t="str">
        <f t="shared" si="178"/>
        <v>31/12/2025</v>
      </c>
      <c r="E927" s="87" t="s">
        <v>579</v>
      </c>
      <c r="F927" s="229" t="s">
        <v>62</v>
      </c>
      <c r="G927" s="68" t="s">
        <v>63</v>
      </c>
      <c r="H927" s="87" t="s">
        <v>113</v>
      </c>
      <c r="I927" s="230">
        <v>36</v>
      </c>
      <c r="J927" s="231">
        <v>0</v>
      </c>
      <c r="K927" s="232"/>
      <c r="L927" s="232">
        <f>K927*8%</f>
        <v>0</v>
      </c>
      <c r="M927" s="269">
        <f>K927+L927</f>
        <v>0</v>
      </c>
      <c r="N927" s="225"/>
      <c r="O927" s="225"/>
      <c r="P927" s="225"/>
      <c r="Q927" s="10">
        <f t="shared" si="175"/>
        <v>0</v>
      </c>
      <c r="R927" s="226"/>
    </row>
    <row r="928" spans="1:18" s="87" customFormat="1" ht="38.25" hidden="1">
      <c r="A928" s="69" t="s">
        <v>610</v>
      </c>
      <c r="B928" s="228" t="s">
        <v>577</v>
      </c>
      <c r="C928" s="233" t="s">
        <v>335</v>
      </c>
      <c r="D928" s="234"/>
      <c r="E928" s="87" t="s">
        <v>579</v>
      </c>
      <c r="F928" s="229" t="s">
        <v>60</v>
      </c>
      <c r="G928" s="68" t="s">
        <v>580</v>
      </c>
      <c r="H928" s="87" t="s">
        <v>113</v>
      </c>
      <c r="I928" s="230">
        <v>12</v>
      </c>
      <c r="J928" s="231">
        <v>1138889</v>
      </c>
      <c r="K928" s="232">
        <f t="shared" si="179"/>
        <v>13666668</v>
      </c>
      <c r="L928" s="232">
        <f t="shared" si="180"/>
        <v>1093333.44</v>
      </c>
      <c r="M928" s="269">
        <f t="shared" si="181"/>
        <v>14760001.439999999</v>
      </c>
      <c r="N928" s="225"/>
      <c r="O928" s="225"/>
      <c r="P928" s="225"/>
      <c r="Q928" s="10">
        <f t="shared" si="175"/>
        <v>14760001.439999999</v>
      </c>
      <c r="R928" s="226"/>
    </row>
    <row r="929" spans="1:18" s="87" customFormat="1" ht="38.25" hidden="1">
      <c r="A929" s="69" t="s">
        <v>610</v>
      </c>
      <c r="B929" s="228" t="s">
        <v>577</v>
      </c>
      <c r="C929" s="233" t="s">
        <v>335</v>
      </c>
      <c r="D929" s="234"/>
      <c r="E929" s="87" t="s">
        <v>579</v>
      </c>
      <c r="F929" s="229" t="s">
        <v>16</v>
      </c>
      <c r="G929" s="68" t="s">
        <v>581</v>
      </c>
      <c r="H929" s="87" t="s">
        <v>113</v>
      </c>
      <c r="I929" s="230">
        <v>12</v>
      </c>
      <c r="J929" s="231">
        <v>851852</v>
      </c>
      <c r="K929" s="232">
        <f t="shared" si="179"/>
        <v>10222224</v>
      </c>
      <c r="L929" s="232">
        <f t="shared" si="180"/>
        <v>817777.92</v>
      </c>
      <c r="M929" s="269">
        <f t="shared" si="181"/>
        <v>11040001.92</v>
      </c>
      <c r="N929" s="225"/>
      <c r="O929" s="225"/>
      <c r="P929" s="225"/>
      <c r="Q929" s="10">
        <f t="shared" si="175"/>
        <v>11040001.92</v>
      </c>
      <c r="R929" s="226"/>
    </row>
    <row r="930" spans="1:18" s="87" customFormat="1" ht="15.75" hidden="1">
      <c r="A930" s="69" t="s">
        <v>610</v>
      </c>
      <c r="B930" s="228" t="s">
        <v>577</v>
      </c>
      <c r="C930" s="233" t="s">
        <v>335</v>
      </c>
      <c r="D930" s="234"/>
      <c r="E930" s="87" t="s">
        <v>579</v>
      </c>
      <c r="F930" s="229" t="s">
        <v>48</v>
      </c>
      <c r="G930" s="68" t="s">
        <v>582</v>
      </c>
      <c r="H930" s="87" t="s">
        <v>113</v>
      </c>
      <c r="I930" s="230">
        <v>18</v>
      </c>
      <c r="J930" s="231">
        <v>583333</v>
      </c>
      <c r="K930" s="232">
        <f t="shared" si="179"/>
        <v>10499994</v>
      </c>
      <c r="L930" s="232">
        <f t="shared" si="180"/>
        <v>839999.52</v>
      </c>
      <c r="M930" s="269">
        <f t="shared" si="181"/>
        <v>11339993.52</v>
      </c>
      <c r="N930" s="225"/>
      <c r="O930" s="225"/>
      <c r="P930" s="225"/>
      <c r="Q930" s="10">
        <f t="shared" si="175"/>
        <v>11339993.52</v>
      </c>
      <c r="R930" s="226"/>
    </row>
    <row r="931" spans="1:18" s="87" customFormat="1" ht="15.75" hidden="1">
      <c r="A931" s="69" t="s">
        <v>610</v>
      </c>
      <c r="B931" s="228" t="s">
        <v>577</v>
      </c>
      <c r="C931" s="233" t="s">
        <v>335</v>
      </c>
      <c r="D931" s="234"/>
      <c r="E931" s="87" t="s">
        <v>579</v>
      </c>
      <c r="F931" s="229" t="s">
        <v>50</v>
      </c>
      <c r="G931" s="68" t="s">
        <v>583</v>
      </c>
      <c r="H931" s="87" t="s">
        <v>113</v>
      </c>
      <c r="I931" s="230">
        <v>18</v>
      </c>
      <c r="J931" s="231">
        <v>937963</v>
      </c>
      <c r="K931" s="232">
        <f t="shared" si="179"/>
        <v>16883334</v>
      </c>
      <c r="L931" s="232">
        <f t="shared" si="180"/>
        <v>1350666.72</v>
      </c>
      <c r="M931" s="269">
        <f t="shared" si="181"/>
        <v>18234000.719999999</v>
      </c>
      <c r="N931" s="225"/>
      <c r="O931" s="225"/>
      <c r="P931" s="225"/>
      <c r="Q931" s="10">
        <f t="shared" si="175"/>
        <v>18234000.719999999</v>
      </c>
      <c r="R931" s="226"/>
    </row>
    <row r="932" spans="1:18" s="87" customFormat="1" ht="15.75" hidden="1">
      <c r="A932" s="69" t="s">
        <v>610</v>
      </c>
      <c r="B932" s="228" t="s">
        <v>577</v>
      </c>
      <c r="C932" s="233" t="s">
        <v>335</v>
      </c>
      <c r="D932" s="234"/>
      <c r="E932" s="87" t="s">
        <v>579</v>
      </c>
      <c r="F932" s="229" t="s">
        <v>56</v>
      </c>
      <c r="G932" s="68" t="s">
        <v>57</v>
      </c>
      <c r="H932" s="87" t="s">
        <v>113</v>
      </c>
      <c r="I932" s="230">
        <v>36</v>
      </c>
      <c r="J932" s="231">
        <v>325926</v>
      </c>
      <c r="K932" s="232">
        <f t="shared" si="179"/>
        <v>11733336</v>
      </c>
      <c r="L932" s="232">
        <f t="shared" si="180"/>
        <v>938666.88</v>
      </c>
      <c r="M932" s="269">
        <f t="shared" si="181"/>
        <v>12672002.880000001</v>
      </c>
      <c r="N932" s="225"/>
      <c r="O932" s="225"/>
      <c r="P932" s="225"/>
      <c r="Q932" s="10">
        <f t="shared" si="175"/>
        <v>12672002.880000001</v>
      </c>
      <c r="R932" s="226"/>
    </row>
    <row r="933" spans="1:18" s="87" customFormat="1" ht="15.75" hidden="1">
      <c r="A933" s="69" t="s">
        <v>610</v>
      </c>
      <c r="B933" s="228" t="s">
        <v>577</v>
      </c>
      <c r="C933" s="233" t="s">
        <v>335</v>
      </c>
      <c r="D933" s="234"/>
      <c r="E933" s="87" t="s">
        <v>579</v>
      </c>
      <c r="F933" s="229" t="s">
        <v>219</v>
      </c>
      <c r="G933" s="68" t="s">
        <v>584</v>
      </c>
      <c r="H933" s="87" t="s">
        <v>113</v>
      </c>
      <c r="I933" s="230">
        <v>36</v>
      </c>
      <c r="J933" s="231">
        <v>263889</v>
      </c>
      <c r="K933" s="232">
        <f t="shared" si="179"/>
        <v>9500004</v>
      </c>
      <c r="L933" s="232">
        <f t="shared" si="180"/>
        <v>760000.32000000007</v>
      </c>
      <c r="M933" s="269">
        <f t="shared" si="181"/>
        <v>10260004.32</v>
      </c>
      <c r="N933" s="225"/>
      <c r="O933" s="225"/>
      <c r="P933" s="225"/>
      <c r="Q933" s="10">
        <f t="shared" si="175"/>
        <v>10260004.32</v>
      </c>
      <c r="R933" s="226"/>
    </row>
    <row r="934" spans="1:18" s="72" customFormat="1" ht="15.75" hidden="1">
      <c r="A934" s="69" t="s">
        <v>611</v>
      </c>
      <c r="B934" s="218" t="s">
        <v>585</v>
      </c>
      <c r="C934" s="219" t="s">
        <v>586</v>
      </c>
      <c r="D934" s="220" t="str">
        <f>B934</f>
        <v>22/01/2026</v>
      </c>
      <c r="E934" s="72" t="s">
        <v>587</v>
      </c>
      <c r="F934" s="221" t="s">
        <v>194</v>
      </c>
      <c r="G934" s="221" t="s">
        <v>276</v>
      </c>
      <c r="H934" s="72" t="s">
        <v>113</v>
      </c>
      <c r="I934" s="222">
        <v>10</v>
      </c>
      <c r="J934" s="223">
        <v>1203703.7</v>
      </c>
      <c r="K934" s="224">
        <f>I934*J934</f>
        <v>12037037</v>
      </c>
      <c r="L934" s="224">
        <f>K934*8%</f>
        <v>962962.96</v>
      </c>
      <c r="M934" s="268">
        <f>K934+L934</f>
        <v>12999999.960000001</v>
      </c>
      <c r="N934" s="235"/>
      <c r="O934" s="235"/>
      <c r="P934" s="235"/>
      <c r="Q934" s="10">
        <f t="shared" si="175"/>
        <v>12999999.960000001</v>
      </c>
      <c r="R934" s="226"/>
    </row>
    <row r="935" spans="1:18" s="72" customFormat="1" ht="15.75" hidden="1">
      <c r="A935" s="69" t="s">
        <v>611</v>
      </c>
      <c r="B935" s="218" t="s">
        <v>585</v>
      </c>
      <c r="C935" s="219" t="s">
        <v>586</v>
      </c>
      <c r="D935" s="220" t="str">
        <f>B935</f>
        <v>22/01/2026</v>
      </c>
      <c r="E935" s="72" t="s">
        <v>587</v>
      </c>
      <c r="F935" s="221" t="s">
        <v>58</v>
      </c>
      <c r="G935" s="221" t="s">
        <v>59</v>
      </c>
      <c r="H935" s="72" t="s">
        <v>113</v>
      </c>
      <c r="I935" s="222">
        <v>10</v>
      </c>
      <c r="J935" s="223">
        <v>1361111.11</v>
      </c>
      <c r="K935" s="224">
        <f>I935*J935</f>
        <v>13611111.100000001</v>
      </c>
      <c r="L935" s="224">
        <f>K935*8%</f>
        <v>1088888.888</v>
      </c>
      <c r="M935" s="268">
        <f>K935+L935</f>
        <v>14699999.988000002</v>
      </c>
      <c r="N935" s="235"/>
      <c r="O935" s="235"/>
      <c r="P935" s="235"/>
      <c r="Q935" s="10">
        <f t="shared" si="175"/>
        <v>14699999.988000002</v>
      </c>
      <c r="R935" s="226"/>
    </row>
    <row r="936" spans="1:18" s="72" customFormat="1" ht="25.5" hidden="1">
      <c r="A936" s="69" t="s">
        <v>611</v>
      </c>
      <c r="B936" s="218" t="s">
        <v>588</v>
      </c>
      <c r="C936" s="219" t="s">
        <v>589</v>
      </c>
      <c r="D936" s="220" t="s">
        <v>590</v>
      </c>
      <c r="E936" s="72" t="s">
        <v>587</v>
      </c>
      <c r="F936" s="221" t="s">
        <v>60</v>
      </c>
      <c r="G936" s="221" t="s">
        <v>374</v>
      </c>
      <c r="H936" s="72" t="s">
        <v>113</v>
      </c>
      <c r="I936" s="222">
        <v>12</v>
      </c>
      <c r="J936" s="223">
        <v>1138888.8899999999</v>
      </c>
      <c r="K936" s="224">
        <f>I936*J936</f>
        <v>13666666.68</v>
      </c>
      <c r="L936" s="224">
        <f t="shared" ref="L936:L940" si="182">K936*8%</f>
        <v>1093333.3344000001</v>
      </c>
      <c r="M936" s="268">
        <f t="shared" ref="M936:M938" si="183">K936+L936</f>
        <v>14760000.0144</v>
      </c>
      <c r="N936" s="235"/>
      <c r="O936" s="235"/>
      <c r="P936" s="235"/>
      <c r="Q936" s="10">
        <f t="shared" si="175"/>
        <v>14760000.0144</v>
      </c>
      <c r="R936" s="226"/>
    </row>
    <row r="937" spans="1:18" s="87" customFormat="1" ht="25.5" hidden="1">
      <c r="A937" s="69" t="s">
        <v>611</v>
      </c>
      <c r="B937" s="228" t="s">
        <v>588</v>
      </c>
      <c r="C937" s="236" t="s">
        <v>252</v>
      </c>
      <c r="D937" s="234"/>
      <c r="E937" s="87" t="s">
        <v>587</v>
      </c>
      <c r="F937" s="229" t="s">
        <v>83</v>
      </c>
      <c r="G937" s="229" t="s">
        <v>84</v>
      </c>
      <c r="H937" s="87" t="s">
        <v>113</v>
      </c>
      <c r="I937" s="237">
        <v>12</v>
      </c>
      <c r="J937" s="231">
        <v>1097222.22</v>
      </c>
      <c r="K937" s="232">
        <f t="shared" ref="K937:K940" si="184">I937*J937</f>
        <v>13166666.640000001</v>
      </c>
      <c r="L937" s="232">
        <f t="shared" si="182"/>
        <v>1053333.3312000001</v>
      </c>
      <c r="M937" s="269">
        <f t="shared" si="183"/>
        <v>14219999.9712</v>
      </c>
      <c r="N937" s="235"/>
      <c r="O937" s="235"/>
      <c r="P937" s="235"/>
      <c r="Q937" s="10">
        <f t="shared" si="175"/>
        <v>14219999.9712</v>
      </c>
      <c r="R937" s="226"/>
    </row>
    <row r="938" spans="1:18" s="72" customFormat="1" ht="25.5" hidden="1">
      <c r="A938" s="69" t="s">
        <v>611</v>
      </c>
      <c r="B938" s="218" t="s">
        <v>588</v>
      </c>
      <c r="C938" s="219" t="s">
        <v>589</v>
      </c>
      <c r="D938" s="220" t="s">
        <v>590</v>
      </c>
      <c r="E938" s="72" t="s">
        <v>587</v>
      </c>
      <c r="F938" s="221" t="s">
        <v>16</v>
      </c>
      <c r="G938" s="221" t="s">
        <v>17</v>
      </c>
      <c r="H938" s="72" t="s">
        <v>113</v>
      </c>
      <c r="I938" s="222">
        <v>12</v>
      </c>
      <c r="J938" s="223">
        <v>851851.85</v>
      </c>
      <c r="K938" s="224">
        <f t="shared" si="184"/>
        <v>10222222.199999999</v>
      </c>
      <c r="L938" s="224">
        <f t="shared" si="182"/>
        <v>817777.77599999995</v>
      </c>
      <c r="M938" s="268">
        <f t="shared" si="183"/>
        <v>11039999.976</v>
      </c>
      <c r="N938" s="235"/>
      <c r="O938" s="235"/>
      <c r="P938" s="235"/>
      <c r="Q938" s="10">
        <f t="shared" si="175"/>
        <v>11039999.976</v>
      </c>
      <c r="R938" s="226"/>
    </row>
    <row r="939" spans="1:18" s="241" customFormat="1" ht="15.75" hidden="1">
      <c r="A939" s="69" t="s">
        <v>611</v>
      </c>
      <c r="B939" s="238" t="s">
        <v>154</v>
      </c>
      <c r="C939" s="239"/>
      <c r="D939" s="240"/>
      <c r="E939" s="271" t="s">
        <v>447</v>
      </c>
      <c r="F939" s="242"/>
      <c r="G939" s="242"/>
      <c r="I939" s="243"/>
      <c r="J939" s="244"/>
      <c r="K939" s="245"/>
      <c r="L939" s="245"/>
      <c r="M939" s="246"/>
      <c r="N939" s="247">
        <v>27700000</v>
      </c>
      <c r="O939" s="247"/>
      <c r="P939" s="247"/>
      <c r="Q939" s="10">
        <f t="shared" si="175"/>
        <v>-27700000</v>
      </c>
      <c r="R939" s="248"/>
    </row>
    <row r="940" spans="1:18" s="241" customFormat="1" ht="15.75" hidden="1">
      <c r="A940" s="69" t="s">
        <v>611</v>
      </c>
      <c r="B940" s="249">
        <v>46332</v>
      </c>
      <c r="C940" s="236" t="s">
        <v>252</v>
      </c>
      <c r="D940" s="234"/>
      <c r="E940" s="87" t="s">
        <v>587</v>
      </c>
      <c r="F940" s="250" t="s">
        <v>85</v>
      </c>
      <c r="G940" s="250" t="s">
        <v>86</v>
      </c>
      <c r="H940" s="126" t="s">
        <v>113</v>
      </c>
      <c r="I940" s="251">
        <v>200</v>
      </c>
      <c r="J940" s="252">
        <v>509259.26</v>
      </c>
      <c r="K940" s="253">
        <f t="shared" si="184"/>
        <v>101851852</v>
      </c>
      <c r="L940" s="253">
        <f t="shared" si="182"/>
        <v>8148148.1600000001</v>
      </c>
      <c r="M940" s="270">
        <f>K940+L940</f>
        <v>110000000.16</v>
      </c>
      <c r="N940" s="235"/>
      <c r="O940" s="235"/>
      <c r="P940" s="235"/>
      <c r="Q940" s="10">
        <f t="shared" si="175"/>
        <v>110000000.16</v>
      </c>
      <c r="R940" s="226"/>
    </row>
    <row r="941" spans="1:18" ht="15.75" hidden="1">
      <c r="Q941" s="10">
        <f t="shared" si="175"/>
        <v>0</v>
      </c>
    </row>
    <row r="942" spans="1:18" ht="15.75" hidden="1">
      <c r="Q942" s="10">
        <f t="shared" si="175"/>
        <v>0</v>
      </c>
    </row>
    <row r="943" spans="1:18" ht="15.75" hidden="1">
      <c r="Q943" s="10">
        <f t="shared" si="175"/>
        <v>0</v>
      </c>
    </row>
    <row r="944" spans="1:18" ht="15.75" hidden="1">
      <c r="Q944" s="10">
        <f t="shared" si="175"/>
        <v>0</v>
      </c>
    </row>
    <row r="945" spans="17:17" ht="15.75" hidden="1">
      <c r="Q945" s="10">
        <f t="shared" si="175"/>
        <v>0</v>
      </c>
    </row>
    <row r="946" spans="17:17" ht="15.75" hidden="1">
      <c r="Q946" s="10">
        <f t="shared" si="175"/>
        <v>0</v>
      </c>
    </row>
    <row r="947" spans="17:17" ht="15.75" hidden="1">
      <c r="Q947" s="10">
        <f t="shared" si="175"/>
        <v>0</v>
      </c>
    </row>
    <row r="948" spans="17:17" ht="15.75" hidden="1">
      <c r="Q948" s="10">
        <f t="shared" si="175"/>
        <v>0</v>
      </c>
    </row>
    <row r="949" spans="17:17" ht="15.75" hidden="1">
      <c r="Q949" s="10">
        <f t="shared" si="175"/>
        <v>0</v>
      </c>
    </row>
    <row r="950" spans="17:17" ht="15.75" hidden="1">
      <c r="Q950" s="10">
        <f t="shared" si="175"/>
        <v>0</v>
      </c>
    </row>
    <row r="951" spans="17:17" ht="15.75" hidden="1">
      <c r="Q951" s="10">
        <f t="shared" si="175"/>
        <v>0</v>
      </c>
    </row>
    <row r="952" spans="17:17" ht="15.75" hidden="1">
      <c r="Q952" s="10">
        <f t="shared" si="175"/>
        <v>0</v>
      </c>
    </row>
    <row r="953" spans="17:17" ht="15.75" hidden="1">
      <c r="Q953" s="10">
        <f t="shared" si="175"/>
        <v>0</v>
      </c>
    </row>
    <row r="954" spans="17:17" ht="15.75" hidden="1">
      <c r="Q954" s="10">
        <f t="shared" si="175"/>
        <v>0</v>
      </c>
    </row>
    <row r="955" spans="17:17" ht="15.75" hidden="1">
      <c r="Q955" s="10">
        <f t="shared" si="175"/>
        <v>0</v>
      </c>
    </row>
    <row r="956" spans="17:17" ht="15.75" hidden="1">
      <c r="Q956" s="10">
        <f t="shared" si="175"/>
        <v>0</v>
      </c>
    </row>
    <row r="957" spans="17:17" ht="15.75" hidden="1">
      <c r="Q957" s="10">
        <f t="shared" si="175"/>
        <v>0</v>
      </c>
    </row>
    <row r="958" spans="17:17" ht="15.75" hidden="1">
      <c r="Q958" s="10">
        <f t="shared" si="175"/>
        <v>0</v>
      </c>
    </row>
    <row r="959" spans="17:17" ht="15.75" hidden="1">
      <c r="Q959" s="10">
        <f t="shared" si="175"/>
        <v>0</v>
      </c>
    </row>
    <row r="960" spans="17:17" ht="15.75" hidden="1">
      <c r="Q960" s="10">
        <f t="shared" si="175"/>
        <v>0</v>
      </c>
    </row>
    <row r="961" spans="17:17" ht="15.75" hidden="1">
      <c r="Q961" s="10">
        <f t="shared" si="175"/>
        <v>0</v>
      </c>
    </row>
    <row r="962" spans="17:17" ht="15.75" hidden="1">
      <c r="Q962" s="10">
        <f t="shared" si="175"/>
        <v>0</v>
      </c>
    </row>
    <row r="963" spans="17:17" ht="15.75" hidden="1">
      <c r="Q963" s="10">
        <f t="shared" si="175"/>
        <v>0</v>
      </c>
    </row>
    <row r="964" spans="17:17" ht="15.75" hidden="1">
      <c r="Q964" s="10">
        <f t="shared" ref="Q964:Q990" si="185">M964-N964-O964-P964</f>
        <v>0</v>
      </c>
    </row>
    <row r="965" spans="17:17" ht="15.75" hidden="1">
      <c r="Q965" s="10">
        <f t="shared" si="185"/>
        <v>0</v>
      </c>
    </row>
    <row r="966" spans="17:17" ht="15.75" hidden="1">
      <c r="Q966" s="10">
        <f t="shared" si="185"/>
        <v>0</v>
      </c>
    </row>
    <row r="967" spans="17:17" ht="15.75" hidden="1">
      <c r="Q967" s="10">
        <f t="shared" si="185"/>
        <v>0</v>
      </c>
    </row>
    <row r="968" spans="17:17" ht="15.75" hidden="1">
      <c r="Q968" s="10">
        <f t="shared" si="185"/>
        <v>0</v>
      </c>
    </row>
    <row r="969" spans="17:17" ht="15.75" hidden="1">
      <c r="Q969" s="10">
        <f t="shared" si="185"/>
        <v>0</v>
      </c>
    </row>
    <row r="970" spans="17:17" ht="15.75" hidden="1">
      <c r="Q970" s="10">
        <f t="shared" si="185"/>
        <v>0</v>
      </c>
    </row>
    <row r="971" spans="17:17" ht="15.75" hidden="1">
      <c r="Q971" s="10">
        <f t="shared" si="185"/>
        <v>0</v>
      </c>
    </row>
    <row r="972" spans="17:17" ht="15.75" hidden="1">
      <c r="Q972" s="10">
        <f t="shared" si="185"/>
        <v>0</v>
      </c>
    </row>
    <row r="973" spans="17:17" ht="15.75" hidden="1">
      <c r="Q973" s="10">
        <f t="shared" si="185"/>
        <v>0</v>
      </c>
    </row>
    <row r="974" spans="17:17" ht="15.75" hidden="1">
      <c r="Q974" s="10">
        <f t="shared" si="185"/>
        <v>0</v>
      </c>
    </row>
    <row r="975" spans="17:17" ht="15.75" hidden="1">
      <c r="Q975" s="10">
        <f t="shared" si="185"/>
        <v>0</v>
      </c>
    </row>
    <row r="976" spans="17:17" ht="15.75" hidden="1">
      <c r="Q976" s="10">
        <f t="shared" si="185"/>
        <v>0</v>
      </c>
    </row>
    <row r="977" spans="17:17" ht="15.75" hidden="1">
      <c r="Q977" s="10">
        <f t="shared" si="185"/>
        <v>0</v>
      </c>
    </row>
    <row r="978" spans="17:17" ht="15.75" hidden="1">
      <c r="Q978" s="10">
        <f t="shared" si="185"/>
        <v>0</v>
      </c>
    </row>
    <row r="979" spans="17:17" ht="15.75" hidden="1">
      <c r="Q979" s="10">
        <f t="shared" si="185"/>
        <v>0</v>
      </c>
    </row>
    <row r="980" spans="17:17" ht="15.75" hidden="1">
      <c r="Q980" s="10">
        <f t="shared" si="185"/>
        <v>0</v>
      </c>
    </row>
    <row r="981" spans="17:17" ht="15.75" hidden="1">
      <c r="Q981" s="10">
        <f t="shared" si="185"/>
        <v>0</v>
      </c>
    </row>
    <row r="982" spans="17:17" ht="15.75" hidden="1">
      <c r="Q982" s="10">
        <f t="shared" si="185"/>
        <v>0</v>
      </c>
    </row>
    <row r="983" spans="17:17" ht="15.75" hidden="1">
      <c r="Q983" s="10">
        <f t="shared" si="185"/>
        <v>0</v>
      </c>
    </row>
    <row r="984" spans="17:17" ht="15.75" hidden="1">
      <c r="Q984" s="10">
        <f t="shared" si="185"/>
        <v>0</v>
      </c>
    </row>
    <row r="985" spans="17:17" ht="15.75" hidden="1">
      <c r="Q985" s="10">
        <f t="shared" si="185"/>
        <v>0</v>
      </c>
    </row>
    <row r="986" spans="17:17" ht="15.75" hidden="1">
      <c r="Q986" s="10">
        <f t="shared" si="185"/>
        <v>0</v>
      </c>
    </row>
    <row r="987" spans="17:17" ht="15.75" hidden="1">
      <c r="Q987" s="10">
        <f t="shared" si="185"/>
        <v>0</v>
      </c>
    </row>
    <row r="988" spans="17:17" ht="15.75" hidden="1">
      <c r="Q988" s="10">
        <f t="shared" si="185"/>
        <v>0</v>
      </c>
    </row>
    <row r="989" spans="17:17" ht="15.75" hidden="1">
      <c r="Q989" s="10">
        <f t="shared" si="185"/>
        <v>0</v>
      </c>
    </row>
    <row r="990" spans="17:17" ht="15.75" hidden="1">
      <c r="Q990" s="10">
        <f t="shared" si="185"/>
        <v>0</v>
      </c>
    </row>
  </sheetData>
  <autoFilter ref="A2:BI990" xr:uid="{00000000-0001-0000-0000-000000000000}">
    <filterColumn colId="0">
      <filters>
        <filter val="CÔNG TY TNHH PHÁT TRIỂN SẢN XUẤT THƯƠNG MẠI DỊCH VỤ RỒNG VIỆT（ 龙越生产贸易服务发展有限责任公司"/>
      </filters>
    </filterColumn>
  </autoFilter>
  <mergeCells count="18">
    <mergeCell ref="H1:H2"/>
    <mergeCell ref="I1:I2"/>
    <mergeCell ref="J1:J2"/>
    <mergeCell ref="A1:A2"/>
    <mergeCell ref="S78:S79"/>
    <mergeCell ref="E1:E2"/>
    <mergeCell ref="B1:B2"/>
    <mergeCell ref="C1:D1"/>
    <mergeCell ref="F1:F2"/>
    <mergeCell ref="G1:G2"/>
    <mergeCell ref="K1:K2"/>
    <mergeCell ref="L1:L2"/>
    <mergeCell ref="M1:M2"/>
    <mergeCell ref="N1:N2"/>
    <mergeCell ref="R1:R2"/>
    <mergeCell ref="O1:O2"/>
    <mergeCell ref="P1:P2"/>
    <mergeCell ref="Q1:Q2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49FE-EE46-4A72-A05D-6CF39F9DAA34}">
  <sheetPr filterMode="1">
    <tabColor rgb="FFFF0000"/>
  </sheetPr>
  <dimension ref="A1:AI2210"/>
  <sheetViews>
    <sheetView topLeftCell="B1" zoomScale="86" zoomScaleNormal="86" workbookViewId="0">
      <pane ySplit="1" topLeftCell="A141" activePane="bottomLeft" state="frozen"/>
      <selection pane="bottomLeft" activeCell="C1685" sqref="C1685"/>
    </sheetView>
  </sheetViews>
  <sheetFormatPr defaultColWidth="9.140625" defaultRowHeight="15.75"/>
  <cols>
    <col min="1" max="1" width="8.7109375" style="1039" customWidth="1"/>
    <col min="2" max="2" width="30.140625" style="1040" customWidth="1"/>
    <col min="3" max="3" width="18.5703125" style="1066" bestFit="1" customWidth="1"/>
    <col min="4" max="4" width="23.28515625" style="1066" bestFit="1" customWidth="1"/>
    <col min="5" max="5" width="16.42578125" style="1005" bestFit="1" customWidth="1"/>
    <col min="6" max="6" width="20.5703125" style="1066" bestFit="1" customWidth="1"/>
    <col min="7" max="7" width="23" style="1005" bestFit="1" customWidth="1"/>
    <col min="8" max="8" width="17.42578125" style="1005" bestFit="1" customWidth="1"/>
    <col min="9" max="9" width="36.85546875" style="1002" customWidth="1"/>
    <col min="10" max="10" width="13" style="1005" bestFit="1" customWidth="1"/>
    <col min="11" max="11" width="30.42578125" style="1002" customWidth="1"/>
    <col min="12" max="12" width="11.42578125" style="1002" bestFit="1" customWidth="1"/>
    <col min="13" max="13" width="15.140625" style="1086" bestFit="1" customWidth="1"/>
    <col min="14" max="14" width="12.42578125" style="1107" bestFit="1" customWidth="1"/>
    <col min="15" max="15" width="17.28515625" style="1081" bestFit="1" customWidth="1"/>
    <col min="16" max="16" width="13.5703125" style="1081" bestFit="1" customWidth="1"/>
    <col min="17" max="17" width="14.7109375" style="1081" bestFit="1" customWidth="1"/>
    <col min="18" max="18" width="21.85546875" style="1107" bestFit="1" customWidth="1"/>
    <col min="19" max="19" width="22" style="1107" bestFit="1" customWidth="1"/>
    <col min="20" max="20" width="15.140625" style="1107" bestFit="1" customWidth="1"/>
    <col min="21" max="21" width="20.28515625" style="1107" bestFit="1" customWidth="1"/>
    <col min="22" max="22" width="14.7109375" style="1107" bestFit="1" customWidth="1"/>
    <col min="23" max="23" width="91.85546875" style="1005" bestFit="1" customWidth="1"/>
    <col min="24" max="24" width="13.42578125" style="1005" bestFit="1" customWidth="1"/>
    <col min="25" max="16384" width="9.140625" style="1005"/>
  </cols>
  <sheetData>
    <row r="1" spans="1:25" s="1075" customFormat="1" ht="47.25">
      <c r="A1" s="999" t="s">
        <v>666</v>
      </c>
      <c r="B1" s="1070" t="s">
        <v>885</v>
      </c>
      <c r="C1" s="1070" t="s">
        <v>624</v>
      </c>
      <c r="D1" s="1070" t="s">
        <v>1492</v>
      </c>
      <c r="E1" s="432" t="s">
        <v>636</v>
      </c>
      <c r="F1" s="1070" t="s">
        <v>635</v>
      </c>
      <c r="G1" s="434" t="s">
        <v>637</v>
      </c>
      <c r="H1" s="434" t="s">
        <v>634</v>
      </c>
      <c r="I1" s="568" t="s">
        <v>625</v>
      </c>
      <c r="J1" s="434" t="s">
        <v>626</v>
      </c>
      <c r="K1" s="568" t="s">
        <v>627</v>
      </c>
      <c r="L1" s="568" t="s">
        <v>628</v>
      </c>
      <c r="M1" s="1071" t="s">
        <v>629</v>
      </c>
      <c r="N1" s="1072" t="s">
        <v>630</v>
      </c>
      <c r="O1" s="1072" t="s">
        <v>631</v>
      </c>
      <c r="P1" s="1072" t="s">
        <v>632</v>
      </c>
      <c r="Q1" s="1072" t="s">
        <v>886</v>
      </c>
      <c r="R1" s="1072" t="s">
        <v>887</v>
      </c>
      <c r="S1" s="1072" t="s">
        <v>622</v>
      </c>
      <c r="T1" s="1072" t="s">
        <v>623</v>
      </c>
      <c r="U1" s="1072" t="s">
        <v>683</v>
      </c>
      <c r="V1" s="1072" t="s">
        <v>716</v>
      </c>
      <c r="W1" s="1073" t="s">
        <v>670</v>
      </c>
      <c r="X1" s="1074"/>
      <c r="Y1" s="1074"/>
    </row>
    <row r="2" spans="1:25" s="1002" customFormat="1" hidden="1">
      <c r="A2" s="1000" t="s">
        <v>1016</v>
      </c>
      <c r="B2" s="1001" t="s">
        <v>1493</v>
      </c>
      <c r="C2" s="1076">
        <v>46213</v>
      </c>
      <c r="D2" s="1077"/>
      <c r="F2" s="1078">
        <v>46228</v>
      </c>
      <c r="H2" s="1079" t="s">
        <v>450</v>
      </c>
      <c r="I2" s="1002" t="s">
        <v>857</v>
      </c>
      <c r="J2" s="1003" t="s">
        <v>148</v>
      </c>
      <c r="K2" s="1003" t="s">
        <v>149</v>
      </c>
      <c r="L2" s="1013" t="s">
        <v>18</v>
      </c>
      <c r="M2" s="1080">
        <v>1</v>
      </c>
      <c r="N2" s="1081">
        <v>358333.33</v>
      </c>
      <c r="O2" s="1081">
        <f t="shared" ref="O2:O15" si="0">M2*N2</f>
        <v>358333.33</v>
      </c>
      <c r="P2" s="1082">
        <f t="shared" ref="P2:P16" si="1">O2*8%</f>
        <v>28666.666400000002</v>
      </c>
      <c r="Q2" s="1082">
        <f t="shared" ref="Q2:Q18" si="2">O2+P2</f>
        <v>386999.9964</v>
      </c>
      <c r="R2" s="1083"/>
      <c r="S2" s="1083"/>
      <c r="T2" s="1083"/>
      <c r="U2" s="1083"/>
      <c r="V2" s="1083">
        <f>Q2-R2-S2-T2-U2</f>
        <v>386999.9964</v>
      </c>
    </row>
    <row r="3" spans="1:25" s="1002" customFormat="1" hidden="1">
      <c r="A3" s="1000" t="s">
        <v>1016</v>
      </c>
      <c r="B3" s="1001" t="s">
        <v>1493</v>
      </c>
      <c r="C3" s="1076">
        <v>46213</v>
      </c>
      <c r="D3" s="1077"/>
      <c r="F3" s="1078">
        <v>46228</v>
      </c>
      <c r="H3" s="1079" t="s">
        <v>450</v>
      </c>
      <c r="I3" s="1002" t="s">
        <v>857</v>
      </c>
      <c r="J3" s="1003" t="s">
        <v>192</v>
      </c>
      <c r="K3" s="1003" t="s">
        <v>193</v>
      </c>
      <c r="L3" s="1013" t="s">
        <v>18</v>
      </c>
      <c r="M3" s="1080">
        <v>1</v>
      </c>
      <c r="N3" s="1081">
        <v>398148.14</v>
      </c>
      <c r="O3" s="1081">
        <f>M3*N3</f>
        <v>398148.14</v>
      </c>
      <c r="P3" s="1082">
        <f t="shared" si="1"/>
        <v>31851.851200000001</v>
      </c>
      <c r="Q3" s="1082">
        <f t="shared" si="2"/>
        <v>429999.99119999999</v>
      </c>
      <c r="R3" s="1083"/>
      <c r="S3" s="1083"/>
      <c r="T3" s="1083"/>
      <c r="U3" s="1083"/>
      <c r="V3" s="1083">
        <f t="shared" ref="V3:V66" si="3">Q3-R3-S3-T3-U3</f>
        <v>429999.99119999999</v>
      </c>
    </row>
    <row r="4" spans="1:25" s="1002" customFormat="1" hidden="1">
      <c r="A4" s="1000" t="s">
        <v>1016</v>
      </c>
      <c r="B4" s="1001" t="s">
        <v>1493</v>
      </c>
      <c r="C4" s="1076">
        <v>46213</v>
      </c>
      <c r="D4" s="1077"/>
      <c r="F4" s="1078">
        <v>46228</v>
      </c>
      <c r="H4" s="1079" t="s">
        <v>450</v>
      </c>
      <c r="I4" s="1002" t="s">
        <v>857</v>
      </c>
      <c r="J4" s="1003" t="s">
        <v>46</v>
      </c>
      <c r="K4" s="1003" t="s">
        <v>47</v>
      </c>
      <c r="L4" s="1013" t="s">
        <v>18</v>
      </c>
      <c r="M4" s="1080">
        <v>1</v>
      </c>
      <c r="N4" s="1081">
        <v>240740.74</v>
      </c>
      <c r="O4" s="1081">
        <f t="shared" si="0"/>
        <v>240740.74</v>
      </c>
      <c r="P4" s="1082">
        <f t="shared" si="1"/>
        <v>19259.2592</v>
      </c>
      <c r="Q4" s="1082">
        <f t="shared" si="2"/>
        <v>259999.99919999999</v>
      </c>
      <c r="R4" s="1083"/>
      <c r="S4" s="1083"/>
      <c r="T4" s="1083"/>
      <c r="U4" s="1083"/>
      <c r="V4" s="1083">
        <f t="shared" si="3"/>
        <v>259999.99919999999</v>
      </c>
    </row>
    <row r="5" spans="1:25" s="1002" customFormat="1" hidden="1">
      <c r="A5" s="1000" t="s">
        <v>1016</v>
      </c>
      <c r="B5" s="1001" t="s">
        <v>1493</v>
      </c>
      <c r="C5" s="1076">
        <v>46213</v>
      </c>
      <c r="D5" s="1077"/>
      <c r="F5" s="1078">
        <v>46228</v>
      </c>
      <c r="H5" s="1079" t="s">
        <v>450</v>
      </c>
      <c r="I5" s="1002" t="s">
        <v>857</v>
      </c>
      <c r="J5" s="1003" t="s">
        <v>157</v>
      </c>
      <c r="K5" s="1003" t="s">
        <v>158</v>
      </c>
      <c r="L5" s="1013" t="s">
        <v>18</v>
      </c>
      <c r="M5" s="1080">
        <v>1</v>
      </c>
      <c r="N5" s="1081">
        <v>342592.59</v>
      </c>
      <c r="O5" s="1081">
        <f t="shared" si="0"/>
        <v>342592.59</v>
      </c>
      <c r="P5" s="1082">
        <f t="shared" si="1"/>
        <v>27407.407200000001</v>
      </c>
      <c r="Q5" s="1082">
        <f t="shared" si="2"/>
        <v>369999.99720000004</v>
      </c>
      <c r="R5" s="1083"/>
      <c r="S5" s="1083"/>
      <c r="T5" s="1083"/>
      <c r="U5" s="1083"/>
      <c r="V5" s="1083">
        <f t="shared" si="3"/>
        <v>369999.99720000004</v>
      </c>
    </row>
    <row r="6" spans="1:25" s="1002" customFormat="1" hidden="1">
      <c r="A6" s="1000" t="s">
        <v>1016</v>
      </c>
      <c r="B6" s="1001" t="s">
        <v>1493</v>
      </c>
      <c r="C6" s="1076">
        <v>46216</v>
      </c>
      <c r="D6" s="1084"/>
      <c r="F6" s="1078">
        <v>46216</v>
      </c>
      <c r="H6" s="1085" t="s">
        <v>454</v>
      </c>
      <c r="I6" s="1002" t="s">
        <v>857</v>
      </c>
      <c r="J6" s="1002" t="s">
        <v>157</v>
      </c>
      <c r="K6" s="1002" t="s">
        <v>158</v>
      </c>
      <c r="L6" s="1002" t="s">
        <v>18</v>
      </c>
      <c r="M6" s="1086">
        <v>5</v>
      </c>
      <c r="N6" s="1083">
        <v>342592.59</v>
      </c>
      <c r="O6" s="1082">
        <f t="shared" si="0"/>
        <v>1712962.9500000002</v>
      </c>
      <c r="P6" s="1082">
        <f t="shared" si="1"/>
        <v>137037.03600000002</v>
      </c>
      <c r="Q6" s="1082">
        <f t="shared" si="2"/>
        <v>1849999.9860000003</v>
      </c>
      <c r="R6" s="1083"/>
      <c r="S6" s="1083"/>
      <c r="T6" s="1083"/>
      <c r="U6" s="1083"/>
      <c r="V6" s="1083">
        <f t="shared" si="3"/>
        <v>1849999.9860000003</v>
      </c>
    </row>
    <row r="7" spans="1:25" s="1002" customFormat="1" hidden="1">
      <c r="A7" s="1000" t="s">
        <v>1016</v>
      </c>
      <c r="B7" s="1001" t="s">
        <v>1493</v>
      </c>
      <c r="C7" s="1076">
        <v>46216</v>
      </c>
      <c r="D7" s="1084"/>
      <c r="F7" s="1078">
        <v>46216</v>
      </c>
      <c r="H7" s="1085" t="s">
        <v>454</v>
      </c>
      <c r="I7" s="1002" t="s">
        <v>857</v>
      </c>
      <c r="J7" s="1002" t="s">
        <v>148</v>
      </c>
      <c r="K7" s="1002" t="s">
        <v>149</v>
      </c>
      <c r="L7" s="1002" t="s">
        <v>18</v>
      </c>
      <c r="M7" s="1086">
        <v>5</v>
      </c>
      <c r="N7" s="1083">
        <v>358333.33</v>
      </c>
      <c r="O7" s="1082">
        <f t="shared" si="0"/>
        <v>1791666.6500000001</v>
      </c>
      <c r="P7" s="1082">
        <f t="shared" si="1"/>
        <v>143333.33200000002</v>
      </c>
      <c r="Q7" s="1082">
        <f t="shared" si="2"/>
        <v>1934999.9820000001</v>
      </c>
      <c r="R7" s="1083"/>
      <c r="S7" s="1083"/>
      <c r="T7" s="1083"/>
      <c r="U7" s="1083"/>
      <c r="V7" s="1083">
        <f t="shared" si="3"/>
        <v>1934999.9820000001</v>
      </c>
    </row>
    <row r="8" spans="1:25" s="1002" customFormat="1" hidden="1">
      <c r="A8" s="1000" t="s">
        <v>1016</v>
      </c>
      <c r="B8" s="1001" t="s">
        <v>1493</v>
      </c>
      <c r="C8" s="1076">
        <v>46216</v>
      </c>
      <c r="D8" s="1084"/>
      <c r="F8" s="1078">
        <v>46228</v>
      </c>
      <c r="H8" s="1085" t="s">
        <v>456</v>
      </c>
      <c r="I8" s="1002" t="s">
        <v>857</v>
      </c>
      <c r="J8" s="1002" t="s">
        <v>192</v>
      </c>
      <c r="K8" s="1002" t="s">
        <v>193</v>
      </c>
      <c r="L8" s="1002" t="s">
        <v>18</v>
      </c>
      <c r="M8" s="1086">
        <v>8</v>
      </c>
      <c r="N8" s="1083">
        <v>398148.14</v>
      </c>
      <c r="O8" s="1082">
        <f t="shared" si="0"/>
        <v>3185185.12</v>
      </c>
      <c r="P8" s="1082">
        <f t="shared" si="1"/>
        <v>254814.80960000001</v>
      </c>
      <c r="Q8" s="1082">
        <f t="shared" si="2"/>
        <v>3439999.9295999999</v>
      </c>
      <c r="R8" s="1083"/>
      <c r="S8" s="1083"/>
      <c r="T8" s="1083"/>
      <c r="U8" s="1083"/>
      <c r="V8" s="1083">
        <f t="shared" si="3"/>
        <v>3439999.9295999999</v>
      </c>
    </row>
    <row r="9" spans="1:25" s="1002" customFormat="1" hidden="1">
      <c r="A9" s="1000" t="s">
        <v>1016</v>
      </c>
      <c r="B9" s="1001" t="s">
        <v>1493</v>
      </c>
      <c r="C9" s="1076">
        <v>46216</v>
      </c>
      <c r="D9" s="1084"/>
      <c r="F9" s="1078">
        <v>46228</v>
      </c>
      <c r="H9" s="1085" t="s">
        <v>456</v>
      </c>
      <c r="I9" s="1002" t="s">
        <v>857</v>
      </c>
      <c r="J9" s="1002" t="s">
        <v>148</v>
      </c>
      <c r="K9" s="1002" t="s">
        <v>149</v>
      </c>
      <c r="L9" s="1002" t="s">
        <v>18</v>
      </c>
      <c r="M9" s="1086">
        <v>8</v>
      </c>
      <c r="N9" s="1083">
        <v>358333.33</v>
      </c>
      <c r="O9" s="1082">
        <f t="shared" si="0"/>
        <v>2866666.64</v>
      </c>
      <c r="P9" s="1082">
        <f t="shared" si="1"/>
        <v>229333.33120000002</v>
      </c>
      <c r="Q9" s="1082">
        <f t="shared" si="2"/>
        <v>3095999.9712</v>
      </c>
      <c r="R9" s="1083"/>
      <c r="S9" s="1083"/>
      <c r="T9" s="1083"/>
      <c r="U9" s="1083"/>
      <c r="V9" s="1083">
        <f t="shared" si="3"/>
        <v>3095999.9712</v>
      </c>
    </row>
    <row r="10" spans="1:25" s="1002" customFormat="1" hidden="1">
      <c r="A10" s="1000" t="s">
        <v>1016</v>
      </c>
      <c r="B10" s="1001" t="s">
        <v>1493</v>
      </c>
      <c r="C10" s="1076">
        <v>46216</v>
      </c>
      <c r="D10" s="1084"/>
      <c r="F10" s="1078">
        <v>46228</v>
      </c>
      <c r="H10" s="1085" t="s">
        <v>456</v>
      </c>
      <c r="I10" s="1002" t="s">
        <v>857</v>
      </c>
      <c r="J10" s="1002" t="s">
        <v>157</v>
      </c>
      <c r="K10" s="1002" t="s">
        <v>158</v>
      </c>
      <c r="L10" s="1002" t="s">
        <v>18</v>
      </c>
      <c r="M10" s="1086">
        <v>12</v>
      </c>
      <c r="N10" s="1083">
        <v>342592.59</v>
      </c>
      <c r="O10" s="1082">
        <f t="shared" si="0"/>
        <v>4111111.08</v>
      </c>
      <c r="P10" s="1082">
        <f t="shared" si="1"/>
        <v>328888.88640000002</v>
      </c>
      <c r="Q10" s="1082">
        <f t="shared" si="2"/>
        <v>4439999.9664000003</v>
      </c>
      <c r="R10" s="1083"/>
      <c r="S10" s="1083"/>
      <c r="T10" s="1083"/>
      <c r="U10" s="1083"/>
      <c r="V10" s="1083">
        <f t="shared" si="3"/>
        <v>4439999.9664000003</v>
      </c>
    </row>
    <row r="11" spans="1:25" s="1002" customFormat="1" hidden="1">
      <c r="A11" s="1000" t="s">
        <v>1016</v>
      </c>
      <c r="B11" s="1001" t="s">
        <v>1493</v>
      </c>
      <c r="C11" s="1076">
        <v>46223</v>
      </c>
      <c r="D11" s="1084"/>
      <c r="F11" s="1078">
        <v>46228</v>
      </c>
      <c r="H11" s="1085" t="s">
        <v>456</v>
      </c>
      <c r="I11" s="1002" t="s">
        <v>857</v>
      </c>
      <c r="J11" s="1002" t="s">
        <v>148</v>
      </c>
      <c r="K11" s="1002" t="s">
        <v>149</v>
      </c>
      <c r="L11" s="1002" t="s">
        <v>18</v>
      </c>
      <c r="M11" s="1086">
        <v>8</v>
      </c>
      <c r="N11" s="1083">
        <v>358333.33</v>
      </c>
      <c r="O11" s="1082">
        <f t="shared" si="0"/>
        <v>2866666.64</v>
      </c>
      <c r="P11" s="1082">
        <f t="shared" si="1"/>
        <v>229333.33120000002</v>
      </c>
      <c r="Q11" s="1082">
        <f t="shared" si="2"/>
        <v>3095999.9712</v>
      </c>
      <c r="R11" s="1083"/>
      <c r="S11" s="1083"/>
      <c r="T11" s="1083"/>
      <c r="U11" s="1083"/>
      <c r="V11" s="1083">
        <f t="shared" si="3"/>
        <v>3095999.9712</v>
      </c>
    </row>
    <row r="12" spans="1:25" s="1002" customFormat="1" hidden="1">
      <c r="A12" s="1000" t="s">
        <v>1016</v>
      </c>
      <c r="B12" s="1001" t="s">
        <v>1493</v>
      </c>
      <c r="C12" s="1076">
        <v>46223</v>
      </c>
      <c r="D12" s="1084"/>
      <c r="F12" s="1078">
        <v>46228</v>
      </c>
      <c r="H12" s="1085" t="s">
        <v>456</v>
      </c>
      <c r="I12" s="1002" t="s">
        <v>857</v>
      </c>
      <c r="J12" s="1002" t="s">
        <v>46</v>
      </c>
      <c r="K12" s="1002" t="s">
        <v>47</v>
      </c>
      <c r="L12" s="1002" t="s">
        <v>18</v>
      </c>
      <c r="M12" s="1086">
        <v>12</v>
      </c>
      <c r="N12" s="1083">
        <v>240740.74</v>
      </c>
      <c r="O12" s="1082">
        <f t="shared" si="0"/>
        <v>2888888.88</v>
      </c>
      <c r="P12" s="1082">
        <f t="shared" si="1"/>
        <v>231111.11040000001</v>
      </c>
      <c r="Q12" s="1082">
        <f t="shared" si="2"/>
        <v>3119999.9904</v>
      </c>
      <c r="R12" s="1083"/>
      <c r="S12" s="1083"/>
      <c r="T12" s="1083"/>
      <c r="U12" s="1083"/>
      <c r="V12" s="1083">
        <f t="shared" si="3"/>
        <v>3119999.9904</v>
      </c>
    </row>
    <row r="13" spans="1:25" s="1002" customFormat="1" hidden="1">
      <c r="A13" s="1000" t="s">
        <v>1016</v>
      </c>
      <c r="B13" s="1001" t="s">
        <v>1493</v>
      </c>
      <c r="C13" s="1076">
        <v>46223</v>
      </c>
      <c r="D13" s="1084"/>
      <c r="F13" s="1078">
        <v>46228</v>
      </c>
      <c r="H13" s="1085" t="s">
        <v>456</v>
      </c>
      <c r="I13" s="1002" t="s">
        <v>857</v>
      </c>
      <c r="J13" s="1002" t="s">
        <v>192</v>
      </c>
      <c r="K13" s="1002" t="s">
        <v>193</v>
      </c>
      <c r="L13" s="1002" t="s">
        <v>18</v>
      </c>
      <c r="M13" s="1086">
        <v>4</v>
      </c>
      <c r="N13" s="1083">
        <v>398148.14</v>
      </c>
      <c r="O13" s="1082">
        <f t="shared" si="0"/>
        <v>1592592.56</v>
      </c>
      <c r="P13" s="1082">
        <f t="shared" si="1"/>
        <v>127407.4048</v>
      </c>
      <c r="Q13" s="1082">
        <f t="shared" si="2"/>
        <v>1719999.9648</v>
      </c>
      <c r="R13" s="1083"/>
      <c r="S13" s="1083"/>
      <c r="T13" s="1083"/>
      <c r="U13" s="1083"/>
      <c r="V13" s="1083">
        <f t="shared" si="3"/>
        <v>1719999.9648</v>
      </c>
    </row>
    <row r="14" spans="1:25" s="1002" customFormat="1" hidden="1">
      <c r="A14" s="1000" t="s">
        <v>1016</v>
      </c>
      <c r="B14" s="1001" t="s">
        <v>1493</v>
      </c>
      <c r="C14" s="1076">
        <v>46234</v>
      </c>
      <c r="D14" s="1084"/>
      <c r="F14" s="1078">
        <v>46234</v>
      </c>
      <c r="H14" s="1085" t="s">
        <v>824</v>
      </c>
      <c r="I14" s="1002" t="s">
        <v>857</v>
      </c>
      <c r="J14" s="1002" t="s">
        <v>157</v>
      </c>
      <c r="K14" s="1002" t="s">
        <v>158</v>
      </c>
      <c r="L14" s="1002" t="s">
        <v>18</v>
      </c>
      <c r="M14" s="1086">
        <v>8</v>
      </c>
      <c r="N14" s="1083">
        <v>342592.59</v>
      </c>
      <c r="O14" s="1082">
        <f t="shared" si="0"/>
        <v>2740740.72</v>
      </c>
      <c r="P14" s="1082">
        <f t="shared" si="1"/>
        <v>219259.25760000001</v>
      </c>
      <c r="Q14" s="1082">
        <f t="shared" si="2"/>
        <v>2959999.9776000003</v>
      </c>
      <c r="R14" s="1083"/>
      <c r="S14" s="1083"/>
      <c r="T14" s="1083"/>
      <c r="U14" s="1083"/>
      <c r="V14" s="1083">
        <f t="shared" si="3"/>
        <v>2959999.9776000003</v>
      </c>
    </row>
    <row r="15" spans="1:25" s="1002" customFormat="1" hidden="1">
      <c r="A15" s="1000" t="s">
        <v>1016</v>
      </c>
      <c r="B15" s="1001" t="s">
        <v>1493</v>
      </c>
      <c r="C15" s="1076">
        <v>46234</v>
      </c>
      <c r="D15" s="1084"/>
      <c r="F15" s="1078">
        <v>46234</v>
      </c>
      <c r="H15" s="1085" t="s">
        <v>824</v>
      </c>
      <c r="I15" s="1002" t="s">
        <v>857</v>
      </c>
      <c r="J15" s="1002" t="s">
        <v>148</v>
      </c>
      <c r="K15" s="1002" t="s">
        <v>149</v>
      </c>
      <c r="L15" s="1002" t="s">
        <v>18</v>
      </c>
      <c r="M15" s="1086">
        <v>12</v>
      </c>
      <c r="N15" s="1083">
        <v>358333.33</v>
      </c>
      <c r="O15" s="1082">
        <f t="shared" si="0"/>
        <v>4299999.96</v>
      </c>
      <c r="P15" s="1082">
        <f t="shared" si="1"/>
        <v>343999.99680000002</v>
      </c>
      <c r="Q15" s="1082">
        <f t="shared" si="2"/>
        <v>4643999.9567999998</v>
      </c>
      <c r="R15" s="1083"/>
      <c r="S15" s="1083"/>
      <c r="T15" s="1083"/>
      <c r="U15" s="1083"/>
      <c r="V15" s="1083">
        <f t="shared" si="3"/>
        <v>4643999.9567999998</v>
      </c>
    </row>
    <row r="16" spans="1:25" s="1002" customFormat="1" hidden="1">
      <c r="A16" s="1004" t="s">
        <v>934</v>
      </c>
      <c r="B16" s="1001" t="s">
        <v>865</v>
      </c>
      <c r="C16" s="1066" t="s">
        <v>554</v>
      </c>
      <c r="D16" s="1066"/>
      <c r="F16" s="1078" t="s">
        <v>393</v>
      </c>
      <c r="H16" s="1085" t="s">
        <v>555</v>
      </c>
      <c r="I16" s="1002" t="s">
        <v>867</v>
      </c>
      <c r="J16" s="1002" t="s">
        <v>204</v>
      </c>
      <c r="K16" s="1002" t="s">
        <v>269</v>
      </c>
      <c r="L16" s="1002" t="s">
        <v>25</v>
      </c>
      <c r="M16" s="1086">
        <v>10</v>
      </c>
      <c r="N16" s="1083">
        <v>480555.55</v>
      </c>
      <c r="O16" s="1082">
        <f>M16*N16</f>
        <v>4805555.5</v>
      </c>
      <c r="P16" s="1082">
        <f t="shared" si="1"/>
        <v>384444.44</v>
      </c>
      <c r="Q16" s="1082">
        <f t="shared" si="2"/>
        <v>5189999.9400000004</v>
      </c>
      <c r="R16" s="1083"/>
      <c r="S16" s="1083"/>
      <c r="T16" s="1083"/>
      <c r="U16" s="1083"/>
      <c r="V16" s="1083">
        <f t="shared" si="3"/>
        <v>5189999.9400000004</v>
      </c>
    </row>
    <row r="17" spans="1:22" s="1002" customFormat="1" hidden="1">
      <c r="A17" s="1004" t="s">
        <v>934</v>
      </c>
      <c r="B17" s="1001" t="s">
        <v>865</v>
      </c>
      <c r="C17" s="1066" t="s">
        <v>554</v>
      </c>
      <c r="D17" s="1066"/>
      <c r="F17" s="1078" t="s">
        <v>393</v>
      </c>
      <c r="H17" s="1085" t="s">
        <v>555</v>
      </c>
      <c r="I17" s="1002" t="s">
        <v>867</v>
      </c>
      <c r="J17" s="1002" t="s">
        <v>557</v>
      </c>
      <c r="K17" s="1005" t="s">
        <v>209</v>
      </c>
      <c r="L17" s="1002" t="s">
        <v>113</v>
      </c>
      <c r="M17" s="1086">
        <v>10</v>
      </c>
      <c r="N17" s="1083">
        <v>647222.22</v>
      </c>
      <c r="O17" s="1082">
        <f t="shared" ref="O17:O58" si="4">M17*N17</f>
        <v>6472222.1999999993</v>
      </c>
      <c r="P17" s="1082">
        <f t="shared" ref="P17:P58" si="5">O17*8%</f>
        <v>517777.77599999995</v>
      </c>
      <c r="Q17" s="1082">
        <f t="shared" si="2"/>
        <v>6989999.9759999989</v>
      </c>
      <c r="R17" s="1083"/>
      <c r="S17" s="1083"/>
      <c r="T17" s="1083"/>
      <c r="U17" s="1083"/>
      <c r="V17" s="1083">
        <f t="shared" si="3"/>
        <v>6989999.9759999989</v>
      </c>
    </row>
    <row r="18" spans="1:22" s="1002" customFormat="1" hidden="1">
      <c r="A18" s="1004" t="s">
        <v>934</v>
      </c>
      <c r="B18" s="1001" t="s">
        <v>865</v>
      </c>
      <c r="C18" s="1066" t="s">
        <v>554</v>
      </c>
      <c r="D18" s="1066"/>
      <c r="F18" s="1078" t="s">
        <v>393</v>
      </c>
      <c r="H18" s="1085" t="s">
        <v>555</v>
      </c>
      <c r="I18" s="1002" t="s">
        <v>867</v>
      </c>
      <c r="J18" s="1002" t="s">
        <v>77</v>
      </c>
      <c r="K18" s="1002" t="s">
        <v>78</v>
      </c>
      <c r="L18" s="1002" t="s">
        <v>113</v>
      </c>
      <c r="M18" s="1086">
        <v>30</v>
      </c>
      <c r="N18" s="1083">
        <v>314814.81</v>
      </c>
      <c r="O18" s="1082">
        <f t="shared" si="4"/>
        <v>9444444.3000000007</v>
      </c>
      <c r="P18" s="1082">
        <f t="shared" si="5"/>
        <v>755555.54400000011</v>
      </c>
      <c r="Q18" s="1082">
        <f t="shared" si="2"/>
        <v>10199999.844000001</v>
      </c>
      <c r="R18" s="1083"/>
      <c r="S18" s="1083"/>
      <c r="T18" s="1083"/>
      <c r="U18" s="1083"/>
      <c r="V18" s="1083">
        <f t="shared" si="3"/>
        <v>10199999.844000001</v>
      </c>
    </row>
    <row r="19" spans="1:22" s="1002" customFormat="1" hidden="1">
      <c r="A19" s="1004" t="s">
        <v>934</v>
      </c>
      <c r="B19" s="1001" t="s">
        <v>865</v>
      </c>
      <c r="C19" s="1066" t="s">
        <v>554</v>
      </c>
      <c r="D19" s="1066"/>
      <c r="F19" s="1078" t="s">
        <v>393</v>
      </c>
      <c r="H19" s="1085" t="s">
        <v>555</v>
      </c>
      <c r="I19" s="1002" t="s">
        <v>867</v>
      </c>
      <c r="J19" s="1002" t="s">
        <v>206</v>
      </c>
      <c r="K19" s="1002" t="s">
        <v>369</v>
      </c>
      <c r="L19" s="1002" t="s">
        <v>113</v>
      </c>
      <c r="M19" s="1086">
        <v>10</v>
      </c>
      <c r="N19" s="1083">
        <v>483333.33</v>
      </c>
      <c r="O19" s="1082">
        <f t="shared" si="4"/>
        <v>4833333.3</v>
      </c>
      <c r="P19" s="1082">
        <f t="shared" si="5"/>
        <v>386666.66399999999</v>
      </c>
      <c r="Q19" s="1082">
        <f t="shared" ref="Q19:Q80" si="6">O19+P19</f>
        <v>5219999.9639999997</v>
      </c>
      <c r="R19" s="1083"/>
      <c r="S19" s="1083"/>
      <c r="T19" s="1083"/>
      <c r="U19" s="1083"/>
      <c r="V19" s="1083">
        <f t="shared" si="3"/>
        <v>5219999.9639999997</v>
      </c>
    </row>
    <row r="20" spans="1:22" s="1002" customFormat="1" hidden="1">
      <c r="A20" s="1004" t="s">
        <v>934</v>
      </c>
      <c r="B20" s="1001" t="s">
        <v>865</v>
      </c>
      <c r="C20" s="1076" t="s">
        <v>554</v>
      </c>
      <c r="D20" s="1076"/>
      <c r="F20" s="1078" t="s">
        <v>393</v>
      </c>
      <c r="H20" s="1085" t="s">
        <v>555</v>
      </c>
      <c r="I20" s="1002" t="s">
        <v>867</v>
      </c>
      <c r="J20" s="1002" t="s">
        <v>80</v>
      </c>
      <c r="K20" s="1002" t="s">
        <v>81</v>
      </c>
      <c r="L20" s="1002" t="s">
        <v>113</v>
      </c>
      <c r="M20" s="1086">
        <v>10</v>
      </c>
      <c r="N20" s="1083">
        <v>824074.07</v>
      </c>
      <c r="O20" s="1082">
        <f t="shared" si="4"/>
        <v>8240740.6999999993</v>
      </c>
      <c r="P20" s="1082">
        <f t="shared" si="5"/>
        <v>659259.25599999994</v>
      </c>
      <c r="Q20" s="1082">
        <f>O20+P20</f>
        <v>8899999.9559999984</v>
      </c>
      <c r="R20" s="1083"/>
      <c r="S20" s="1083"/>
      <c r="T20" s="1083"/>
      <c r="U20" s="1083"/>
      <c r="V20" s="1083">
        <f t="shared" si="3"/>
        <v>8899999.9559999984</v>
      </c>
    </row>
    <row r="21" spans="1:22" s="1002" customFormat="1" hidden="1">
      <c r="A21" s="1004" t="s">
        <v>934</v>
      </c>
      <c r="B21" s="1001" t="s">
        <v>865</v>
      </c>
      <c r="C21" s="1076" t="s">
        <v>554</v>
      </c>
      <c r="D21" s="1076"/>
      <c r="F21" s="1078" t="s">
        <v>393</v>
      </c>
      <c r="H21" s="1085" t="s">
        <v>555</v>
      </c>
      <c r="I21" s="1002" t="s">
        <v>867</v>
      </c>
      <c r="J21" s="1002" t="s">
        <v>21</v>
      </c>
      <c r="K21" s="1002" t="s">
        <v>22</v>
      </c>
      <c r="L21" s="1002" t="s">
        <v>113</v>
      </c>
      <c r="M21" s="1086">
        <v>10</v>
      </c>
      <c r="N21" s="1083">
        <v>937962.96</v>
      </c>
      <c r="O21" s="1082">
        <f t="shared" si="4"/>
        <v>9379629.5999999996</v>
      </c>
      <c r="P21" s="1082">
        <f t="shared" si="5"/>
        <v>750370.36800000002</v>
      </c>
      <c r="Q21" s="1082">
        <f t="shared" si="6"/>
        <v>10129999.968</v>
      </c>
      <c r="R21" s="1083"/>
      <c r="S21" s="1083"/>
      <c r="T21" s="1083"/>
      <c r="U21" s="1083"/>
      <c r="V21" s="1083">
        <f t="shared" si="3"/>
        <v>10129999.968</v>
      </c>
    </row>
    <row r="22" spans="1:22" s="1002" customFormat="1" hidden="1">
      <c r="A22" s="1004" t="s">
        <v>934</v>
      </c>
      <c r="B22" s="1001" t="s">
        <v>865</v>
      </c>
      <c r="C22" s="1076" t="s">
        <v>554</v>
      </c>
      <c r="D22" s="1076"/>
      <c r="F22" s="1078" t="s">
        <v>393</v>
      </c>
      <c r="H22" s="1085" t="s">
        <v>555</v>
      </c>
      <c r="I22" s="1002" t="s">
        <v>867</v>
      </c>
      <c r="J22" s="1002" t="s">
        <v>68</v>
      </c>
      <c r="K22" s="1002" t="s">
        <v>69</v>
      </c>
      <c r="L22" s="1002" t="s">
        <v>113</v>
      </c>
      <c r="M22" s="1086">
        <v>12</v>
      </c>
      <c r="N22" s="1083">
        <v>111111.11</v>
      </c>
      <c r="O22" s="1082">
        <f t="shared" si="4"/>
        <v>1333333.32</v>
      </c>
      <c r="P22" s="1082">
        <f t="shared" si="5"/>
        <v>106666.66560000001</v>
      </c>
      <c r="Q22" s="1082">
        <f>O22+P22</f>
        <v>1439999.9856</v>
      </c>
      <c r="R22" s="1083"/>
      <c r="S22" s="1083"/>
      <c r="T22" s="1083"/>
      <c r="U22" s="1083"/>
      <c r="V22" s="1083">
        <f t="shared" si="3"/>
        <v>1439999.9856</v>
      </c>
    </row>
    <row r="23" spans="1:22" s="1002" customFormat="1" hidden="1">
      <c r="A23" s="1004" t="s">
        <v>934</v>
      </c>
      <c r="B23" s="1001" t="s">
        <v>865</v>
      </c>
      <c r="C23" s="1066" t="s">
        <v>554</v>
      </c>
      <c r="D23" s="1066"/>
      <c r="F23" s="1078" t="s">
        <v>393</v>
      </c>
      <c r="H23" s="1085" t="s">
        <v>555</v>
      </c>
      <c r="I23" s="1002" t="s">
        <v>867</v>
      </c>
      <c r="J23" s="1002" t="s">
        <v>70</v>
      </c>
      <c r="K23" s="1002" t="s">
        <v>71</v>
      </c>
      <c r="L23" s="1002" t="s">
        <v>113</v>
      </c>
      <c r="M23" s="1086">
        <v>12</v>
      </c>
      <c r="N23" s="1083">
        <v>120370.37</v>
      </c>
      <c r="O23" s="1082">
        <f t="shared" si="4"/>
        <v>1444444.44</v>
      </c>
      <c r="P23" s="1082">
        <f t="shared" si="5"/>
        <v>115555.5552</v>
      </c>
      <c r="Q23" s="1082">
        <f t="shared" si="6"/>
        <v>1559999.9952</v>
      </c>
      <c r="R23" s="1083"/>
      <c r="S23" s="1083"/>
      <c r="T23" s="1083"/>
      <c r="U23" s="1083"/>
      <c r="V23" s="1083">
        <f t="shared" si="3"/>
        <v>1559999.9952</v>
      </c>
    </row>
    <row r="24" spans="1:22" s="1002" customFormat="1" hidden="1">
      <c r="A24" s="1004" t="s">
        <v>934</v>
      </c>
      <c r="B24" s="1001" t="s">
        <v>865</v>
      </c>
      <c r="C24" s="1066" t="s">
        <v>554</v>
      </c>
      <c r="D24" s="1066"/>
      <c r="F24" s="1078" t="s">
        <v>393</v>
      </c>
      <c r="H24" s="1085" t="s">
        <v>555</v>
      </c>
      <c r="I24" s="1002" t="s">
        <v>867</v>
      </c>
      <c r="J24" s="1002" t="s">
        <v>72</v>
      </c>
      <c r="K24" s="1002" t="s">
        <v>73</v>
      </c>
      <c r="L24" s="1002" t="s">
        <v>113</v>
      </c>
      <c r="M24" s="1086">
        <v>12</v>
      </c>
      <c r="N24" s="1083">
        <v>129629.62</v>
      </c>
      <c r="O24" s="1082">
        <f t="shared" si="4"/>
        <v>1555555.44</v>
      </c>
      <c r="P24" s="1082">
        <f t="shared" si="5"/>
        <v>124444.43519999999</v>
      </c>
      <c r="Q24" s="1082">
        <f t="shared" si="6"/>
        <v>1679999.8751999999</v>
      </c>
      <c r="R24" s="1083"/>
      <c r="S24" s="1083"/>
      <c r="T24" s="1083"/>
      <c r="U24" s="1083"/>
      <c r="V24" s="1083">
        <f t="shared" si="3"/>
        <v>1679999.8751999999</v>
      </c>
    </row>
    <row r="25" spans="1:22" s="1002" customFormat="1" hidden="1">
      <c r="A25" s="1004" t="s">
        <v>934</v>
      </c>
      <c r="B25" s="1001" t="s">
        <v>865</v>
      </c>
      <c r="C25" s="1066" t="s">
        <v>554</v>
      </c>
      <c r="D25" s="1066"/>
      <c r="F25" s="1078" t="s">
        <v>393</v>
      </c>
      <c r="H25" s="1085" t="s">
        <v>555</v>
      </c>
      <c r="I25" s="1002" t="s">
        <v>867</v>
      </c>
      <c r="J25" s="1002" t="s">
        <v>23</v>
      </c>
      <c r="K25" s="1002" t="s">
        <v>82</v>
      </c>
      <c r="L25" s="1002" t="s">
        <v>277</v>
      </c>
      <c r="M25" s="1086">
        <v>10</v>
      </c>
      <c r="N25" s="1083">
        <v>1185185.18</v>
      </c>
      <c r="O25" s="1082">
        <f t="shared" si="4"/>
        <v>11851851.799999999</v>
      </c>
      <c r="P25" s="1082">
        <f t="shared" si="5"/>
        <v>948148.14399999997</v>
      </c>
      <c r="Q25" s="1082">
        <f t="shared" si="6"/>
        <v>12799999.943999998</v>
      </c>
      <c r="R25" s="1083"/>
      <c r="S25" s="1083"/>
      <c r="T25" s="1083"/>
      <c r="U25" s="1083"/>
      <c r="V25" s="1083">
        <f t="shared" si="3"/>
        <v>12799999.943999998</v>
      </c>
    </row>
    <row r="26" spans="1:22" s="1002" customFormat="1" hidden="1">
      <c r="A26" s="1004" t="s">
        <v>934</v>
      </c>
      <c r="B26" s="1001" t="s">
        <v>865</v>
      </c>
      <c r="C26" s="1066" t="s">
        <v>554</v>
      </c>
      <c r="D26" s="1066"/>
      <c r="F26" s="1078" t="s">
        <v>393</v>
      </c>
      <c r="H26" s="1085" t="s">
        <v>555</v>
      </c>
      <c r="I26" s="1002" t="s">
        <v>867</v>
      </c>
      <c r="J26" s="1002" t="s">
        <v>180</v>
      </c>
      <c r="K26" s="1002" t="s">
        <v>181</v>
      </c>
      <c r="L26" s="1002" t="s">
        <v>113</v>
      </c>
      <c r="M26" s="1086">
        <v>20</v>
      </c>
      <c r="N26" s="1083">
        <v>234259.25</v>
      </c>
      <c r="O26" s="1082">
        <f t="shared" si="4"/>
        <v>4685185</v>
      </c>
      <c r="P26" s="1082">
        <f t="shared" si="5"/>
        <v>374814.8</v>
      </c>
      <c r="Q26" s="1082">
        <f t="shared" si="6"/>
        <v>5059999.8</v>
      </c>
      <c r="R26" s="1083"/>
      <c r="S26" s="1083"/>
      <c r="T26" s="1083"/>
      <c r="U26" s="1083"/>
      <c r="V26" s="1083">
        <f t="shared" si="3"/>
        <v>5059999.8</v>
      </c>
    </row>
    <row r="27" spans="1:22" s="1002" customFormat="1" hidden="1">
      <c r="A27" s="1004" t="s">
        <v>934</v>
      </c>
      <c r="B27" s="1001" t="s">
        <v>865</v>
      </c>
      <c r="C27" s="1066" t="s">
        <v>554</v>
      </c>
      <c r="D27" s="1066"/>
      <c r="F27" s="1078" t="s">
        <v>393</v>
      </c>
      <c r="H27" s="1085" t="s">
        <v>555</v>
      </c>
      <c r="I27" s="1002" t="s">
        <v>867</v>
      </c>
      <c r="J27" s="1002" t="s">
        <v>26</v>
      </c>
      <c r="K27" s="1002" t="s">
        <v>27</v>
      </c>
      <c r="L27" s="1002" t="s">
        <v>113</v>
      </c>
      <c r="M27" s="1086">
        <v>20</v>
      </c>
      <c r="N27" s="1083">
        <v>256481.48</v>
      </c>
      <c r="O27" s="1082">
        <f t="shared" si="4"/>
        <v>5129629.6000000006</v>
      </c>
      <c r="P27" s="1082">
        <f t="shared" si="5"/>
        <v>410370.36800000007</v>
      </c>
      <c r="Q27" s="1082">
        <f t="shared" si="6"/>
        <v>5539999.9680000003</v>
      </c>
      <c r="R27" s="1083"/>
      <c r="S27" s="1083"/>
      <c r="T27" s="1083"/>
      <c r="U27" s="1083"/>
      <c r="V27" s="1083">
        <f t="shared" si="3"/>
        <v>5539999.9680000003</v>
      </c>
    </row>
    <row r="28" spans="1:22" s="1002" customFormat="1" hidden="1">
      <c r="A28" s="1004" t="s">
        <v>934</v>
      </c>
      <c r="B28" s="1001" t="s">
        <v>865</v>
      </c>
      <c r="C28" s="1066" t="s">
        <v>554</v>
      </c>
      <c r="D28" s="1066"/>
      <c r="F28" s="1078" t="s">
        <v>393</v>
      </c>
      <c r="H28" s="1085" t="s">
        <v>555</v>
      </c>
      <c r="I28" s="1002" t="s">
        <v>867</v>
      </c>
      <c r="J28" s="1002" t="s">
        <v>28</v>
      </c>
      <c r="K28" s="1002" t="s">
        <v>29</v>
      </c>
      <c r="L28" s="1002" t="s">
        <v>113</v>
      </c>
      <c r="M28" s="1086">
        <v>20</v>
      </c>
      <c r="N28" s="1083">
        <v>281481.48</v>
      </c>
      <c r="O28" s="1082">
        <f t="shared" si="4"/>
        <v>5629629.5999999996</v>
      </c>
      <c r="P28" s="1082">
        <f t="shared" si="5"/>
        <v>450370.36799999996</v>
      </c>
      <c r="Q28" s="1082">
        <f t="shared" si="6"/>
        <v>6079999.9679999994</v>
      </c>
      <c r="R28" s="1083"/>
      <c r="S28" s="1083"/>
      <c r="T28" s="1083"/>
      <c r="U28" s="1083"/>
      <c r="V28" s="1083">
        <f t="shared" si="3"/>
        <v>6079999.9679999994</v>
      </c>
    </row>
    <row r="29" spans="1:22" s="1002" customFormat="1" hidden="1">
      <c r="A29" s="1004" t="s">
        <v>934</v>
      </c>
      <c r="B29" s="1001" t="s">
        <v>865</v>
      </c>
      <c r="C29" s="1066" t="s">
        <v>554</v>
      </c>
      <c r="D29" s="1066"/>
      <c r="F29" s="1078" t="s">
        <v>393</v>
      </c>
      <c r="H29" s="1085" t="s">
        <v>555</v>
      </c>
      <c r="I29" s="1002" t="s">
        <v>867</v>
      </c>
      <c r="J29" s="1002" t="s">
        <v>184</v>
      </c>
      <c r="K29" s="1002" t="s">
        <v>272</v>
      </c>
      <c r="L29" s="1002" t="s">
        <v>113</v>
      </c>
      <c r="M29" s="1086">
        <v>20</v>
      </c>
      <c r="N29" s="1083">
        <v>240740.74</v>
      </c>
      <c r="O29" s="1082">
        <f t="shared" si="4"/>
        <v>4814814.8</v>
      </c>
      <c r="P29" s="1082">
        <f t="shared" si="5"/>
        <v>385185.18400000001</v>
      </c>
      <c r="Q29" s="1082">
        <f t="shared" si="6"/>
        <v>5199999.9840000002</v>
      </c>
      <c r="R29" s="1083"/>
      <c r="S29" s="1083"/>
      <c r="T29" s="1083"/>
      <c r="U29" s="1083"/>
      <c r="V29" s="1083">
        <f t="shared" si="3"/>
        <v>5199999.9840000002</v>
      </c>
    </row>
    <row r="30" spans="1:22" s="1002" customFormat="1" hidden="1">
      <c r="A30" s="1004" t="s">
        <v>934</v>
      </c>
      <c r="B30" s="1001" t="s">
        <v>865</v>
      </c>
      <c r="C30" s="1066" t="s">
        <v>554</v>
      </c>
      <c r="D30" s="1066"/>
      <c r="F30" s="1078" t="s">
        <v>393</v>
      </c>
      <c r="H30" s="1085" t="s">
        <v>555</v>
      </c>
      <c r="I30" s="1002" t="s">
        <v>867</v>
      </c>
      <c r="J30" s="1002" t="s">
        <v>30</v>
      </c>
      <c r="K30" s="1002" t="s">
        <v>31</v>
      </c>
      <c r="L30" s="1002" t="s">
        <v>113</v>
      </c>
      <c r="M30" s="1086">
        <v>20</v>
      </c>
      <c r="N30" s="1083">
        <v>259259.25</v>
      </c>
      <c r="O30" s="1082">
        <f t="shared" si="4"/>
        <v>5185185</v>
      </c>
      <c r="P30" s="1082">
        <f t="shared" si="5"/>
        <v>414814.8</v>
      </c>
      <c r="Q30" s="1082">
        <f t="shared" si="6"/>
        <v>5599999.7999999998</v>
      </c>
      <c r="R30" s="1083"/>
      <c r="S30" s="1083"/>
      <c r="T30" s="1083"/>
      <c r="U30" s="1083"/>
      <c r="V30" s="1083">
        <f t="shared" si="3"/>
        <v>5599999.7999999998</v>
      </c>
    </row>
    <row r="31" spans="1:22" s="1002" customFormat="1" hidden="1">
      <c r="A31" s="1004" t="s">
        <v>934</v>
      </c>
      <c r="B31" s="1001" t="s">
        <v>865</v>
      </c>
      <c r="C31" s="1066" t="s">
        <v>554</v>
      </c>
      <c r="D31" s="1066"/>
      <c r="F31" s="1078" t="s">
        <v>393</v>
      </c>
      <c r="H31" s="1085" t="s">
        <v>555</v>
      </c>
      <c r="I31" s="1002" t="s">
        <v>867</v>
      </c>
      <c r="J31" s="1002" t="s">
        <v>32</v>
      </c>
      <c r="K31" s="1002" t="s">
        <v>33</v>
      </c>
      <c r="L31" s="1002" t="s">
        <v>113</v>
      </c>
      <c r="M31" s="1086">
        <v>20</v>
      </c>
      <c r="N31" s="1083">
        <v>226851.85</v>
      </c>
      <c r="O31" s="1082">
        <f t="shared" si="4"/>
        <v>4537037</v>
      </c>
      <c r="P31" s="1082">
        <f t="shared" si="5"/>
        <v>362962.96</v>
      </c>
      <c r="Q31" s="1082">
        <f t="shared" si="6"/>
        <v>4899999.96</v>
      </c>
      <c r="R31" s="1083"/>
      <c r="S31" s="1083"/>
      <c r="T31" s="1083"/>
      <c r="U31" s="1083"/>
      <c r="V31" s="1083">
        <f t="shared" si="3"/>
        <v>4899999.96</v>
      </c>
    </row>
    <row r="32" spans="1:22" s="1002" customFormat="1" hidden="1">
      <c r="A32" s="1004" t="s">
        <v>934</v>
      </c>
      <c r="B32" s="1001" t="s">
        <v>865</v>
      </c>
      <c r="C32" s="1066" t="s">
        <v>554</v>
      </c>
      <c r="D32" s="1066"/>
      <c r="F32" s="1078" t="s">
        <v>393</v>
      </c>
      <c r="H32" s="1085" t="s">
        <v>555</v>
      </c>
      <c r="I32" s="1002" t="s">
        <v>867</v>
      </c>
      <c r="J32" s="1002" t="s">
        <v>34</v>
      </c>
      <c r="K32" s="1002" t="s">
        <v>35</v>
      </c>
      <c r="L32" s="1002" t="s">
        <v>113</v>
      </c>
      <c r="M32" s="1086">
        <v>20</v>
      </c>
      <c r="N32" s="1083">
        <v>240740.74</v>
      </c>
      <c r="O32" s="1082">
        <f t="shared" si="4"/>
        <v>4814814.8</v>
      </c>
      <c r="P32" s="1082">
        <f t="shared" si="5"/>
        <v>385185.18400000001</v>
      </c>
      <c r="Q32" s="1082">
        <f t="shared" si="6"/>
        <v>5199999.9840000002</v>
      </c>
      <c r="R32" s="1083"/>
      <c r="S32" s="1083"/>
      <c r="T32" s="1083"/>
      <c r="U32" s="1083"/>
      <c r="V32" s="1083">
        <f t="shared" si="3"/>
        <v>5199999.9840000002</v>
      </c>
    </row>
    <row r="33" spans="1:22" s="1002" customFormat="1" hidden="1">
      <c r="A33" s="1004" t="s">
        <v>934</v>
      </c>
      <c r="B33" s="1001" t="s">
        <v>865</v>
      </c>
      <c r="C33" s="1066" t="s">
        <v>554</v>
      </c>
      <c r="D33" s="1066"/>
      <c r="F33" s="1078" t="s">
        <v>393</v>
      </c>
      <c r="H33" s="1085" t="s">
        <v>555</v>
      </c>
      <c r="I33" s="1002" t="s">
        <v>867</v>
      </c>
      <c r="J33" s="1002" t="s">
        <v>36</v>
      </c>
      <c r="K33" s="1002" t="s">
        <v>37</v>
      </c>
      <c r="L33" s="1002" t="s">
        <v>113</v>
      </c>
      <c r="M33" s="1086">
        <v>20</v>
      </c>
      <c r="N33" s="1083">
        <v>259259.25</v>
      </c>
      <c r="O33" s="1082">
        <f t="shared" si="4"/>
        <v>5185185</v>
      </c>
      <c r="P33" s="1082">
        <f t="shared" si="5"/>
        <v>414814.8</v>
      </c>
      <c r="Q33" s="1082">
        <f t="shared" si="6"/>
        <v>5599999.7999999998</v>
      </c>
      <c r="R33" s="1083"/>
      <c r="S33" s="1083"/>
      <c r="T33" s="1083"/>
      <c r="U33" s="1083"/>
      <c r="V33" s="1083">
        <f t="shared" si="3"/>
        <v>5599999.7999999998</v>
      </c>
    </row>
    <row r="34" spans="1:22" s="1002" customFormat="1" hidden="1">
      <c r="A34" s="1004" t="s">
        <v>934</v>
      </c>
      <c r="B34" s="1001" t="s">
        <v>865</v>
      </c>
      <c r="C34" s="1066" t="s">
        <v>554</v>
      </c>
      <c r="D34" s="1066"/>
      <c r="F34" s="1078" t="s">
        <v>393</v>
      </c>
      <c r="H34" s="1085" t="s">
        <v>555</v>
      </c>
      <c r="I34" s="1002" t="s">
        <v>867</v>
      </c>
      <c r="J34" s="1002" t="s">
        <v>38</v>
      </c>
      <c r="K34" s="1002" t="s">
        <v>39</v>
      </c>
      <c r="L34" s="1002" t="s">
        <v>113</v>
      </c>
      <c r="M34" s="1086">
        <v>20</v>
      </c>
      <c r="N34" s="1083">
        <v>277777.77</v>
      </c>
      <c r="O34" s="1082">
        <f t="shared" si="4"/>
        <v>5555555.4000000004</v>
      </c>
      <c r="P34" s="1082">
        <f t="shared" si="5"/>
        <v>444444.43200000003</v>
      </c>
      <c r="Q34" s="1082">
        <f t="shared" si="6"/>
        <v>5999999.8320000004</v>
      </c>
      <c r="R34" s="1083"/>
      <c r="S34" s="1083"/>
      <c r="T34" s="1083"/>
      <c r="U34" s="1083"/>
      <c r="V34" s="1083">
        <f t="shared" si="3"/>
        <v>5999999.8320000004</v>
      </c>
    </row>
    <row r="35" spans="1:22" s="1002" customFormat="1" hidden="1">
      <c r="A35" s="1004" t="s">
        <v>934</v>
      </c>
      <c r="B35" s="1001" t="s">
        <v>865</v>
      </c>
      <c r="C35" s="1066" t="s">
        <v>554</v>
      </c>
      <c r="D35" s="1066"/>
      <c r="F35" s="1078" t="s">
        <v>393</v>
      </c>
      <c r="H35" s="1085" t="s">
        <v>555</v>
      </c>
      <c r="I35" s="1002" t="s">
        <v>867</v>
      </c>
      <c r="J35" s="1002" t="s">
        <v>40</v>
      </c>
      <c r="K35" s="1002" t="s">
        <v>41</v>
      </c>
      <c r="L35" s="1002" t="s">
        <v>113</v>
      </c>
      <c r="M35" s="1086">
        <v>10</v>
      </c>
      <c r="N35" s="1083">
        <v>844444.44</v>
      </c>
      <c r="O35" s="1082">
        <f t="shared" si="4"/>
        <v>8444444.3999999985</v>
      </c>
      <c r="P35" s="1082">
        <f t="shared" si="5"/>
        <v>675555.55199999991</v>
      </c>
      <c r="Q35" s="1082">
        <f t="shared" si="6"/>
        <v>9119999.9519999977</v>
      </c>
      <c r="R35" s="1083"/>
      <c r="S35" s="1083"/>
      <c r="T35" s="1083"/>
      <c r="U35" s="1083"/>
      <c r="V35" s="1083">
        <f t="shared" si="3"/>
        <v>9119999.9519999977</v>
      </c>
    </row>
    <row r="36" spans="1:22" s="1002" customFormat="1" hidden="1">
      <c r="A36" s="1004" t="s">
        <v>934</v>
      </c>
      <c r="B36" s="1001" t="s">
        <v>865</v>
      </c>
      <c r="C36" s="1066" t="s">
        <v>554</v>
      </c>
      <c r="D36" s="1066"/>
      <c r="F36" s="1078" t="s">
        <v>393</v>
      </c>
      <c r="H36" s="1085" t="s">
        <v>555</v>
      </c>
      <c r="I36" s="1002" t="s">
        <v>867</v>
      </c>
      <c r="J36" s="1002" t="s">
        <v>119</v>
      </c>
      <c r="K36" s="1002" t="s">
        <v>191</v>
      </c>
      <c r="L36" s="1002" t="s">
        <v>113</v>
      </c>
      <c r="M36" s="1086">
        <v>10</v>
      </c>
      <c r="N36" s="1083">
        <v>659259.25</v>
      </c>
      <c r="O36" s="1082">
        <f t="shared" si="4"/>
        <v>6592592.5</v>
      </c>
      <c r="P36" s="1082">
        <f t="shared" si="5"/>
        <v>527407.4</v>
      </c>
      <c r="Q36" s="1082">
        <f t="shared" si="6"/>
        <v>7119999.9000000004</v>
      </c>
      <c r="R36" s="1083"/>
      <c r="S36" s="1083"/>
      <c r="T36" s="1083"/>
      <c r="U36" s="1083"/>
      <c r="V36" s="1083">
        <f t="shared" si="3"/>
        <v>7119999.9000000004</v>
      </c>
    </row>
    <row r="37" spans="1:22" s="1002" customFormat="1" hidden="1">
      <c r="A37" s="1004" t="s">
        <v>934</v>
      </c>
      <c r="B37" s="1001" t="s">
        <v>865</v>
      </c>
      <c r="C37" s="1066" t="s">
        <v>554</v>
      </c>
      <c r="D37" s="1066"/>
      <c r="F37" s="1078" t="s">
        <v>393</v>
      </c>
      <c r="H37" s="1085" t="s">
        <v>555</v>
      </c>
      <c r="I37" s="1002" t="s">
        <v>867</v>
      </c>
      <c r="J37" s="1002" t="s">
        <v>42</v>
      </c>
      <c r="K37" s="1002" t="s">
        <v>43</v>
      </c>
      <c r="L37" s="1002" t="s">
        <v>113</v>
      </c>
      <c r="M37" s="1086">
        <v>10</v>
      </c>
      <c r="N37" s="1083">
        <v>569444.43999999994</v>
      </c>
      <c r="O37" s="1082">
        <f t="shared" si="4"/>
        <v>5694444.3999999994</v>
      </c>
      <c r="P37" s="1082">
        <f t="shared" si="5"/>
        <v>455555.55199999997</v>
      </c>
      <c r="Q37" s="1082">
        <f t="shared" si="6"/>
        <v>6149999.9519999996</v>
      </c>
      <c r="R37" s="1083"/>
      <c r="S37" s="1083"/>
      <c r="T37" s="1083"/>
      <c r="U37" s="1083"/>
      <c r="V37" s="1083">
        <f t="shared" si="3"/>
        <v>6149999.9519999996</v>
      </c>
    </row>
    <row r="38" spans="1:22" s="1002" customFormat="1" hidden="1">
      <c r="A38" s="1004" t="s">
        <v>934</v>
      </c>
      <c r="B38" s="1001" t="s">
        <v>865</v>
      </c>
      <c r="C38" s="1066" t="s">
        <v>554</v>
      </c>
      <c r="D38" s="1066"/>
      <c r="F38" s="1078" t="s">
        <v>393</v>
      </c>
      <c r="H38" s="1085" t="s">
        <v>555</v>
      </c>
      <c r="I38" s="1002" t="s">
        <v>867</v>
      </c>
      <c r="J38" s="1002" t="s">
        <v>44</v>
      </c>
      <c r="K38" s="1002" t="s">
        <v>45</v>
      </c>
      <c r="L38" s="1002" t="s">
        <v>113</v>
      </c>
      <c r="M38" s="1086">
        <v>12</v>
      </c>
      <c r="N38" s="1083">
        <v>564815</v>
      </c>
      <c r="O38" s="1082">
        <f t="shared" si="4"/>
        <v>6777780</v>
      </c>
      <c r="P38" s="1082">
        <f t="shared" si="5"/>
        <v>542222.4</v>
      </c>
      <c r="Q38" s="1082">
        <f t="shared" si="6"/>
        <v>7320002.4000000004</v>
      </c>
      <c r="R38" s="1083"/>
      <c r="S38" s="1083"/>
      <c r="T38" s="1083"/>
      <c r="U38" s="1083"/>
      <c r="V38" s="1083">
        <f t="shared" si="3"/>
        <v>7320002.4000000004</v>
      </c>
    </row>
    <row r="39" spans="1:22" s="1002" customFormat="1" hidden="1">
      <c r="A39" s="1004" t="s">
        <v>934</v>
      </c>
      <c r="B39" s="1001" t="s">
        <v>865</v>
      </c>
      <c r="C39" s="1066" t="s">
        <v>554</v>
      </c>
      <c r="D39" s="1066"/>
      <c r="F39" s="1078" t="s">
        <v>393</v>
      </c>
      <c r="H39" s="1085" t="s">
        <v>555</v>
      </c>
      <c r="I39" s="1002" t="s">
        <v>867</v>
      </c>
      <c r="J39" s="1002" t="s">
        <v>148</v>
      </c>
      <c r="K39" s="1002" t="s">
        <v>149</v>
      </c>
      <c r="L39" s="1002" t="s">
        <v>113</v>
      </c>
      <c r="M39" s="1086">
        <v>12</v>
      </c>
      <c r="N39" s="1083">
        <v>358333.33</v>
      </c>
      <c r="O39" s="1082">
        <f t="shared" si="4"/>
        <v>4299999.96</v>
      </c>
      <c r="P39" s="1082">
        <f t="shared" si="5"/>
        <v>343999.99680000002</v>
      </c>
      <c r="Q39" s="1082">
        <f t="shared" si="6"/>
        <v>4643999.9567999998</v>
      </c>
      <c r="R39" s="1083"/>
      <c r="S39" s="1083"/>
      <c r="T39" s="1083"/>
      <c r="U39" s="1083"/>
      <c r="V39" s="1083">
        <f t="shared" si="3"/>
        <v>4643999.9567999998</v>
      </c>
    </row>
    <row r="40" spans="1:22" s="1002" customFormat="1" hidden="1">
      <c r="A40" s="1004" t="s">
        <v>934</v>
      </c>
      <c r="B40" s="1001" t="s">
        <v>865</v>
      </c>
      <c r="C40" s="1066" t="s">
        <v>554</v>
      </c>
      <c r="D40" s="1066"/>
      <c r="F40" s="1078" t="s">
        <v>393</v>
      </c>
      <c r="H40" s="1085" t="s">
        <v>555</v>
      </c>
      <c r="I40" s="1002" t="s">
        <v>867</v>
      </c>
      <c r="J40" s="1002" t="s">
        <v>192</v>
      </c>
      <c r="K40" s="1002" t="s">
        <v>193</v>
      </c>
      <c r="L40" s="1002" t="s">
        <v>113</v>
      </c>
      <c r="M40" s="1086">
        <v>12</v>
      </c>
      <c r="N40" s="1083">
        <v>398148.08</v>
      </c>
      <c r="O40" s="1082">
        <f t="shared" si="4"/>
        <v>4777776.96</v>
      </c>
      <c r="P40" s="1082">
        <f t="shared" si="5"/>
        <v>382222.1568</v>
      </c>
      <c r="Q40" s="1082">
        <f t="shared" si="6"/>
        <v>5159999.1168</v>
      </c>
      <c r="R40" s="1083"/>
      <c r="S40" s="1083"/>
      <c r="T40" s="1083"/>
      <c r="U40" s="1083"/>
      <c r="V40" s="1083">
        <f t="shared" si="3"/>
        <v>5159999.1168</v>
      </c>
    </row>
    <row r="41" spans="1:22" s="1002" customFormat="1" hidden="1">
      <c r="A41" s="1004" t="s">
        <v>934</v>
      </c>
      <c r="B41" s="1001" t="s">
        <v>865</v>
      </c>
      <c r="C41" s="1066" t="s">
        <v>554</v>
      </c>
      <c r="D41" s="1066"/>
      <c r="F41" s="1078" t="s">
        <v>393</v>
      </c>
      <c r="H41" s="1085" t="s">
        <v>555</v>
      </c>
      <c r="I41" s="1002" t="s">
        <v>867</v>
      </c>
      <c r="J41" s="1002" t="s">
        <v>194</v>
      </c>
      <c r="K41" s="1002" t="s">
        <v>276</v>
      </c>
      <c r="L41" s="1002" t="s">
        <v>113</v>
      </c>
      <c r="M41" s="1086">
        <v>10</v>
      </c>
      <c r="N41" s="1083">
        <v>1203703.7</v>
      </c>
      <c r="O41" s="1082">
        <f t="shared" si="4"/>
        <v>12037037</v>
      </c>
      <c r="P41" s="1082">
        <f t="shared" si="5"/>
        <v>962962.96</v>
      </c>
      <c r="Q41" s="1082">
        <f t="shared" si="6"/>
        <v>12999999.960000001</v>
      </c>
      <c r="R41" s="1083"/>
      <c r="S41" s="1083"/>
      <c r="T41" s="1083"/>
      <c r="U41" s="1083"/>
      <c r="V41" s="1083">
        <f t="shared" si="3"/>
        <v>12999999.960000001</v>
      </c>
    </row>
    <row r="42" spans="1:22" s="1002" customFormat="1" hidden="1">
      <c r="A42" s="1004" t="s">
        <v>934</v>
      </c>
      <c r="B42" s="1001" t="s">
        <v>865</v>
      </c>
      <c r="C42" s="1066" t="s">
        <v>554</v>
      </c>
      <c r="D42" s="1066"/>
      <c r="F42" s="1078" t="s">
        <v>393</v>
      </c>
      <c r="H42" s="1085" t="s">
        <v>555</v>
      </c>
      <c r="I42" s="1002" t="s">
        <v>867</v>
      </c>
      <c r="J42" s="1002" t="s">
        <v>58</v>
      </c>
      <c r="K42" s="1002" t="s">
        <v>59</v>
      </c>
      <c r="L42" s="1002" t="s">
        <v>113</v>
      </c>
      <c r="M42" s="1086">
        <v>10</v>
      </c>
      <c r="N42" s="1083">
        <v>1361111.11</v>
      </c>
      <c r="O42" s="1082">
        <f t="shared" si="4"/>
        <v>13611111.100000001</v>
      </c>
      <c r="P42" s="1082">
        <f t="shared" si="5"/>
        <v>1088888.888</v>
      </c>
      <c r="Q42" s="1082">
        <f t="shared" si="6"/>
        <v>14699999.988000002</v>
      </c>
      <c r="R42" s="1083"/>
      <c r="S42" s="1083"/>
      <c r="T42" s="1083"/>
      <c r="U42" s="1083"/>
      <c r="V42" s="1083">
        <f t="shared" si="3"/>
        <v>14699999.988000002</v>
      </c>
    </row>
    <row r="43" spans="1:22" s="1002" customFormat="1" hidden="1">
      <c r="A43" s="1004" t="s">
        <v>934</v>
      </c>
      <c r="B43" s="1001" t="s">
        <v>865</v>
      </c>
      <c r="C43" s="1066" t="s">
        <v>554</v>
      </c>
      <c r="D43" s="1066"/>
      <c r="F43" s="1078" t="s">
        <v>393</v>
      </c>
      <c r="H43" s="1085" t="s">
        <v>555</v>
      </c>
      <c r="I43" s="1002" t="s">
        <v>867</v>
      </c>
      <c r="J43" s="1002" t="s">
        <v>424</v>
      </c>
      <c r="K43" s="1002" t="s">
        <v>425</v>
      </c>
      <c r="L43" s="1002" t="s">
        <v>558</v>
      </c>
      <c r="M43" s="1086">
        <v>4</v>
      </c>
      <c r="N43" s="1083">
        <v>882407</v>
      </c>
      <c r="O43" s="1082">
        <f t="shared" si="4"/>
        <v>3529628</v>
      </c>
      <c r="P43" s="1082">
        <f t="shared" si="5"/>
        <v>282370.24</v>
      </c>
      <c r="Q43" s="1082">
        <f t="shared" si="6"/>
        <v>3811998.24</v>
      </c>
      <c r="R43" s="1083"/>
      <c r="S43" s="1083"/>
      <c r="T43" s="1083"/>
      <c r="U43" s="1083"/>
      <c r="V43" s="1083">
        <f t="shared" si="3"/>
        <v>3811998.24</v>
      </c>
    </row>
    <row r="44" spans="1:22" s="1002" customFormat="1" hidden="1">
      <c r="A44" s="1004" t="s">
        <v>934</v>
      </c>
      <c r="B44" s="1001" t="s">
        <v>865</v>
      </c>
      <c r="C44" s="1066" t="s">
        <v>554</v>
      </c>
      <c r="D44" s="1066"/>
      <c r="F44" s="1078" t="s">
        <v>393</v>
      </c>
      <c r="H44" s="1085" t="s">
        <v>555</v>
      </c>
      <c r="I44" s="1002" t="s">
        <v>867</v>
      </c>
      <c r="J44" s="1002" t="s">
        <v>386</v>
      </c>
      <c r="K44" s="1002" t="s">
        <v>387</v>
      </c>
      <c r="L44" s="1002" t="s">
        <v>113</v>
      </c>
      <c r="M44" s="1086">
        <v>12</v>
      </c>
      <c r="N44" s="1083">
        <v>847222.22</v>
      </c>
      <c r="O44" s="1082">
        <f>M44*N44</f>
        <v>10166666.640000001</v>
      </c>
      <c r="P44" s="1082">
        <f>O44*8%</f>
        <v>813333.33120000002</v>
      </c>
      <c r="Q44" s="1082">
        <f>O44+P44</f>
        <v>10979999.9712</v>
      </c>
      <c r="R44" s="1083"/>
      <c r="S44" s="1083"/>
      <c r="T44" s="1083"/>
      <c r="U44" s="1083"/>
      <c r="V44" s="1083">
        <f t="shared" si="3"/>
        <v>10979999.9712</v>
      </c>
    </row>
    <row r="45" spans="1:22" s="1002" customFormat="1" hidden="1">
      <c r="A45" s="1004" t="s">
        <v>934</v>
      </c>
      <c r="B45" s="1001" t="s">
        <v>865</v>
      </c>
      <c r="C45" s="1066" t="s">
        <v>554</v>
      </c>
      <c r="D45" s="1066"/>
      <c r="F45" s="1078">
        <v>46297</v>
      </c>
      <c r="H45" s="1085" t="s">
        <v>559</v>
      </c>
      <c r="I45" s="1002" t="s">
        <v>867</v>
      </c>
      <c r="J45" s="1002" t="s">
        <v>60</v>
      </c>
      <c r="K45" s="1002" t="s">
        <v>61</v>
      </c>
      <c r="L45" s="1002" t="s">
        <v>113</v>
      </c>
      <c r="M45" s="1086">
        <v>8</v>
      </c>
      <c r="N45" s="1083">
        <v>1138888.8799999999</v>
      </c>
      <c r="O45" s="1082">
        <f t="shared" si="4"/>
        <v>9111111.0399999991</v>
      </c>
      <c r="P45" s="1082">
        <f t="shared" si="5"/>
        <v>728888.88319999992</v>
      </c>
      <c r="Q45" s="1082">
        <f t="shared" si="6"/>
        <v>9839999.9231999982</v>
      </c>
      <c r="R45" s="1083"/>
      <c r="S45" s="1083"/>
      <c r="T45" s="1083"/>
      <c r="U45" s="1083"/>
      <c r="V45" s="1083">
        <f t="shared" si="3"/>
        <v>9839999.9231999982</v>
      </c>
    </row>
    <row r="46" spans="1:22" s="1002" customFormat="1" hidden="1">
      <c r="A46" s="1004" t="s">
        <v>934</v>
      </c>
      <c r="B46" s="1001" t="s">
        <v>865</v>
      </c>
      <c r="C46" s="1066" t="s">
        <v>554</v>
      </c>
      <c r="D46" s="1066"/>
      <c r="F46" s="1078">
        <v>46297</v>
      </c>
      <c r="H46" s="1085" t="s">
        <v>559</v>
      </c>
      <c r="I46" s="1002" t="s">
        <v>867</v>
      </c>
      <c r="J46" s="1002" t="s">
        <v>16</v>
      </c>
      <c r="K46" s="1002" t="s">
        <v>17</v>
      </c>
      <c r="L46" s="1002" t="s">
        <v>113</v>
      </c>
      <c r="M46" s="1086">
        <v>8</v>
      </c>
      <c r="N46" s="1083">
        <v>851851.75</v>
      </c>
      <c r="O46" s="1082">
        <f t="shared" si="4"/>
        <v>6814814</v>
      </c>
      <c r="P46" s="1082">
        <f t="shared" si="5"/>
        <v>545185.12</v>
      </c>
      <c r="Q46" s="1082">
        <f t="shared" si="6"/>
        <v>7359999.1200000001</v>
      </c>
      <c r="R46" s="1083"/>
      <c r="S46" s="1083"/>
      <c r="T46" s="1083"/>
      <c r="U46" s="1083"/>
      <c r="V46" s="1083">
        <f t="shared" si="3"/>
        <v>7359999.1200000001</v>
      </c>
    </row>
    <row r="47" spans="1:22" s="1002" customFormat="1" hidden="1">
      <c r="A47" s="1004" t="s">
        <v>934</v>
      </c>
      <c r="B47" s="1001" t="s">
        <v>865</v>
      </c>
      <c r="C47" s="1066" t="s">
        <v>554</v>
      </c>
      <c r="D47" s="1066"/>
      <c r="F47" s="1078" t="s">
        <v>152</v>
      </c>
      <c r="H47" s="1085" t="s">
        <v>560</v>
      </c>
      <c r="I47" s="1002" t="s">
        <v>867</v>
      </c>
      <c r="J47" s="1002" t="s">
        <v>54</v>
      </c>
      <c r="K47" s="1002" t="s">
        <v>229</v>
      </c>
      <c r="L47" s="1002" t="s">
        <v>113</v>
      </c>
      <c r="M47" s="1086">
        <v>12</v>
      </c>
      <c r="N47" s="1083">
        <v>324074.07</v>
      </c>
      <c r="O47" s="1082">
        <f t="shared" si="4"/>
        <v>3888888.84</v>
      </c>
      <c r="P47" s="1082">
        <f t="shared" si="5"/>
        <v>311111.10719999997</v>
      </c>
      <c r="Q47" s="1082">
        <f t="shared" si="6"/>
        <v>4199999.9472000003</v>
      </c>
      <c r="R47" s="1083"/>
      <c r="S47" s="1083"/>
      <c r="T47" s="1083"/>
      <c r="U47" s="1083"/>
      <c r="V47" s="1083">
        <f t="shared" si="3"/>
        <v>4199999.9472000003</v>
      </c>
    </row>
    <row r="48" spans="1:22" s="1002" customFormat="1" hidden="1">
      <c r="A48" s="1004" t="s">
        <v>934</v>
      </c>
      <c r="B48" s="1001" t="s">
        <v>865</v>
      </c>
      <c r="C48" s="1066" t="s">
        <v>554</v>
      </c>
      <c r="D48" s="1066"/>
      <c r="F48" s="1078" t="s">
        <v>152</v>
      </c>
      <c r="H48" s="1085" t="s">
        <v>560</v>
      </c>
      <c r="I48" s="1002" t="s">
        <v>867</v>
      </c>
      <c r="J48" s="1002" t="s">
        <v>56</v>
      </c>
      <c r="K48" s="1002" t="s">
        <v>57</v>
      </c>
      <c r="L48" s="1002" t="s">
        <v>113</v>
      </c>
      <c r="M48" s="1086">
        <v>12</v>
      </c>
      <c r="N48" s="1083">
        <v>325925.92</v>
      </c>
      <c r="O48" s="1082">
        <f t="shared" si="4"/>
        <v>3911111.04</v>
      </c>
      <c r="P48" s="1082">
        <f t="shared" si="5"/>
        <v>312888.88319999998</v>
      </c>
      <c r="Q48" s="1082">
        <f t="shared" si="6"/>
        <v>4223999.9232000001</v>
      </c>
      <c r="R48" s="1083"/>
      <c r="S48" s="1083"/>
      <c r="T48" s="1083"/>
      <c r="U48" s="1083"/>
      <c r="V48" s="1083">
        <f t="shared" si="3"/>
        <v>4223999.9232000001</v>
      </c>
    </row>
    <row r="49" spans="1:22" s="1002" customFormat="1" hidden="1">
      <c r="A49" s="1004" t="s">
        <v>934</v>
      </c>
      <c r="B49" s="1001" t="s">
        <v>865</v>
      </c>
      <c r="C49" s="1066" t="s">
        <v>554</v>
      </c>
      <c r="D49" s="1066"/>
      <c r="F49" s="1078" t="s">
        <v>152</v>
      </c>
      <c r="H49" s="1085" t="s">
        <v>560</v>
      </c>
      <c r="I49" s="1002" t="s">
        <v>867</v>
      </c>
      <c r="J49" s="1002" t="s">
        <v>107</v>
      </c>
      <c r="K49" s="1002" t="s">
        <v>108</v>
      </c>
      <c r="L49" s="1002" t="s">
        <v>113</v>
      </c>
      <c r="M49" s="1086">
        <v>12</v>
      </c>
      <c r="N49" s="1083">
        <v>349074.07</v>
      </c>
      <c r="O49" s="1082">
        <f t="shared" si="4"/>
        <v>4188888.84</v>
      </c>
      <c r="P49" s="1082">
        <f t="shared" si="5"/>
        <v>335111.10719999997</v>
      </c>
      <c r="Q49" s="1082">
        <f t="shared" si="6"/>
        <v>4523999.9472000003</v>
      </c>
      <c r="R49" s="1083"/>
      <c r="S49" s="1083"/>
      <c r="T49" s="1083"/>
      <c r="U49" s="1083"/>
      <c r="V49" s="1083">
        <f t="shared" si="3"/>
        <v>4523999.9472000003</v>
      </c>
    </row>
    <row r="50" spans="1:22" s="1002" customFormat="1" hidden="1">
      <c r="A50" s="1004" t="s">
        <v>934</v>
      </c>
      <c r="B50" s="1001" t="s">
        <v>865</v>
      </c>
      <c r="C50" s="1066" t="s">
        <v>554</v>
      </c>
      <c r="D50" s="1066"/>
      <c r="F50" s="1078" t="s">
        <v>152</v>
      </c>
      <c r="H50" s="1085" t="s">
        <v>560</v>
      </c>
      <c r="I50" s="1002" t="s">
        <v>867</v>
      </c>
      <c r="J50" s="1002" t="s">
        <v>127</v>
      </c>
      <c r="K50" s="1002" t="s">
        <v>128</v>
      </c>
      <c r="L50" s="1002" t="s">
        <v>113</v>
      </c>
      <c r="M50" s="1086">
        <v>12</v>
      </c>
      <c r="N50" s="1083">
        <v>284259.25</v>
      </c>
      <c r="O50" s="1082">
        <f t="shared" si="4"/>
        <v>3411111</v>
      </c>
      <c r="P50" s="1082">
        <f t="shared" si="5"/>
        <v>272888.88</v>
      </c>
      <c r="Q50" s="1082">
        <f t="shared" si="6"/>
        <v>3683999.88</v>
      </c>
      <c r="R50" s="1083"/>
      <c r="S50" s="1083"/>
      <c r="T50" s="1083"/>
      <c r="U50" s="1083"/>
      <c r="V50" s="1083">
        <f t="shared" si="3"/>
        <v>3683999.88</v>
      </c>
    </row>
    <row r="51" spans="1:22" s="1002" customFormat="1" hidden="1">
      <c r="A51" s="1004" t="s">
        <v>934</v>
      </c>
      <c r="B51" s="1001" t="s">
        <v>865</v>
      </c>
      <c r="C51" s="1066" t="s">
        <v>554</v>
      </c>
      <c r="D51" s="1066"/>
      <c r="F51" s="1078" t="s">
        <v>152</v>
      </c>
      <c r="H51" s="1085" t="s">
        <v>560</v>
      </c>
      <c r="I51" s="1002" t="s">
        <v>867</v>
      </c>
      <c r="J51" s="1002" t="s">
        <v>130</v>
      </c>
      <c r="K51" s="1002" t="s">
        <v>131</v>
      </c>
      <c r="L51" s="1002" t="s">
        <v>113</v>
      </c>
      <c r="M51" s="1086">
        <v>12</v>
      </c>
      <c r="N51" s="1083">
        <v>280555.55</v>
      </c>
      <c r="O51" s="1082">
        <f t="shared" si="4"/>
        <v>3366666.5999999996</v>
      </c>
      <c r="P51" s="1082">
        <f t="shared" si="5"/>
        <v>269333.32799999998</v>
      </c>
      <c r="Q51" s="1082">
        <f t="shared" si="6"/>
        <v>3635999.9279999994</v>
      </c>
      <c r="R51" s="1083"/>
      <c r="S51" s="1083"/>
      <c r="T51" s="1083"/>
      <c r="U51" s="1083"/>
      <c r="V51" s="1083">
        <f t="shared" si="3"/>
        <v>3635999.9279999994</v>
      </c>
    </row>
    <row r="52" spans="1:22" s="1002" customFormat="1" hidden="1">
      <c r="A52" s="1004" t="s">
        <v>934</v>
      </c>
      <c r="B52" s="1001" t="s">
        <v>865</v>
      </c>
      <c r="C52" s="1066" t="s">
        <v>554</v>
      </c>
      <c r="D52" s="1066"/>
      <c r="F52" s="1078" t="s">
        <v>152</v>
      </c>
      <c r="H52" s="1085" t="s">
        <v>560</v>
      </c>
      <c r="I52" s="1002" t="s">
        <v>867</v>
      </c>
      <c r="J52" s="1002" t="s">
        <v>219</v>
      </c>
      <c r="K52" s="1002" t="s">
        <v>483</v>
      </c>
      <c r="L52" s="1002" t="s">
        <v>113</v>
      </c>
      <c r="M52" s="1086">
        <v>12</v>
      </c>
      <c r="N52" s="1083">
        <v>263888.88</v>
      </c>
      <c r="O52" s="1082">
        <f t="shared" si="4"/>
        <v>3166666.56</v>
      </c>
      <c r="P52" s="1082">
        <f t="shared" si="5"/>
        <v>253333.3248</v>
      </c>
      <c r="Q52" s="1082">
        <f t="shared" si="6"/>
        <v>3419999.8848000001</v>
      </c>
      <c r="R52" s="1083"/>
      <c r="S52" s="1083"/>
      <c r="T52" s="1083"/>
      <c r="U52" s="1083"/>
      <c r="V52" s="1083">
        <f t="shared" si="3"/>
        <v>3419999.8848000001</v>
      </c>
    </row>
    <row r="53" spans="1:22" s="1002" customFormat="1" hidden="1">
      <c r="A53" s="1004" t="s">
        <v>934</v>
      </c>
      <c r="B53" s="1001" t="s">
        <v>865</v>
      </c>
      <c r="C53" s="1076" t="s">
        <v>554</v>
      </c>
      <c r="D53" s="1076"/>
      <c r="F53" s="1078">
        <v>46240</v>
      </c>
      <c r="H53" s="1085" t="s">
        <v>561</v>
      </c>
      <c r="I53" s="1002" t="s">
        <v>867</v>
      </c>
      <c r="J53" s="1002" t="s">
        <v>386</v>
      </c>
      <c r="K53" s="1002" t="s">
        <v>387</v>
      </c>
      <c r="L53" s="1002" t="s">
        <v>113</v>
      </c>
      <c r="M53" s="1086">
        <v>12</v>
      </c>
      <c r="N53" s="1083">
        <v>847222.22</v>
      </c>
      <c r="O53" s="1082">
        <f t="shared" si="4"/>
        <v>10166666.640000001</v>
      </c>
      <c r="P53" s="1082">
        <f t="shared" si="5"/>
        <v>813333.33120000002</v>
      </c>
      <c r="Q53" s="1082">
        <f t="shared" si="6"/>
        <v>10979999.9712</v>
      </c>
      <c r="R53" s="1083"/>
      <c r="S53" s="1083"/>
      <c r="T53" s="1083"/>
      <c r="U53" s="1083"/>
      <c r="V53" s="1083">
        <f t="shared" si="3"/>
        <v>10979999.9712</v>
      </c>
    </row>
    <row r="54" spans="1:22" s="1002" customFormat="1" hidden="1">
      <c r="A54" s="1004" t="s">
        <v>934</v>
      </c>
      <c r="B54" s="1001" t="s">
        <v>865</v>
      </c>
      <c r="C54" s="1076" t="s">
        <v>554</v>
      </c>
      <c r="D54" s="1076"/>
      <c r="F54" s="1078">
        <v>46240</v>
      </c>
      <c r="H54" s="1085" t="s">
        <v>561</v>
      </c>
      <c r="I54" s="1002" t="s">
        <v>867</v>
      </c>
      <c r="J54" s="1002" t="s">
        <v>74</v>
      </c>
      <c r="K54" s="1002" t="s">
        <v>141</v>
      </c>
      <c r="L54" s="1002" t="s">
        <v>113</v>
      </c>
      <c r="M54" s="1086">
        <v>16</v>
      </c>
      <c r="N54" s="1083">
        <v>361111.11</v>
      </c>
      <c r="O54" s="1082">
        <f t="shared" si="4"/>
        <v>5777777.7599999998</v>
      </c>
      <c r="P54" s="1082">
        <f t="shared" si="5"/>
        <v>462222.22080000001</v>
      </c>
      <c r="Q54" s="1082">
        <f t="shared" si="6"/>
        <v>6239999.9808</v>
      </c>
      <c r="R54" s="1083"/>
      <c r="S54" s="1083"/>
      <c r="T54" s="1083"/>
      <c r="U54" s="1083"/>
      <c r="V54" s="1083">
        <f t="shared" si="3"/>
        <v>6239999.9808</v>
      </c>
    </row>
    <row r="55" spans="1:22" s="1002" customFormat="1" hidden="1">
      <c r="A55" s="1004" t="s">
        <v>934</v>
      </c>
      <c r="B55" s="1001" t="s">
        <v>865</v>
      </c>
      <c r="C55" s="1076" t="s">
        <v>554</v>
      </c>
      <c r="D55" s="1076"/>
      <c r="F55" s="1078">
        <v>46240</v>
      </c>
      <c r="H55" s="1085" t="s">
        <v>561</v>
      </c>
      <c r="I55" s="1002" t="s">
        <v>867</v>
      </c>
      <c r="J55" s="1002" t="s">
        <v>279</v>
      </c>
      <c r="K55" s="1002" t="s">
        <v>280</v>
      </c>
      <c r="L55" s="1002" t="s">
        <v>113</v>
      </c>
      <c r="M55" s="1086">
        <v>10</v>
      </c>
      <c r="N55" s="1083">
        <v>387962.96</v>
      </c>
      <c r="O55" s="1082">
        <f t="shared" si="4"/>
        <v>3879629.6</v>
      </c>
      <c r="P55" s="1082">
        <f t="shared" si="5"/>
        <v>310370.36800000002</v>
      </c>
      <c r="Q55" s="1082">
        <f t="shared" si="6"/>
        <v>4189999.9680000003</v>
      </c>
      <c r="R55" s="1083"/>
      <c r="S55" s="1083"/>
      <c r="T55" s="1083"/>
      <c r="U55" s="1083"/>
      <c r="V55" s="1083">
        <f t="shared" si="3"/>
        <v>4189999.9680000003</v>
      </c>
    </row>
    <row r="56" spans="1:22" s="1002" customFormat="1" hidden="1">
      <c r="A56" s="1004" t="s">
        <v>934</v>
      </c>
      <c r="B56" s="1001" t="s">
        <v>865</v>
      </c>
      <c r="C56" s="1076" t="s">
        <v>554</v>
      </c>
      <c r="D56" s="1076"/>
      <c r="F56" s="1078">
        <v>46240</v>
      </c>
      <c r="H56" s="1085" t="s">
        <v>561</v>
      </c>
      <c r="I56" s="1002" t="s">
        <v>867</v>
      </c>
      <c r="J56" s="1002" t="s">
        <v>258</v>
      </c>
      <c r="K56" s="1002" t="s">
        <v>259</v>
      </c>
      <c r="L56" s="1002" t="s">
        <v>113</v>
      </c>
      <c r="M56" s="1086">
        <v>10</v>
      </c>
      <c r="N56" s="1083">
        <v>472222.22</v>
      </c>
      <c r="O56" s="1082">
        <f t="shared" si="4"/>
        <v>4722222.1999999993</v>
      </c>
      <c r="P56" s="1082">
        <f t="shared" si="5"/>
        <v>377777.77599999995</v>
      </c>
      <c r="Q56" s="1082">
        <f t="shared" si="6"/>
        <v>5099999.9759999989</v>
      </c>
      <c r="R56" s="1083"/>
      <c r="S56" s="1083"/>
      <c r="T56" s="1083"/>
      <c r="U56" s="1083"/>
      <c r="V56" s="1083">
        <f t="shared" si="3"/>
        <v>5099999.9759999989</v>
      </c>
    </row>
    <row r="57" spans="1:22" s="1002" customFormat="1" hidden="1">
      <c r="A57" s="1004" t="s">
        <v>934</v>
      </c>
      <c r="B57" s="1001" t="s">
        <v>865</v>
      </c>
      <c r="C57" s="1076" t="s">
        <v>554</v>
      </c>
      <c r="D57" s="1076"/>
      <c r="F57" s="1078">
        <v>46240</v>
      </c>
      <c r="H57" s="1085" t="s">
        <v>561</v>
      </c>
      <c r="I57" s="1002" t="s">
        <v>867</v>
      </c>
      <c r="J57" s="1002" t="s">
        <v>260</v>
      </c>
      <c r="K57" s="1002" t="s">
        <v>261</v>
      </c>
      <c r="L57" s="1002" t="s">
        <v>412</v>
      </c>
      <c r="M57" s="1086">
        <v>10</v>
      </c>
      <c r="N57" s="1083">
        <v>492592.6</v>
      </c>
      <c r="O57" s="1082">
        <f t="shared" si="4"/>
        <v>4925926</v>
      </c>
      <c r="P57" s="1082">
        <f t="shared" si="5"/>
        <v>394074.08</v>
      </c>
      <c r="Q57" s="1082">
        <f t="shared" si="6"/>
        <v>5320000.08</v>
      </c>
      <c r="R57" s="1083"/>
      <c r="S57" s="1083"/>
      <c r="T57" s="1083"/>
      <c r="U57" s="1083"/>
      <c r="V57" s="1083">
        <f t="shared" si="3"/>
        <v>5320000.08</v>
      </c>
    </row>
    <row r="58" spans="1:22" s="1002" customFormat="1" hidden="1">
      <c r="A58" s="1004" t="s">
        <v>934</v>
      </c>
      <c r="B58" s="1001" t="s">
        <v>865</v>
      </c>
      <c r="C58" s="1087">
        <v>46328</v>
      </c>
      <c r="D58" s="1087"/>
      <c r="F58" s="1078"/>
      <c r="H58" s="1085" t="s">
        <v>562</v>
      </c>
      <c r="I58" s="1006" t="s">
        <v>563</v>
      </c>
      <c r="J58" s="1002" t="s">
        <v>386</v>
      </c>
      <c r="K58" s="1002" t="s">
        <v>387</v>
      </c>
      <c r="L58" s="1002" t="s">
        <v>113</v>
      </c>
      <c r="M58" s="1086">
        <v>-12</v>
      </c>
      <c r="N58" s="1083">
        <v>847222.22</v>
      </c>
      <c r="O58" s="1082">
        <f t="shared" si="4"/>
        <v>-10166666.640000001</v>
      </c>
      <c r="P58" s="1082">
        <f t="shared" si="5"/>
        <v>-813333.33120000002</v>
      </c>
      <c r="Q58" s="1082">
        <f t="shared" si="6"/>
        <v>-10979999.9712</v>
      </c>
      <c r="R58" s="1083"/>
      <c r="S58" s="1083"/>
      <c r="T58" s="1083"/>
      <c r="U58" s="1083"/>
      <c r="V58" s="1083">
        <f t="shared" si="3"/>
        <v>-10979999.9712</v>
      </c>
    </row>
    <row r="59" spans="1:22" s="1002" customFormat="1" hidden="1">
      <c r="A59" s="1004" t="s">
        <v>934</v>
      </c>
      <c r="B59" s="1001" t="s">
        <v>865</v>
      </c>
      <c r="C59" s="1076">
        <v>46148</v>
      </c>
      <c r="D59" s="1076"/>
      <c r="F59" s="1078">
        <v>46240</v>
      </c>
      <c r="H59" s="1085" t="s">
        <v>561</v>
      </c>
      <c r="I59" s="1002" t="s">
        <v>867</v>
      </c>
      <c r="J59" s="1002" t="s">
        <v>204</v>
      </c>
      <c r="K59" s="1002" t="s">
        <v>269</v>
      </c>
      <c r="L59" s="1002" t="s">
        <v>25</v>
      </c>
      <c r="M59" s="1086">
        <v>16</v>
      </c>
      <c r="N59" s="1083">
        <v>480555.55</v>
      </c>
      <c r="O59" s="1082">
        <f>M59*N59</f>
        <v>7688888.7999999998</v>
      </c>
      <c r="P59" s="1082">
        <f>O59*8%</f>
        <v>615111.10400000005</v>
      </c>
      <c r="Q59" s="1082">
        <f t="shared" si="6"/>
        <v>8303999.9040000001</v>
      </c>
      <c r="R59" s="1083"/>
      <c r="S59" s="1083"/>
      <c r="T59" s="1083"/>
      <c r="U59" s="1083"/>
      <c r="V59" s="1083">
        <f t="shared" si="3"/>
        <v>8303999.9040000001</v>
      </c>
    </row>
    <row r="60" spans="1:22" s="1002" customFormat="1" hidden="1">
      <c r="A60" s="1004" t="s">
        <v>934</v>
      </c>
      <c r="B60" s="1001" t="s">
        <v>865</v>
      </c>
      <c r="C60" s="1076">
        <v>46148</v>
      </c>
      <c r="D60" s="1076"/>
      <c r="F60" s="1078">
        <v>46240</v>
      </c>
      <c r="H60" s="1085" t="s">
        <v>561</v>
      </c>
      <c r="I60" s="1002" t="s">
        <v>867</v>
      </c>
      <c r="J60" s="1002" t="s">
        <v>557</v>
      </c>
      <c r="K60" s="1005" t="s">
        <v>209</v>
      </c>
      <c r="L60" s="1002" t="s">
        <v>25</v>
      </c>
      <c r="M60" s="1086">
        <v>16</v>
      </c>
      <c r="N60" s="1083">
        <v>647222.22</v>
      </c>
      <c r="O60" s="1082">
        <f>M60*N60</f>
        <v>10355555.52</v>
      </c>
      <c r="P60" s="1082">
        <f>O60*8%</f>
        <v>828444.44160000002</v>
      </c>
      <c r="Q60" s="1082">
        <f t="shared" si="6"/>
        <v>11183999.9616</v>
      </c>
      <c r="R60" s="1083"/>
      <c r="S60" s="1083"/>
      <c r="T60" s="1083"/>
      <c r="U60" s="1083"/>
      <c r="V60" s="1083">
        <f t="shared" si="3"/>
        <v>11183999.9616</v>
      </c>
    </row>
    <row r="61" spans="1:22" s="1002" customFormat="1" hidden="1">
      <c r="A61" s="1004" t="s">
        <v>934</v>
      </c>
      <c r="B61" s="1001" t="s">
        <v>865</v>
      </c>
      <c r="C61" s="1076">
        <v>46148</v>
      </c>
      <c r="D61" s="1076"/>
      <c r="F61" s="1078">
        <v>46240</v>
      </c>
      <c r="H61" s="1085" t="s">
        <v>561</v>
      </c>
      <c r="I61" s="1002" t="s">
        <v>867</v>
      </c>
      <c r="J61" s="1002" t="s">
        <v>77</v>
      </c>
      <c r="K61" s="1002" t="s">
        <v>78</v>
      </c>
      <c r="L61" s="1002" t="s">
        <v>25</v>
      </c>
      <c r="M61" s="1086">
        <v>12</v>
      </c>
      <c r="N61" s="1083">
        <v>324074.07</v>
      </c>
      <c r="O61" s="1082">
        <f>M61*N61</f>
        <v>3888888.84</v>
      </c>
      <c r="P61" s="1082">
        <f>O61*8%</f>
        <v>311111.10719999997</v>
      </c>
      <c r="Q61" s="1082">
        <f t="shared" si="6"/>
        <v>4199999.9472000003</v>
      </c>
      <c r="R61" s="1083"/>
      <c r="S61" s="1083"/>
      <c r="T61" s="1083"/>
      <c r="U61" s="1083"/>
      <c r="V61" s="1083">
        <f t="shared" si="3"/>
        <v>4199999.9472000003</v>
      </c>
    </row>
    <row r="62" spans="1:22" s="1002" customFormat="1" hidden="1">
      <c r="A62" s="1004" t="s">
        <v>934</v>
      </c>
      <c r="B62" s="1001" t="s">
        <v>865</v>
      </c>
      <c r="C62" s="1076">
        <v>46148</v>
      </c>
      <c r="D62" s="1076"/>
      <c r="F62" s="1078">
        <v>46240</v>
      </c>
      <c r="H62" s="1085" t="s">
        <v>561</v>
      </c>
      <c r="I62" s="1002" t="s">
        <v>867</v>
      </c>
      <c r="J62" s="1002" t="s">
        <v>262</v>
      </c>
      <c r="K62" s="1002" t="s">
        <v>564</v>
      </c>
      <c r="L62" s="1002" t="s">
        <v>25</v>
      </c>
      <c r="M62" s="1086">
        <v>10</v>
      </c>
      <c r="N62" s="1083">
        <v>851851.85</v>
      </c>
      <c r="O62" s="1082">
        <f>M62*N62</f>
        <v>8518518.5</v>
      </c>
      <c r="P62" s="1082">
        <f>O62*8%</f>
        <v>681481.48</v>
      </c>
      <c r="Q62" s="1082">
        <f t="shared" si="6"/>
        <v>9199999.9800000004</v>
      </c>
      <c r="R62" s="1083"/>
      <c r="S62" s="1083"/>
      <c r="T62" s="1083"/>
      <c r="U62" s="1083"/>
      <c r="V62" s="1083">
        <f t="shared" si="3"/>
        <v>9199999.9800000004</v>
      </c>
    </row>
    <row r="63" spans="1:22" s="1002" customFormat="1" hidden="1">
      <c r="A63" s="1004" t="s">
        <v>934</v>
      </c>
      <c r="B63" s="1001" t="s">
        <v>865</v>
      </c>
      <c r="C63" s="1076">
        <v>46148</v>
      </c>
      <c r="D63" s="1076"/>
      <c r="F63" s="1078">
        <v>46240</v>
      </c>
      <c r="H63" s="1085" t="s">
        <v>561</v>
      </c>
      <c r="I63" s="1002" t="s">
        <v>867</v>
      </c>
      <c r="J63" s="1002" t="s">
        <v>74</v>
      </c>
      <c r="K63" s="1002" t="s">
        <v>141</v>
      </c>
      <c r="L63" s="1002" t="s">
        <v>113</v>
      </c>
      <c r="M63" s="1086">
        <v>16</v>
      </c>
      <c r="N63" s="1083">
        <v>382777.78</v>
      </c>
      <c r="O63" s="1082">
        <f t="shared" ref="O63:O80" si="7">M63*N63</f>
        <v>6124444.4800000004</v>
      </c>
      <c r="P63" s="1082">
        <f t="shared" ref="P63:P80" si="8">O63*8%</f>
        <v>489955.55840000004</v>
      </c>
      <c r="Q63" s="1082">
        <f t="shared" si="6"/>
        <v>6614400.0384000009</v>
      </c>
      <c r="R63" s="1083"/>
      <c r="S63" s="1083"/>
      <c r="T63" s="1083"/>
      <c r="U63" s="1083"/>
      <c r="V63" s="1083">
        <f t="shared" si="3"/>
        <v>6614400.0384000009</v>
      </c>
    </row>
    <row r="64" spans="1:22" s="1002" customFormat="1" hidden="1">
      <c r="A64" s="1004" t="s">
        <v>934</v>
      </c>
      <c r="B64" s="1001" t="s">
        <v>865</v>
      </c>
      <c r="C64" s="1076">
        <v>46148</v>
      </c>
      <c r="D64" s="1076"/>
      <c r="F64" s="1078"/>
      <c r="H64" s="1085"/>
      <c r="I64" s="1002" t="s">
        <v>867</v>
      </c>
      <c r="J64" s="1002" t="s">
        <v>85</v>
      </c>
      <c r="K64" s="1002" t="s">
        <v>86</v>
      </c>
      <c r="L64" s="1002" t="s">
        <v>113</v>
      </c>
      <c r="M64" s="1086">
        <v>100</v>
      </c>
      <c r="N64" s="1083">
        <v>509259.26</v>
      </c>
      <c r="O64" s="1082">
        <f t="shared" si="7"/>
        <v>50925926</v>
      </c>
      <c r="P64" s="1082">
        <f t="shared" si="8"/>
        <v>4074074.08</v>
      </c>
      <c r="Q64" s="1082">
        <f t="shared" si="6"/>
        <v>55000000.079999998</v>
      </c>
      <c r="R64" s="1083"/>
      <c r="S64" s="1083"/>
      <c r="T64" s="1083"/>
      <c r="U64" s="1083"/>
      <c r="V64" s="1083">
        <f t="shared" si="3"/>
        <v>55000000.079999998</v>
      </c>
    </row>
    <row r="65" spans="1:22" s="1002" customFormat="1" hidden="1">
      <c r="A65" s="1004" t="s">
        <v>934</v>
      </c>
      <c r="B65" s="1001" t="s">
        <v>865</v>
      </c>
      <c r="C65" s="1076" t="s">
        <v>405</v>
      </c>
      <c r="D65" s="1076"/>
      <c r="F65" s="1078"/>
      <c r="H65" s="1085"/>
      <c r="I65" s="1002" t="s">
        <v>867</v>
      </c>
      <c r="J65" s="1002" t="s">
        <v>90</v>
      </c>
      <c r="K65" s="1002" t="s">
        <v>91</v>
      </c>
      <c r="L65" s="1002" t="s">
        <v>92</v>
      </c>
      <c r="M65" s="1086">
        <v>40</v>
      </c>
      <c r="N65" s="1083">
        <v>814814.81</v>
      </c>
      <c r="O65" s="1082">
        <f t="shared" si="7"/>
        <v>32592592.400000002</v>
      </c>
      <c r="P65" s="1082">
        <f t="shared" si="8"/>
        <v>2607407.3920000005</v>
      </c>
      <c r="Q65" s="1082">
        <f t="shared" si="6"/>
        <v>35199999.792000003</v>
      </c>
      <c r="R65" s="1083"/>
      <c r="S65" s="1083"/>
      <c r="T65" s="1083"/>
      <c r="U65" s="1083"/>
      <c r="V65" s="1083">
        <f t="shared" si="3"/>
        <v>35199999.792000003</v>
      </c>
    </row>
    <row r="66" spans="1:22" s="1002" customFormat="1" hidden="1">
      <c r="A66" s="1004" t="s">
        <v>934</v>
      </c>
      <c r="B66" s="1001" t="s">
        <v>865</v>
      </c>
      <c r="C66" s="1076" t="s">
        <v>405</v>
      </c>
      <c r="D66" s="1076"/>
      <c r="F66" s="1078"/>
      <c r="H66" s="1085"/>
      <c r="I66" s="1002" t="s">
        <v>867</v>
      </c>
      <c r="J66" s="1002" t="s">
        <v>93</v>
      </c>
      <c r="K66" s="1002" t="s">
        <v>94</v>
      </c>
      <c r="L66" s="1002" t="s">
        <v>92</v>
      </c>
      <c r="M66" s="1086">
        <v>20</v>
      </c>
      <c r="N66" s="1083">
        <v>907407.41</v>
      </c>
      <c r="O66" s="1082">
        <f t="shared" si="7"/>
        <v>18148148.199999999</v>
      </c>
      <c r="P66" s="1082">
        <f t="shared" si="8"/>
        <v>1451851.8559999999</v>
      </c>
      <c r="Q66" s="1082">
        <f t="shared" si="6"/>
        <v>19600000.055999998</v>
      </c>
      <c r="R66" s="1083"/>
      <c r="S66" s="1083"/>
      <c r="T66" s="1083"/>
      <c r="U66" s="1083"/>
      <c r="V66" s="1083">
        <f t="shared" si="3"/>
        <v>19600000.055999998</v>
      </c>
    </row>
    <row r="67" spans="1:22" s="1002" customFormat="1" hidden="1">
      <c r="A67" s="1004" t="s">
        <v>934</v>
      </c>
      <c r="B67" s="1001" t="s">
        <v>865</v>
      </c>
      <c r="C67" s="1076" t="s">
        <v>565</v>
      </c>
      <c r="D67" s="1076"/>
      <c r="F67" s="1078"/>
      <c r="H67" s="1085"/>
      <c r="I67" s="1002" t="s">
        <v>867</v>
      </c>
      <c r="J67" s="1002" t="s">
        <v>566</v>
      </c>
      <c r="K67" s="1002" t="s">
        <v>567</v>
      </c>
      <c r="L67" s="1002" t="s">
        <v>18</v>
      </c>
      <c r="M67" s="1086">
        <v>50</v>
      </c>
      <c r="N67" s="1083">
        <v>574074.06999999995</v>
      </c>
      <c r="O67" s="1082">
        <f t="shared" si="7"/>
        <v>28703703.499999996</v>
      </c>
      <c r="P67" s="1082">
        <f t="shared" si="8"/>
        <v>2296296.2799999998</v>
      </c>
      <c r="Q67" s="1082">
        <f t="shared" si="6"/>
        <v>30999999.779999997</v>
      </c>
      <c r="R67" s="1083"/>
      <c r="S67" s="1083"/>
      <c r="T67" s="1083"/>
      <c r="U67" s="1083"/>
      <c r="V67" s="1083">
        <f t="shared" ref="V67:V133" si="9">Q67-R67-S67-T67-U67</f>
        <v>30999999.779999997</v>
      </c>
    </row>
    <row r="68" spans="1:22" s="1002" customFormat="1" hidden="1">
      <c r="A68" s="1004" t="s">
        <v>934</v>
      </c>
      <c r="B68" s="1001" t="s">
        <v>865</v>
      </c>
      <c r="C68" s="1076" t="s">
        <v>565</v>
      </c>
      <c r="D68" s="1076"/>
      <c r="F68" s="1078">
        <v>46029</v>
      </c>
      <c r="H68" s="1085" t="s">
        <v>568</v>
      </c>
      <c r="I68" s="1002" t="s">
        <v>867</v>
      </c>
      <c r="J68" s="1002" t="s">
        <v>98</v>
      </c>
      <c r="K68" s="1002" t="s">
        <v>251</v>
      </c>
      <c r="L68" s="1002" t="s">
        <v>18</v>
      </c>
      <c r="M68" s="1086">
        <v>50</v>
      </c>
      <c r="N68" s="1083">
        <v>694444.44</v>
      </c>
      <c r="O68" s="1082">
        <f t="shared" si="7"/>
        <v>34722222</v>
      </c>
      <c r="P68" s="1082">
        <f t="shared" si="8"/>
        <v>2777777.7600000002</v>
      </c>
      <c r="Q68" s="1082">
        <f t="shared" si="6"/>
        <v>37499999.759999998</v>
      </c>
      <c r="R68" s="1083"/>
      <c r="S68" s="1083"/>
      <c r="T68" s="1083"/>
      <c r="U68" s="1083"/>
      <c r="V68" s="1083">
        <f t="shared" si="9"/>
        <v>37499999.759999998</v>
      </c>
    </row>
    <row r="69" spans="1:22" s="1002" customFormat="1" hidden="1">
      <c r="A69" s="1004" t="s">
        <v>934</v>
      </c>
      <c r="B69" s="1001" t="s">
        <v>865</v>
      </c>
      <c r="C69" s="1088" t="s">
        <v>95</v>
      </c>
      <c r="D69" s="1088"/>
      <c r="F69" s="1078"/>
      <c r="H69" s="1085"/>
      <c r="I69" s="1002" t="s">
        <v>844</v>
      </c>
      <c r="M69" s="1086"/>
      <c r="N69" s="1083"/>
      <c r="O69" s="1082">
        <f t="shared" si="7"/>
        <v>0</v>
      </c>
      <c r="P69" s="1082">
        <f t="shared" si="8"/>
        <v>0</v>
      </c>
      <c r="Q69" s="1082">
        <f t="shared" si="6"/>
        <v>0</v>
      </c>
      <c r="R69" s="1083">
        <v>71332402</v>
      </c>
      <c r="S69" s="1083"/>
      <c r="T69" s="1083"/>
      <c r="U69" s="1083"/>
      <c r="V69" s="1083">
        <f t="shared" si="9"/>
        <v>-71332402</v>
      </c>
    </row>
    <row r="70" spans="1:22" s="1002" customFormat="1" hidden="1">
      <c r="A70" s="1004" t="s">
        <v>934</v>
      </c>
      <c r="B70" s="1001" t="s">
        <v>865</v>
      </c>
      <c r="C70" s="1076" t="s">
        <v>407</v>
      </c>
      <c r="D70" s="1076"/>
      <c r="F70" s="1078">
        <v>46029</v>
      </c>
      <c r="H70" s="1085" t="s">
        <v>568</v>
      </c>
      <c r="I70" s="1002" t="s">
        <v>867</v>
      </c>
      <c r="J70" s="1002" t="s">
        <v>161</v>
      </c>
      <c r="K70" s="1002" t="s">
        <v>162</v>
      </c>
      <c r="L70" s="1002" t="s">
        <v>18</v>
      </c>
      <c r="M70" s="1086">
        <v>36</v>
      </c>
      <c r="N70" s="1083">
        <v>231481.48</v>
      </c>
      <c r="O70" s="1082">
        <f t="shared" si="7"/>
        <v>8333333.2800000003</v>
      </c>
      <c r="P70" s="1082">
        <f t="shared" si="8"/>
        <v>666666.66240000003</v>
      </c>
      <c r="Q70" s="1082">
        <f t="shared" si="6"/>
        <v>8999999.942400001</v>
      </c>
      <c r="R70" s="1083"/>
      <c r="S70" s="1083"/>
      <c r="T70" s="1083"/>
      <c r="U70" s="1083"/>
      <c r="V70" s="1083">
        <f t="shared" si="9"/>
        <v>8999999.942400001</v>
      </c>
    </row>
    <row r="71" spans="1:22" s="1002" customFormat="1" hidden="1">
      <c r="A71" s="1004" t="s">
        <v>934</v>
      </c>
      <c r="B71" s="1001" t="s">
        <v>865</v>
      </c>
      <c r="C71" s="1076" t="s">
        <v>407</v>
      </c>
      <c r="D71" s="1076"/>
      <c r="F71" s="1078">
        <v>46029</v>
      </c>
      <c r="H71" s="1085" t="s">
        <v>568</v>
      </c>
      <c r="I71" s="1002" t="s">
        <v>867</v>
      </c>
      <c r="J71" s="1002" t="s">
        <v>163</v>
      </c>
      <c r="K71" s="1002" t="s">
        <v>164</v>
      </c>
      <c r="L71" s="1002" t="s">
        <v>18</v>
      </c>
      <c r="M71" s="1086">
        <v>40</v>
      </c>
      <c r="N71" s="1083">
        <v>185185.19</v>
      </c>
      <c r="O71" s="1082">
        <f t="shared" si="7"/>
        <v>7407407.5999999996</v>
      </c>
      <c r="P71" s="1082">
        <f t="shared" si="8"/>
        <v>592592.60800000001</v>
      </c>
      <c r="Q71" s="1082">
        <f t="shared" si="6"/>
        <v>8000000.2079999996</v>
      </c>
      <c r="R71" s="1083"/>
      <c r="S71" s="1083"/>
      <c r="T71" s="1083"/>
      <c r="U71" s="1083"/>
      <c r="V71" s="1083">
        <f t="shared" si="9"/>
        <v>8000000.2079999996</v>
      </c>
    </row>
    <row r="72" spans="1:22" s="1002" customFormat="1" hidden="1">
      <c r="A72" s="1004" t="s">
        <v>934</v>
      </c>
      <c r="B72" s="1001" t="s">
        <v>865</v>
      </c>
      <c r="C72" s="1076" t="s">
        <v>407</v>
      </c>
      <c r="D72" s="1076"/>
      <c r="F72" s="1078">
        <v>46029</v>
      </c>
      <c r="H72" s="1085" t="s">
        <v>568</v>
      </c>
      <c r="I72" s="1002" t="s">
        <v>867</v>
      </c>
      <c r="J72" s="1002" t="s">
        <v>165</v>
      </c>
      <c r="K72" s="1002" t="s">
        <v>409</v>
      </c>
      <c r="L72" s="1002" t="s">
        <v>18</v>
      </c>
      <c r="M72" s="1086">
        <v>60</v>
      </c>
      <c r="N72" s="1083">
        <v>203703.7</v>
      </c>
      <c r="O72" s="1082">
        <f t="shared" si="7"/>
        <v>12222222</v>
      </c>
      <c r="P72" s="1082">
        <f t="shared" si="8"/>
        <v>977777.76</v>
      </c>
      <c r="Q72" s="1082">
        <f t="shared" si="6"/>
        <v>13199999.76</v>
      </c>
      <c r="R72" s="1083"/>
      <c r="S72" s="1083"/>
      <c r="T72" s="1083"/>
      <c r="U72" s="1083"/>
      <c r="V72" s="1083">
        <f t="shared" si="9"/>
        <v>13199999.76</v>
      </c>
    </row>
    <row r="73" spans="1:22" s="1002" customFormat="1" hidden="1">
      <c r="A73" s="1004" t="s">
        <v>934</v>
      </c>
      <c r="B73" s="1001" t="s">
        <v>865</v>
      </c>
      <c r="C73" s="1076" t="s">
        <v>407</v>
      </c>
      <c r="D73" s="1076"/>
      <c r="F73" s="1078">
        <v>46029</v>
      </c>
      <c r="H73" s="1085" t="s">
        <v>568</v>
      </c>
      <c r="I73" s="1002" t="s">
        <v>867</v>
      </c>
      <c r="J73" s="1002" t="s">
        <v>167</v>
      </c>
      <c r="K73" s="1002" t="s">
        <v>410</v>
      </c>
      <c r="L73" s="1002" t="s">
        <v>18</v>
      </c>
      <c r="M73" s="1086">
        <v>60</v>
      </c>
      <c r="N73" s="1083">
        <v>231481.48</v>
      </c>
      <c r="O73" s="1082">
        <f t="shared" si="7"/>
        <v>13888888.800000001</v>
      </c>
      <c r="P73" s="1082">
        <f t="shared" si="8"/>
        <v>1111111.1040000001</v>
      </c>
      <c r="Q73" s="1082">
        <f t="shared" si="6"/>
        <v>14999999.904000001</v>
      </c>
      <c r="R73" s="1083"/>
      <c r="S73" s="1083"/>
      <c r="T73" s="1083"/>
      <c r="U73" s="1083"/>
      <c r="V73" s="1083">
        <f t="shared" si="9"/>
        <v>14999999.904000001</v>
      </c>
    </row>
    <row r="74" spans="1:22" s="1002" customFormat="1" hidden="1">
      <c r="A74" s="1004" t="s">
        <v>934</v>
      </c>
      <c r="B74" s="1001" t="s">
        <v>865</v>
      </c>
      <c r="C74" s="1076" t="s">
        <v>407</v>
      </c>
      <c r="D74" s="1076"/>
      <c r="F74" s="1078">
        <v>46029</v>
      </c>
      <c r="H74" s="1085" t="s">
        <v>568</v>
      </c>
      <c r="I74" s="1002" t="s">
        <v>867</v>
      </c>
      <c r="J74" s="1002" t="s">
        <v>169</v>
      </c>
      <c r="K74" s="1002" t="s">
        <v>170</v>
      </c>
      <c r="L74" s="1002" t="s">
        <v>18</v>
      </c>
      <c r="M74" s="1086">
        <v>40</v>
      </c>
      <c r="N74" s="1083">
        <v>425925.93</v>
      </c>
      <c r="O74" s="1082">
        <f t="shared" si="7"/>
        <v>17037037.199999999</v>
      </c>
      <c r="P74" s="1082">
        <f t="shared" si="8"/>
        <v>1362962.976</v>
      </c>
      <c r="Q74" s="1082">
        <f t="shared" si="6"/>
        <v>18400000.175999999</v>
      </c>
      <c r="R74" s="1083"/>
      <c r="S74" s="1083"/>
      <c r="T74" s="1083"/>
      <c r="U74" s="1083"/>
      <c r="V74" s="1083">
        <f t="shared" si="9"/>
        <v>18400000.175999999</v>
      </c>
    </row>
    <row r="75" spans="1:22" s="1002" customFormat="1" hidden="1">
      <c r="A75" s="1004" t="s">
        <v>934</v>
      </c>
      <c r="B75" s="1001" t="s">
        <v>865</v>
      </c>
      <c r="C75" s="1087" t="s">
        <v>570</v>
      </c>
      <c r="D75" s="1087"/>
      <c r="F75" s="1078">
        <v>46088</v>
      </c>
      <c r="H75" s="1085" t="s">
        <v>571</v>
      </c>
      <c r="I75" s="1002" t="s">
        <v>867</v>
      </c>
      <c r="J75" s="1002" t="s">
        <v>28</v>
      </c>
      <c r="K75" s="1002" t="s">
        <v>29</v>
      </c>
      <c r="L75" s="1002" t="s">
        <v>18</v>
      </c>
      <c r="M75" s="1086">
        <v>30</v>
      </c>
      <c r="N75" s="1083">
        <v>281481.48</v>
      </c>
      <c r="O75" s="1082">
        <f t="shared" si="7"/>
        <v>8444444.3999999985</v>
      </c>
      <c r="P75" s="1082">
        <f t="shared" si="8"/>
        <v>675555.55199999991</v>
      </c>
      <c r="Q75" s="1082">
        <f t="shared" si="6"/>
        <v>9119999.9519999977</v>
      </c>
      <c r="R75" s="1083"/>
      <c r="S75" s="1083"/>
      <c r="T75" s="1083"/>
      <c r="U75" s="1083"/>
      <c r="V75" s="1083">
        <f t="shared" si="9"/>
        <v>9119999.9519999977</v>
      </c>
    </row>
    <row r="76" spans="1:22" s="1002" customFormat="1" hidden="1">
      <c r="A76" s="1004" t="s">
        <v>934</v>
      </c>
      <c r="B76" s="1001" t="s">
        <v>865</v>
      </c>
      <c r="C76" s="1087" t="s">
        <v>570</v>
      </c>
      <c r="D76" s="1087"/>
      <c r="F76" s="1078">
        <v>46088</v>
      </c>
      <c r="H76" s="1085" t="s">
        <v>571</v>
      </c>
      <c r="I76" s="1002" t="s">
        <v>867</v>
      </c>
      <c r="J76" s="1002" t="s">
        <v>243</v>
      </c>
      <c r="K76" s="1002" t="s">
        <v>249</v>
      </c>
      <c r="L76" s="1002" t="s">
        <v>18</v>
      </c>
      <c r="M76" s="1086">
        <v>20</v>
      </c>
      <c r="N76" s="1083">
        <v>298148.15000000002</v>
      </c>
      <c r="O76" s="1082">
        <f t="shared" si="7"/>
        <v>5962963</v>
      </c>
      <c r="P76" s="1082">
        <f t="shared" si="8"/>
        <v>477037.04000000004</v>
      </c>
      <c r="Q76" s="1082">
        <f t="shared" si="6"/>
        <v>6440000.04</v>
      </c>
      <c r="R76" s="1083"/>
      <c r="S76" s="1083"/>
      <c r="T76" s="1083"/>
      <c r="U76" s="1083"/>
      <c r="V76" s="1083">
        <f t="shared" si="9"/>
        <v>6440000.04</v>
      </c>
    </row>
    <row r="77" spans="1:22" s="1002" customFormat="1" hidden="1">
      <c r="A77" s="1004" t="s">
        <v>934</v>
      </c>
      <c r="B77" s="1001" t="s">
        <v>865</v>
      </c>
      <c r="C77" s="1087" t="s">
        <v>570</v>
      </c>
      <c r="D77" s="1087"/>
      <c r="F77" s="1078">
        <v>46088</v>
      </c>
      <c r="H77" s="1085" t="s">
        <v>571</v>
      </c>
      <c r="I77" s="1002" t="s">
        <v>867</v>
      </c>
      <c r="J77" s="1002" t="s">
        <v>30</v>
      </c>
      <c r="K77" s="1002" t="s">
        <v>31</v>
      </c>
      <c r="L77" s="1002" t="s">
        <v>18</v>
      </c>
      <c r="M77" s="1086">
        <v>30</v>
      </c>
      <c r="N77" s="1083">
        <v>259259.25</v>
      </c>
      <c r="O77" s="1082">
        <f t="shared" si="7"/>
        <v>7777777.5</v>
      </c>
      <c r="P77" s="1082">
        <f t="shared" si="8"/>
        <v>622222.20000000007</v>
      </c>
      <c r="Q77" s="1082">
        <f t="shared" si="6"/>
        <v>8399999.6999999993</v>
      </c>
      <c r="R77" s="1083"/>
      <c r="S77" s="1083"/>
      <c r="T77" s="1083"/>
      <c r="U77" s="1083"/>
      <c r="V77" s="1083">
        <f t="shared" si="9"/>
        <v>8399999.6999999993</v>
      </c>
    </row>
    <row r="78" spans="1:22" s="1002" customFormat="1" hidden="1">
      <c r="A78" s="1004" t="s">
        <v>934</v>
      </c>
      <c r="B78" s="1001" t="s">
        <v>865</v>
      </c>
      <c r="C78" s="1087" t="s">
        <v>570</v>
      </c>
      <c r="D78" s="1087"/>
      <c r="F78" s="1078">
        <v>46088</v>
      </c>
      <c r="H78" s="1085" t="s">
        <v>571</v>
      </c>
      <c r="I78" s="1002" t="s">
        <v>867</v>
      </c>
      <c r="J78" s="1002" t="s">
        <v>301</v>
      </c>
      <c r="K78" s="1002" t="s">
        <v>361</v>
      </c>
      <c r="L78" s="1002" t="s">
        <v>18</v>
      </c>
      <c r="M78" s="1086">
        <v>30</v>
      </c>
      <c r="N78" s="1083">
        <v>268518.52</v>
      </c>
      <c r="O78" s="1082">
        <f t="shared" si="7"/>
        <v>8055555.6000000006</v>
      </c>
      <c r="P78" s="1082">
        <f t="shared" si="8"/>
        <v>644444.44800000009</v>
      </c>
      <c r="Q78" s="1082">
        <f t="shared" si="6"/>
        <v>8700000.0480000004</v>
      </c>
      <c r="R78" s="1083"/>
      <c r="S78" s="1083"/>
      <c r="T78" s="1083"/>
      <c r="U78" s="1083"/>
      <c r="V78" s="1083">
        <f t="shared" si="9"/>
        <v>8700000.0480000004</v>
      </c>
    </row>
    <row r="79" spans="1:22" s="1002" customFormat="1" hidden="1">
      <c r="A79" s="1004" t="s">
        <v>934</v>
      </c>
      <c r="B79" s="1001" t="s">
        <v>865</v>
      </c>
      <c r="C79" s="1087" t="s">
        <v>570</v>
      </c>
      <c r="D79" s="1087"/>
      <c r="F79" s="1078">
        <v>46088</v>
      </c>
      <c r="H79" s="1085" t="s">
        <v>571</v>
      </c>
      <c r="I79" s="1002" t="s">
        <v>867</v>
      </c>
      <c r="J79" s="1002" t="s">
        <v>36</v>
      </c>
      <c r="K79" s="1002" t="s">
        <v>37</v>
      </c>
      <c r="L79" s="1002" t="s">
        <v>18</v>
      </c>
      <c r="M79" s="1086">
        <v>40</v>
      </c>
      <c r="N79" s="1083">
        <v>259259.25</v>
      </c>
      <c r="O79" s="1082">
        <f t="shared" si="7"/>
        <v>10370370</v>
      </c>
      <c r="P79" s="1082">
        <f t="shared" si="8"/>
        <v>829629.6</v>
      </c>
      <c r="Q79" s="1082">
        <f t="shared" si="6"/>
        <v>11199999.6</v>
      </c>
      <c r="R79" s="1083"/>
      <c r="S79" s="1083"/>
      <c r="T79" s="1083"/>
      <c r="U79" s="1083"/>
      <c r="V79" s="1083">
        <f t="shared" si="9"/>
        <v>11199999.6</v>
      </c>
    </row>
    <row r="80" spans="1:22" s="1002" customFormat="1" hidden="1">
      <c r="A80" s="1004" t="s">
        <v>934</v>
      </c>
      <c r="B80" s="1001" t="s">
        <v>865</v>
      </c>
      <c r="C80" s="1087" t="s">
        <v>570</v>
      </c>
      <c r="D80" s="1087"/>
      <c r="F80" s="1078">
        <v>46088</v>
      </c>
      <c r="H80" s="1085" t="s">
        <v>571</v>
      </c>
      <c r="I80" s="1002" t="s">
        <v>867</v>
      </c>
      <c r="J80" s="1002" t="s">
        <v>38</v>
      </c>
      <c r="K80" s="1002" t="s">
        <v>39</v>
      </c>
      <c r="L80" s="1002" t="s">
        <v>18</v>
      </c>
      <c r="M80" s="1086">
        <v>20</v>
      </c>
      <c r="N80" s="1083">
        <v>277777.8</v>
      </c>
      <c r="O80" s="1082">
        <f t="shared" si="7"/>
        <v>5555556</v>
      </c>
      <c r="P80" s="1082">
        <f t="shared" si="8"/>
        <v>444444.48</v>
      </c>
      <c r="Q80" s="1082">
        <f t="shared" si="6"/>
        <v>6000000.4800000004</v>
      </c>
      <c r="R80" s="1083"/>
      <c r="S80" s="1083"/>
      <c r="T80" s="1083"/>
      <c r="U80" s="1083"/>
      <c r="V80" s="1083">
        <f t="shared" si="9"/>
        <v>6000000.4800000004</v>
      </c>
    </row>
    <row r="81" spans="1:22" s="1002" customFormat="1" hidden="1">
      <c r="A81" s="1004" t="s">
        <v>934</v>
      </c>
      <c r="B81" s="1001" t="s">
        <v>865</v>
      </c>
      <c r="C81" s="1087">
        <v>46210</v>
      </c>
      <c r="D81" s="1087"/>
      <c r="F81" s="1078">
        <v>46241</v>
      </c>
      <c r="H81" s="1085" t="s">
        <v>572</v>
      </c>
      <c r="I81" s="1002" t="s">
        <v>867</v>
      </c>
      <c r="J81" s="1002" t="s">
        <v>204</v>
      </c>
      <c r="K81" s="1002" t="s">
        <v>269</v>
      </c>
      <c r="L81" s="1002" t="s">
        <v>25</v>
      </c>
      <c r="M81" s="1086">
        <v>20</v>
      </c>
      <c r="N81" s="1083">
        <v>480555.55</v>
      </c>
      <c r="O81" s="1082">
        <f>M81*N81</f>
        <v>9611111</v>
      </c>
      <c r="P81" s="1082">
        <f>O81*8%</f>
        <v>768888.88</v>
      </c>
      <c r="Q81" s="1082">
        <f>O81+P81</f>
        <v>10379999.880000001</v>
      </c>
      <c r="R81" s="1083"/>
      <c r="S81" s="1083"/>
      <c r="T81" s="1083"/>
      <c r="U81" s="1083"/>
      <c r="V81" s="1083">
        <f t="shared" si="9"/>
        <v>10379999.880000001</v>
      </c>
    </row>
    <row r="82" spans="1:22" s="1002" customFormat="1" hidden="1">
      <c r="A82" s="1004" t="s">
        <v>934</v>
      </c>
      <c r="B82" s="1001" t="s">
        <v>865</v>
      </c>
      <c r="C82" s="1087">
        <v>46210</v>
      </c>
      <c r="D82" s="1087"/>
      <c r="F82" s="1078">
        <v>46241</v>
      </c>
      <c r="H82" s="1085" t="s">
        <v>572</v>
      </c>
      <c r="I82" s="1002" t="s">
        <v>867</v>
      </c>
      <c r="J82" s="1002" t="s">
        <v>206</v>
      </c>
      <c r="K82" s="1002" t="s">
        <v>369</v>
      </c>
      <c r="L82" s="1002" t="s">
        <v>113</v>
      </c>
      <c r="M82" s="1086">
        <v>20</v>
      </c>
      <c r="N82" s="1083">
        <v>483333.33</v>
      </c>
      <c r="O82" s="1082">
        <f t="shared" ref="O82:O91" si="10">M82*N82</f>
        <v>9666666.5999999996</v>
      </c>
      <c r="P82" s="1082">
        <f t="shared" ref="P82:P91" si="11">O82*8%</f>
        <v>773333.32799999998</v>
      </c>
      <c r="Q82" s="1082">
        <f t="shared" ref="Q82:Q91" si="12">O82+P82</f>
        <v>10439999.927999999</v>
      </c>
      <c r="R82" s="1083"/>
      <c r="S82" s="1083"/>
      <c r="T82" s="1083"/>
      <c r="U82" s="1083"/>
      <c r="V82" s="1083">
        <f t="shared" si="9"/>
        <v>10439999.927999999</v>
      </c>
    </row>
    <row r="83" spans="1:22" s="1002" customFormat="1" hidden="1">
      <c r="A83" s="1004" t="s">
        <v>934</v>
      </c>
      <c r="B83" s="1001" t="s">
        <v>865</v>
      </c>
      <c r="C83" s="1087">
        <v>46210</v>
      </c>
      <c r="D83" s="1087"/>
      <c r="F83" s="1078">
        <v>46241</v>
      </c>
      <c r="H83" s="1085" t="s">
        <v>572</v>
      </c>
      <c r="I83" s="1002" t="s">
        <v>867</v>
      </c>
      <c r="J83" s="1002" t="s">
        <v>77</v>
      </c>
      <c r="K83" s="1002" t="s">
        <v>78</v>
      </c>
      <c r="L83" s="1002" t="s">
        <v>113</v>
      </c>
      <c r="M83" s="1086">
        <v>40</v>
      </c>
      <c r="N83" s="1083">
        <v>324074.07</v>
      </c>
      <c r="O83" s="1082">
        <f t="shared" si="10"/>
        <v>12962962.800000001</v>
      </c>
      <c r="P83" s="1082">
        <f t="shared" si="11"/>
        <v>1037037.0240000001</v>
      </c>
      <c r="Q83" s="1082">
        <f t="shared" si="12"/>
        <v>13999999.824000001</v>
      </c>
      <c r="R83" s="1083"/>
      <c r="S83" s="1083"/>
      <c r="T83" s="1083"/>
      <c r="U83" s="1083"/>
      <c r="V83" s="1083">
        <f t="shared" si="9"/>
        <v>13999999.824000001</v>
      </c>
    </row>
    <row r="84" spans="1:22" s="1002" customFormat="1" hidden="1">
      <c r="A84" s="1004" t="s">
        <v>934</v>
      </c>
      <c r="B84" s="1001" t="s">
        <v>865</v>
      </c>
      <c r="C84" s="1087">
        <v>46210</v>
      </c>
      <c r="D84" s="1087"/>
      <c r="F84" s="1078">
        <v>46241</v>
      </c>
      <c r="H84" s="1085" t="s">
        <v>572</v>
      </c>
      <c r="I84" s="1002" t="s">
        <v>867</v>
      </c>
      <c r="J84" s="1002" t="s">
        <v>557</v>
      </c>
      <c r="K84" s="1005" t="s">
        <v>209</v>
      </c>
      <c r="L84" s="1002" t="s">
        <v>25</v>
      </c>
      <c r="M84" s="1086">
        <v>10</v>
      </c>
      <c r="N84" s="1083">
        <v>647222.22</v>
      </c>
      <c r="O84" s="1082">
        <f t="shared" si="10"/>
        <v>6472222.1999999993</v>
      </c>
      <c r="P84" s="1082">
        <f t="shared" si="11"/>
        <v>517777.77599999995</v>
      </c>
      <c r="Q84" s="1082">
        <f t="shared" si="12"/>
        <v>6989999.9759999989</v>
      </c>
      <c r="R84" s="1083"/>
      <c r="S84" s="1083"/>
      <c r="T84" s="1083"/>
      <c r="U84" s="1083"/>
      <c r="V84" s="1083">
        <f t="shared" si="9"/>
        <v>6989999.9759999989</v>
      </c>
    </row>
    <row r="85" spans="1:22" s="1002" customFormat="1" hidden="1">
      <c r="A85" s="1004" t="s">
        <v>934</v>
      </c>
      <c r="B85" s="1001" t="s">
        <v>865</v>
      </c>
      <c r="C85" s="1087">
        <v>46210</v>
      </c>
      <c r="D85" s="1087"/>
      <c r="F85" s="1078">
        <v>46241</v>
      </c>
      <c r="H85" s="1085" t="s">
        <v>572</v>
      </c>
      <c r="I85" s="1002" t="s">
        <v>867</v>
      </c>
      <c r="J85" s="1002" t="s">
        <v>26</v>
      </c>
      <c r="K85" s="1002" t="s">
        <v>27</v>
      </c>
      <c r="L85" s="1002" t="s">
        <v>113</v>
      </c>
      <c r="M85" s="1086">
        <v>30</v>
      </c>
      <c r="N85" s="1083">
        <v>256481.48</v>
      </c>
      <c r="O85" s="1082">
        <f t="shared" si="10"/>
        <v>7694444.4000000004</v>
      </c>
      <c r="P85" s="1082">
        <f t="shared" si="11"/>
        <v>615555.55200000003</v>
      </c>
      <c r="Q85" s="1082">
        <f t="shared" si="12"/>
        <v>8309999.9520000005</v>
      </c>
      <c r="R85" s="1083"/>
      <c r="S85" s="1083"/>
      <c r="T85" s="1083"/>
      <c r="U85" s="1083"/>
      <c r="V85" s="1083">
        <f t="shared" si="9"/>
        <v>8309999.9520000005</v>
      </c>
    </row>
    <row r="86" spans="1:22" s="1002" customFormat="1" hidden="1">
      <c r="A86" s="1004" t="s">
        <v>934</v>
      </c>
      <c r="B86" s="1001" t="s">
        <v>865</v>
      </c>
      <c r="C86" s="1087">
        <v>46210</v>
      </c>
      <c r="D86" s="1087"/>
      <c r="F86" s="1078">
        <v>46241</v>
      </c>
      <c r="H86" s="1085" t="s">
        <v>572</v>
      </c>
      <c r="I86" s="1002" t="s">
        <v>867</v>
      </c>
      <c r="J86" s="1002" t="s">
        <v>184</v>
      </c>
      <c r="K86" s="1002" t="s">
        <v>272</v>
      </c>
      <c r="L86" s="1002" t="s">
        <v>113</v>
      </c>
      <c r="M86" s="1086">
        <v>30</v>
      </c>
      <c r="N86" s="1083">
        <v>240740.74</v>
      </c>
      <c r="O86" s="1082">
        <f t="shared" si="10"/>
        <v>7222222.1999999993</v>
      </c>
      <c r="P86" s="1082">
        <f t="shared" si="11"/>
        <v>577777.77599999995</v>
      </c>
      <c r="Q86" s="1082">
        <f t="shared" si="12"/>
        <v>7799999.9759999989</v>
      </c>
      <c r="R86" s="1083"/>
      <c r="S86" s="1083"/>
      <c r="T86" s="1083"/>
      <c r="U86" s="1083"/>
      <c r="V86" s="1083">
        <f t="shared" si="9"/>
        <v>7799999.9759999989</v>
      </c>
    </row>
    <row r="87" spans="1:22" s="1002" customFormat="1" hidden="1">
      <c r="A87" s="1004" t="s">
        <v>934</v>
      </c>
      <c r="B87" s="1001" t="s">
        <v>865</v>
      </c>
      <c r="C87" s="1087">
        <v>46210</v>
      </c>
      <c r="D87" s="1087"/>
      <c r="F87" s="1078">
        <v>46241</v>
      </c>
      <c r="H87" s="1085" t="s">
        <v>572</v>
      </c>
      <c r="I87" s="1002" t="s">
        <v>867</v>
      </c>
      <c r="J87" s="1002" t="s">
        <v>34</v>
      </c>
      <c r="K87" s="1002" t="s">
        <v>35</v>
      </c>
      <c r="L87" s="1002" t="s">
        <v>113</v>
      </c>
      <c r="M87" s="1086">
        <v>30</v>
      </c>
      <c r="N87" s="1083">
        <v>240740.74</v>
      </c>
      <c r="O87" s="1082">
        <f t="shared" si="10"/>
        <v>7222222.1999999993</v>
      </c>
      <c r="P87" s="1082">
        <f t="shared" si="11"/>
        <v>577777.77599999995</v>
      </c>
      <c r="Q87" s="1082">
        <f t="shared" si="12"/>
        <v>7799999.9759999989</v>
      </c>
      <c r="R87" s="1083"/>
      <c r="S87" s="1083"/>
      <c r="T87" s="1083"/>
      <c r="U87" s="1083"/>
      <c r="V87" s="1083">
        <f t="shared" si="9"/>
        <v>7799999.9759999989</v>
      </c>
    </row>
    <row r="88" spans="1:22" s="1002" customFormat="1" hidden="1">
      <c r="A88" s="1004" t="s">
        <v>934</v>
      </c>
      <c r="B88" s="1001" t="s">
        <v>865</v>
      </c>
      <c r="C88" s="1087">
        <v>46210</v>
      </c>
      <c r="D88" s="1087"/>
      <c r="F88" s="1078">
        <v>46241</v>
      </c>
      <c r="H88" s="1085" t="s">
        <v>572</v>
      </c>
      <c r="I88" s="1002" t="s">
        <v>867</v>
      </c>
      <c r="J88" s="1002" t="s">
        <v>279</v>
      </c>
      <c r="K88" s="1002" t="s">
        <v>280</v>
      </c>
      <c r="L88" s="1002" t="s">
        <v>113</v>
      </c>
      <c r="M88" s="1086">
        <v>16</v>
      </c>
      <c r="N88" s="1083">
        <v>387962.96</v>
      </c>
      <c r="O88" s="1082">
        <f t="shared" si="10"/>
        <v>6207407.3600000003</v>
      </c>
      <c r="P88" s="1082">
        <f t="shared" si="11"/>
        <v>496592.58880000003</v>
      </c>
      <c r="Q88" s="1082">
        <f t="shared" si="12"/>
        <v>6703999.9488000004</v>
      </c>
      <c r="R88" s="1083"/>
      <c r="S88" s="1083"/>
      <c r="T88" s="1083"/>
      <c r="U88" s="1083"/>
      <c r="V88" s="1083">
        <f t="shared" si="9"/>
        <v>6703999.9488000004</v>
      </c>
    </row>
    <row r="89" spans="1:22" s="1002" customFormat="1" hidden="1">
      <c r="A89" s="1004" t="s">
        <v>934</v>
      </c>
      <c r="B89" s="1001" t="s">
        <v>865</v>
      </c>
      <c r="C89" s="1087">
        <v>46210</v>
      </c>
      <c r="D89" s="1087"/>
      <c r="F89" s="1078">
        <v>46241</v>
      </c>
      <c r="H89" s="1085" t="s">
        <v>572</v>
      </c>
      <c r="I89" s="1002" t="s">
        <v>867</v>
      </c>
      <c r="J89" s="1002" t="s">
        <v>258</v>
      </c>
      <c r="K89" s="1002" t="s">
        <v>259</v>
      </c>
      <c r="L89" s="1002" t="s">
        <v>113</v>
      </c>
      <c r="M89" s="1086">
        <v>16</v>
      </c>
      <c r="N89" s="1083">
        <v>472222.22</v>
      </c>
      <c r="O89" s="1082">
        <f t="shared" si="10"/>
        <v>7555555.5199999996</v>
      </c>
      <c r="P89" s="1082">
        <f t="shared" si="11"/>
        <v>604444.44160000002</v>
      </c>
      <c r="Q89" s="1082">
        <f t="shared" si="12"/>
        <v>8159999.9616</v>
      </c>
      <c r="R89" s="1083"/>
      <c r="S89" s="1083"/>
      <c r="T89" s="1083"/>
      <c r="U89" s="1083"/>
      <c r="V89" s="1083">
        <f t="shared" si="9"/>
        <v>8159999.9616</v>
      </c>
    </row>
    <row r="90" spans="1:22" s="1002" customFormat="1" hidden="1">
      <c r="A90" s="1004" t="s">
        <v>934</v>
      </c>
      <c r="B90" s="1001" t="s">
        <v>865</v>
      </c>
      <c r="C90" s="1087">
        <v>46210</v>
      </c>
      <c r="D90" s="1087"/>
      <c r="F90" s="1078">
        <v>46241</v>
      </c>
      <c r="H90" s="1085" t="s">
        <v>572</v>
      </c>
      <c r="I90" s="1002" t="s">
        <v>867</v>
      </c>
      <c r="J90" s="1002" t="s">
        <v>260</v>
      </c>
      <c r="K90" s="1002" t="s">
        <v>261</v>
      </c>
      <c r="L90" s="1002" t="s">
        <v>412</v>
      </c>
      <c r="M90" s="1086">
        <v>16</v>
      </c>
      <c r="N90" s="1083">
        <v>492592.6</v>
      </c>
      <c r="O90" s="1082">
        <f t="shared" si="10"/>
        <v>7881481.5999999996</v>
      </c>
      <c r="P90" s="1082">
        <f t="shared" si="11"/>
        <v>630518.52799999993</v>
      </c>
      <c r="Q90" s="1082">
        <f t="shared" si="12"/>
        <v>8512000.1279999986</v>
      </c>
      <c r="R90" s="1083"/>
      <c r="S90" s="1083"/>
      <c r="T90" s="1083"/>
      <c r="U90" s="1083"/>
      <c r="V90" s="1083">
        <f t="shared" si="9"/>
        <v>8512000.1279999986</v>
      </c>
    </row>
    <row r="91" spans="1:22" s="1002" customFormat="1" hidden="1">
      <c r="A91" s="1004" t="s">
        <v>934</v>
      </c>
      <c r="B91" s="1001" t="s">
        <v>865</v>
      </c>
      <c r="C91" s="1087">
        <v>46210</v>
      </c>
      <c r="D91" s="1087"/>
      <c r="F91" s="1078">
        <v>46241</v>
      </c>
      <c r="H91" s="1085" t="s">
        <v>572</v>
      </c>
      <c r="I91" s="1002" t="s">
        <v>867</v>
      </c>
      <c r="J91" s="1002" t="s">
        <v>262</v>
      </c>
      <c r="K91" s="1002" t="s">
        <v>564</v>
      </c>
      <c r="L91" s="1002" t="s">
        <v>25</v>
      </c>
      <c r="M91" s="1086">
        <v>10</v>
      </c>
      <c r="N91" s="1083">
        <v>851851.85</v>
      </c>
      <c r="O91" s="1082">
        <f t="shared" si="10"/>
        <v>8518518.5</v>
      </c>
      <c r="P91" s="1082">
        <f t="shared" si="11"/>
        <v>681481.48</v>
      </c>
      <c r="Q91" s="1082">
        <f t="shared" si="12"/>
        <v>9199999.9800000004</v>
      </c>
      <c r="R91" s="1083"/>
      <c r="S91" s="1083"/>
      <c r="T91" s="1083"/>
      <c r="U91" s="1083"/>
      <c r="V91" s="1083">
        <f t="shared" si="9"/>
        <v>9199999.9800000004</v>
      </c>
    </row>
    <row r="92" spans="1:22" s="1002" customFormat="1" hidden="1">
      <c r="A92" s="1004" t="s">
        <v>934</v>
      </c>
      <c r="B92" s="1001" t="s">
        <v>865</v>
      </c>
      <c r="C92" s="1087">
        <v>46210</v>
      </c>
      <c r="D92" s="1087"/>
      <c r="F92" s="1078">
        <v>46241</v>
      </c>
      <c r="H92" s="1085" t="s">
        <v>572</v>
      </c>
      <c r="I92" s="1002" t="s">
        <v>867</v>
      </c>
      <c r="J92" s="1002" t="s">
        <v>48</v>
      </c>
      <c r="K92" s="1002" t="s">
        <v>49</v>
      </c>
      <c r="L92" s="1002" t="s">
        <v>113</v>
      </c>
      <c r="M92" s="1086">
        <v>12</v>
      </c>
      <c r="N92" s="1083">
        <v>601851.85</v>
      </c>
      <c r="O92" s="1082">
        <f t="shared" ref="O92:O97" si="13">N92*M92</f>
        <v>7222222.1999999993</v>
      </c>
      <c r="P92" s="1082">
        <f>O92*8%</f>
        <v>577777.77599999995</v>
      </c>
      <c r="Q92" s="1082">
        <f>O92+P92</f>
        <v>7799999.9759999989</v>
      </c>
      <c r="R92" s="1083"/>
      <c r="S92" s="1083"/>
      <c r="T92" s="1083"/>
      <c r="U92" s="1083"/>
      <c r="V92" s="1083">
        <f t="shared" si="9"/>
        <v>7799999.9759999989</v>
      </c>
    </row>
    <row r="93" spans="1:22" s="1002" customFormat="1" hidden="1">
      <c r="A93" s="1004" t="s">
        <v>934</v>
      </c>
      <c r="B93" s="1001" t="s">
        <v>865</v>
      </c>
      <c r="C93" s="1087">
        <v>46210</v>
      </c>
      <c r="D93" s="1087"/>
      <c r="F93" s="1078">
        <v>46241</v>
      </c>
      <c r="H93" s="1085" t="s">
        <v>572</v>
      </c>
      <c r="I93" s="1002" t="s">
        <v>867</v>
      </c>
      <c r="J93" s="1002" t="s">
        <v>50</v>
      </c>
      <c r="K93" s="1002" t="s">
        <v>51</v>
      </c>
      <c r="L93" s="1002" t="s">
        <v>113</v>
      </c>
      <c r="M93" s="1086">
        <v>12</v>
      </c>
      <c r="N93" s="1083">
        <v>937962.96</v>
      </c>
      <c r="O93" s="1082">
        <f t="shared" si="13"/>
        <v>11255555.52</v>
      </c>
      <c r="P93" s="1082">
        <f t="shared" ref="P93:P158" si="14">O93*8%</f>
        <v>900444.44160000002</v>
      </c>
      <c r="Q93" s="1082">
        <f t="shared" ref="Q93:Q158" si="15">O93+P93</f>
        <v>12155999.9616</v>
      </c>
      <c r="R93" s="1083"/>
      <c r="S93" s="1083"/>
      <c r="T93" s="1083"/>
      <c r="U93" s="1083"/>
      <c r="V93" s="1083">
        <f t="shared" si="9"/>
        <v>12155999.9616</v>
      </c>
    </row>
    <row r="94" spans="1:22" s="1002" customFormat="1" hidden="1">
      <c r="A94" s="1004" t="s">
        <v>934</v>
      </c>
      <c r="B94" s="1001" t="s">
        <v>865</v>
      </c>
      <c r="C94" s="1087">
        <v>46210</v>
      </c>
      <c r="D94" s="1087"/>
      <c r="F94" s="1078">
        <v>46241</v>
      </c>
      <c r="H94" s="1085" t="s">
        <v>572</v>
      </c>
      <c r="I94" s="1002" t="s">
        <v>867</v>
      </c>
      <c r="J94" s="1002" t="s">
        <v>226</v>
      </c>
      <c r="K94" s="1002" t="s">
        <v>573</v>
      </c>
      <c r="L94" s="1002" t="s">
        <v>113</v>
      </c>
      <c r="M94" s="1086">
        <v>12</v>
      </c>
      <c r="N94" s="1083">
        <v>799074.07</v>
      </c>
      <c r="O94" s="1082">
        <f t="shared" si="13"/>
        <v>9588888.8399999999</v>
      </c>
      <c r="P94" s="1082">
        <f t="shared" si="14"/>
        <v>767111.10719999997</v>
      </c>
      <c r="Q94" s="1082">
        <f t="shared" si="15"/>
        <v>10355999.9472</v>
      </c>
      <c r="R94" s="1083"/>
      <c r="S94" s="1083"/>
      <c r="T94" s="1083"/>
      <c r="U94" s="1083"/>
      <c r="V94" s="1083">
        <f t="shared" si="9"/>
        <v>10355999.9472</v>
      </c>
    </row>
    <row r="95" spans="1:22" s="1002" customFormat="1" hidden="1">
      <c r="A95" s="1004" t="s">
        <v>934</v>
      </c>
      <c r="B95" s="1001" t="s">
        <v>865</v>
      </c>
      <c r="C95" s="1087">
        <v>46210</v>
      </c>
      <c r="D95" s="1087"/>
      <c r="F95" s="1078">
        <v>46241</v>
      </c>
      <c r="H95" s="1085" t="s">
        <v>572</v>
      </c>
      <c r="I95" s="1002" t="s">
        <v>867</v>
      </c>
      <c r="J95" s="1007" t="s">
        <v>52</v>
      </c>
      <c r="K95" s="1002" t="s">
        <v>53</v>
      </c>
      <c r="L95" s="1002" t="s">
        <v>113</v>
      </c>
      <c r="M95" s="1086">
        <v>12</v>
      </c>
      <c r="N95" s="1083">
        <v>1007407.4</v>
      </c>
      <c r="O95" s="1082">
        <f t="shared" si="13"/>
        <v>12088888.800000001</v>
      </c>
      <c r="P95" s="1082">
        <f t="shared" si="14"/>
        <v>967111.10400000005</v>
      </c>
      <c r="Q95" s="1082">
        <f t="shared" si="15"/>
        <v>13055999.904000001</v>
      </c>
      <c r="R95" s="1083"/>
      <c r="S95" s="1083"/>
      <c r="T95" s="1083"/>
      <c r="U95" s="1083"/>
      <c r="V95" s="1083">
        <f t="shared" si="9"/>
        <v>13055999.904000001</v>
      </c>
    </row>
    <row r="96" spans="1:22" s="1002" customFormat="1" hidden="1">
      <c r="A96" s="1004" t="s">
        <v>934</v>
      </c>
      <c r="B96" s="1001" t="s">
        <v>865</v>
      </c>
      <c r="C96" s="1087">
        <v>46210</v>
      </c>
      <c r="D96" s="1087"/>
      <c r="F96" s="1078">
        <v>46241</v>
      </c>
      <c r="H96" s="1085" t="s">
        <v>572</v>
      </c>
      <c r="I96" s="1002" t="s">
        <v>867</v>
      </c>
      <c r="J96" s="1007" t="s">
        <v>62</v>
      </c>
      <c r="K96" s="1002" t="s">
        <v>63</v>
      </c>
      <c r="L96" s="1002" t="s">
        <v>113</v>
      </c>
      <c r="M96" s="1086">
        <v>48</v>
      </c>
      <c r="N96" s="1083">
        <v>0</v>
      </c>
      <c r="O96" s="1082">
        <f t="shared" si="13"/>
        <v>0</v>
      </c>
      <c r="P96" s="1082">
        <f t="shared" si="14"/>
        <v>0</v>
      </c>
      <c r="Q96" s="1082">
        <f t="shared" si="15"/>
        <v>0</v>
      </c>
      <c r="R96" s="1083"/>
      <c r="S96" s="1083"/>
      <c r="T96" s="1083"/>
      <c r="U96" s="1083"/>
      <c r="V96" s="1083">
        <f t="shared" si="9"/>
        <v>0</v>
      </c>
    </row>
    <row r="97" spans="1:22" s="1002" customFormat="1" hidden="1">
      <c r="A97" s="1004" t="s">
        <v>934</v>
      </c>
      <c r="B97" s="1001" t="s">
        <v>865</v>
      </c>
      <c r="C97" s="1087">
        <v>46210</v>
      </c>
      <c r="D97" s="1087"/>
      <c r="F97" s="1078">
        <v>46241</v>
      </c>
      <c r="H97" s="1085" t="s">
        <v>572</v>
      </c>
      <c r="I97" s="1002" t="s">
        <v>867</v>
      </c>
      <c r="J97" s="1007" t="s">
        <v>107</v>
      </c>
      <c r="K97" s="1002" t="s">
        <v>108</v>
      </c>
      <c r="L97" s="1002" t="s">
        <v>113</v>
      </c>
      <c r="M97" s="1086">
        <v>9</v>
      </c>
      <c r="N97" s="1083">
        <v>0</v>
      </c>
      <c r="O97" s="1082">
        <f t="shared" si="13"/>
        <v>0</v>
      </c>
      <c r="P97" s="1082">
        <f t="shared" si="14"/>
        <v>0</v>
      </c>
      <c r="Q97" s="1082">
        <f t="shared" si="15"/>
        <v>0</v>
      </c>
      <c r="R97" s="1083"/>
      <c r="S97" s="1083"/>
      <c r="T97" s="1083"/>
      <c r="U97" s="1083"/>
      <c r="V97" s="1083">
        <f t="shared" si="9"/>
        <v>0</v>
      </c>
    </row>
    <row r="98" spans="1:22" s="1002" customFormat="1" hidden="1">
      <c r="A98" s="1004" t="s">
        <v>934</v>
      </c>
      <c r="B98" s="1001" t="s">
        <v>865</v>
      </c>
      <c r="C98" s="1087">
        <v>46302</v>
      </c>
      <c r="D98" s="1087"/>
      <c r="F98" s="1078"/>
      <c r="H98" s="1085" t="s">
        <v>574</v>
      </c>
      <c r="I98" s="1006" t="s">
        <v>563</v>
      </c>
      <c r="J98" s="1007" t="s">
        <v>119</v>
      </c>
      <c r="K98" s="1002" t="s">
        <v>191</v>
      </c>
      <c r="L98" s="1002" t="s">
        <v>113</v>
      </c>
      <c r="M98" s="1086">
        <v>-10</v>
      </c>
      <c r="N98" s="1083">
        <v>659259.25</v>
      </c>
      <c r="O98" s="1082">
        <f t="shared" ref="O98:O133" si="16">M98*N98</f>
        <v>-6592592.5</v>
      </c>
      <c r="P98" s="1082">
        <f t="shared" si="14"/>
        <v>-527407.4</v>
      </c>
      <c r="Q98" s="1082">
        <f t="shared" si="15"/>
        <v>-7119999.9000000004</v>
      </c>
      <c r="R98" s="1083"/>
      <c r="S98" s="1083"/>
      <c r="T98" s="1083"/>
      <c r="U98" s="1083"/>
      <c r="V98" s="1083">
        <f t="shared" si="9"/>
        <v>-7119999.9000000004</v>
      </c>
    </row>
    <row r="99" spans="1:22" s="1002" customFormat="1" hidden="1">
      <c r="A99" s="1004" t="s">
        <v>934</v>
      </c>
      <c r="B99" s="1001" t="s">
        <v>865</v>
      </c>
      <c r="C99" s="1087">
        <v>46302</v>
      </c>
      <c r="D99" s="1087"/>
      <c r="F99" s="1078"/>
      <c r="H99" s="1085" t="s">
        <v>574</v>
      </c>
      <c r="I99" s="1006" t="s">
        <v>563</v>
      </c>
      <c r="J99" s="1007" t="s">
        <v>42</v>
      </c>
      <c r="K99" s="1002" t="s">
        <v>43</v>
      </c>
      <c r="L99" s="1002" t="s">
        <v>113</v>
      </c>
      <c r="M99" s="1086">
        <v>-10</v>
      </c>
      <c r="N99" s="1083">
        <v>569444.43999999994</v>
      </c>
      <c r="O99" s="1082">
        <f t="shared" si="16"/>
        <v>-5694444.3999999994</v>
      </c>
      <c r="P99" s="1082">
        <f t="shared" si="14"/>
        <v>-455555.55199999997</v>
      </c>
      <c r="Q99" s="1082">
        <f t="shared" si="15"/>
        <v>-6149999.9519999996</v>
      </c>
      <c r="R99" s="1083"/>
      <c r="S99" s="1083"/>
      <c r="T99" s="1083"/>
      <c r="U99" s="1083"/>
      <c r="V99" s="1083">
        <f t="shared" si="9"/>
        <v>-6149999.9519999996</v>
      </c>
    </row>
    <row r="100" spans="1:22" s="1002" customFormat="1" hidden="1">
      <c r="A100" s="1004" t="s">
        <v>934</v>
      </c>
      <c r="B100" s="1001" t="s">
        <v>865</v>
      </c>
      <c r="C100" s="1087">
        <v>46302</v>
      </c>
      <c r="D100" s="1087"/>
      <c r="F100" s="1078"/>
      <c r="H100" s="1085" t="s">
        <v>574</v>
      </c>
      <c r="I100" s="1006" t="s">
        <v>563</v>
      </c>
      <c r="J100" s="1007" t="s">
        <v>44</v>
      </c>
      <c r="K100" s="1002" t="s">
        <v>45</v>
      </c>
      <c r="L100" s="1002" t="s">
        <v>113</v>
      </c>
      <c r="M100" s="1086">
        <v>-12</v>
      </c>
      <c r="N100" s="1083">
        <v>564815</v>
      </c>
      <c r="O100" s="1082">
        <f t="shared" si="16"/>
        <v>-6777780</v>
      </c>
      <c r="P100" s="1082">
        <f t="shared" si="14"/>
        <v>-542222.4</v>
      </c>
      <c r="Q100" s="1082">
        <f t="shared" si="15"/>
        <v>-7320002.4000000004</v>
      </c>
      <c r="R100" s="1083"/>
      <c r="S100" s="1083"/>
      <c r="T100" s="1083"/>
      <c r="U100" s="1083"/>
      <c r="V100" s="1083">
        <f t="shared" si="9"/>
        <v>-7320002.4000000004</v>
      </c>
    </row>
    <row r="101" spans="1:22" s="1002" customFormat="1" hidden="1">
      <c r="A101" s="1004" t="s">
        <v>934</v>
      </c>
      <c r="B101" s="1001" t="s">
        <v>865</v>
      </c>
      <c r="C101" s="1087">
        <v>46302</v>
      </c>
      <c r="D101" s="1087"/>
      <c r="F101" s="1078"/>
      <c r="H101" s="1085" t="s">
        <v>574</v>
      </c>
      <c r="I101" s="1006" t="s">
        <v>563</v>
      </c>
      <c r="J101" s="1007" t="s">
        <v>148</v>
      </c>
      <c r="K101" s="1002" t="s">
        <v>149</v>
      </c>
      <c r="L101" s="1002" t="s">
        <v>113</v>
      </c>
      <c r="M101" s="1086">
        <v>-8</v>
      </c>
      <c r="N101" s="1083">
        <v>358333.33</v>
      </c>
      <c r="O101" s="1082">
        <f t="shared" si="16"/>
        <v>-2866666.64</v>
      </c>
      <c r="P101" s="1082">
        <f t="shared" si="14"/>
        <v>-229333.33120000002</v>
      </c>
      <c r="Q101" s="1082">
        <f t="shared" si="15"/>
        <v>-3095999.9712</v>
      </c>
      <c r="R101" s="1083"/>
      <c r="S101" s="1083"/>
      <c r="T101" s="1083"/>
      <c r="U101" s="1083"/>
      <c r="V101" s="1083">
        <f t="shared" si="9"/>
        <v>-3095999.9712</v>
      </c>
    </row>
    <row r="102" spans="1:22" s="1002" customFormat="1" hidden="1">
      <c r="A102" s="1004" t="s">
        <v>934</v>
      </c>
      <c r="B102" s="1001" t="s">
        <v>865</v>
      </c>
      <c r="C102" s="1087">
        <v>46302</v>
      </c>
      <c r="D102" s="1087"/>
      <c r="F102" s="1078"/>
      <c r="H102" s="1085" t="s">
        <v>574</v>
      </c>
      <c r="I102" s="1006" t="s">
        <v>563</v>
      </c>
      <c r="J102" s="1007" t="s">
        <v>192</v>
      </c>
      <c r="K102" s="1002" t="s">
        <v>193</v>
      </c>
      <c r="L102" s="1002" t="s">
        <v>113</v>
      </c>
      <c r="M102" s="1086">
        <v>-12</v>
      </c>
      <c r="N102" s="1083">
        <v>398148.08</v>
      </c>
      <c r="O102" s="1082">
        <f t="shared" si="16"/>
        <v>-4777776.96</v>
      </c>
      <c r="P102" s="1082">
        <f t="shared" si="14"/>
        <v>-382222.1568</v>
      </c>
      <c r="Q102" s="1082">
        <f t="shared" si="15"/>
        <v>-5159999.1168</v>
      </c>
      <c r="R102" s="1083"/>
      <c r="S102" s="1083"/>
      <c r="T102" s="1083"/>
      <c r="U102" s="1083"/>
      <c r="V102" s="1083">
        <f t="shared" si="9"/>
        <v>-5159999.1168</v>
      </c>
    </row>
    <row r="103" spans="1:22" s="1002" customFormat="1" hidden="1">
      <c r="A103" s="1004" t="s">
        <v>934</v>
      </c>
      <c r="B103" s="1001" t="s">
        <v>865</v>
      </c>
      <c r="C103" s="1087">
        <v>46302</v>
      </c>
      <c r="D103" s="1087"/>
      <c r="F103" s="1078"/>
      <c r="H103" s="1085" t="s">
        <v>574</v>
      </c>
      <c r="I103" s="1006" t="s">
        <v>563</v>
      </c>
      <c r="J103" s="1007" t="s">
        <v>194</v>
      </c>
      <c r="K103" s="1002" t="s">
        <v>720</v>
      </c>
      <c r="L103" s="1002" t="s">
        <v>113</v>
      </c>
      <c r="M103" s="1086">
        <v>-9</v>
      </c>
      <c r="N103" s="1083">
        <v>1203703.7</v>
      </c>
      <c r="O103" s="1082">
        <f t="shared" si="16"/>
        <v>-10833333.299999999</v>
      </c>
      <c r="P103" s="1082">
        <f t="shared" si="14"/>
        <v>-866666.66399999987</v>
      </c>
      <c r="Q103" s="1082">
        <f t="shared" si="15"/>
        <v>-11699999.963999998</v>
      </c>
      <c r="R103" s="1083"/>
      <c r="S103" s="1083"/>
      <c r="T103" s="1083"/>
      <c r="U103" s="1083"/>
      <c r="V103" s="1083">
        <f t="shared" si="9"/>
        <v>-11699999.963999998</v>
      </c>
    </row>
    <row r="104" spans="1:22" s="1002" customFormat="1" hidden="1">
      <c r="A104" s="1004" t="s">
        <v>934</v>
      </c>
      <c r="B104" s="1001" t="s">
        <v>865</v>
      </c>
      <c r="C104" s="1087">
        <v>46302</v>
      </c>
      <c r="D104" s="1087"/>
      <c r="F104" s="1078"/>
      <c r="H104" s="1085" t="s">
        <v>574</v>
      </c>
      <c r="I104" s="1006" t="s">
        <v>563</v>
      </c>
      <c r="J104" s="1007" t="s">
        <v>58</v>
      </c>
      <c r="K104" s="1002" t="s">
        <v>59</v>
      </c>
      <c r="L104" s="1002" t="s">
        <v>113</v>
      </c>
      <c r="M104" s="1086">
        <v>-10</v>
      </c>
      <c r="N104" s="1083">
        <v>1361111.11</v>
      </c>
      <c r="O104" s="1082">
        <f t="shared" si="16"/>
        <v>-13611111.100000001</v>
      </c>
      <c r="P104" s="1082">
        <f t="shared" si="14"/>
        <v>-1088888.888</v>
      </c>
      <c r="Q104" s="1082">
        <f t="shared" si="15"/>
        <v>-14699999.988000002</v>
      </c>
      <c r="R104" s="1083"/>
      <c r="S104" s="1083"/>
      <c r="T104" s="1083"/>
      <c r="U104" s="1083"/>
      <c r="V104" s="1083">
        <f t="shared" si="9"/>
        <v>-14699999.988000002</v>
      </c>
    </row>
    <row r="105" spans="1:22" s="1002" customFormat="1" hidden="1">
      <c r="A105" s="1004" t="s">
        <v>934</v>
      </c>
      <c r="B105" s="1001" t="s">
        <v>865</v>
      </c>
      <c r="C105" s="1087">
        <v>46302</v>
      </c>
      <c r="D105" s="1087"/>
      <c r="F105" s="1078"/>
      <c r="H105" s="1085" t="s">
        <v>574</v>
      </c>
      <c r="I105" s="1006" t="s">
        <v>563</v>
      </c>
      <c r="J105" s="1007" t="s">
        <v>424</v>
      </c>
      <c r="K105" s="1002" t="s">
        <v>425</v>
      </c>
      <c r="L105" s="1002" t="s">
        <v>558</v>
      </c>
      <c r="M105" s="1086">
        <v>-4</v>
      </c>
      <c r="N105" s="1083">
        <v>882407</v>
      </c>
      <c r="O105" s="1082">
        <f t="shared" si="16"/>
        <v>-3529628</v>
      </c>
      <c r="P105" s="1082">
        <f t="shared" si="14"/>
        <v>-282370.24</v>
      </c>
      <c r="Q105" s="1082">
        <f t="shared" si="15"/>
        <v>-3811998.24</v>
      </c>
      <c r="R105" s="1083"/>
      <c r="S105" s="1083"/>
      <c r="T105" s="1083"/>
      <c r="U105" s="1083"/>
      <c r="V105" s="1083">
        <f t="shared" si="9"/>
        <v>-3811998.24</v>
      </c>
    </row>
    <row r="106" spans="1:22" s="1002" customFormat="1" hidden="1">
      <c r="A106" s="1004" t="s">
        <v>934</v>
      </c>
      <c r="B106" s="1001" t="s">
        <v>865</v>
      </c>
      <c r="C106" s="1087">
        <v>46302</v>
      </c>
      <c r="D106" s="1087"/>
      <c r="F106" s="1078"/>
      <c r="H106" s="1085" t="s">
        <v>575</v>
      </c>
      <c r="I106" s="1006" t="s">
        <v>576</v>
      </c>
      <c r="J106" s="1007" t="s">
        <v>386</v>
      </c>
      <c r="K106" s="1002" t="s">
        <v>387</v>
      </c>
      <c r="L106" s="1002" t="s">
        <v>113</v>
      </c>
      <c r="M106" s="1086">
        <v>-12</v>
      </c>
      <c r="N106" s="1083">
        <v>847222.22</v>
      </c>
      <c r="O106" s="1082">
        <f t="shared" si="16"/>
        <v>-10166666.640000001</v>
      </c>
      <c r="P106" s="1082">
        <f t="shared" si="14"/>
        <v>-813333.33120000002</v>
      </c>
      <c r="Q106" s="1082">
        <f t="shared" si="15"/>
        <v>-10979999.9712</v>
      </c>
      <c r="R106" s="1083"/>
      <c r="S106" s="1083"/>
      <c r="T106" s="1083"/>
      <c r="U106" s="1083"/>
      <c r="V106" s="1083">
        <f t="shared" si="9"/>
        <v>-10979999.9712</v>
      </c>
    </row>
    <row r="107" spans="1:22" s="1002" customFormat="1" hidden="1">
      <c r="A107" s="1004" t="s">
        <v>934</v>
      </c>
      <c r="B107" s="1001" t="s">
        <v>865</v>
      </c>
      <c r="C107" s="1087" t="s">
        <v>106</v>
      </c>
      <c r="D107" s="1087"/>
      <c r="F107" s="1078"/>
      <c r="H107" s="1085"/>
      <c r="I107" s="1002" t="s">
        <v>867</v>
      </c>
      <c r="J107" s="1007" t="s">
        <v>101</v>
      </c>
      <c r="K107" s="1002" t="s">
        <v>102</v>
      </c>
      <c r="L107" s="1002" t="s">
        <v>412</v>
      </c>
      <c r="M107" s="1086">
        <v>20</v>
      </c>
      <c r="N107" s="1083">
        <v>861111.11</v>
      </c>
      <c r="O107" s="1082">
        <f t="shared" si="16"/>
        <v>17222222.199999999</v>
      </c>
      <c r="P107" s="1082">
        <f t="shared" si="14"/>
        <v>1377777.7760000001</v>
      </c>
      <c r="Q107" s="1082">
        <f t="shared" si="15"/>
        <v>18599999.976</v>
      </c>
      <c r="R107" s="1083"/>
      <c r="S107" s="1083"/>
      <c r="T107" s="1083"/>
      <c r="U107" s="1083"/>
      <c r="V107" s="1083">
        <f t="shared" si="9"/>
        <v>18599999.976</v>
      </c>
    </row>
    <row r="108" spans="1:22" s="1002" customFormat="1" hidden="1">
      <c r="A108" s="1004" t="s">
        <v>934</v>
      </c>
      <c r="B108" s="1001" t="s">
        <v>865</v>
      </c>
      <c r="C108" s="1087" t="s">
        <v>106</v>
      </c>
      <c r="D108" s="1087"/>
      <c r="F108" s="1078"/>
      <c r="H108" s="1085"/>
      <c r="I108" s="1002" t="s">
        <v>867</v>
      </c>
      <c r="J108" s="1007" t="s">
        <v>103</v>
      </c>
      <c r="K108" s="1002" t="s">
        <v>104</v>
      </c>
      <c r="L108" s="1002" t="s">
        <v>113</v>
      </c>
      <c r="M108" s="1086">
        <v>18</v>
      </c>
      <c r="N108" s="1083">
        <v>675925.93</v>
      </c>
      <c r="O108" s="1082">
        <f t="shared" si="16"/>
        <v>12166666.74</v>
      </c>
      <c r="P108" s="1082">
        <f t="shared" si="14"/>
        <v>973333.33920000005</v>
      </c>
      <c r="Q108" s="1082">
        <f t="shared" si="15"/>
        <v>13140000.0792</v>
      </c>
      <c r="R108" s="1083"/>
      <c r="S108" s="1083"/>
      <c r="T108" s="1083"/>
      <c r="U108" s="1083"/>
      <c r="V108" s="1083">
        <f t="shared" si="9"/>
        <v>13140000.0792</v>
      </c>
    </row>
    <row r="109" spans="1:22" s="1002" customFormat="1" hidden="1">
      <c r="A109" s="1004" t="s">
        <v>934</v>
      </c>
      <c r="B109" s="1001" t="s">
        <v>865</v>
      </c>
      <c r="C109" s="1087" t="s">
        <v>106</v>
      </c>
      <c r="D109" s="1087"/>
      <c r="F109" s="1078"/>
      <c r="H109" s="1085"/>
      <c r="I109" s="1002" t="s">
        <v>867</v>
      </c>
      <c r="J109" s="1007" t="s">
        <v>62</v>
      </c>
      <c r="K109" s="1002" t="s">
        <v>63</v>
      </c>
      <c r="L109" s="1002" t="s">
        <v>113</v>
      </c>
      <c r="M109" s="1086">
        <v>18</v>
      </c>
      <c r="N109" s="1083">
        <v>0</v>
      </c>
      <c r="O109" s="1082">
        <f t="shared" si="16"/>
        <v>0</v>
      </c>
      <c r="P109" s="1082">
        <f t="shared" si="14"/>
        <v>0</v>
      </c>
      <c r="Q109" s="1082">
        <f t="shared" si="15"/>
        <v>0</v>
      </c>
      <c r="R109" s="1083"/>
      <c r="S109" s="1083"/>
      <c r="T109" s="1083"/>
      <c r="U109" s="1083"/>
      <c r="V109" s="1083">
        <f t="shared" si="9"/>
        <v>0</v>
      </c>
    </row>
    <row r="110" spans="1:22" s="1002" customFormat="1" hidden="1">
      <c r="A110" s="1004" t="s">
        <v>934</v>
      </c>
      <c r="B110" s="1001" t="s">
        <v>865</v>
      </c>
      <c r="C110" s="1087" t="s">
        <v>826</v>
      </c>
      <c r="D110" s="1087"/>
      <c r="F110" s="1078"/>
      <c r="H110" s="1085"/>
      <c r="I110" s="1002" t="s">
        <v>867</v>
      </c>
      <c r="J110" s="1007" t="s">
        <v>639</v>
      </c>
      <c r="K110" s="1002" t="s">
        <v>640</v>
      </c>
      <c r="L110" s="1002" t="s">
        <v>113</v>
      </c>
      <c r="M110" s="1086">
        <v>15</v>
      </c>
      <c r="N110" s="1083">
        <v>542592.59</v>
      </c>
      <c r="O110" s="1082">
        <f t="shared" si="16"/>
        <v>8138888.8499999996</v>
      </c>
      <c r="P110" s="1082">
        <f t="shared" si="14"/>
        <v>651111.10800000001</v>
      </c>
      <c r="Q110" s="1082">
        <f t="shared" si="15"/>
        <v>8789999.9580000006</v>
      </c>
      <c r="R110" s="1083"/>
      <c r="S110" s="1083"/>
      <c r="T110" s="1083"/>
      <c r="U110" s="1083"/>
      <c r="V110" s="1083">
        <f t="shared" si="9"/>
        <v>8789999.9580000006</v>
      </c>
    </row>
    <row r="111" spans="1:22" s="1002" customFormat="1" hidden="1">
      <c r="A111" s="1004" t="s">
        <v>934</v>
      </c>
      <c r="B111" s="1001" t="s">
        <v>865</v>
      </c>
      <c r="C111" s="1087" t="s">
        <v>826</v>
      </c>
      <c r="D111" s="1087"/>
      <c r="F111" s="1078"/>
      <c r="H111" s="1085"/>
      <c r="I111" s="1002" t="s">
        <v>867</v>
      </c>
      <c r="J111" s="1007" t="s">
        <v>641</v>
      </c>
      <c r="K111" s="1002" t="s">
        <v>657</v>
      </c>
      <c r="L111" s="1002" t="s">
        <v>113</v>
      </c>
      <c r="M111" s="1086">
        <v>15</v>
      </c>
      <c r="N111" s="1083">
        <v>644444.43999999994</v>
      </c>
      <c r="O111" s="1082">
        <f t="shared" si="16"/>
        <v>9666666.5999999996</v>
      </c>
      <c r="P111" s="1082">
        <f t="shared" si="14"/>
        <v>773333.32799999998</v>
      </c>
      <c r="Q111" s="1082">
        <f t="shared" si="15"/>
        <v>10439999.927999999</v>
      </c>
      <c r="R111" s="1083"/>
      <c r="S111" s="1083"/>
      <c r="T111" s="1083"/>
      <c r="U111" s="1083"/>
      <c r="V111" s="1083">
        <f t="shared" si="9"/>
        <v>10439999.927999999</v>
      </c>
    </row>
    <row r="112" spans="1:22" s="1002" customFormat="1" hidden="1">
      <c r="A112" s="1004" t="s">
        <v>934</v>
      </c>
      <c r="B112" s="1001" t="s">
        <v>865</v>
      </c>
      <c r="C112" s="1087" t="s">
        <v>826</v>
      </c>
      <c r="D112" s="1087"/>
      <c r="F112" s="1078"/>
      <c r="H112" s="1085"/>
      <c r="I112" s="1002" t="s">
        <v>867</v>
      </c>
      <c r="J112" s="1007" t="s">
        <v>643</v>
      </c>
      <c r="K112" s="1002" t="s">
        <v>644</v>
      </c>
      <c r="L112" s="1002" t="s">
        <v>113</v>
      </c>
      <c r="M112" s="1086">
        <v>15</v>
      </c>
      <c r="N112" s="1083">
        <v>527777.78</v>
      </c>
      <c r="O112" s="1082">
        <f t="shared" si="16"/>
        <v>7916666.7000000002</v>
      </c>
      <c r="P112" s="1082">
        <f t="shared" si="14"/>
        <v>633333.33600000001</v>
      </c>
      <c r="Q112" s="1082">
        <f t="shared" si="15"/>
        <v>8550000.0360000003</v>
      </c>
      <c r="R112" s="1083"/>
      <c r="S112" s="1083"/>
      <c r="T112" s="1083"/>
      <c r="U112" s="1083"/>
      <c r="V112" s="1083">
        <f t="shared" si="9"/>
        <v>8550000.0360000003</v>
      </c>
    </row>
    <row r="113" spans="1:22" s="1002" customFormat="1" hidden="1">
      <c r="A113" s="1004" t="s">
        <v>934</v>
      </c>
      <c r="B113" s="1001" t="s">
        <v>865</v>
      </c>
      <c r="C113" s="1087" t="s">
        <v>826</v>
      </c>
      <c r="D113" s="1087"/>
      <c r="F113" s="1078"/>
      <c r="H113" s="1085"/>
      <c r="I113" s="1002" t="s">
        <v>867</v>
      </c>
      <c r="J113" s="1007" t="s">
        <v>645</v>
      </c>
      <c r="K113" s="1002" t="s">
        <v>646</v>
      </c>
      <c r="L113" s="1002" t="s">
        <v>113</v>
      </c>
      <c r="M113" s="1086">
        <v>10</v>
      </c>
      <c r="N113" s="1083">
        <v>629629.63</v>
      </c>
      <c r="O113" s="1082">
        <f t="shared" si="16"/>
        <v>6296296.2999999998</v>
      </c>
      <c r="P113" s="1082">
        <f t="shared" si="14"/>
        <v>503703.70399999997</v>
      </c>
      <c r="Q113" s="1082">
        <f t="shared" si="15"/>
        <v>6800000.0039999997</v>
      </c>
      <c r="R113" s="1083"/>
      <c r="S113" s="1083"/>
      <c r="T113" s="1083"/>
      <c r="U113" s="1083"/>
      <c r="V113" s="1083">
        <f t="shared" si="9"/>
        <v>6800000.0039999997</v>
      </c>
    </row>
    <row r="114" spans="1:22" s="1002" customFormat="1" hidden="1">
      <c r="A114" s="1004" t="s">
        <v>934</v>
      </c>
      <c r="B114" s="1001" t="s">
        <v>865</v>
      </c>
      <c r="C114" s="1087" t="s">
        <v>826</v>
      </c>
      <c r="D114" s="1087"/>
      <c r="F114" s="1078">
        <v>46310</v>
      </c>
      <c r="G114" s="1002" t="s">
        <v>1483</v>
      </c>
      <c r="H114" s="1085" t="s">
        <v>1482</v>
      </c>
      <c r="I114" s="1002" t="s">
        <v>867</v>
      </c>
      <c r="J114" s="1007" t="s">
        <v>645</v>
      </c>
      <c r="K114" s="1002" t="s">
        <v>646</v>
      </c>
      <c r="L114" s="1002" t="s">
        <v>113</v>
      </c>
      <c r="M114" s="1086">
        <v>5</v>
      </c>
      <c r="N114" s="1083">
        <v>629629.63</v>
      </c>
      <c r="O114" s="1082">
        <f t="shared" ref="O114" si="17">M114*N114</f>
        <v>3148148.15</v>
      </c>
      <c r="P114" s="1082">
        <f t="shared" ref="P114" si="18">O114*8%</f>
        <v>251851.85199999998</v>
      </c>
      <c r="Q114" s="1082">
        <f t="shared" ref="Q114" si="19">O114+P114</f>
        <v>3400000.0019999999</v>
      </c>
      <c r="R114" s="1083"/>
      <c r="S114" s="1083"/>
      <c r="T114" s="1083"/>
      <c r="U114" s="1083"/>
      <c r="V114" s="1083">
        <f t="shared" ref="V114" si="20">Q114-R114-S114-T114-U114</f>
        <v>3400000.0019999999</v>
      </c>
    </row>
    <row r="115" spans="1:22" s="1002" customFormat="1" hidden="1">
      <c r="A115" s="1004" t="s">
        <v>934</v>
      </c>
      <c r="B115" s="1001" t="s">
        <v>865</v>
      </c>
      <c r="C115" s="1087" t="s">
        <v>826</v>
      </c>
      <c r="D115" s="1087"/>
      <c r="F115" s="1078"/>
      <c r="H115" s="1085"/>
      <c r="I115" s="1002" t="s">
        <v>867</v>
      </c>
      <c r="J115" s="1007" t="s">
        <v>649</v>
      </c>
      <c r="K115" s="1008" t="s">
        <v>650</v>
      </c>
      <c r="L115" s="1002" t="s">
        <v>113</v>
      </c>
      <c r="M115" s="1086">
        <v>10</v>
      </c>
      <c r="N115" s="1083">
        <v>574074.06999999995</v>
      </c>
      <c r="O115" s="1082">
        <f t="shared" si="16"/>
        <v>5740740.6999999993</v>
      </c>
      <c r="P115" s="1082">
        <f t="shared" si="14"/>
        <v>459259.25599999994</v>
      </c>
      <c r="Q115" s="1082">
        <f t="shared" si="15"/>
        <v>6199999.9559999993</v>
      </c>
      <c r="R115" s="1083"/>
      <c r="S115" s="1083"/>
      <c r="T115" s="1083"/>
      <c r="U115" s="1083"/>
      <c r="V115" s="1083">
        <f t="shared" si="9"/>
        <v>6199999.9559999993</v>
      </c>
    </row>
    <row r="116" spans="1:22" s="1002" customFormat="1" hidden="1">
      <c r="A116" s="1004" t="s">
        <v>934</v>
      </c>
      <c r="B116" s="1001" t="s">
        <v>865</v>
      </c>
      <c r="C116" s="1087" t="s">
        <v>826</v>
      </c>
      <c r="D116" s="1087"/>
      <c r="F116" s="1078">
        <v>46310</v>
      </c>
      <c r="G116" s="1002" t="s">
        <v>1483</v>
      </c>
      <c r="H116" s="1085" t="s">
        <v>1482</v>
      </c>
      <c r="I116" s="1002" t="s">
        <v>867</v>
      </c>
      <c r="J116" s="1007" t="s">
        <v>649</v>
      </c>
      <c r="K116" s="1008" t="s">
        <v>650</v>
      </c>
      <c r="L116" s="1002" t="s">
        <v>113</v>
      </c>
      <c r="M116" s="1086">
        <v>5</v>
      </c>
      <c r="N116" s="1083">
        <v>574074.06999999995</v>
      </c>
      <c r="O116" s="1082">
        <f t="shared" ref="O116" si="21">M116*N116</f>
        <v>2870370.3499999996</v>
      </c>
      <c r="P116" s="1082">
        <f t="shared" ref="P116" si="22">O116*8%</f>
        <v>229629.62799999997</v>
      </c>
      <c r="Q116" s="1082">
        <f t="shared" ref="Q116" si="23">O116+P116</f>
        <v>3099999.9779999997</v>
      </c>
      <c r="R116" s="1083"/>
      <c r="S116" s="1083"/>
      <c r="T116" s="1083"/>
      <c r="U116" s="1083"/>
      <c r="V116" s="1083">
        <f t="shared" ref="V116" si="24">Q116-R116-S116-T116-U116</f>
        <v>3099999.9779999997</v>
      </c>
    </row>
    <row r="117" spans="1:22" s="1002" customFormat="1" hidden="1">
      <c r="A117" s="1004" t="s">
        <v>934</v>
      </c>
      <c r="B117" s="1001" t="s">
        <v>865</v>
      </c>
      <c r="C117" s="1087" t="s">
        <v>826</v>
      </c>
      <c r="D117" s="1087"/>
      <c r="F117" s="1078"/>
      <c r="H117" s="1085"/>
      <c r="I117" s="1002" t="s">
        <v>867</v>
      </c>
      <c r="J117" s="1007" t="s">
        <v>651</v>
      </c>
      <c r="K117" s="1002" t="s">
        <v>652</v>
      </c>
      <c r="L117" s="1002" t="s">
        <v>113</v>
      </c>
      <c r="M117" s="1086">
        <v>10</v>
      </c>
      <c r="N117" s="1083">
        <v>694444.44</v>
      </c>
      <c r="O117" s="1082">
        <f t="shared" si="16"/>
        <v>6944444.3999999994</v>
      </c>
      <c r="P117" s="1082">
        <f t="shared" si="14"/>
        <v>555555.55199999991</v>
      </c>
      <c r="Q117" s="1082">
        <f t="shared" si="15"/>
        <v>7499999.9519999996</v>
      </c>
      <c r="R117" s="1083"/>
      <c r="S117" s="1083"/>
      <c r="T117" s="1083"/>
      <c r="U117" s="1083"/>
      <c r="V117" s="1083">
        <f t="shared" si="9"/>
        <v>7499999.9519999996</v>
      </c>
    </row>
    <row r="118" spans="1:22" s="1002" customFormat="1" hidden="1">
      <c r="A118" s="1004" t="s">
        <v>934</v>
      </c>
      <c r="B118" s="1001" t="s">
        <v>865</v>
      </c>
      <c r="C118" s="1087" t="s">
        <v>826</v>
      </c>
      <c r="D118" s="1087"/>
      <c r="F118" s="1078">
        <v>46310</v>
      </c>
      <c r="G118" s="1002" t="s">
        <v>1483</v>
      </c>
      <c r="H118" s="1085" t="s">
        <v>1482</v>
      </c>
      <c r="I118" s="1002" t="s">
        <v>867</v>
      </c>
      <c r="J118" s="1007" t="s">
        <v>651</v>
      </c>
      <c r="K118" s="1002" t="s">
        <v>652</v>
      </c>
      <c r="L118" s="1002" t="s">
        <v>113</v>
      </c>
      <c r="M118" s="1086">
        <v>5</v>
      </c>
      <c r="N118" s="1083">
        <v>694444.44</v>
      </c>
      <c r="O118" s="1082">
        <f t="shared" ref="O118" si="25">M118*N118</f>
        <v>3472222.1999999997</v>
      </c>
      <c r="P118" s="1082">
        <f t="shared" ref="P118" si="26">O118*8%</f>
        <v>277777.77599999995</v>
      </c>
      <c r="Q118" s="1082">
        <f t="shared" ref="Q118" si="27">O118+P118</f>
        <v>3749999.9759999998</v>
      </c>
      <c r="R118" s="1083"/>
      <c r="S118" s="1083"/>
      <c r="T118" s="1083"/>
      <c r="U118" s="1083"/>
      <c r="V118" s="1083">
        <f t="shared" ref="V118" si="28">Q118-R118-S118-T118-U118</f>
        <v>3749999.9759999998</v>
      </c>
    </row>
    <row r="119" spans="1:22" s="1002" customFormat="1" hidden="1">
      <c r="A119" s="1004" t="s">
        <v>934</v>
      </c>
      <c r="B119" s="1001" t="s">
        <v>865</v>
      </c>
      <c r="C119" s="1087" t="s">
        <v>826</v>
      </c>
      <c r="D119" s="1087"/>
      <c r="F119" s="1078"/>
      <c r="H119" s="1085"/>
      <c r="I119" s="1002" t="s">
        <v>867</v>
      </c>
      <c r="J119" s="1007" t="s">
        <v>653</v>
      </c>
      <c r="K119" s="1002" t="s">
        <v>654</v>
      </c>
      <c r="L119" s="1002" t="s">
        <v>113</v>
      </c>
      <c r="M119" s="1086">
        <v>10</v>
      </c>
      <c r="N119" s="1083">
        <v>481481.48</v>
      </c>
      <c r="O119" s="1082">
        <f t="shared" si="16"/>
        <v>4814814.8</v>
      </c>
      <c r="P119" s="1082">
        <f t="shared" si="14"/>
        <v>385185.18400000001</v>
      </c>
      <c r="Q119" s="1082">
        <f t="shared" si="15"/>
        <v>5199999.9840000002</v>
      </c>
      <c r="R119" s="1083"/>
      <c r="S119" s="1083"/>
      <c r="T119" s="1083"/>
      <c r="U119" s="1083"/>
      <c r="V119" s="1083">
        <f t="shared" si="9"/>
        <v>5199999.9840000002</v>
      </c>
    </row>
    <row r="120" spans="1:22" s="1002" customFormat="1" hidden="1">
      <c r="A120" s="1004" t="s">
        <v>934</v>
      </c>
      <c r="B120" s="1001" t="s">
        <v>865</v>
      </c>
      <c r="C120" s="1087" t="s">
        <v>826</v>
      </c>
      <c r="D120" s="1087"/>
      <c r="F120" s="1078"/>
      <c r="H120" s="1085"/>
      <c r="I120" s="1002" t="s">
        <v>867</v>
      </c>
      <c r="J120" s="1007" t="s">
        <v>655</v>
      </c>
      <c r="K120" s="1002" t="s">
        <v>656</v>
      </c>
      <c r="L120" s="1002" t="s">
        <v>113</v>
      </c>
      <c r="M120" s="1086">
        <v>15</v>
      </c>
      <c r="N120" s="1083">
        <v>574074.06999999995</v>
      </c>
      <c r="O120" s="1082">
        <f t="shared" si="16"/>
        <v>8611111.0499999989</v>
      </c>
      <c r="P120" s="1082">
        <f t="shared" si="14"/>
        <v>688888.88399999996</v>
      </c>
      <c r="Q120" s="1082">
        <f t="shared" si="15"/>
        <v>9299999.9339999985</v>
      </c>
      <c r="R120" s="1083"/>
      <c r="S120" s="1083"/>
      <c r="T120" s="1083"/>
      <c r="U120" s="1083"/>
      <c r="V120" s="1083">
        <f t="shared" si="9"/>
        <v>9299999.9339999985</v>
      </c>
    </row>
    <row r="121" spans="1:22" s="1002" customFormat="1" hidden="1">
      <c r="A121" s="1004" t="s">
        <v>934</v>
      </c>
      <c r="B121" s="1001" t="s">
        <v>865</v>
      </c>
      <c r="C121" s="1087" t="s">
        <v>826</v>
      </c>
      <c r="D121" s="1087"/>
      <c r="F121" s="1078">
        <v>46310</v>
      </c>
      <c r="G121" s="1002" t="s">
        <v>1483</v>
      </c>
      <c r="H121" s="1085" t="s">
        <v>1482</v>
      </c>
      <c r="I121" s="1002" t="s">
        <v>867</v>
      </c>
      <c r="J121" s="1007" t="s">
        <v>653</v>
      </c>
      <c r="K121" s="1002" t="s">
        <v>654</v>
      </c>
      <c r="L121" s="1002" t="s">
        <v>113</v>
      </c>
      <c r="M121" s="1086">
        <v>5</v>
      </c>
      <c r="N121" s="1083">
        <v>481481.48</v>
      </c>
      <c r="O121" s="1082">
        <f t="shared" ref="O121" si="29">M121*N121</f>
        <v>2407407.4</v>
      </c>
      <c r="P121" s="1082">
        <f t="shared" ref="P121" si="30">O121*8%</f>
        <v>192592.592</v>
      </c>
      <c r="Q121" s="1082">
        <f t="shared" ref="Q121" si="31">O121+P121</f>
        <v>2599999.9920000001</v>
      </c>
      <c r="R121" s="1083"/>
      <c r="S121" s="1083"/>
      <c r="T121" s="1083"/>
      <c r="U121" s="1083"/>
      <c r="V121" s="1083">
        <f t="shared" ref="V121" si="32">Q121-R121-S121-T121-U121</f>
        <v>2599999.9920000001</v>
      </c>
    </row>
    <row r="122" spans="1:22" s="1002" customFormat="1" hidden="1">
      <c r="A122" s="1004" t="s">
        <v>934</v>
      </c>
      <c r="B122" s="1001" t="s">
        <v>865</v>
      </c>
      <c r="C122" s="1087" t="s">
        <v>826</v>
      </c>
      <c r="D122" s="1087"/>
      <c r="F122" s="1078"/>
      <c r="H122" s="1085"/>
      <c r="I122" s="1002" t="s">
        <v>867</v>
      </c>
      <c r="J122" s="1007" t="s">
        <v>647</v>
      </c>
      <c r="K122" s="1002" t="s">
        <v>648</v>
      </c>
      <c r="L122" s="1002" t="s">
        <v>113</v>
      </c>
      <c r="M122" s="1086">
        <v>10</v>
      </c>
      <c r="N122" s="1083">
        <v>601851.85</v>
      </c>
      <c r="O122" s="1082">
        <f t="shared" si="16"/>
        <v>6018518.5</v>
      </c>
      <c r="P122" s="1082">
        <f t="shared" si="14"/>
        <v>481481.48</v>
      </c>
      <c r="Q122" s="1082">
        <f t="shared" si="15"/>
        <v>6499999.9800000004</v>
      </c>
      <c r="R122" s="1083"/>
      <c r="S122" s="1083"/>
      <c r="T122" s="1083"/>
      <c r="U122" s="1083"/>
      <c r="V122" s="1083">
        <f t="shared" si="9"/>
        <v>6499999.9800000004</v>
      </c>
    </row>
    <row r="123" spans="1:22" s="1002" customFormat="1" hidden="1">
      <c r="A123" s="1004" t="s">
        <v>934</v>
      </c>
      <c r="B123" s="1001" t="s">
        <v>865</v>
      </c>
      <c r="C123" s="1087" t="s">
        <v>826</v>
      </c>
      <c r="D123" s="1087"/>
      <c r="F123" s="1078"/>
      <c r="H123" s="1085"/>
      <c r="I123" s="1002" t="s">
        <v>867</v>
      </c>
      <c r="J123" s="1007" t="s">
        <v>639</v>
      </c>
      <c r="K123" s="1002" t="s">
        <v>640</v>
      </c>
      <c r="L123" s="1002" t="s">
        <v>113</v>
      </c>
      <c r="M123" s="1086">
        <v>1</v>
      </c>
      <c r="N123" s="1083">
        <v>0</v>
      </c>
      <c r="O123" s="1082">
        <f t="shared" si="16"/>
        <v>0</v>
      </c>
      <c r="P123" s="1082">
        <f t="shared" si="14"/>
        <v>0</v>
      </c>
      <c r="Q123" s="1082">
        <f t="shared" si="15"/>
        <v>0</v>
      </c>
      <c r="R123" s="1083"/>
      <c r="S123" s="1083"/>
      <c r="T123" s="1083"/>
      <c r="U123" s="1083"/>
      <c r="V123" s="1083">
        <f t="shared" si="9"/>
        <v>0</v>
      </c>
    </row>
    <row r="124" spans="1:22" s="1002" customFormat="1" hidden="1">
      <c r="A124" s="1004" t="s">
        <v>934</v>
      </c>
      <c r="B124" s="1001" t="s">
        <v>865</v>
      </c>
      <c r="C124" s="1087" t="s">
        <v>826</v>
      </c>
      <c r="D124" s="1087"/>
      <c r="F124" s="1078"/>
      <c r="H124" s="1085"/>
      <c r="I124" s="1002" t="s">
        <v>867</v>
      </c>
      <c r="J124" s="1007" t="s">
        <v>641</v>
      </c>
      <c r="K124" s="1002" t="s">
        <v>657</v>
      </c>
      <c r="L124" s="1002" t="s">
        <v>113</v>
      </c>
      <c r="M124" s="1086">
        <v>1</v>
      </c>
      <c r="N124" s="1083">
        <v>0</v>
      </c>
      <c r="O124" s="1082">
        <f t="shared" si="16"/>
        <v>0</v>
      </c>
      <c r="P124" s="1082">
        <f t="shared" si="14"/>
        <v>0</v>
      </c>
      <c r="Q124" s="1082">
        <f t="shared" si="15"/>
        <v>0</v>
      </c>
      <c r="R124" s="1083"/>
      <c r="S124" s="1083"/>
      <c r="T124" s="1083"/>
      <c r="U124" s="1083"/>
      <c r="V124" s="1083">
        <f t="shared" si="9"/>
        <v>0</v>
      </c>
    </row>
    <row r="125" spans="1:22" s="1002" customFormat="1" hidden="1">
      <c r="A125" s="1004" t="s">
        <v>934</v>
      </c>
      <c r="B125" s="1001" t="s">
        <v>865</v>
      </c>
      <c r="C125" s="1087" t="s">
        <v>826</v>
      </c>
      <c r="D125" s="1087"/>
      <c r="F125" s="1078"/>
      <c r="H125" s="1085"/>
      <c r="I125" s="1002" t="s">
        <v>867</v>
      </c>
      <c r="J125" s="1007" t="s">
        <v>643</v>
      </c>
      <c r="K125" s="1002" t="s">
        <v>644</v>
      </c>
      <c r="L125" s="1002" t="s">
        <v>113</v>
      </c>
      <c r="M125" s="1086">
        <v>1</v>
      </c>
      <c r="N125" s="1083">
        <v>0</v>
      </c>
      <c r="O125" s="1082">
        <f t="shared" si="16"/>
        <v>0</v>
      </c>
      <c r="P125" s="1082">
        <f t="shared" si="14"/>
        <v>0</v>
      </c>
      <c r="Q125" s="1082">
        <f t="shared" si="15"/>
        <v>0</v>
      </c>
      <c r="R125" s="1083"/>
      <c r="S125" s="1083"/>
      <c r="T125" s="1083"/>
      <c r="U125" s="1083"/>
      <c r="V125" s="1083">
        <f t="shared" si="9"/>
        <v>0</v>
      </c>
    </row>
    <row r="126" spans="1:22" s="1002" customFormat="1" hidden="1">
      <c r="A126" s="1004" t="s">
        <v>934</v>
      </c>
      <c r="B126" s="1001" t="s">
        <v>865</v>
      </c>
      <c r="C126" s="1087" t="s">
        <v>826</v>
      </c>
      <c r="D126" s="1087"/>
      <c r="F126" s="1078">
        <v>46310</v>
      </c>
      <c r="G126" s="1002" t="s">
        <v>1483</v>
      </c>
      <c r="H126" s="1085" t="s">
        <v>1482</v>
      </c>
      <c r="I126" s="1002" t="s">
        <v>867</v>
      </c>
      <c r="J126" s="1007" t="s">
        <v>647</v>
      </c>
      <c r="K126" s="1002" t="s">
        <v>648</v>
      </c>
      <c r="L126" s="1002" t="s">
        <v>113</v>
      </c>
      <c r="M126" s="1086">
        <v>5</v>
      </c>
      <c r="N126" s="1083">
        <v>601851.85</v>
      </c>
      <c r="O126" s="1082">
        <f t="shared" ref="O126" si="33">M126*N126</f>
        <v>3009259.25</v>
      </c>
      <c r="P126" s="1082">
        <f t="shared" ref="P126" si="34">O126*8%</f>
        <v>240740.74</v>
      </c>
      <c r="Q126" s="1082">
        <f t="shared" ref="Q126" si="35">O126+P126</f>
        <v>3249999.99</v>
      </c>
      <c r="R126" s="1083"/>
      <c r="S126" s="1083"/>
      <c r="T126" s="1083"/>
      <c r="U126" s="1083"/>
      <c r="V126" s="1083">
        <f t="shared" ref="V126" si="36">Q126-R126-S126-T126-U126</f>
        <v>3249999.99</v>
      </c>
    </row>
    <row r="127" spans="1:22" s="1002" customFormat="1" hidden="1">
      <c r="A127" s="1004" t="s">
        <v>934</v>
      </c>
      <c r="B127" s="1001" t="s">
        <v>865</v>
      </c>
      <c r="C127" s="1087" t="s">
        <v>826</v>
      </c>
      <c r="D127" s="1087"/>
      <c r="F127" s="1078"/>
      <c r="H127" s="1085"/>
      <c r="I127" s="1002" t="s">
        <v>867</v>
      </c>
      <c r="J127" s="1007" t="s">
        <v>645</v>
      </c>
      <c r="K127" s="1002" t="s">
        <v>646</v>
      </c>
      <c r="L127" s="1002" t="s">
        <v>113</v>
      </c>
      <c r="M127" s="1086">
        <v>1</v>
      </c>
      <c r="N127" s="1083">
        <v>0</v>
      </c>
      <c r="O127" s="1082">
        <f t="shared" si="16"/>
        <v>0</v>
      </c>
      <c r="P127" s="1082">
        <f t="shared" si="14"/>
        <v>0</v>
      </c>
      <c r="Q127" s="1082">
        <f t="shared" si="15"/>
        <v>0</v>
      </c>
      <c r="R127" s="1083"/>
      <c r="S127" s="1083"/>
      <c r="T127" s="1083"/>
      <c r="U127" s="1083"/>
      <c r="V127" s="1083">
        <f t="shared" si="9"/>
        <v>0</v>
      </c>
    </row>
    <row r="128" spans="1:22" s="1002" customFormat="1" hidden="1">
      <c r="A128" s="1004" t="s">
        <v>934</v>
      </c>
      <c r="B128" s="1001" t="s">
        <v>865</v>
      </c>
      <c r="C128" s="1087" t="s">
        <v>826</v>
      </c>
      <c r="D128" s="1087"/>
      <c r="F128" s="1078"/>
      <c r="H128" s="1085"/>
      <c r="I128" s="1002" t="s">
        <v>867</v>
      </c>
      <c r="J128" s="1007" t="s">
        <v>649</v>
      </c>
      <c r="K128" s="1008" t="s">
        <v>650</v>
      </c>
      <c r="L128" s="1002" t="s">
        <v>113</v>
      </c>
      <c r="M128" s="1086">
        <v>1</v>
      </c>
      <c r="N128" s="1083">
        <v>0</v>
      </c>
      <c r="O128" s="1082">
        <f t="shared" si="16"/>
        <v>0</v>
      </c>
      <c r="P128" s="1082">
        <f t="shared" si="14"/>
        <v>0</v>
      </c>
      <c r="Q128" s="1082">
        <f t="shared" si="15"/>
        <v>0</v>
      </c>
      <c r="R128" s="1083"/>
      <c r="S128" s="1083"/>
      <c r="T128" s="1083"/>
      <c r="U128" s="1083"/>
      <c r="V128" s="1083">
        <f t="shared" si="9"/>
        <v>0</v>
      </c>
    </row>
    <row r="129" spans="1:22" s="1002" customFormat="1" hidden="1">
      <c r="A129" s="1004" t="s">
        <v>934</v>
      </c>
      <c r="B129" s="1001" t="s">
        <v>865</v>
      </c>
      <c r="C129" s="1087" t="s">
        <v>826</v>
      </c>
      <c r="D129" s="1087"/>
      <c r="F129" s="1078"/>
      <c r="H129" s="1085"/>
      <c r="I129" s="1002" t="s">
        <v>867</v>
      </c>
      <c r="J129" s="1007" t="s">
        <v>651</v>
      </c>
      <c r="K129" s="1002" t="s">
        <v>652</v>
      </c>
      <c r="L129" s="1002" t="s">
        <v>113</v>
      </c>
      <c r="M129" s="1086">
        <v>1</v>
      </c>
      <c r="N129" s="1083">
        <v>0</v>
      </c>
      <c r="O129" s="1082">
        <f t="shared" si="16"/>
        <v>0</v>
      </c>
      <c r="P129" s="1082">
        <f t="shared" si="14"/>
        <v>0</v>
      </c>
      <c r="Q129" s="1082">
        <f t="shared" si="15"/>
        <v>0</v>
      </c>
      <c r="R129" s="1083"/>
      <c r="S129" s="1083"/>
      <c r="T129" s="1083"/>
      <c r="U129" s="1083"/>
      <c r="V129" s="1083">
        <f t="shared" si="9"/>
        <v>0</v>
      </c>
    </row>
    <row r="130" spans="1:22" s="1002" customFormat="1" hidden="1">
      <c r="A130" s="1004" t="s">
        <v>934</v>
      </c>
      <c r="B130" s="1001" t="s">
        <v>865</v>
      </c>
      <c r="C130" s="1087" t="s">
        <v>826</v>
      </c>
      <c r="D130" s="1087"/>
      <c r="F130" s="1078"/>
      <c r="H130" s="1085"/>
      <c r="I130" s="1002" t="s">
        <v>867</v>
      </c>
      <c r="J130" s="1007" t="s">
        <v>653</v>
      </c>
      <c r="K130" s="1002" t="s">
        <v>654</v>
      </c>
      <c r="L130" s="1002" t="s">
        <v>113</v>
      </c>
      <c r="M130" s="1086">
        <v>1</v>
      </c>
      <c r="N130" s="1083">
        <v>0</v>
      </c>
      <c r="O130" s="1082">
        <f t="shared" si="16"/>
        <v>0</v>
      </c>
      <c r="P130" s="1082">
        <f t="shared" si="14"/>
        <v>0</v>
      </c>
      <c r="Q130" s="1082">
        <f t="shared" si="15"/>
        <v>0</v>
      </c>
      <c r="R130" s="1083"/>
      <c r="S130" s="1083"/>
      <c r="T130" s="1083"/>
      <c r="U130" s="1083"/>
      <c r="V130" s="1083">
        <f t="shared" si="9"/>
        <v>0</v>
      </c>
    </row>
    <row r="131" spans="1:22" s="1002" customFormat="1" hidden="1">
      <c r="A131" s="1004" t="s">
        <v>934</v>
      </c>
      <c r="B131" s="1001" t="s">
        <v>865</v>
      </c>
      <c r="C131" s="1087" t="s">
        <v>826</v>
      </c>
      <c r="D131" s="1087"/>
      <c r="F131" s="1078"/>
      <c r="H131" s="1085"/>
      <c r="I131" s="1002" t="s">
        <v>867</v>
      </c>
      <c r="J131" s="1007" t="s">
        <v>655</v>
      </c>
      <c r="K131" s="1002" t="s">
        <v>656</v>
      </c>
      <c r="L131" s="1002" t="s">
        <v>113</v>
      </c>
      <c r="M131" s="1086">
        <v>1</v>
      </c>
      <c r="N131" s="1083">
        <v>0</v>
      </c>
      <c r="O131" s="1082">
        <f t="shared" si="16"/>
        <v>0</v>
      </c>
      <c r="P131" s="1082">
        <f t="shared" si="14"/>
        <v>0</v>
      </c>
      <c r="Q131" s="1082">
        <f t="shared" si="15"/>
        <v>0</v>
      </c>
      <c r="R131" s="1083"/>
      <c r="S131" s="1083"/>
      <c r="T131" s="1083"/>
      <c r="U131" s="1083"/>
      <c r="V131" s="1083">
        <f t="shared" si="9"/>
        <v>0</v>
      </c>
    </row>
    <row r="132" spans="1:22" s="1002" customFormat="1" hidden="1">
      <c r="A132" s="1004" t="s">
        <v>934</v>
      </c>
      <c r="B132" s="1001" t="s">
        <v>865</v>
      </c>
      <c r="C132" s="1087" t="s">
        <v>826</v>
      </c>
      <c r="D132" s="1087"/>
      <c r="F132" s="1078"/>
      <c r="H132" s="1085"/>
      <c r="I132" s="1002" t="s">
        <v>867</v>
      </c>
      <c r="J132" s="1007" t="s">
        <v>647</v>
      </c>
      <c r="K132" s="1002" t="s">
        <v>648</v>
      </c>
      <c r="L132" s="1002" t="s">
        <v>113</v>
      </c>
      <c r="M132" s="1086">
        <v>1</v>
      </c>
      <c r="N132" s="1083">
        <v>0</v>
      </c>
      <c r="O132" s="1082">
        <f t="shared" si="16"/>
        <v>0</v>
      </c>
      <c r="P132" s="1082">
        <f t="shared" si="14"/>
        <v>0</v>
      </c>
      <c r="Q132" s="1082">
        <f t="shared" si="15"/>
        <v>0</v>
      </c>
      <c r="R132" s="1083"/>
      <c r="S132" s="1083"/>
      <c r="T132" s="1083"/>
      <c r="U132" s="1083"/>
      <c r="V132" s="1083">
        <f t="shared" si="9"/>
        <v>0</v>
      </c>
    </row>
    <row r="133" spans="1:22" s="1002" customFormat="1" hidden="1">
      <c r="A133" s="1004" t="s">
        <v>934</v>
      </c>
      <c r="B133" s="1001" t="s">
        <v>865</v>
      </c>
      <c r="C133" s="1089" t="s">
        <v>827</v>
      </c>
      <c r="D133" s="1089"/>
      <c r="F133" s="1078"/>
      <c r="H133" s="1085"/>
      <c r="I133" s="1002" t="s">
        <v>844</v>
      </c>
      <c r="J133" s="1007"/>
      <c r="M133" s="1086"/>
      <c r="N133" s="1083"/>
      <c r="O133" s="1082">
        <f t="shared" si="16"/>
        <v>0</v>
      </c>
      <c r="P133" s="1082">
        <f t="shared" si="14"/>
        <v>0</v>
      </c>
      <c r="Q133" s="1082">
        <f t="shared" si="15"/>
        <v>0</v>
      </c>
      <c r="R133" s="1083">
        <v>50000000</v>
      </c>
      <c r="S133" s="1083"/>
      <c r="T133" s="1083"/>
      <c r="U133" s="1083"/>
      <c r="V133" s="1083">
        <f t="shared" si="9"/>
        <v>-50000000</v>
      </c>
    </row>
    <row r="134" spans="1:22" s="1002" customFormat="1">
      <c r="A134" s="1007" t="s">
        <v>944</v>
      </c>
      <c r="B134" s="1001" t="s">
        <v>869</v>
      </c>
      <c r="C134" s="1078" t="s">
        <v>140</v>
      </c>
      <c r="D134" s="1078"/>
      <c r="F134" s="1090">
        <v>46116</v>
      </c>
      <c r="H134" s="1085" t="s">
        <v>441</v>
      </c>
      <c r="I134" s="1002" t="s">
        <v>870</v>
      </c>
      <c r="J134" s="1007" t="s">
        <v>204</v>
      </c>
      <c r="K134" s="1002" t="s">
        <v>269</v>
      </c>
      <c r="L134" s="1002" t="s">
        <v>277</v>
      </c>
      <c r="M134" s="1086">
        <v>2</v>
      </c>
      <c r="N134" s="1083">
        <v>480555.56</v>
      </c>
      <c r="O134" s="1083">
        <f>M134*N134</f>
        <v>961111.12</v>
      </c>
      <c r="P134" s="1082">
        <f t="shared" si="14"/>
        <v>76888.889599999995</v>
      </c>
      <c r="Q134" s="1082">
        <f t="shared" si="15"/>
        <v>1038000.0096</v>
      </c>
      <c r="R134" s="1083"/>
      <c r="S134" s="1083"/>
      <c r="T134" s="1083"/>
      <c r="U134" s="1083"/>
      <c r="V134" s="1083">
        <f t="shared" ref="V134:V135" si="37">Q134-R134-S134-T134-U134</f>
        <v>1038000.0096</v>
      </c>
    </row>
    <row r="135" spans="1:22" s="1002" customFormat="1">
      <c r="A135" s="1007" t="s">
        <v>944</v>
      </c>
      <c r="B135" s="1001" t="s">
        <v>869</v>
      </c>
      <c r="C135" s="1078" t="s">
        <v>140</v>
      </c>
      <c r="D135" s="1078"/>
      <c r="F135" s="1090">
        <v>46116</v>
      </c>
      <c r="H135" s="1085" t="s">
        <v>441</v>
      </c>
      <c r="I135" s="1002" t="s">
        <v>870</v>
      </c>
      <c r="J135" s="1007" t="s">
        <v>208</v>
      </c>
      <c r="K135" s="1005" t="s">
        <v>209</v>
      </c>
      <c r="L135" s="1002" t="s">
        <v>277</v>
      </c>
      <c r="M135" s="1086">
        <v>2</v>
      </c>
      <c r="N135" s="1083">
        <v>647222.22</v>
      </c>
      <c r="O135" s="1083">
        <f t="shared" ref="O135:O158" si="38">M135*N135</f>
        <v>1294444.44</v>
      </c>
      <c r="P135" s="1082">
        <f t="shared" si="14"/>
        <v>103555.5552</v>
      </c>
      <c r="Q135" s="1082">
        <f t="shared" si="15"/>
        <v>1397999.9952</v>
      </c>
      <c r="R135" s="1083"/>
      <c r="S135" s="1083"/>
      <c r="T135" s="1083"/>
      <c r="U135" s="1083"/>
      <c r="V135" s="1083">
        <f t="shared" si="37"/>
        <v>1397999.9952</v>
      </c>
    </row>
    <row r="136" spans="1:22" s="1002" customFormat="1">
      <c r="A136" s="1007" t="s">
        <v>944</v>
      </c>
      <c r="B136" s="1001" t="s">
        <v>869</v>
      </c>
      <c r="C136" s="1078" t="s">
        <v>140</v>
      </c>
      <c r="D136" s="1078"/>
      <c r="F136" s="1090">
        <v>46116</v>
      </c>
      <c r="H136" s="1085" t="s">
        <v>441</v>
      </c>
      <c r="I136" s="1002" t="s">
        <v>870</v>
      </c>
      <c r="J136" s="1007" t="s">
        <v>77</v>
      </c>
      <c r="K136" s="1002" t="s">
        <v>78</v>
      </c>
      <c r="L136" s="1002" t="s">
        <v>277</v>
      </c>
      <c r="M136" s="1086">
        <v>10</v>
      </c>
      <c r="N136" s="1083">
        <v>324074.07</v>
      </c>
      <c r="O136" s="1083">
        <f t="shared" si="38"/>
        <v>3240740.7</v>
      </c>
      <c r="P136" s="1082">
        <f t="shared" si="14"/>
        <v>259259.25600000002</v>
      </c>
      <c r="Q136" s="1082">
        <f t="shared" si="15"/>
        <v>3499999.9560000002</v>
      </c>
      <c r="R136" s="1083"/>
      <c r="S136" s="1083"/>
      <c r="T136" s="1083"/>
      <c r="U136" s="1083"/>
      <c r="V136" s="1083">
        <f t="shared" ref="V136:V199" si="39">Q136-R136-S136-T136-U136</f>
        <v>3499999.9560000002</v>
      </c>
    </row>
    <row r="137" spans="1:22" s="1002" customFormat="1">
      <c r="A137" s="1007" t="s">
        <v>944</v>
      </c>
      <c r="B137" s="1001" t="s">
        <v>869</v>
      </c>
      <c r="C137" s="1078" t="s">
        <v>140</v>
      </c>
      <c r="D137" s="1078"/>
      <c r="F137" s="1090">
        <v>46116</v>
      </c>
      <c r="H137" s="1085" t="s">
        <v>441</v>
      </c>
      <c r="I137" s="1002" t="s">
        <v>870</v>
      </c>
      <c r="J137" s="1007" t="s">
        <v>80</v>
      </c>
      <c r="K137" s="1002" t="s">
        <v>81</v>
      </c>
      <c r="L137" s="1002" t="s">
        <v>113</v>
      </c>
      <c r="M137" s="1086">
        <v>6</v>
      </c>
      <c r="N137" s="1083">
        <v>824074.07</v>
      </c>
      <c r="O137" s="1083">
        <f t="shared" si="38"/>
        <v>4944444.42</v>
      </c>
      <c r="P137" s="1082">
        <f t="shared" si="14"/>
        <v>395555.55359999998</v>
      </c>
      <c r="Q137" s="1082">
        <f t="shared" si="15"/>
        <v>5339999.9736000001</v>
      </c>
      <c r="R137" s="1083"/>
      <c r="S137" s="1083"/>
      <c r="T137" s="1083"/>
      <c r="U137" s="1083"/>
      <c r="V137" s="1083">
        <f t="shared" si="39"/>
        <v>5339999.9736000001</v>
      </c>
    </row>
    <row r="138" spans="1:22" s="1002" customFormat="1">
      <c r="A138" s="1007" t="s">
        <v>944</v>
      </c>
      <c r="B138" s="1001" t="s">
        <v>869</v>
      </c>
      <c r="C138" s="1078" t="s">
        <v>140</v>
      </c>
      <c r="D138" s="1078"/>
      <c r="F138" s="1090">
        <v>46116</v>
      </c>
      <c r="H138" s="1085" t="s">
        <v>441</v>
      </c>
      <c r="I138" s="1002" t="s">
        <v>870</v>
      </c>
      <c r="J138" s="1007" t="s">
        <v>21</v>
      </c>
      <c r="K138" s="1002" t="s">
        <v>22</v>
      </c>
      <c r="L138" s="1002" t="s">
        <v>113</v>
      </c>
      <c r="M138" s="1086">
        <v>6</v>
      </c>
      <c r="N138" s="1083">
        <v>937962.96</v>
      </c>
      <c r="O138" s="1083">
        <f t="shared" si="38"/>
        <v>5627777.7599999998</v>
      </c>
      <c r="P138" s="1082">
        <f t="shared" si="14"/>
        <v>450222.22080000001</v>
      </c>
      <c r="Q138" s="1082">
        <f t="shared" si="15"/>
        <v>6077999.9808</v>
      </c>
      <c r="R138" s="1083"/>
      <c r="S138" s="1083"/>
      <c r="T138" s="1083"/>
      <c r="U138" s="1083"/>
      <c r="V138" s="1083">
        <f t="shared" si="39"/>
        <v>6077999.9808</v>
      </c>
    </row>
    <row r="139" spans="1:22" s="1002" customFormat="1">
      <c r="A139" s="1007" t="s">
        <v>944</v>
      </c>
      <c r="B139" s="1001" t="s">
        <v>869</v>
      </c>
      <c r="C139" s="1078" t="s">
        <v>140</v>
      </c>
      <c r="D139" s="1078"/>
      <c r="F139" s="1090">
        <v>46116</v>
      </c>
      <c r="H139" s="1085" t="s">
        <v>441</v>
      </c>
      <c r="I139" s="1002" t="s">
        <v>870</v>
      </c>
      <c r="J139" s="1007" t="s">
        <v>30</v>
      </c>
      <c r="K139" s="1002" t="s">
        <v>31</v>
      </c>
      <c r="L139" s="1002" t="s">
        <v>113</v>
      </c>
      <c r="M139" s="1086">
        <v>20</v>
      </c>
      <c r="N139" s="1083">
        <v>259259.26</v>
      </c>
      <c r="O139" s="1083">
        <f t="shared" si="38"/>
        <v>5185185.2</v>
      </c>
      <c r="P139" s="1082">
        <f t="shared" si="14"/>
        <v>414814.81600000005</v>
      </c>
      <c r="Q139" s="1082">
        <f t="shared" si="15"/>
        <v>5600000.0159999998</v>
      </c>
      <c r="R139" s="1083"/>
      <c r="S139" s="1083"/>
      <c r="T139" s="1083"/>
      <c r="U139" s="1083"/>
      <c r="V139" s="1083">
        <f t="shared" si="39"/>
        <v>5600000.0159999998</v>
      </c>
    </row>
    <row r="140" spans="1:22" s="1002" customFormat="1">
      <c r="A140" s="1007" t="s">
        <v>944</v>
      </c>
      <c r="B140" s="1001" t="s">
        <v>869</v>
      </c>
      <c r="C140" s="1078" t="s">
        <v>140</v>
      </c>
      <c r="D140" s="1078"/>
      <c r="F140" s="1090">
        <v>46116</v>
      </c>
      <c r="H140" s="1085" t="s">
        <v>441</v>
      </c>
      <c r="I140" s="1002" t="s">
        <v>870</v>
      </c>
      <c r="J140" s="1007" t="s">
        <v>38</v>
      </c>
      <c r="K140" s="1002" t="s">
        <v>39</v>
      </c>
      <c r="L140" s="1002" t="s">
        <v>113</v>
      </c>
      <c r="M140" s="1086">
        <v>30</v>
      </c>
      <c r="N140" s="1083">
        <v>277777.78000000003</v>
      </c>
      <c r="O140" s="1083">
        <f t="shared" si="38"/>
        <v>8333333.4000000004</v>
      </c>
      <c r="P140" s="1082">
        <f t="shared" si="14"/>
        <v>666666.67200000002</v>
      </c>
      <c r="Q140" s="1082">
        <f t="shared" si="15"/>
        <v>9000000.0720000006</v>
      </c>
      <c r="R140" s="1083"/>
      <c r="S140" s="1083"/>
      <c r="T140" s="1083"/>
      <c r="U140" s="1083"/>
      <c r="V140" s="1083">
        <f t="shared" si="39"/>
        <v>9000000.0720000006</v>
      </c>
    </row>
    <row r="141" spans="1:22" s="1002" customFormat="1">
      <c r="A141" s="1007" t="s">
        <v>944</v>
      </c>
      <c r="B141" s="1001" t="s">
        <v>869</v>
      </c>
      <c r="C141" s="1078" t="s">
        <v>140</v>
      </c>
      <c r="D141" s="1078"/>
      <c r="F141" s="1090">
        <v>46116</v>
      </c>
      <c r="H141" s="1085" t="s">
        <v>441</v>
      </c>
      <c r="I141" s="1002" t="s">
        <v>870</v>
      </c>
      <c r="J141" s="1007" t="s">
        <v>42</v>
      </c>
      <c r="K141" s="1002" t="s">
        <v>43</v>
      </c>
      <c r="L141" s="1002" t="s">
        <v>113</v>
      </c>
      <c r="M141" s="1086">
        <v>6</v>
      </c>
      <c r="N141" s="1083">
        <v>569444.43999999994</v>
      </c>
      <c r="O141" s="1083">
        <f t="shared" si="38"/>
        <v>3416666.6399999997</v>
      </c>
      <c r="P141" s="1082">
        <f t="shared" si="14"/>
        <v>273333.33119999996</v>
      </c>
      <c r="Q141" s="1082">
        <f t="shared" si="15"/>
        <v>3689999.9711999996</v>
      </c>
      <c r="R141" s="1083"/>
      <c r="S141" s="1083"/>
      <c r="T141" s="1083"/>
      <c r="U141" s="1083"/>
      <c r="V141" s="1083">
        <f t="shared" si="39"/>
        <v>3689999.9711999996</v>
      </c>
    </row>
    <row r="142" spans="1:22" s="1002" customFormat="1">
      <c r="A142" s="1007" t="s">
        <v>944</v>
      </c>
      <c r="B142" s="1001" t="s">
        <v>869</v>
      </c>
      <c r="C142" s="1078" t="s">
        <v>140</v>
      </c>
      <c r="D142" s="1078"/>
      <c r="F142" s="1090">
        <v>46116</v>
      </c>
      <c r="H142" s="1085" t="s">
        <v>441</v>
      </c>
      <c r="I142" s="1002" t="s">
        <v>870</v>
      </c>
      <c r="J142" s="1007" t="s">
        <v>44</v>
      </c>
      <c r="K142" s="1002" t="s">
        <v>45</v>
      </c>
      <c r="L142" s="1002" t="s">
        <v>113</v>
      </c>
      <c r="M142" s="1086">
        <v>6</v>
      </c>
      <c r="N142" s="1083">
        <v>564814.81000000006</v>
      </c>
      <c r="O142" s="1083">
        <f t="shared" si="38"/>
        <v>3388888.8600000003</v>
      </c>
      <c r="P142" s="1082">
        <f t="shared" si="14"/>
        <v>271111.10880000005</v>
      </c>
      <c r="Q142" s="1082">
        <f t="shared" si="15"/>
        <v>3659999.9688000004</v>
      </c>
      <c r="R142" s="1083"/>
      <c r="S142" s="1083"/>
      <c r="T142" s="1083"/>
      <c r="U142" s="1083"/>
      <c r="V142" s="1083">
        <f t="shared" si="39"/>
        <v>3659999.9688000004</v>
      </c>
    </row>
    <row r="143" spans="1:22" s="1002" customFormat="1">
      <c r="A143" s="1007" t="s">
        <v>944</v>
      </c>
      <c r="B143" s="1001" t="s">
        <v>869</v>
      </c>
      <c r="C143" s="1078" t="s">
        <v>140</v>
      </c>
      <c r="D143" s="1078"/>
      <c r="F143" s="1090">
        <v>46116</v>
      </c>
      <c r="H143" s="1085" t="s">
        <v>441</v>
      </c>
      <c r="I143" s="1002" t="s">
        <v>870</v>
      </c>
      <c r="J143" s="1007" t="s">
        <v>148</v>
      </c>
      <c r="K143" s="1002" t="s">
        <v>149</v>
      </c>
      <c r="L143" s="1002" t="s">
        <v>113</v>
      </c>
      <c r="M143" s="1086">
        <v>6</v>
      </c>
      <c r="N143" s="1083">
        <v>358333.33</v>
      </c>
      <c r="O143" s="1083">
        <f t="shared" si="38"/>
        <v>2149999.98</v>
      </c>
      <c r="P143" s="1082">
        <f t="shared" si="14"/>
        <v>171999.99840000001</v>
      </c>
      <c r="Q143" s="1082">
        <f t="shared" si="15"/>
        <v>2321999.9783999999</v>
      </c>
      <c r="R143" s="1083"/>
      <c r="S143" s="1083"/>
      <c r="T143" s="1083"/>
      <c r="U143" s="1083"/>
      <c r="V143" s="1083">
        <f t="shared" si="39"/>
        <v>2321999.9783999999</v>
      </c>
    </row>
    <row r="144" spans="1:22" s="1002" customFormat="1">
      <c r="A144" s="1007" t="s">
        <v>944</v>
      </c>
      <c r="B144" s="1001" t="s">
        <v>869</v>
      </c>
      <c r="C144" s="1078" t="s">
        <v>140</v>
      </c>
      <c r="D144" s="1078"/>
      <c r="F144" s="1090">
        <v>46116</v>
      </c>
      <c r="H144" s="1085" t="s">
        <v>441</v>
      </c>
      <c r="I144" s="1002" t="s">
        <v>870</v>
      </c>
      <c r="J144" s="1007" t="s">
        <v>192</v>
      </c>
      <c r="K144" s="1002" t="s">
        <v>193</v>
      </c>
      <c r="L144" s="1002" t="s">
        <v>113</v>
      </c>
      <c r="M144" s="1086">
        <v>6</v>
      </c>
      <c r="N144" s="1083">
        <v>398148.15</v>
      </c>
      <c r="O144" s="1083">
        <f t="shared" si="38"/>
        <v>2388888.9000000004</v>
      </c>
      <c r="P144" s="1082">
        <f t="shared" si="14"/>
        <v>191111.11200000002</v>
      </c>
      <c r="Q144" s="1082">
        <f t="shared" si="15"/>
        <v>2580000.0120000006</v>
      </c>
      <c r="R144" s="1083"/>
      <c r="S144" s="1083"/>
      <c r="T144" s="1083"/>
      <c r="U144" s="1083"/>
      <c r="V144" s="1083">
        <f t="shared" si="39"/>
        <v>2580000.0120000006</v>
      </c>
    </row>
    <row r="145" spans="1:22" s="1002" customFormat="1">
      <c r="A145" s="1007" t="s">
        <v>944</v>
      </c>
      <c r="B145" s="1001" t="s">
        <v>869</v>
      </c>
      <c r="C145" s="1078" t="s">
        <v>140</v>
      </c>
      <c r="D145" s="1078"/>
      <c r="F145" s="1090">
        <v>46116</v>
      </c>
      <c r="H145" s="1085" t="s">
        <v>441</v>
      </c>
      <c r="I145" s="1002" t="s">
        <v>870</v>
      </c>
      <c r="J145" s="1007" t="s">
        <v>16</v>
      </c>
      <c r="K145" s="1002" t="s">
        <v>17</v>
      </c>
      <c r="L145" s="1002" t="s">
        <v>113</v>
      </c>
      <c r="M145" s="1086">
        <v>4</v>
      </c>
      <c r="N145" s="1083">
        <v>851851.85</v>
      </c>
      <c r="O145" s="1083">
        <f t="shared" si="38"/>
        <v>3407407.4</v>
      </c>
      <c r="P145" s="1082">
        <f t="shared" si="14"/>
        <v>272592.592</v>
      </c>
      <c r="Q145" s="1082">
        <f t="shared" si="15"/>
        <v>3679999.9920000001</v>
      </c>
      <c r="R145" s="1083"/>
      <c r="S145" s="1083"/>
      <c r="T145" s="1083"/>
      <c r="U145" s="1083"/>
      <c r="V145" s="1083">
        <f t="shared" si="39"/>
        <v>3679999.9920000001</v>
      </c>
    </row>
    <row r="146" spans="1:22" s="1002" customFormat="1">
      <c r="A146" s="1007" t="s">
        <v>944</v>
      </c>
      <c r="B146" s="1001" t="s">
        <v>869</v>
      </c>
      <c r="C146" s="1078" t="s">
        <v>140</v>
      </c>
      <c r="D146" s="1078"/>
      <c r="F146" s="1090">
        <v>46116</v>
      </c>
      <c r="H146" s="1085" t="s">
        <v>441</v>
      </c>
      <c r="I146" s="1002" t="s">
        <v>870</v>
      </c>
      <c r="J146" s="1007" t="s">
        <v>74</v>
      </c>
      <c r="K146" s="1002" t="s">
        <v>141</v>
      </c>
      <c r="L146" s="1002" t="s">
        <v>113</v>
      </c>
      <c r="M146" s="1086">
        <v>8</v>
      </c>
      <c r="N146" s="1083">
        <v>361111.11</v>
      </c>
      <c r="O146" s="1083">
        <f t="shared" si="38"/>
        <v>2888888.88</v>
      </c>
      <c r="P146" s="1082">
        <f t="shared" si="14"/>
        <v>231111.11040000001</v>
      </c>
      <c r="Q146" s="1082">
        <f t="shared" si="15"/>
        <v>3119999.9904</v>
      </c>
      <c r="R146" s="1083"/>
      <c r="S146" s="1083"/>
      <c r="T146" s="1083"/>
      <c r="U146" s="1083"/>
      <c r="V146" s="1083">
        <f t="shared" si="39"/>
        <v>3119999.9904</v>
      </c>
    </row>
    <row r="147" spans="1:22" s="1002" customFormat="1">
      <c r="A147" s="1007" t="s">
        <v>944</v>
      </c>
      <c r="B147" s="1001" t="s">
        <v>869</v>
      </c>
      <c r="C147" s="1078" t="s">
        <v>140</v>
      </c>
      <c r="D147" s="1078"/>
      <c r="F147" s="1090">
        <v>46116</v>
      </c>
      <c r="H147" s="1085" t="s">
        <v>441</v>
      </c>
      <c r="I147" s="1002" t="s">
        <v>870</v>
      </c>
      <c r="J147" s="1007" t="s">
        <v>127</v>
      </c>
      <c r="K147" s="1002" t="s">
        <v>128</v>
      </c>
      <c r="L147" s="1002" t="s">
        <v>113</v>
      </c>
      <c r="M147" s="1086">
        <v>24</v>
      </c>
      <c r="N147" s="1083">
        <v>284259.26</v>
      </c>
      <c r="O147" s="1083">
        <f t="shared" si="38"/>
        <v>6822222.2400000002</v>
      </c>
      <c r="P147" s="1082">
        <f t="shared" si="14"/>
        <v>545777.77919999999</v>
      </c>
      <c r="Q147" s="1082">
        <f t="shared" si="15"/>
        <v>7368000.0192</v>
      </c>
      <c r="R147" s="1083"/>
      <c r="S147" s="1083"/>
      <c r="T147" s="1083"/>
      <c r="U147" s="1083"/>
      <c r="V147" s="1083">
        <f t="shared" si="39"/>
        <v>7368000.0192</v>
      </c>
    </row>
    <row r="148" spans="1:22" s="1002" customFormat="1">
      <c r="A148" s="1007" t="s">
        <v>944</v>
      </c>
      <c r="B148" s="1001" t="s">
        <v>869</v>
      </c>
      <c r="C148" s="1078" t="s">
        <v>140</v>
      </c>
      <c r="D148" s="1078"/>
      <c r="F148" s="1090">
        <v>46116</v>
      </c>
      <c r="H148" s="1085" t="s">
        <v>441</v>
      </c>
      <c r="I148" s="1002" t="s">
        <v>870</v>
      </c>
      <c r="J148" s="1007" t="s">
        <v>424</v>
      </c>
      <c r="K148" s="1002" t="s">
        <v>425</v>
      </c>
      <c r="L148" s="1002" t="s">
        <v>443</v>
      </c>
      <c r="M148" s="1086">
        <v>1</v>
      </c>
      <c r="N148" s="1083">
        <v>882407.41</v>
      </c>
      <c r="O148" s="1083">
        <f t="shared" si="38"/>
        <v>882407.41</v>
      </c>
      <c r="P148" s="1082">
        <f t="shared" si="14"/>
        <v>70592.592799999999</v>
      </c>
      <c r="Q148" s="1082">
        <f t="shared" si="15"/>
        <v>953000.00280000002</v>
      </c>
      <c r="R148" s="1083"/>
      <c r="S148" s="1083"/>
      <c r="T148" s="1083"/>
      <c r="U148" s="1083"/>
      <c r="V148" s="1083">
        <f t="shared" si="39"/>
        <v>953000.00280000002</v>
      </c>
    </row>
    <row r="149" spans="1:22" s="1002" customFormat="1">
      <c r="A149" s="1007" t="s">
        <v>944</v>
      </c>
      <c r="B149" s="1001" t="s">
        <v>869</v>
      </c>
      <c r="C149" s="1078" t="s">
        <v>140</v>
      </c>
      <c r="D149" s="1078"/>
      <c r="F149" s="1090">
        <v>46116</v>
      </c>
      <c r="H149" s="1085" t="s">
        <v>441</v>
      </c>
      <c r="I149" s="1002" t="s">
        <v>870</v>
      </c>
      <c r="J149" s="1007" t="s">
        <v>444</v>
      </c>
      <c r="K149" s="1002" t="s">
        <v>445</v>
      </c>
      <c r="L149" s="1002" t="s">
        <v>113</v>
      </c>
      <c r="M149" s="1086">
        <v>4</v>
      </c>
      <c r="N149" s="1083">
        <v>601851.85</v>
      </c>
      <c r="O149" s="1083">
        <f t="shared" si="38"/>
        <v>2407407.4</v>
      </c>
      <c r="P149" s="1082">
        <f t="shared" si="14"/>
        <v>192592.592</v>
      </c>
      <c r="Q149" s="1082">
        <f t="shared" si="15"/>
        <v>2599999.9920000001</v>
      </c>
      <c r="R149" s="1083"/>
      <c r="S149" s="1083"/>
      <c r="T149" s="1083"/>
      <c r="U149" s="1083"/>
      <c r="V149" s="1083">
        <f t="shared" si="39"/>
        <v>2599999.9920000001</v>
      </c>
    </row>
    <row r="150" spans="1:22" s="1002" customFormat="1">
      <c r="A150" s="1007" t="s">
        <v>944</v>
      </c>
      <c r="B150" s="1001" t="s">
        <v>869</v>
      </c>
      <c r="C150" s="1078" t="s">
        <v>140</v>
      </c>
      <c r="D150" s="1078"/>
      <c r="F150" s="1090">
        <v>46116</v>
      </c>
      <c r="H150" s="1085" t="s">
        <v>441</v>
      </c>
      <c r="I150" s="1002" t="s">
        <v>870</v>
      </c>
      <c r="J150" s="1007" t="s">
        <v>28</v>
      </c>
      <c r="K150" s="1002" t="s">
        <v>29</v>
      </c>
      <c r="L150" s="1002" t="s">
        <v>113</v>
      </c>
      <c r="M150" s="1086">
        <v>2</v>
      </c>
      <c r="N150" s="1083">
        <v>281481.48</v>
      </c>
      <c r="O150" s="1083">
        <f t="shared" si="38"/>
        <v>562962.96</v>
      </c>
      <c r="P150" s="1082">
        <f t="shared" si="14"/>
        <v>45037.036799999994</v>
      </c>
      <c r="Q150" s="1082">
        <f t="shared" si="15"/>
        <v>607999.99679999996</v>
      </c>
      <c r="R150" s="1083"/>
      <c r="S150" s="1083"/>
      <c r="T150" s="1083"/>
      <c r="U150" s="1083"/>
      <c r="V150" s="1083">
        <f t="shared" si="39"/>
        <v>607999.99679999996</v>
      </c>
    </row>
    <row r="151" spans="1:22" s="1002" customFormat="1">
      <c r="A151" s="1007" t="s">
        <v>944</v>
      </c>
      <c r="B151" s="1001" t="s">
        <v>869</v>
      </c>
      <c r="C151" s="1078" t="s">
        <v>140</v>
      </c>
      <c r="D151" s="1078"/>
      <c r="F151" s="1090">
        <v>46116</v>
      </c>
      <c r="H151" s="1085" t="s">
        <v>441</v>
      </c>
      <c r="I151" s="1002" t="s">
        <v>870</v>
      </c>
      <c r="J151" s="1007" t="s">
        <v>56</v>
      </c>
      <c r="K151" s="1002" t="s">
        <v>57</v>
      </c>
      <c r="L151" s="1002" t="s">
        <v>113</v>
      </c>
      <c r="M151" s="1086">
        <v>24</v>
      </c>
      <c r="N151" s="1083">
        <v>325925.93</v>
      </c>
      <c r="O151" s="1083">
        <f t="shared" si="38"/>
        <v>7822222.3200000003</v>
      </c>
      <c r="P151" s="1082">
        <f t="shared" si="14"/>
        <v>625777.78560000006</v>
      </c>
      <c r="Q151" s="1082">
        <f t="shared" si="15"/>
        <v>8448000.1055999994</v>
      </c>
      <c r="R151" s="1083"/>
      <c r="S151" s="1083"/>
      <c r="T151" s="1083"/>
      <c r="U151" s="1083"/>
      <c r="V151" s="1083">
        <f t="shared" si="39"/>
        <v>8448000.1055999994</v>
      </c>
    </row>
    <row r="152" spans="1:22" s="1002" customFormat="1">
      <c r="A152" s="1007" t="s">
        <v>944</v>
      </c>
      <c r="B152" s="1001" t="s">
        <v>869</v>
      </c>
      <c r="C152" s="1091" t="s">
        <v>140</v>
      </c>
      <c r="D152" s="1091"/>
      <c r="F152" s="1092"/>
      <c r="H152" s="1085" t="s">
        <v>335</v>
      </c>
      <c r="I152" s="1002" t="s">
        <v>870</v>
      </c>
      <c r="J152" s="1007" t="s">
        <v>83</v>
      </c>
      <c r="K152" s="1008" t="s">
        <v>84</v>
      </c>
      <c r="L152" s="1008" t="s">
        <v>113</v>
      </c>
      <c r="M152" s="1093">
        <v>4</v>
      </c>
      <c r="N152" s="1083">
        <v>1097222.22</v>
      </c>
      <c r="O152" s="1082">
        <f>M152*N152</f>
        <v>4388888.88</v>
      </c>
      <c r="P152" s="1082">
        <f t="shared" si="14"/>
        <v>351111.11040000001</v>
      </c>
      <c r="Q152" s="1082">
        <f t="shared" si="15"/>
        <v>4739999.9903999995</v>
      </c>
      <c r="R152" s="1083"/>
      <c r="S152" s="1083"/>
      <c r="T152" s="1083"/>
      <c r="U152" s="1083"/>
      <c r="V152" s="1083">
        <f t="shared" si="39"/>
        <v>4739999.9903999995</v>
      </c>
    </row>
    <row r="153" spans="1:22" s="1002" customFormat="1">
      <c r="A153" s="1007" t="s">
        <v>944</v>
      </c>
      <c r="B153" s="1001" t="s">
        <v>869</v>
      </c>
      <c r="C153" s="1094">
        <v>46026</v>
      </c>
      <c r="D153" s="1094"/>
      <c r="F153" s="1095"/>
      <c r="H153" s="1085"/>
      <c r="I153" s="1009" t="s">
        <v>446</v>
      </c>
      <c r="J153" s="1007"/>
      <c r="K153" s="1009"/>
      <c r="L153" s="1009"/>
      <c r="M153" s="1096"/>
      <c r="N153" s="1083"/>
      <c r="O153" s="1097"/>
      <c r="P153" s="1082">
        <f t="shared" si="14"/>
        <v>0</v>
      </c>
      <c r="Q153" s="1082">
        <f t="shared" si="15"/>
        <v>0</v>
      </c>
      <c r="R153" s="1083"/>
      <c r="S153" s="1098">
        <f>1%*SUM(Q134:Q152)</f>
        <v>757230.00022799999</v>
      </c>
      <c r="T153" s="1083"/>
      <c r="U153" s="1083"/>
      <c r="V153" s="1083">
        <f t="shared" si="39"/>
        <v>-757230.00022799999</v>
      </c>
    </row>
    <row r="154" spans="1:22" s="1002" customFormat="1">
      <c r="A154" s="1007" t="s">
        <v>944</v>
      </c>
      <c r="B154" s="1001" t="s">
        <v>869</v>
      </c>
      <c r="C154" s="1094">
        <v>46085</v>
      </c>
      <c r="D154" s="1094"/>
      <c r="F154" s="1095"/>
      <c r="H154" s="1085"/>
      <c r="I154" s="1002" t="s">
        <v>844</v>
      </c>
      <c r="J154" s="1007"/>
      <c r="K154" s="1009"/>
      <c r="L154" s="1009"/>
      <c r="M154" s="1096"/>
      <c r="N154" s="1083"/>
      <c r="O154" s="1099"/>
      <c r="P154" s="1082">
        <f t="shared" si="14"/>
        <v>0</v>
      </c>
      <c r="Q154" s="1082">
        <f t="shared" si="15"/>
        <v>0</v>
      </c>
      <c r="R154" s="1083">
        <v>40000000</v>
      </c>
      <c r="S154" s="1083"/>
      <c r="T154" s="1083"/>
      <c r="U154" s="1083"/>
      <c r="V154" s="1083">
        <f t="shared" si="39"/>
        <v>-40000000</v>
      </c>
    </row>
    <row r="155" spans="1:22" s="1002" customFormat="1">
      <c r="A155" s="1007" t="s">
        <v>944</v>
      </c>
      <c r="B155" s="1001" t="s">
        <v>869</v>
      </c>
      <c r="C155" s="1091">
        <v>46177</v>
      </c>
      <c r="D155" s="1091"/>
      <c r="F155" s="1092">
        <v>46088</v>
      </c>
      <c r="H155" s="1085" t="s">
        <v>448</v>
      </c>
      <c r="I155" s="1002" t="s">
        <v>870</v>
      </c>
      <c r="J155" s="1007" t="s">
        <v>194</v>
      </c>
      <c r="K155" s="1002" t="s">
        <v>720</v>
      </c>
      <c r="L155" s="1008" t="s">
        <v>113</v>
      </c>
      <c r="M155" s="1093">
        <v>5</v>
      </c>
      <c r="N155" s="1083">
        <v>1203703</v>
      </c>
      <c r="O155" s="1082">
        <f t="shared" si="38"/>
        <v>6018515</v>
      </c>
      <c r="P155" s="1082">
        <f t="shared" si="14"/>
        <v>481481.2</v>
      </c>
      <c r="Q155" s="1082">
        <f t="shared" si="15"/>
        <v>6499996.2000000002</v>
      </c>
      <c r="R155" s="1083"/>
      <c r="S155" s="1083"/>
      <c r="T155" s="1083"/>
      <c r="U155" s="1083"/>
      <c r="V155" s="1083">
        <f t="shared" si="39"/>
        <v>6499996.2000000002</v>
      </c>
    </row>
    <row r="156" spans="1:22" s="1002" customFormat="1">
      <c r="A156" s="1007" t="s">
        <v>944</v>
      </c>
      <c r="B156" s="1001" t="s">
        <v>869</v>
      </c>
      <c r="C156" s="1091">
        <v>46177</v>
      </c>
      <c r="D156" s="1091"/>
      <c r="F156" s="1092">
        <v>46088</v>
      </c>
      <c r="H156" s="1085" t="s">
        <v>448</v>
      </c>
      <c r="I156" s="1002" t="s">
        <v>870</v>
      </c>
      <c r="J156" s="1007" t="s">
        <v>58</v>
      </c>
      <c r="K156" s="1008" t="s">
        <v>278</v>
      </c>
      <c r="L156" s="1008" t="s">
        <v>113</v>
      </c>
      <c r="M156" s="1093">
        <v>5</v>
      </c>
      <c r="N156" s="1083">
        <v>1361111</v>
      </c>
      <c r="O156" s="1082">
        <f t="shared" si="38"/>
        <v>6805555</v>
      </c>
      <c r="P156" s="1082">
        <f t="shared" si="14"/>
        <v>544444.4</v>
      </c>
      <c r="Q156" s="1082">
        <f t="shared" si="15"/>
        <v>7349999.4000000004</v>
      </c>
      <c r="R156" s="1083"/>
      <c r="S156" s="1083"/>
      <c r="T156" s="1083"/>
      <c r="U156" s="1083"/>
      <c r="V156" s="1083">
        <f t="shared" si="39"/>
        <v>7349999.4000000004</v>
      </c>
    </row>
    <row r="157" spans="1:22" s="1002" customFormat="1">
      <c r="A157" s="1007" t="s">
        <v>944</v>
      </c>
      <c r="B157" s="1001" t="s">
        <v>869</v>
      </c>
      <c r="C157" s="1091" t="s">
        <v>449</v>
      </c>
      <c r="D157" s="1091"/>
      <c r="F157" s="1092" t="s">
        <v>829</v>
      </c>
      <c r="H157" s="1085" t="s">
        <v>828</v>
      </c>
      <c r="I157" s="1002" t="s">
        <v>870</v>
      </c>
      <c r="J157" s="1007" t="s">
        <v>90</v>
      </c>
      <c r="K157" s="1008" t="s">
        <v>91</v>
      </c>
      <c r="L157" s="1008" t="s">
        <v>18</v>
      </c>
      <c r="M157" s="1093">
        <v>10</v>
      </c>
      <c r="N157" s="1083">
        <v>814814.81</v>
      </c>
      <c r="O157" s="1082">
        <f t="shared" si="38"/>
        <v>8148148.1000000006</v>
      </c>
      <c r="P157" s="1082">
        <f t="shared" si="14"/>
        <v>651851.84800000011</v>
      </c>
      <c r="Q157" s="1082">
        <f t="shared" si="15"/>
        <v>8799999.9480000008</v>
      </c>
      <c r="R157" s="1083"/>
      <c r="S157" s="1083"/>
      <c r="T157" s="1083"/>
      <c r="U157" s="1083"/>
      <c r="V157" s="1083">
        <f t="shared" si="39"/>
        <v>8799999.9480000008</v>
      </c>
    </row>
    <row r="158" spans="1:22" s="1002" customFormat="1">
      <c r="A158" s="1007" t="s">
        <v>944</v>
      </c>
      <c r="B158" s="1001" t="s">
        <v>869</v>
      </c>
      <c r="C158" s="1091" t="s">
        <v>449</v>
      </c>
      <c r="D158" s="1091"/>
      <c r="F158" s="1092" t="s">
        <v>829</v>
      </c>
      <c r="H158" s="1085" t="s">
        <v>828</v>
      </c>
      <c r="I158" s="1002" t="s">
        <v>870</v>
      </c>
      <c r="J158" s="1007" t="s">
        <v>93</v>
      </c>
      <c r="K158" s="1008" t="s">
        <v>94</v>
      </c>
      <c r="L158" s="1008" t="s">
        <v>18</v>
      </c>
      <c r="M158" s="1093">
        <v>10</v>
      </c>
      <c r="N158" s="1083">
        <v>907407.4</v>
      </c>
      <c r="O158" s="1082">
        <f t="shared" si="38"/>
        <v>9074074</v>
      </c>
      <c r="P158" s="1082">
        <f t="shared" si="14"/>
        <v>725925.92</v>
      </c>
      <c r="Q158" s="1082">
        <f t="shared" si="15"/>
        <v>9799999.9199999999</v>
      </c>
      <c r="R158" s="1083"/>
      <c r="S158" s="1083"/>
      <c r="T158" s="1083"/>
      <c r="U158" s="1083"/>
      <c r="V158" s="1083">
        <f t="shared" si="39"/>
        <v>9799999.9199999999</v>
      </c>
    </row>
    <row r="159" spans="1:22" s="1002" customFormat="1">
      <c r="A159" s="1007" t="s">
        <v>944</v>
      </c>
      <c r="B159" s="1001" t="s">
        <v>869</v>
      </c>
      <c r="C159" s="1094" t="s">
        <v>254</v>
      </c>
      <c r="D159" s="1094"/>
      <c r="F159" s="1095"/>
      <c r="H159" s="1085"/>
      <c r="I159" s="1002" t="s">
        <v>844</v>
      </c>
      <c r="J159" s="1007"/>
      <c r="K159" s="1009"/>
      <c r="L159" s="1009"/>
      <c r="M159" s="1096"/>
      <c r="N159" s="1083"/>
      <c r="O159" s="1099"/>
      <c r="P159" s="1098"/>
      <c r="Q159" s="1098"/>
      <c r="R159" s="1083">
        <v>30000000</v>
      </c>
      <c r="S159" s="1083"/>
      <c r="T159" s="1083"/>
      <c r="U159" s="1083"/>
      <c r="V159" s="1083">
        <f t="shared" si="39"/>
        <v>-30000000</v>
      </c>
    </row>
    <row r="160" spans="1:22" s="1002" customFormat="1" hidden="1">
      <c r="A160" s="1000" t="s">
        <v>753</v>
      </c>
      <c r="B160" s="1001" t="s">
        <v>754</v>
      </c>
      <c r="C160" s="1100">
        <v>46033</v>
      </c>
      <c r="D160" s="1100"/>
      <c r="F160" s="1101"/>
      <c r="H160" s="1101"/>
      <c r="I160" s="1010" t="s">
        <v>365</v>
      </c>
      <c r="J160" s="1007"/>
      <c r="K160" s="1011"/>
      <c r="L160" s="1010"/>
      <c r="M160" s="1102"/>
      <c r="N160" s="1103"/>
      <c r="O160" s="1103"/>
      <c r="P160" s="1103"/>
      <c r="Q160" s="1103"/>
      <c r="R160" s="1083"/>
      <c r="S160" s="1104">
        <v>1950000</v>
      </c>
      <c r="T160" s="1083"/>
      <c r="U160" s="1083"/>
      <c r="V160" s="1083">
        <f>Q160-R160-S160-T160-U160</f>
        <v>-1950000</v>
      </c>
    </row>
    <row r="161" spans="1:22" s="1002" customFormat="1" hidden="1">
      <c r="A161" s="1000" t="s">
        <v>753</v>
      </c>
      <c r="B161" s="1001" t="s">
        <v>754</v>
      </c>
      <c r="C161" s="1084">
        <v>46035</v>
      </c>
      <c r="D161" s="1084"/>
      <c r="F161" s="1105">
        <v>46035</v>
      </c>
      <c r="H161" s="1106" t="s">
        <v>366</v>
      </c>
      <c r="I161" s="1002" t="s">
        <v>811</v>
      </c>
      <c r="J161" s="1007" t="s">
        <v>204</v>
      </c>
      <c r="K161" s="572" t="s">
        <v>269</v>
      </c>
      <c r="L161" s="1002" t="s">
        <v>113</v>
      </c>
      <c r="M161" s="1086">
        <v>10</v>
      </c>
      <c r="N161" s="1107">
        <v>480555.6</v>
      </c>
      <c r="O161" s="1107">
        <f t="shared" ref="O161:O207" si="40">M161*N161</f>
        <v>4805556</v>
      </c>
      <c r="P161" s="1107">
        <f t="shared" ref="P161:P207" si="41">O161*8%</f>
        <v>384444.48</v>
      </c>
      <c r="Q161" s="1107">
        <f t="shared" ref="Q161:Q207" si="42">O161+P161</f>
        <v>5190000.4800000004</v>
      </c>
      <c r="R161" s="1108"/>
      <c r="S161" s="1083"/>
      <c r="T161" s="1083"/>
      <c r="U161" s="1083"/>
      <c r="V161" s="1083">
        <f t="shared" si="39"/>
        <v>5190000.4800000004</v>
      </c>
    </row>
    <row r="162" spans="1:22" s="1002" customFormat="1" hidden="1">
      <c r="A162" s="1000" t="s">
        <v>753</v>
      </c>
      <c r="B162" s="1001" t="s">
        <v>754</v>
      </c>
      <c r="C162" s="1084">
        <v>46035</v>
      </c>
      <c r="D162" s="1084"/>
      <c r="F162" s="1105">
        <v>46035</v>
      </c>
      <c r="H162" s="1106" t="s">
        <v>366</v>
      </c>
      <c r="I162" s="1002" t="s">
        <v>811</v>
      </c>
      <c r="J162" s="1007" t="s">
        <v>208</v>
      </c>
      <c r="K162" s="1005" t="s">
        <v>209</v>
      </c>
      <c r="L162" s="1002" t="s">
        <v>113</v>
      </c>
      <c r="M162" s="1086">
        <v>10</v>
      </c>
      <c r="N162" s="1107">
        <v>647222.22</v>
      </c>
      <c r="O162" s="1107">
        <f t="shared" si="40"/>
        <v>6472222.1999999993</v>
      </c>
      <c r="P162" s="1107">
        <f t="shared" si="41"/>
        <v>517777.77599999995</v>
      </c>
      <c r="Q162" s="1107">
        <f t="shared" si="42"/>
        <v>6989999.9759999989</v>
      </c>
      <c r="R162" s="1108"/>
      <c r="S162" s="1083"/>
      <c r="T162" s="1083"/>
      <c r="U162" s="1083"/>
      <c r="V162" s="1083">
        <f t="shared" si="39"/>
        <v>6989999.9759999989</v>
      </c>
    </row>
    <row r="163" spans="1:22" s="1002" customFormat="1" hidden="1">
      <c r="A163" s="1000" t="s">
        <v>753</v>
      </c>
      <c r="B163" s="1001" t="s">
        <v>754</v>
      </c>
      <c r="C163" s="1084">
        <v>46035</v>
      </c>
      <c r="D163" s="1084"/>
      <c r="F163" s="1105">
        <v>46035</v>
      </c>
      <c r="H163" s="1106" t="s">
        <v>366</v>
      </c>
      <c r="I163" s="1002" t="s">
        <v>811</v>
      </c>
      <c r="J163" s="1007" t="s">
        <v>77</v>
      </c>
      <c r="K163" s="572" t="s">
        <v>78</v>
      </c>
      <c r="L163" s="1002" t="s">
        <v>113</v>
      </c>
      <c r="M163" s="1086">
        <v>20</v>
      </c>
      <c r="N163" s="1107">
        <v>314814.81</v>
      </c>
      <c r="O163" s="1107">
        <f>M163*N163</f>
        <v>6296296.2000000002</v>
      </c>
      <c r="P163" s="1107">
        <f t="shared" si="41"/>
        <v>503703.696</v>
      </c>
      <c r="Q163" s="1107">
        <f t="shared" si="42"/>
        <v>6799999.8959999997</v>
      </c>
      <c r="R163" s="1108"/>
      <c r="S163" s="1083"/>
      <c r="T163" s="1083"/>
      <c r="U163" s="1083"/>
      <c r="V163" s="1083">
        <f t="shared" si="39"/>
        <v>6799999.8959999997</v>
      </c>
    </row>
    <row r="164" spans="1:22" s="1002" customFormat="1" hidden="1">
      <c r="A164" s="1000" t="s">
        <v>753</v>
      </c>
      <c r="B164" s="1001" t="s">
        <v>754</v>
      </c>
      <c r="C164" s="1084">
        <v>46035</v>
      </c>
      <c r="D164" s="1084"/>
      <c r="F164" s="1105">
        <v>46035</v>
      </c>
      <c r="H164" s="1106" t="s">
        <v>366</v>
      </c>
      <c r="I164" s="1002" t="s">
        <v>811</v>
      </c>
      <c r="J164" s="1007" t="s">
        <v>206</v>
      </c>
      <c r="K164" s="1012" t="s">
        <v>369</v>
      </c>
      <c r="L164" s="1002" t="s">
        <v>113</v>
      </c>
      <c r="M164" s="1086">
        <v>10</v>
      </c>
      <c r="N164" s="1107">
        <v>483333.33</v>
      </c>
      <c r="O164" s="1107">
        <f t="shared" si="40"/>
        <v>4833333.3</v>
      </c>
      <c r="P164" s="1107">
        <f t="shared" si="41"/>
        <v>386666.66399999999</v>
      </c>
      <c r="Q164" s="1107">
        <f t="shared" si="42"/>
        <v>5219999.9639999997</v>
      </c>
      <c r="R164" s="1108"/>
      <c r="S164" s="1083"/>
      <c r="T164" s="1083"/>
      <c r="U164" s="1083"/>
      <c r="V164" s="1083">
        <f t="shared" si="39"/>
        <v>5219999.9639999997</v>
      </c>
    </row>
    <row r="165" spans="1:22" s="1002" customFormat="1" hidden="1">
      <c r="A165" s="1000" t="s">
        <v>753</v>
      </c>
      <c r="B165" s="1001" t="s">
        <v>754</v>
      </c>
      <c r="C165" s="1084">
        <v>46035</v>
      </c>
      <c r="D165" s="1084"/>
      <c r="F165" s="1105">
        <v>46037</v>
      </c>
      <c r="H165" s="1106" t="s">
        <v>366</v>
      </c>
      <c r="I165" s="1002" t="s">
        <v>811</v>
      </c>
      <c r="J165" s="1007" t="s">
        <v>80</v>
      </c>
      <c r="K165" s="1002" t="s">
        <v>81</v>
      </c>
      <c r="L165" s="1002" t="s">
        <v>113</v>
      </c>
      <c r="M165" s="1086">
        <v>10</v>
      </c>
      <c r="N165" s="1107">
        <v>824074.07</v>
      </c>
      <c r="O165" s="1107">
        <f t="shared" si="40"/>
        <v>8240740.6999999993</v>
      </c>
      <c r="P165" s="1107">
        <f t="shared" si="41"/>
        <v>659259.25599999994</v>
      </c>
      <c r="Q165" s="1107">
        <f t="shared" si="42"/>
        <v>8899999.9559999984</v>
      </c>
      <c r="R165" s="1108"/>
      <c r="S165" s="1083"/>
      <c r="T165" s="1083"/>
      <c r="U165" s="1083"/>
      <c r="V165" s="1083">
        <f t="shared" si="39"/>
        <v>8899999.9559999984</v>
      </c>
    </row>
    <row r="166" spans="1:22" s="1002" customFormat="1" hidden="1">
      <c r="A166" s="1000" t="s">
        <v>753</v>
      </c>
      <c r="B166" s="1001" t="s">
        <v>754</v>
      </c>
      <c r="C166" s="1084">
        <v>46035</v>
      </c>
      <c r="D166" s="1084"/>
      <c r="F166" s="1105">
        <v>46037</v>
      </c>
      <c r="H166" s="1106" t="s">
        <v>366</v>
      </c>
      <c r="I166" s="1002" t="s">
        <v>811</v>
      </c>
      <c r="J166" s="1007" t="s">
        <v>21</v>
      </c>
      <c r="K166" s="572" t="s">
        <v>22</v>
      </c>
      <c r="L166" s="1002" t="s">
        <v>113</v>
      </c>
      <c r="M166" s="1086">
        <v>10</v>
      </c>
      <c r="N166" s="1107">
        <v>937963</v>
      </c>
      <c r="O166" s="1107">
        <f t="shared" si="40"/>
        <v>9379630</v>
      </c>
      <c r="P166" s="1107">
        <f t="shared" si="41"/>
        <v>750370.4</v>
      </c>
      <c r="Q166" s="1107">
        <f t="shared" si="42"/>
        <v>10130000.4</v>
      </c>
      <c r="R166" s="1108"/>
      <c r="S166" s="1083"/>
      <c r="T166" s="1083"/>
      <c r="U166" s="1083"/>
      <c r="V166" s="1083">
        <f t="shared" si="39"/>
        <v>10130000.4</v>
      </c>
    </row>
    <row r="167" spans="1:22" s="1002" customFormat="1" ht="31.5" hidden="1">
      <c r="A167" s="1000" t="s">
        <v>753</v>
      </c>
      <c r="B167" s="1001" t="s">
        <v>754</v>
      </c>
      <c r="C167" s="1084">
        <v>46035</v>
      </c>
      <c r="D167" s="1084"/>
      <c r="F167" s="1105">
        <v>46035</v>
      </c>
      <c r="H167" s="1106" t="s">
        <v>366</v>
      </c>
      <c r="I167" s="1002" t="s">
        <v>811</v>
      </c>
      <c r="J167" s="1007" t="s">
        <v>23</v>
      </c>
      <c r="K167" s="572" t="s">
        <v>371</v>
      </c>
      <c r="L167" s="1002" t="s">
        <v>113</v>
      </c>
      <c r="M167" s="1086">
        <v>10</v>
      </c>
      <c r="N167" s="1107">
        <v>1185185.2</v>
      </c>
      <c r="O167" s="1107">
        <f t="shared" si="40"/>
        <v>11851852</v>
      </c>
      <c r="P167" s="1107">
        <f t="shared" si="41"/>
        <v>948148.16</v>
      </c>
      <c r="Q167" s="1107">
        <f t="shared" si="42"/>
        <v>12800000.16</v>
      </c>
      <c r="R167" s="1108"/>
      <c r="S167" s="1083"/>
      <c r="T167" s="1083"/>
      <c r="U167" s="1083"/>
      <c r="V167" s="1083">
        <f t="shared" si="39"/>
        <v>12800000.16</v>
      </c>
    </row>
    <row r="168" spans="1:22" s="1002" customFormat="1" ht="31.5" hidden="1">
      <c r="A168" s="1000" t="s">
        <v>753</v>
      </c>
      <c r="B168" s="1001" t="s">
        <v>754</v>
      </c>
      <c r="C168" s="1084">
        <v>46035</v>
      </c>
      <c r="D168" s="1084"/>
      <c r="F168" s="1105">
        <v>46035</v>
      </c>
      <c r="H168" s="1106" t="s">
        <v>366</v>
      </c>
      <c r="I168" s="1002" t="s">
        <v>811</v>
      </c>
      <c r="J168" s="1007" t="s">
        <v>180</v>
      </c>
      <c r="K168" s="572" t="s">
        <v>181</v>
      </c>
      <c r="L168" s="1002" t="s">
        <v>113</v>
      </c>
      <c r="M168" s="1086">
        <v>20</v>
      </c>
      <c r="N168" s="1107">
        <v>234259.1</v>
      </c>
      <c r="O168" s="1107">
        <f t="shared" si="40"/>
        <v>4685182</v>
      </c>
      <c r="P168" s="1107">
        <f t="shared" si="41"/>
        <v>374814.56</v>
      </c>
      <c r="Q168" s="1107">
        <f t="shared" si="42"/>
        <v>5059996.5599999996</v>
      </c>
      <c r="R168" s="1108"/>
      <c r="S168" s="1083"/>
      <c r="T168" s="1083"/>
      <c r="U168" s="1083"/>
      <c r="V168" s="1083">
        <f t="shared" si="39"/>
        <v>5059996.5599999996</v>
      </c>
    </row>
    <row r="169" spans="1:22" s="1002" customFormat="1" ht="31.5" hidden="1">
      <c r="A169" s="1000" t="s">
        <v>753</v>
      </c>
      <c r="B169" s="1001" t="s">
        <v>754</v>
      </c>
      <c r="C169" s="1084">
        <v>46035</v>
      </c>
      <c r="D169" s="1084"/>
      <c r="F169" s="1105">
        <v>46035</v>
      </c>
      <c r="H169" s="1106" t="s">
        <v>366</v>
      </c>
      <c r="I169" s="1002" t="s">
        <v>811</v>
      </c>
      <c r="J169" s="1007" t="s">
        <v>26</v>
      </c>
      <c r="K169" s="572" t="s">
        <v>27</v>
      </c>
      <c r="L169" s="1002" t="s">
        <v>113</v>
      </c>
      <c r="M169" s="1086">
        <v>20</v>
      </c>
      <c r="N169" s="1107">
        <v>256481.5</v>
      </c>
      <c r="O169" s="1107">
        <f t="shared" si="40"/>
        <v>5129630</v>
      </c>
      <c r="P169" s="1107">
        <f t="shared" si="41"/>
        <v>410370.4</v>
      </c>
      <c r="Q169" s="1107">
        <f t="shared" si="42"/>
        <v>5540000.4000000004</v>
      </c>
      <c r="R169" s="1108"/>
      <c r="S169" s="1083"/>
      <c r="T169" s="1083"/>
      <c r="U169" s="1083"/>
      <c r="V169" s="1083">
        <f t="shared" si="39"/>
        <v>5540000.4000000004</v>
      </c>
    </row>
    <row r="170" spans="1:22" s="1002" customFormat="1" ht="31.5" hidden="1">
      <c r="A170" s="1000" t="s">
        <v>753</v>
      </c>
      <c r="B170" s="1001" t="s">
        <v>754</v>
      </c>
      <c r="C170" s="1084">
        <v>46035</v>
      </c>
      <c r="D170" s="1084"/>
      <c r="F170" s="1105">
        <v>46035</v>
      </c>
      <c r="H170" s="1106" t="s">
        <v>366</v>
      </c>
      <c r="I170" s="1002" t="s">
        <v>811</v>
      </c>
      <c r="J170" s="1007" t="s">
        <v>28</v>
      </c>
      <c r="K170" s="572" t="s">
        <v>29</v>
      </c>
      <c r="L170" s="1002" t="s">
        <v>113</v>
      </c>
      <c r="M170" s="1086">
        <v>20</v>
      </c>
      <c r="N170" s="1107">
        <v>281481.5</v>
      </c>
      <c r="O170" s="1107">
        <f t="shared" si="40"/>
        <v>5629630</v>
      </c>
      <c r="P170" s="1107">
        <f t="shared" si="41"/>
        <v>450370.4</v>
      </c>
      <c r="Q170" s="1107">
        <f t="shared" si="42"/>
        <v>6080000.4000000004</v>
      </c>
      <c r="R170" s="1108"/>
      <c r="S170" s="1083"/>
      <c r="T170" s="1083"/>
      <c r="U170" s="1083"/>
      <c r="V170" s="1083">
        <f t="shared" si="39"/>
        <v>6080000.4000000004</v>
      </c>
    </row>
    <row r="171" spans="1:22" s="1002" customFormat="1" ht="31.5" hidden="1">
      <c r="A171" s="1000" t="s">
        <v>753</v>
      </c>
      <c r="B171" s="1001" t="s">
        <v>754</v>
      </c>
      <c r="C171" s="1084">
        <v>46035</v>
      </c>
      <c r="D171" s="1084"/>
      <c r="F171" s="1105">
        <v>46035</v>
      </c>
      <c r="H171" s="1106" t="s">
        <v>366</v>
      </c>
      <c r="I171" s="1002" t="s">
        <v>811</v>
      </c>
      <c r="J171" s="1007" t="s">
        <v>184</v>
      </c>
      <c r="K171" s="572" t="s">
        <v>272</v>
      </c>
      <c r="L171" s="1002" t="s">
        <v>113</v>
      </c>
      <c r="M171" s="1086">
        <v>20</v>
      </c>
      <c r="N171" s="1107">
        <v>227777.8</v>
      </c>
      <c r="O171" s="1107">
        <f t="shared" si="40"/>
        <v>4555556</v>
      </c>
      <c r="P171" s="1107">
        <f t="shared" si="41"/>
        <v>364444.48</v>
      </c>
      <c r="Q171" s="1107">
        <f t="shared" si="42"/>
        <v>4920000.4800000004</v>
      </c>
      <c r="R171" s="1108"/>
      <c r="S171" s="1083"/>
      <c r="T171" s="1083"/>
      <c r="U171" s="1083"/>
      <c r="V171" s="1083">
        <f t="shared" si="39"/>
        <v>4920000.4800000004</v>
      </c>
    </row>
    <row r="172" spans="1:22" s="1002" customFormat="1" ht="31.5" hidden="1">
      <c r="A172" s="1000" t="s">
        <v>753</v>
      </c>
      <c r="B172" s="1001" t="s">
        <v>754</v>
      </c>
      <c r="C172" s="1084">
        <v>46035</v>
      </c>
      <c r="D172" s="1084"/>
      <c r="F172" s="1105">
        <v>46035</v>
      </c>
      <c r="H172" s="1106" t="s">
        <v>366</v>
      </c>
      <c r="I172" s="1002" t="s">
        <v>811</v>
      </c>
      <c r="J172" s="1007" t="s">
        <v>30</v>
      </c>
      <c r="K172" s="572" t="s">
        <v>31</v>
      </c>
      <c r="L172" s="1002" t="s">
        <v>113</v>
      </c>
      <c r="M172" s="1086">
        <v>20</v>
      </c>
      <c r="N172" s="1107">
        <v>252777.8</v>
      </c>
      <c r="O172" s="1107">
        <f t="shared" si="40"/>
        <v>5055556</v>
      </c>
      <c r="P172" s="1107">
        <f t="shared" si="41"/>
        <v>404444.48</v>
      </c>
      <c r="Q172" s="1107">
        <f t="shared" si="42"/>
        <v>5460000.4800000004</v>
      </c>
      <c r="R172" s="1108"/>
      <c r="S172" s="1083"/>
      <c r="T172" s="1083"/>
      <c r="U172" s="1083"/>
      <c r="V172" s="1083">
        <f t="shared" si="39"/>
        <v>5460000.4800000004</v>
      </c>
    </row>
    <row r="173" spans="1:22" s="1002" customFormat="1" ht="31.5" hidden="1">
      <c r="A173" s="1000" t="s">
        <v>753</v>
      </c>
      <c r="B173" s="1001" t="s">
        <v>754</v>
      </c>
      <c r="C173" s="1084">
        <v>46035</v>
      </c>
      <c r="D173" s="1084"/>
      <c r="F173" s="1105">
        <v>46035</v>
      </c>
      <c r="H173" s="1106" t="s">
        <v>366</v>
      </c>
      <c r="I173" s="1002" t="s">
        <v>811</v>
      </c>
      <c r="J173" s="1007" t="s">
        <v>32</v>
      </c>
      <c r="K173" s="572" t="s">
        <v>33</v>
      </c>
      <c r="L173" s="1002" t="s">
        <v>113</v>
      </c>
      <c r="M173" s="1086">
        <v>20</v>
      </c>
      <c r="N173" s="1107">
        <v>256481.5</v>
      </c>
      <c r="O173" s="1107">
        <f t="shared" si="40"/>
        <v>5129630</v>
      </c>
      <c r="P173" s="1107">
        <f t="shared" si="41"/>
        <v>410370.4</v>
      </c>
      <c r="Q173" s="1107">
        <f t="shared" si="42"/>
        <v>5540000.4000000004</v>
      </c>
      <c r="R173" s="1108"/>
      <c r="S173" s="1083"/>
      <c r="T173" s="1083"/>
      <c r="U173" s="1083"/>
      <c r="V173" s="1083">
        <f t="shared" si="39"/>
        <v>5540000.4000000004</v>
      </c>
    </row>
    <row r="174" spans="1:22" s="1002" customFormat="1" ht="31.5" hidden="1">
      <c r="A174" s="1000" t="s">
        <v>753</v>
      </c>
      <c r="B174" s="1001" t="s">
        <v>754</v>
      </c>
      <c r="C174" s="1084">
        <v>46035</v>
      </c>
      <c r="D174" s="1084"/>
      <c r="F174" s="1105">
        <v>46035</v>
      </c>
      <c r="H174" s="1106" t="s">
        <v>366</v>
      </c>
      <c r="I174" s="1002" t="s">
        <v>811</v>
      </c>
      <c r="J174" s="1007" t="s">
        <v>34</v>
      </c>
      <c r="K174" s="572" t="s">
        <v>35</v>
      </c>
      <c r="L174" s="1002" t="s">
        <v>113</v>
      </c>
      <c r="M174" s="1086">
        <v>20</v>
      </c>
      <c r="N174" s="1107">
        <v>227777.8</v>
      </c>
      <c r="O174" s="1107">
        <f t="shared" si="40"/>
        <v>4555556</v>
      </c>
      <c r="P174" s="1107">
        <f t="shared" si="41"/>
        <v>364444.48</v>
      </c>
      <c r="Q174" s="1107">
        <f t="shared" si="42"/>
        <v>4920000.4800000004</v>
      </c>
      <c r="R174" s="1108"/>
      <c r="S174" s="1083"/>
      <c r="T174" s="1083"/>
      <c r="U174" s="1083"/>
      <c r="V174" s="1083">
        <f t="shared" si="39"/>
        <v>4920000.4800000004</v>
      </c>
    </row>
    <row r="175" spans="1:22" s="1002" customFormat="1" ht="31.5" hidden="1">
      <c r="A175" s="1000" t="s">
        <v>753</v>
      </c>
      <c r="B175" s="1001" t="s">
        <v>754</v>
      </c>
      <c r="C175" s="1084">
        <v>46035</v>
      </c>
      <c r="D175" s="1084"/>
      <c r="F175" s="1105">
        <v>46035</v>
      </c>
      <c r="H175" s="1106" t="s">
        <v>366</v>
      </c>
      <c r="I175" s="1002" t="s">
        <v>811</v>
      </c>
      <c r="J175" s="1007" t="s">
        <v>36</v>
      </c>
      <c r="K175" s="572" t="s">
        <v>37</v>
      </c>
      <c r="L175" s="1002" t="s">
        <v>113</v>
      </c>
      <c r="M175" s="1086">
        <v>20</v>
      </c>
      <c r="N175" s="1107">
        <v>252777.8</v>
      </c>
      <c r="O175" s="1107">
        <f t="shared" si="40"/>
        <v>5055556</v>
      </c>
      <c r="P175" s="1107">
        <f t="shared" si="41"/>
        <v>404444.48</v>
      </c>
      <c r="Q175" s="1107">
        <f t="shared" si="42"/>
        <v>5460000.4800000004</v>
      </c>
      <c r="R175" s="1108"/>
      <c r="S175" s="1083"/>
      <c r="T175" s="1083"/>
      <c r="U175" s="1083"/>
      <c r="V175" s="1083">
        <f t="shared" si="39"/>
        <v>5460000.4800000004</v>
      </c>
    </row>
    <row r="176" spans="1:22" s="1002" customFormat="1" ht="31.5" hidden="1">
      <c r="A176" s="1000" t="s">
        <v>753</v>
      </c>
      <c r="B176" s="1001" t="s">
        <v>754</v>
      </c>
      <c r="C176" s="1084">
        <v>46035</v>
      </c>
      <c r="D176" s="1084"/>
      <c r="F176" s="1105">
        <v>46035</v>
      </c>
      <c r="H176" s="1106" t="s">
        <v>366</v>
      </c>
      <c r="I176" s="1002" t="s">
        <v>811</v>
      </c>
      <c r="J176" s="1007" t="s">
        <v>38</v>
      </c>
      <c r="K176" s="572" t="s">
        <v>39</v>
      </c>
      <c r="L176" s="1109" t="s">
        <v>113</v>
      </c>
      <c r="M176" s="1086">
        <v>20</v>
      </c>
      <c r="N176" s="1107">
        <v>277777.8</v>
      </c>
      <c r="O176" s="1107">
        <f t="shared" si="40"/>
        <v>5555556</v>
      </c>
      <c r="P176" s="1107">
        <f t="shared" si="41"/>
        <v>444444.48</v>
      </c>
      <c r="Q176" s="1107">
        <f t="shared" si="42"/>
        <v>6000000.4800000004</v>
      </c>
      <c r="R176" s="1108"/>
      <c r="S176" s="1083"/>
      <c r="T176" s="1083"/>
      <c r="U176" s="1083"/>
      <c r="V176" s="1083">
        <f t="shared" si="39"/>
        <v>6000000.4800000004</v>
      </c>
    </row>
    <row r="177" spans="1:22" s="1002" customFormat="1" ht="31.5" hidden="1">
      <c r="A177" s="1000" t="s">
        <v>753</v>
      </c>
      <c r="B177" s="1001" t="s">
        <v>754</v>
      </c>
      <c r="C177" s="1084">
        <v>46035</v>
      </c>
      <c r="D177" s="1084"/>
      <c r="F177" s="1105">
        <v>46035</v>
      </c>
      <c r="H177" s="1106" t="s">
        <v>366</v>
      </c>
      <c r="I177" s="1002" t="s">
        <v>811</v>
      </c>
      <c r="J177" s="1007" t="s">
        <v>40</v>
      </c>
      <c r="K177" s="572" t="s">
        <v>41</v>
      </c>
      <c r="L177" s="1002" t="s">
        <v>113</v>
      </c>
      <c r="M177" s="1086">
        <v>10</v>
      </c>
      <c r="N177" s="1107">
        <v>844444.4</v>
      </c>
      <c r="O177" s="1107">
        <f t="shared" si="40"/>
        <v>8444444</v>
      </c>
      <c r="P177" s="1107">
        <f t="shared" si="41"/>
        <v>675555.52</v>
      </c>
      <c r="Q177" s="1107">
        <f t="shared" si="42"/>
        <v>9119999.5199999996</v>
      </c>
      <c r="R177" s="1108"/>
      <c r="S177" s="1083"/>
      <c r="T177" s="1083"/>
      <c r="U177" s="1083"/>
      <c r="V177" s="1083">
        <f t="shared" si="39"/>
        <v>9119999.5199999996</v>
      </c>
    </row>
    <row r="178" spans="1:22" s="1002" customFormat="1" hidden="1">
      <c r="A178" s="1000" t="s">
        <v>753</v>
      </c>
      <c r="B178" s="1001" t="s">
        <v>754</v>
      </c>
      <c r="C178" s="1084">
        <v>46035</v>
      </c>
      <c r="D178" s="1084"/>
      <c r="F178" s="1105">
        <v>46035</v>
      </c>
      <c r="H178" s="1106" t="s">
        <v>366</v>
      </c>
      <c r="I178" s="1002" t="s">
        <v>811</v>
      </c>
      <c r="J178" s="1007" t="s">
        <v>119</v>
      </c>
      <c r="K178" s="572" t="s">
        <v>191</v>
      </c>
      <c r="L178" s="1002" t="s">
        <v>113</v>
      </c>
      <c r="M178" s="1086">
        <v>10</v>
      </c>
      <c r="N178" s="1107">
        <v>659259.30000000005</v>
      </c>
      <c r="O178" s="1107">
        <f t="shared" si="40"/>
        <v>6592593</v>
      </c>
      <c r="P178" s="1107">
        <f t="shared" si="41"/>
        <v>527407.44000000006</v>
      </c>
      <c r="Q178" s="1107">
        <f t="shared" si="42"/>
        <v>7120000.4400000004</v>
      </c>
      <c r="R178" s="1108"/>
      <c r="S178" s="1083"/>
      <c r="T178" s="1083"/>
      <c r="U178" s="1083"/>
      <c r="V178" s="1083">
        <f t="shared" si="39"/>
        <v>7120000.4400000004</v>
      </c>
    </row>
    <row r="179" spans="1:22" s="1002" customFormat="1" hidden="1">
      <c r="A179" s="1000" t="s">
        <v>753</v>
      </c>
      <c r="B179" s="1001" t="s">
        <v>754</v>
      </c>
      <c r="C179" s="1084">
        <v>46035</v>
      </c>
      <c r="D179" s="1084"/>
      <c r="F179" s="1105">
        <v>46035</v>
      </c>
      <c r="H179" s="1106" t="s">
        <v>366</v>
      </c>
      <c r="I179" s="1002" t="s">
        <v>811</v>
      </c>
      <c r="J179" s="1007" t="s">
        <v>42</v>
      </c>
      <c r="K179" s="572" t="s">
        <v>43</v>
      </c>
      <c r="L179" s="1002" t="s">
        <v>113</v>
      </c>
      <c r="M179" s="1086">
        <v>10</v>
      </c>
      <c r="N179" s="1107">
        <v>569444.4</v>
      </c>
      <c r="O179" s="1107">
        <f t="shared" si="40"/>
        <v>5694444</v>
      </c>
      <c r="P179" s="1107">
        <f t="shared" si="41"/>
        <v>455555.52</v>
      </c>
      <c r="Q179" s="1107">
        <f t="shared" si="42"/>
        <v>6149999.5199999996</v>
      </c>
      <c r="R179" s="1108"/>
      <c r="S179" s="1083"/>
      <c r="T179" s="1083"/>
      <c r="U179" s="1083"/>
      <c r="V179" s="1083">
        <f t="shared" si="39"/>
        <v>6149999.5199999996</v>
      </c>
    </row>
    <row r="180" spans="1:22" s="1002" customFormat="1" hidden="1">
      <c r="A180" s="1000" t="s">
        <v>753</v>
      </c>
      <c r="B180" s="1001" t="s">
        <v>754</v>
      </c>
      <c r="C180" s="1084">
        <v>46035</v>
      </c>
      <c r="D180" s="1084"/>
      <c r="F180" s="1105">
        <v>46035</v>
      </c>
      <c r="H180" s="1106" t="s">
        <v>366</v>
      </c>
      <c r="I180" s="1002" t="s">
        <v>811</v>
      </c>
      <c r="J180" s="1007" t="s">
        <v>44</v>
      </c>
      <c r="K180" s="572" t="s">
        <v>45</v>
      </c>
      <c r="L180" s="1002" t="s">
        <v>113</v>
      </c>
      <c r="M180" s="1086">
        <v>12</v>
      </c>
      <c r="N180" s="1107">
        <v>564814.82999999996</v>
      </c>
      <c r="O180" s="1107">
        <f t="shared" si="40"/>
        <v>6777777.959999999</v>
      </c>
      <c r="P180" s="1107">
        <f t="shared" si="41"/>
        <v>542222.23679999996</v>
      </c>
      <c r="Q180" s="1107">
        <f t="shared" si="42"/>
        <v>7320000.1967999991</v>
      </c>
      <c r="R180" s="1108"/>
      <c r="S180" s="1083"/>
      <c r="T180" s="1083"/>
      <c r="U180" s="1083"/>
      <c r="V180" s="1083">
        <f t="shared" si="39"/>
        <v>7320000.1967999991</v>
      </c>
    </row>
    <row r="181" spans="1:22" s="1002" customFormat="1" hidden="1">
      <c r="A181" s="1000" t="s">
        <v>753</v>
      </c>
      <c r="B181" s="1001" t="s">
        <v>754</v>
      </c>
      <c r="C181" s="1084">
        <v>46035</v>
      </c>
      <c r="D181" s="1084"/>
      <c r="F181" s="1105">
        <v>46035</v>
      </c>
      <c r="H181" s="1106" t="s">
        <v>366</v>
      </c>
      <c r="I181" s="1002" t="s">
        <v>811</v>
      </c>
      <c r="J181" s="1007" t="s">
        <v>148</v>
      </c>
      <c r="K181" s="572" t="s">
        <v>149</v>
      </c>
      <c r="L181" s="1002" t="s">
        <v>113</v>
      </c>
      <c r="M181" s="1086">
        <v>12</v>
      </c>
      <c r="N181" s="1107">
        <v>358333.33</v>
      </c>
      <c r="O181" s="1107">
        <f t="shared" si="40"/>
        <v>4299999.96</v>
      </c>
      <c r="P181" s="1107">
        <f t="shared" si="41"/>
        <v>343999.99680000002</v>
      </c>
      <c r="Q181" s="1107">
        <f t="shared" si="42"/>
        <v>4643999.9567999998</v>
      </c>
      <c r="R181" s="1108"/>
      <c r="S181" s="1083"/>
      <c r="T181" s="1083"/>
      <c r="U181" s="1083"/>
      <c r="V181" s="1083">
        <f t="shared" si="39"/>
        <v>4643999.9567999998</v>
      </c>
    </row>
    <row r="182" spans="1:22" s="1002" customFormat="1" hidden="1">
      <c r="A182" s="1000" t="s">
        <v>753</v>
      </c>
      <c r="B182" s="1001" t="s">
        <v>754</v>
      </c>
      <c r="C182" s="1084">
        <v>46035</v>
      </c>
      <c r="D182" s="1084"/>
      <c r="F182" s="1105">
        <v>46035</v>
      </c>
      <c r="H182" s="1106" t="s">
        <v>366</v>
      </c>
      <c r="I182" s="1002" t="s">
        <v>811</v>
      </c>
      <c r="J182" s="1007" t="s">
        <v>192</v>
      </c>
      <c r="K182" s="572" t="s">
        <v>193</v>
      </c>
      <c r="L182" s="1002" t="s">
        <v>113</v>
      </c>
      <c r="M182" s="1086">
        <v>12</v>
      </c>
      <c r="N182" s="1107">
        <v>398148.17</v>
      </c>
      <c r="O182" s="1107">
        <f t="shared" si="40"/>
        <v>4777778.04</v>
      </c>
      <c r="P182" s="1107">
        <f t="shared" si="41"/>
        <v>382222.24320000003</v>
      </c>
      <c r="Q182" s="1107">
        <f t="shared" si="42"/>
        <v>5160000.2832000004</v>
      </c>
      <c r="R182" s="1108"/>
      <c r="S182" s="1083"/>
      <c r="T182" s="1083"/>
      <c r="U182" s="1083"/>
      <c r="V182" s="1083">
        <f t="shared" si="39"/>
        <v>5160000.2832000004</v>
      </c>
    </row>
    <row r="183" spans="1:22" s="1002" customFormat="1" hidden="1">
      <c r="A183" s="1000" t="s">
        <v>753</v>
      </c>
      <c r="B183" s="1001" t="s">
        <v>754</v>
      </c>
      <c r="C183" s="1084">
        <v>46035</v>
      </c>
      <c r="D183" s="1084"/>
      <c r="F183" s="1105">
        <v>46043</v>
      </c>
      <c r="H183" s="1106" t="s">
        <v>372</v>
      </c>
      <c r="I183" s="1002" t="s">
        <v>811</v>
      </c>
      <c r="J183" s="1007" t="s">
        <v>68</v>
      </c>
      <c r="K183" s="572" t="s">
        <v>69</v>
      </c>
      <c r="L183" s="1002" t="s">
        <v>18</v>
      </c>
      <c r="M183" s="1086">
        <v>12</v>
      </c>
      <c r="N183" s="1107">
        <v>111111.08</v>
      </c>
      <c r="O183" s="1107">
        <f t="shared" si="40"/>
        <v>1333332.96</v>
      </c>
      <c r="P183" s="1107">
        <f t="shared" si="41"/>
        <v>106666.63679999999</v>
      </c>
      <c r="Q183" s="1107">
        <f t="shared" si="42"/>
        <v>1439999.5967999999</v>
      </c>
      <c r="R183" s="1108"/>
      <c r="S183" s="1083"/>
      <c r="T183" s="1083"/>
      <c r="U183" s="1083"/>
      <c r="V183" s="1083">
        <f t="shared" si="39"/>
        <v>1439999.5967999999</v>
      </c>
    </row>
    <row r="184" spans="1:22" s="1002" customFormat="1" hidden="1">
      <c r="A184" s="1000" t="s">
        <v>753</v>
      </c>
      <c r="B184" s="1001" t="s">
        <v>754</v>
      </c>
      <c r="C184" s="1084">
        <v>46035</v>
      </c>
      <c r="D184" s="1084"/>
      <c r="F184" s="1105">
        <v>46043</v>
      </c>
      <c r="H184" s="1106" t="s">
        <v>372</v>
      </c>
      <c r="I184" s="1002" t="s">
        <v>811</v>
      </c>
      <c r="J184" s="1007" t="s">
        <v>70</v>
      </c>
      <c r="K184" s="572" t="s">
        <v>71</v>
      </c>
      <c r="L184" s="1002" t="s">
        <v>18</v>
      </c>
      <c r="M184" s="1086">
        <v>12</v>
      </c>
      <c r="N184" s="1107">
        <v>120370.33</v>
      </c>
      <c r="O184" s="1107">
        <f t="shared" si="40"/>
        <v>1444443.96</v>
      </c>
      <c r="P184" s="1107">
        <f t="shared" si="41"/>
        <v>115555.5168</v>
      </c>
      <c r="Q184" s="1107">
        <f t="shared" si="42"/>
        <v>1559999.4768000001</v>
      </c>
      <c r="R184" s="1108"/>
      <c r="S184" s="1083"/>
      <c r="T184" s="1083"/>
      <c r="U184" s="1083"/>
      <c r="V184" s="1083">
        <f t="shared" si="39"/>
        <v>1559999.4768000001</v>
      </c>
    </row>
    <row r="185" spans="1:22" s="1002" customFormat="1" hidden="1">
      <c r="A185" s="1000" t="s">
        <v>753</v>
      </c>
      <c r="B185" s="1001" t="s">
        <v>754</v>
      </c>
      <c r="C185" s="1084">
        <v>46035</v>
      </c>
      <c r="D185" s="1084"/>
      <c r="F185" s="1105">
        <v>46043</v>
      </c>
      <c r="H185" s="1106" t="s">
        <v>372</v>
      </c>
      <c r="I185" s="1002" t="s">
        <v>811</v>
      </c>
      <c r="J185" s="1007" t="s">
        <v>72</v>
      </c>
      <c r="K185" s="572" t="s">
        <v>73</v>
      </c>
      <c r="L185" s="1002" t="s">
        <v>18</v>
      </c>
      <c r="M185" s="1086">
        <v>12</v>
      </c>
      <c r="N185" s="1107">
        <v>129629.67</v>
      </c>
      <c r="O185" s="1107">
        <f t="shared" si="40"/>
        <v>1555556.04</v>
      </c>
      <c r="P185" s="1107">
        <f t="shared" si="41"/>
        <v>124444.4832</v>
      </c>
      <c r="Q185" s="1107">
        <f t="shared" si="42"/>
        <v>1680000.5231999999</v>
      </c>
      <c r="R185" s="1108"/>
      <c r="S185" s="1083"/>
      <c r="T185" s="1083"/>
      <c r="U185" s="1083"/>
      <c r="V185" s="1083">
        <f t="shared" si="39"/>
        <v>1680000.5231999999</v>
      </c>
    </row>
    <row r="186" spans="1:22" s="1002" customFormat="1" hidden="1">
      <c r="A186" s="1000" t="s">
        <v>753</v>
      </c>
      <c r="B186" s="1001" t="s">
        <v>754</v>
      </c>
      <c r="C186" s="1084">
        <v>46035</v>
      </c>
      <c r="D186" s="1084"/>
      <c r="F186" s="1105">
        <v>46043</v>
      </c>
      <c r="H186" s="1106" t="s">
        <v>372</v>
      </c>
      <c r="I186" s="1002" t="s">
        <v>811</v>
      </c>
      <c r="J186" s="1007" t="s">
        <v>194</v>
      </c>
      <c r="K186" s="1002" t="s">
        <v>720</v>
      </c>
      <c r="L186" s="1002" t="s">
        <v>18</v>
      </c>
      <c r="M186" s="1086">
        <v>10</v>
      </c>
      <c r="N186" s="1107">
        <v>1203703.7</v>
      </c>
      <c r="O186" s="1107">
        <f t="shared" si="40"/>
        <v>12037037</v>
      </c>
      <c r="P186" s="1107">
        <f t="shared" si="41"/>
        <v>962962.96</v>
      </c>
      <c r="Q186" s="1107">
        <f t="shared" si="42"/>
        <v>12999999.960000001</v>
      </c>
      <c r="R186" s="1108"/>
      <c r="S186" s="1083"/>
      <c r="T186" s="1083"/>
      <c r="U186" s="1083"/>
      <c r="V186" s="1083">
        <f t="shared" si="39"/>
        <v>12999999.960000001</v>
      </c>
    </row>
    <row r="187" spans="1:22" s="1002" customFormat="1" hidden="1">
      <c r="A187" s="1000" t="s">
        <v>753</v>
      </c>
      <c r="B187" s="1001" t="s">
        <v>754</v>
      </c>
      <c r="C187" s="1084">
        <v>46035</v>
      </c>
      <c r="D187" s="1084"/>
      <c r="F187" s="1105">
        <v>46043</v>
      </c>
      <c r="H187" s="1106" t="s">
        <v>372</v>
      </c>
      <c r="I187" s="1002" t="s">
        <v>811</v>
      </c>
      <c r="J187" s="1007" t="s">
        <v>58</v>
      </c>
      <c r="K187" s="572" t="s">
        <v>59</v>
      </c>
      <c r="L187" s="1002" t="s">
        <v>18</v>
      </c>
      <c r="M187" s="1086">
        <v>10</v>
      </c>
      <c r="N187" s="1107">
        <v>1361111.1</v>
      </c>
      <c r="O187" s="1107">
        <f t="shared" si="40"/>
        <v>13611111</v>
      </c>
      <c r="P187" s="1107">
        <f t="shared" si="41"/>
        <v>1088888.8800000001</v>
      </c>
      <c r="Q187" s="1107">
        <f t="shared" si="42"/>
        <v>14699999.880000001</v>
      </c>
      <c r="R187" s="1108"/>
      <c r="S187" s="1083"/>
      <c r="T187" s="1083"/>
      <c r="U187" s="1083"/>
      <c r="V187" s="1083">
        <f t="shared" si="39"/>
        <v>14699999.880000001</v>
      </c>
    </row>
    <row r="188" spans="1:22" s="1002" customFormat="1" ht="31.5" hidden="1">
      <c r="A188" s="1000" t="s">
        <v>753</v>
      </c>
      <c r="B188" s="1001" t="s">
        <v>754</v>
      </c>
      <c r="C188" s="1084">
        <v>46035</v>
      </c>
      <c r="D188" s="1077"/>
      <c r="F188" s="1110">
        <v>46057</v>
      </c>
      <c r="H188" s="1111" t="s">
        <v>373</v>
      </c>
      <c r="I188" s="1002" t="s">
        <v>811</v>
      </c>
      <c r="J188" s="1007" t="s">
        <v>60</v>
      </c>
      <c r="K188" s="1013" t="s">
        <v>374</v>
      </c>
      <c r="L188" s="1008" t="s">
        <v>18</v>
      </c>
      <c r="M188" s="1093">
        <v>8</v>
      </c>
      <c r="N188" s="1107">
        <v>1138888.8799999999</v>
      </c>
      <c r="O188" s="1107">
        <f t="shared" si="40"/>
        <v>9111111.0399999991</v>
      </c>
      <c r="P188" s="1081">
        <f t="shared" si="41"/>
        <v>728888.88319999992</v>
      </c>
      <c r="Q188" s="1081">
        <f t="shared" si="42"/>
        <v>9839999.9231999982</v>
      </c>
      <c r="R188" s="1108"/>
      <c r="S188" s="1083"/>
      <c r="T188" s="1083"/>
      <c r="U188" s="1083"/>
      <c r="V188" s="1083">
        <f t="shared" si="39"/>
        <v>9839999.9231999982</v>
      </c>
    </row>
    <row r="189" spans="1:22" s="1002" customFormat="1" ht="31.5" hidden="1">
      <c r="A189" s="1000" t="s">
        <v>753</v>
      </c>
      <c r="B189" s="1001" t="s">
        <v>754</v>
      </c>
      <c r="C189" s="1084">
        <v>46035</v>
      </c>
      <c r="D189" s="1077"/>
      <c r="F189" s="1110">
        <v>46057</v>
      </c>
      <c r="H189" s="1111" t="s">
        <v>373</v>
      </c>
      <c r="I189" s="1002" t="s">
        <v>811</v>
      </c>
      <c r="J189" s="1007" t="s">
        <v>16</v>
      </c>
      <c r="K189" s="1013" t="s">
        <v>375</v>
      </c>
      <c r="L189" s="1008" t="s">
        <v>18</v>
      </c>
      <c r="M189" s="1093">
        <v>8</v>
      </c>
      <c r="N189" s="1107">
        <v>851851.88</v>
      </c>
      <c r="O189" s="1107">
        <f t="shared" si="40"/>
        <v>6814815.04</v>
      </c>
      <c r="P189" s="1081">
        <f t="shared" si="41"/>
        <v>545185.20319999999</v>
      </c>
      <c r="Q189" s="1081">
        <f t="shared" si="42"/>
        <v>7360000.2432000004</v>
      </c>
      <c r="R189" s="1108"/>
      <c r="S189" s="1083"/>
      <c r="T189" s="1083"/>
      <c r="U189" s="1083"/>
      <c r="V189" s="1083">
        <f t="shared" si="39"/>
        <v>7360000.2432000004</v>
      </c>
    </row>
    <row r="190" spans="1:22" s="1002" customFormat="1" hidden="1">
      <c r="A190" s="1000" t="s">
        <v>753</v>
      </c>
      <c r="B190" s="1001" t="s">
        <v>754</v>
      </c>
      <c r="C190" s="1084">
        <v>46035</v>
      </c>
      <c r="D190" s="1112"/>
      <c r="F190" s="1110">
        <v>46057</v>
      </c>
      <c r="H190" s="1111" t="s">
        <v>373</v>
      </c>
      <c r="I190" s="1002" t="s">
        <v>811</v>
      </c>
      <c r="J190" s="1007" t="s">
        <v>48</v>
      </c>
      <c r="K190" s="1002" t="s">
        <v>49</v>
      </c>
      <c r="L190" s="1008" t="s">
        <v>18</v>
      </c>
      <c r="M190" s="1113">
        <v>12</v>
      </c>
      <c r="N190" s="1114">
        <v>601851.85</v>
      </c>
      <c r="O190" s="1114">
        <f>M190*N190</f>
        <v>7222222.1999999993</v>
      </c>
      <c r="P190" s="1115">
        <f>O190*8%</f>
        <v>577777.77599999995</v>
      </c>
      <c r="Q190" s="1115">
        <f>O190+P190</f>
        <v>7799999.9759999989</v>
      </c>
      <c r="R190" s="1108"/>
      <c r="S190" s="1083"/>
      <c r="T190" s="1083"/>
      <c r="U190" s="1083"/>
      <c r="V190" s="1083">
        <f t="shared" si="39"/>
        <v>7799999.9759999989</v>
      </c>
    </row>
    <row r="191" spans="1:22" s="1002" customFormat="1" ht="31.5" hidden="1">
      <c r="A191" s="1000" t="s">
        <v>753</v>
      </c>
      <c r="B191" s="1001" t="s">
        <v>754</v>
      </c>
      <c r="C191" s="1084">
        <v>46035</v>
      </c>
      <c r="D191" s="1112"/>
      <c r="F191" s="1110">
        <v>46057</v>
      </c>
      <c r="H191" s="1111" t="s">
        <v>373</v>
      </c>
      <c r="I191" s="1002" t="s">
        <v>811</v>
      </c>
      <c r="J191" s="1007" t="s">
        <v>50</v>
      </c>
      <c r="K191" s="1013" t="s">
        <v>377</v>
      </c>
      <c r="L191" s="1008" t="s">
        <v>18</v>
      </c>
      <c r="M191" s="1113">
        <v>6</v>
      </c>
      <c r="N191" s="1114">
        <v>937962</v>
      </c>
      <c r="O191" s="1114">
        <f>M191*N191</f>
        <v>5627772</v>
      </c>
      <c r="P191" s="1115">
        <f>O191*8%</f>
        <v>450221.76</v>
      </c>
      <c r="Q191" s="1115">
        <f>O191+P191</f>
        <v>6077993.7599999998</v>
      </c>
      <c r="R191" s="1108"/>
      <c r="S191" s="1083"/>
      <c r="T191" s="1083"/>
      <c r="U191" s="1083"/>
      <c r="V191" s="1083">
        <f t="shared" si="39"/>
        <v>6077993.7599999998</v>
      </c>
    </row>
    <row r="192" spans="1:22" s="1002" customFormat="1" hidden="1">
      <c r="A192" s="1000" t="s">
        <v>753</v>
      </c>
      <c r="B192" s="1001" t="s">
        <v>754</v>
      </c>
      <c r="C192" s="1084">
        <v>46035</v>
      </c>
      <c r="D192" s="1112"/>
      <c r="F192" s="1110">
        <v>46057</v>
      </c>
      <c r="H192" s="1111" t="s">
        <v>373</v>
      </c>
      <c r="I192" s="1002" t="s">
        <v>811</v>
      </c>
      <c r="J192" s="1007" t="s">
        <v>226</v>
      </c>
      <c r="K192" s="1013" t="s">
        <v>227</v>
      </c>
      <c r="L192" s="1008" t="s">
        <v>18</v>
      </c>
      <c r="M192" s="1113">
        <v>6</v>
      </c>
      <c r="N192" s="1114">
        <v>799074</v>
      </c>
      <c r="O192" s="1114">
        <f>M192*N192</f>
        <v>4794444</v>
      </c>
      <c r="P192" s="1115">
        <f>O192*8%</f>
        <v>383555.52</v>
      </c>
      <c r="Q192" s="1115">
        <f>O192+P192</f>
        <v>5177999.5199999996</v>
      </c>
      <c r="R192" s="1108"/>
      <c r="S192" s="1083"/>
      <c r="T192" s="1083"/>
      <c r="U192" s="1083"/>
      <c r="V192" s="1083">
        <f t="shared" si="39"/>
        <v>5177999.5199999996</v>
      </c>
    </row>
    <row r="193" spans="1:22" s="1002" customFormat="1" hidden="1">
      <c r="A193" s="1000" t="s">
        <v>753</v>
      </c>
      <c r="B193" s="1001" t="s">
        <v>754</v>
      </c>
      <c r="C193" s="1084">
        <v>46035</v>
      </c>
      <c r="D193" s="1112"/>
      <c r="F193" s="1110">
        <v>46057</v>
      </c>
      <c r="H193" s="1111" t="s">
        <v>373</v>
      </c>
      <c r="I193" s="1002" t="s">
        <v>811</v>
      </c>
      <c r="J193" s="1007" t="s">
        <v>52</v>
      </c>
      <c r="K193" s="1002" t="s">
        <v>53</v>
      </c>
      <c r="L193" s="1008" t="s">
        <v>18</v>
      </c>
      <c r="M193" s="1113">
        <v>6</v>
      </c>
      <c r="N193" s="1114">
        <v>1007407.4</v>
      </c>
      <c r="O193" s="1114">
        <f>M193*N193</f>
        <v>6044444.4000000004</v>
      </c>
      <c r="P193" s="1115">
        <f>O193*8%</f>
        <v>483555.55200000003</v>
      </c>
      <c r="Q193" s="1115">
        <f>O193+P193</f>
        <v>6527999.9520000005</v>
      </c>
      <c r="R193" s="1108"/>
      <c r="S193" s="1083"/>
      <c r="T193" s="1083"/>
      <c r="U193" s="1083"/>
      <c r="V193" s="1083">
        <f t="shared" si="39"/>
        <v>6527999.9520000005</v>
      </c>
    </row>
    <row r="194" spans="1:22" s="1002" customFormat="1" ht="31.5" hidden="1">
      <c r="A194" s="1000" t="s">
        <v>753</v>
      </c>
      <c r="B194" s="1001" t="s">
        <v>754</v>
      </c>
      <c r="C194" s="1084">
        <v>46035</v>
      </c>
      <c r="D194" s="1077"/>
      <c r="F194" s="1110">
        <v>46079</v>
      </c>
      <c r="H194" s="1111" t="s">
        <v>379</v>
      </c>
      <c r="I194" s="1002" t="s">
        <v>811</v>
      </c>
      <c r="J194" s="1007" t="s">
        <v>54</v>
      </c>
      <c r="K194" s="1013" t="s">
        <v>380</v>
      </c>
      <c r="L194" s="1008" t="s">
        <v>18</v>
      </c>
      <c r="M194" s="1093">
        <v>12</v>
      </c>
      <c r="N194" s="1107">
        <v>324074.08</v>
      </c>
      <c r="O194" s="1107">
        <f t="shared" si="40"/>
        <v>3888888.96</v>
      </c>
      <c r="P194" s="1081">
        <f t="shared" si="41"/>
        <v>311111.11680000002</v>
      </c>
      <c r="Q194" s="1081">
        <f t="shared" si="42"/>
        <v>4200000.0767999999</v>
      </c>
      <c r="R194" s="1108"/>
      <c r="S194" s="1083"/>
      <c r="T194" s="1083"/>
      <c r="U194" s="1083"/>
      <c r="V194" s="1083">
        <f t="shared" si="39"/>
        <v>4200000.0767999999</v>
      </c>
    </row>
    <row r="195" spans="1:22" s="1002" customFormat="1" ht="31.5" hidden="1">
      <c r="A195" s="1000" t="s">
        <v>753</v>
      </c>
      <c r="B195" s="1001" t="s">
        <v>754</v>
      </c>
      <c r="C195" s="1084">
        <v>46035</v>
      </c>
      <c r="D195" s="1077"/>
      <c r="F195" s="1110">
        <v>46079</v>
      </c>
      <c r="H195" s="1111" t="s">
        <v>379</v>
      </c>
      <c r="I195" s="1002" t="s">
        <v>811</v>
      </c>
      <c r="J195" s="1007" t="s">
        <v>56</v>
      </c>
      <c r="K195" s="1013" t="s">
        <v>381</v>
      </c>
      <c r="L195" s="1008" t="s">
        <v>18</v>
      </c>
      <c r="M195" s="1093">
        <v>12</v>
      </c>
      <c r="N195" s="1107">
        <v>325925.92</v>
      </c>
      <c r="O195" s="1107">
        <f t="shared" si="40"/>
        <v>3911111.04</v>
      </c>
      <c r="P195" s="1081">
        <f t="shared" si="41"/>
        <v>312888.88319999998</v>
      </c>
      <c r="Q195" s="1081">
        <f t="shared" si="42"/>
        <v>4223999.9232000001</v>
      </c>
      <c r="R195" s="1108"/>
      <c r="S195" s="1083"/>
      <c r="T195" s="1083"/>
      <c r="U195" s="1083"/>
      <c r="V195" s="1083">
        <f t="shared" si="39"/>
        <v>4223999.9232000001</v>
      </c>
    </row>
    <row r="196" spans="1:22" s="1002" customFormat="1" hidden="1">
      <c r="A196" s="1000" t="s">
        <v>753</v>
      </c>
      <c r="B196" s="1001" t="s">
        <v>754</v>
      </c>
      <c r="C196" s="1084">
        <v>46035</v>
      </c>
      <c r="D196" s="1077"/>
      <c r="F196" s="1110">
        <v>46079</v>
      </c>
      <c r="H196" s="1111" t="s">
        <v>379</v>
      </c>
      <c r="I196" s="1002" t="s">
        <v>811</v>
      </c>
      <c r="J196" s="1007" t="s">
        <v>107</v>
      </c>
      <c r="K196" s="1013" t="s">
        <v>382</v>
      </c>
      <c r="L196" s="1008" t="s">
        <v>18</v>
      </c>
      <c r="M196" s="1093">
        <v>12</v>
      </c>
      <c r="N196" s="1107">
        <v>349074.08</v>
      </c>
      <c r="O196" s="1107">
        <f t="shared" si="40"/>
        <v>4188888.96</v>
      </c>
      <c r="P196" s="1081">
        <f t="shared" si="41"/>
        <v>335111.11680000002</v>
      </c>
      <c r="Q196" s="1081">
        <f t="shared" si="42"/>
        <v>4524000.0767999999</v>
      </c>
      <c r="R196" s="1108"/>
      <c r="S196" s="1083"/>
      <c r="T196" s="1083"/>
      <c r="U196" s="1083"/>
      <c r="V196" s="1083">
        <f t="shared" si="39"/>
        <v>4524000.0767999999</v>
      </c>
    </row>
    <row r="197" spans="1:22" s="1002" customFormat="1" hidden="1">
      <c r="A197" s="1000" t="s">
        <v>753</v>
      </c>
      <c r="B197" s="1001" t="s">
        <v>754</v>
      </c>
      <c r="C197" s="1084">
        <v>46035</v>
      </c>
      <c r="D197" s="1077"/>
      <c r="F197" s="1110">
        <v>46079</v>
      </c>
      <c r="H197" s="1111" t="s">
        <v>379</v>
      </c>
      <c r="I197" s="1002" t="s">
        <v>811</v>
      </c>
      <c r="J197" s="1007" t="s">
        <v>127</v>
      </c>
      <c r="K197" s="1013" t="s">
        <v>383</v>
      </c>
      <c r="L197" s="1008" t="s">
        <v>18</v>
      </c>
      <c r="M197" s="1093">
        <v>12</v>
      </c>
      <c r="N197" s="1107">
        <v>284259.25</v>
      </c>
      <c r="O197" s="1107">
        <f t="shared" si="40"/>
        <v>3411111</v>
      </c>
      <c r="P197" s="1081">
        <f t="shared" si="41"/>
        <v>272888.88</v>
      </c>
      <c r="Q197" s="1081">
        <f t="shared" si="42"/>
        <v>3683999.88</v>
      </c>
      <c r="R197" s="1108"/>
      <c r="S197" s="1083"/>
      <c r="T197" s="1083"/>
      <c r="U197" s="1083"/>
      <c r="V197" s="1083">
        <f t="shared" si="39"/>
        <v>3683999.88</v>
      </c>
    </row>
    <row r="198" spans="1:22" s="1002" customFormat="1" hidden="1">
      <c r="A198" s="1000" t="s">
        <v>753</v>
      </c>
      <c r="B198" s="1001" t="s">
        <v>754</v>
      </c>
      <c r="C198" s="1084">
        <v>46035</v>
      </c>
      <c r="D198" s="1077"/>
      <c r="F198" s="1110">
        <v>46079</v>
      </c>
      <c r="H198" s="1111" t="s">
        <v>379</v>
      </c>
      <c r="I198" s="1002" t="s">
        <v>811</v>
      </c>
      <c r="J198" s="1007" t="s">
        <v>130</v>
      </c>
      <c r="K198" s="1013" t="s">
        <v>384</v>
      </c>
      <c r="L198" s="1008" t="s">
        <v>18</v>
      </c>
      <c r="M198" s="1093">
        <v>12</v>
      </c>
      <c r="N198" s="1107">
        <v>280555.58</v>
      </c>
      <c r="O198" s="1107">
        <f t="shared" si="40"/>
        <v>3366666.96</v>
      </c>
      <c r="P198" s="1081">
        <f t="shared" si="41"/>
        <v>269333.35680000001</v>
      </c>
      <c r="Q198" s="1081">
        <f t="shared" si="42"/>
        <v>3636000.3168000001</v>
      </c>
      <c r="R198" s="1108"/>
      <c r="S198" s="1083"/>
      <c r="T198" s="1083"/>
      <c r="U198" s="1083"/>
      <c r="V198" s="1083">
        <f t="shared" si="39"/>
        <v>3636000.3168000001</v>
      </c>
    </row>
    <row r="199" spans="1:22" s="1002" customFormat="1" hidden="1">
      <c r="A199" s="1000" t="s">
        <v>753</v>
      </c>
      <c r="B199" s="1001" t="s">
        <v>754</v>
      </c>
      <c r="C199" s="1084">
        <v>46035</v>
      </c>
      <c r="D199" s="1077"/>
      <c r="F199" s="1110">
        <v>46079</v>
      </c>
      <c r="H199" s="1111" t="s">
        <v>379</v>
      </c>
      <c r="I199" s="1002" t="s">
        <v>811</v>
      </c>
      <c r="J199" s="1007" t="s">
        <v>219</v>
      </c>
      <c r="K199" s="1013" t="s">
        <v>385</v>
      </c>
      <c r="L199" s="1008" t="s">
        <v>18</v>
      </c>
      <c r="M199" s="1093">
        <v>12</v>
      </c>
      <c r="N199" s="1107">
        <v>263888.92</v>
      </c>
      <c r="O199" s="1107">
        <f t="shared" si="40"/>
        <v>3166667.04</v>
      </c>
      <c r="P199" s="1081">
        <f t="shared" si="41"/>
        <v>253333.36320000002</v>
      </c>
      <c r="Q199" s="1081">
        <f t="shared" si="42"/>
        <v>3420000.4032000001</v>
      </c>
      <c r="R199" s="1108"/>
      <c r="S199" s="1083"/>
      <c r="T199" s="1083"/>
      <c r="U199" s="1083"/>
      <c r="V199" s="1083">
        <f t="shared" si="39"/>
        <v>3420000.4032000001</v>
      </c>
    </row>
    <row r="200" spans="1:22" s="1002" customFormat="1" ht="31.5" hidden="1">
      <c r="A200" s="1000" t="s">
        <v>753</v>
      </c>
      <c r="B200" s="1001" t="s">
        <v>754</v>
      </c>
      <c r="C200" s="1084">
        <v>46035</v>
      </c>
      <c r="D200" s="1077"/>
      <c r="F200" s="1110"/>
      <c r="H200" s="1101"/>
      <c r="I200" s="1002" t="s">
        <v>811</v>
      </c>
      <c r="J200" s="1007" t="s">
        <v>386</v>
      </c>
      <c r="K200" s="1013" t="s">
        <v>387</v>
      </c>
      <c r="L200" s="1008" t="s">
        <v>18</v>
      </c>
      <c r="M200" s="1093">
        <v>12</v>
      </c>
      <c r="N200" s="1107">
        <v>847222.25</v>
      </c>
      <c r="O200" s="1107">
        <f t="shared" si="40"/>
        <v>10166667</v>
      </c>
      <c r="P200" s="1081">
        <f t="shared" si="41"/>
        <v>813333.36</v>
      </c>
      <c r="Q200" s="1081">
        <f t="shared" si="42"/>
        <v>10980000.359999999</v>
      </c>
      <c r="R200" s="1108"/>
      <c r="S200" s="1083"/>
      <c r="T200" s="1083"/>
      <c r="U200" s="1083"/>
      <c r="V200" s="1083">
        <f t="shared" ref="V200:V264" si="43">Q200-R200-S200-T200-U200</f>
        <v>10980000.359999999</v>
      </c>
    </row>
    <row r="201" spans="1:22" s="1002" customFormat="1" hidden="1">
      <c r="A201" s="1000" t="s">
        <v>753</v>
      </c>
      <c r="B201" s="1001" t="s">
        <v>754</v>
      </c>
      <c r="C201" s="1084">
        <v>46035</v>
      </c>
      <c r="D201" s="1077"/>
      <c r="F201" s="1110">
        <v>46127</v>
      </c>
      <c r="H201" s="1116" t="s">
        <v>388</v>
      </c>
      <c r="I201" s="1002" t="s">
        <v>811</v>
      </c>
      <c r="J201" s="1007" t="s">
        <v>48</v>
      </c>
      <c r="K201" s="1002" t="s">
        <v>49</v>
      </c>
      <c r="L201" s="1008" t="s">
        <v>18</v>
      </c>
      <c r="M201" s="1093">
        <v>12</v>
      </c>
      <c r="N201" s="1107">
        <v>601851.85</v>
      </c>
      <c r="O201" s="1107">
        <f t="shared" si="40"/>
        <v>7222222.1999999993</v>
      </c>
      <c r="P201" s="1081">
        <f t="shared" si="41"/>
        <v>577777.77599999995</v>
      </c>
      <c r="Q201" s="1081">
        <f t="shared" si="42"/>
        <v>7799999.9759999989</v>
      </c>
      <c r="R201" s="1108"/>
      <c r="S201" s="1083"/>
      <c r="T201" s="1083"/>
      <c r="U201" s="1083"/>
      <c r="V201" s="1083">
        <f t="shared" si="43"/>
        <v>7799999.9759999989</v>
      </c>
    </row>
    <row r="202" spans="1:22" s="1002" customFormat="1" ht="31.5" hidden="1">
      <c r="A202" s="1000" t="s">
        <v>753</v>
      </c>
      <c r="B202" s="1001" t="s">
        <v>754</v>
      </c>
      <c r="C202" s="1084">
        <v>46035</v>
      </c>
      <c r="D202" s="1077"/>
      <c r="F202" s="1110">
        <v>46127</v>
      </c>
      <c r="H202" s="1116" t="s">
        <v>388</v>
      </c>
      <c r="I202" s="1002" t="s">
        <v>811</v>
      </c>
      <c r="J202" s="1007" t="s">
        <v>50</v>
      </c>
      <c r="K202" s="1013" t="s">
        <v>377</v>
      </c>
      <c r="L202" s="1008" t="s">
        <v>18</v>
      </c>
      <c r="M202" s="1093">
        <v>6</v>
      </c>
      <c r="N202" s="1107">
        <v>937962</v>
      </c>
      <c r="O202" s="1107">
        <f t="shared" si="40"/>
        <v>5627772</v>
      </c>
      <c r="P202" s="1081">
        <f t="shared" si="41"/>
        <v>450221.76</v>
      </c>
      <c r="Q202" s="1081">
        <f t="shared" si="42"/>
        <v>6077993.7599999998</v>
      </c>
      <c r="R202" s="1108"/>
      <c r="S202" s="1083"/>
      <c r="T202" s="1083"/>
      <c r="U202" s="1083"/>
      <c r="V202" s="1083">
        <f t="shared" si="43"/>
        <v>6077993.7599999998</v>
      </c>
    </row>
    <row r="203" spans="1:22" s="1002" customFormat="1" hidden="1">
      <c r="A203" s="1000" t="s">
        <v>753</v>
      </c>
      <c r="B203" s="1001" t="s">
        <v>754</v>
      </c>
      <c r="C203" s="1084">
        <v>46035</v>
      </c>
      <c r="D203" s="1077"/>
      <c r="F203" s="1110">
        <v>46127</v>
      </c>
      <c r="H203" s="1116" t="s">
        <v>388</v>
      </c>
      <c r="I203" s="1002" t="s">
        <v>811</v>
      </c>
      <c r="J203" s="1007" t="s">
        <v>226</v>
      </c>
      <c r="K203" s="1013" t="s">
        <v>227</v>
      </c>
      <c r="L203" s="1008" t="s">
        <v>18</v>
      </c>
      <c r="M203" s="1093">
        <v>6</v>
      </c>
      <c r="N203" s="1107">
        <v>799074</v>
      </c>
      <c r="O203" s="1107">
        <f t="shared" si="40"/>
        <v>4794444</v>
      </c>
      <c r="P203" s="1081">
        <f t="shared" si="41"/>
        <v>383555.52</v>
      </c>
      <c r="Q203" s="1081">
        <f t="shared" si="42"/>
        <v>5177999.5199999996</v>
      </c>
      <c r="R203" s="1108"/>
      <c r="S203" s="1083"/>
      <c r="T203" s="1083"/>
      <c r="U203" s="1083"/>
      <c r="V203" s="1083">
        <f t="shared" si="43"/>
        <v>5177999.5199999996</v>
      </c>
    </row>
    <row r="204" spans="1:22" s="1002" customFormat="1" hidden="1">
      <c r="A204" s="1000" t="s">
        <v>753</v>
      </c>
      <c r="B204" s="1001" t="s">
        <v>754</v>
      </c>
      <c r="C204" s="1084">
        <v>46035</v>
      </c>
      <c r="D204" s="1077"/>
      <c r="F204" s="1110">
        <v>46127</v>
      </c>
      <c r="H204" s="1116" t="s">
        <v>388</v>
      </c>
      <c r="I204" s="1002" t="s">
        <v>811</v>
      </c>
      <c r="J204" s="1007" t="s">
        <v>52</v>
      </c>
      <c r="K204" s="1002" t="s">
        <v>53</v>
      </c>
      <c r="L204" s="1008" t="s">
        <v>18</v>
      </c>
      <c r="M204" s="1093">
        <v>6</v>
      </c>
      <c r="N204" s="1107">
        <v>1007407.4</v>
      </c>
      <c r="O204" s="1107">
        <f t="shared" si="40"/>
        <v>6044444.4000000004</v>
      </c>
      <c r="P204" s="1081">
        <f t="shared" si="41"/>
        <v>483555.55200000003</v>
      </c>
      <c r="Q204" s="1081">
        <f t="shared" si="42"/>
        <v>6527999.9520000005</v>
      </c>
      <c r="R204" s="1108"/>
      <c r="S204" s="1083"/>
      <c r="T204" s="1083"/>
      <c r="U204" s="1083"/>
      <c r="V204" s="1083">
        <f t="shared" si="43"/>
        <v>6527999.9520000005</v>
      </c>
    </row>
    <row r="205" spans="1:22" s="1002" customFormat="1" hidden="1">
      <c r="A205" s="1000" t="s">
        <v>753</v>
      </c>
      <c r="B205" s="1001" t="s">
        <v>754</v>
      </c>
      <c r="C205" s="1084">
        <v>46035</v>
      </c>
      <c r="D205" s="1077"/>
      <c r="F205" s="1110">
        <v>46127</v>
      </c>
      <c r="H205" s="1116" t="s">
        <v>388</v>
      </c>
      <c r="I205" s="1002" t="s">
        <v>862</v>
      </c>
      <c r="J205" s="1007" t="s">
        <v>62</v>
      </c>
      <c r="K205" s="1013" t="s">
        <v>390</v>
      </c>
      <c r="L205" s="1008" t="s">
        <v>18</v>
      </c>
      <c r="M205" s="1093">
        <v>30</v>
      </c>
      <c r="N205" s="1107"/>
      <c r="O205" s="1107"/>
      <c r="P205" s="1081"/>
      <c r="Q205" s="1081"/>
      <c r="R205" s="1108"/>
      <c r="S205" s="1083"/>
      <c r="T205" s="1083"/>
      <c r="U205" s="1083"/>
      <c r="V205" s="1083">
        <f t="shared" si="43"/>
        <v>0</v>
      </c>
    </row>
    <row r="206" spans="1:22" s="1002" customFormat="1" hidden="1">
      <c r="A206" s="1000" t="s">
        <v>753</v>
      </c>
      <c r="B206" s="1001" t="s">
        <v>754</v>
      </c>
      <c r="C206" s="1084">
        <v>46037</v>
      </c>
      <c r="D206" s="1084"/>
      <c r="F206" s="1105">
        <v>46037</v>
      </c>
      <c r="H206" s="1106" t="s">
        <v>391</v>
      </c>
      <c r="I206" s="1002" t="s">
        <v>811</v>
      </c>
      <c r="J206" s="1007" t="s">
        <v>80</v>
      </c>
      <c r="K206" s="1002" t="s">
        <v>81</v>
      </c>
      <c r="L206" s="1002" t="s">
        <v>18</v>
      </c>
      <c r="M206" s="1086">
        <v>30</v>
      </c>
      <c r="N206" s="1107">
        <v>824074.07</v>
      </c>
      <c r="O206" s="1107">
        <f t="shared" si="40"/>
        <v>24722222.099999998</v>
      </c>
      <c r="P206" s="1107">
        <f t="shared" si="41"/>
        <v>1977777.7679999999</v>
      </c>
      <c r="Q206" s="1107">
        <f t="shared" si="42"/>
        <v>26699999.867999997</v>
      </c>
      <c r="R206" s="1108"/>
      <c r="S206" s="1083"/>
      <c r="T206" s="1083"/>
      <c r="U206" s="1083"/>
      <c r="V206" s="1083">
        <f t="shared" si="43"/>
        <v>26699999.867999997</v>
      </c>
    </row>
    <row r="207" spans="1:22" s="1002" customFormat="1" hidden="1">
      <c r="A207" s="1000" t="s">
        <v>753</v>
      </c>
      <c r="B207" s="1001" t="s">
        <v>754</v>
      </c>
      <c r="C207" s="1084">
        <v>46037</v>
      </c>
      <c r="D207" s="1084"/>
      <c r="F207" s="1105">
        <f>C207</f>
        <v>46037</v>
      </c>
      <c r="H207" s="1106" t="s">
        <v>391</v>
      </c>
      <c r="I207" s="1002" t="s">
        <v>811</v>
      </c>
      <c r="J207" s="1007" t="s">
        <v>21</v>
      </c>
      <c r="K207" s="572" t="s">
        <v>22</v>
      </c>
      <c r="L207" s="1002" t="s">
        <v>18</v>
      </c>
      <c r="M207" s="1086">
        <v>30</v>
      </c>
      <c r="N207" s="1107">
        <v>937962.97</v>
      </c>
      <c r="O207" s="1107">
        <f t="shared" si="40"/>
        <v>28138889.099999998</v>
      </c>
      <c r="P207" s="1107">
        <f t="shared" si="41"/>
        <v>2251111.128</v>
      </c>
      <c r="Q207" s="1107">
        <f t="shared" si="42"/>
        <v>30390000.227999996</v>
      </c>
      <c r="R207" s="1108"/>
      <c r="S207" s="1083"/>
      <c r="T207" s="1083"/>
      <c r="U207" s="1083"/>
      <c r="V207" s="1083">
        <f t="shared" si="43"/>
        <v>30390000.227999996</v>
      </c>
    </row>
    <row r="208" spans="1:22" s="1002" customFormat="1" hidden="1">
      <c r="A208" s="1000" t="s">
        <v>753</v>
      </c>
      <c r="B208" s="1001" t="s">
        <v>754</v>
      </c>
      <c r="C208" s="1117">
        <v>46038</v>
      </c>
      <c r="D208" s="1117"/>
      <c r="F208" s="1118"/>
      <c r="H208" s="1119"/>
      <c r="I208" s="1010" t="s">
        <v>392</v>
      </c>
      <c r="J208" s="1007"/>
      <c r="K208" s="1014"/>
      <c r="L208" s="1120"/>
      <c r="M208" s="1102"/>
      <c r="N208" s="1121"/>
      <c r="O208" s="1121"/>
      <c r="P208" s="1103"/>
      <c r="Q208" s="1103"/>
      <c r="R208" s="1083"/>
      <c r="S208" s="1104">
        <v>300000</v>
      </c>
      <c r="T208" s="1083"/>
      <c r="U208" s="1083"/>
      <c r="V208" s="1083">
        <f t="shared" si="43"/>
        <v>-300000</v>
      </c>
    </row>
    <row r="209" spans="1:22" s="1002" customFormat="1" ht="47.25" hidden="1">
      <c r="A209" s="1000" t="s">
        <v>753</v>
      </c>
      <c r="B209" s="1001" t="s">
        <v>754</v>
      </c>
      <c r="C209" s="1077">
        <v>46052</v>
      </c>
      <c r="D209" s="1077"/>
      <c r="F209" s="1105">
        <v>46063</v>
      </c>
      <c r="H209" s="1111" t="s">
        <v>394</v>
      </c>
      <c r="I209" s="1002" t="s">
        <v>811</v>
      </c>
      <c r="J209" s="1007" t="s">
        <v>60</v>
      </c>
      <c r="K209" s="1015" t="s">
        <v>395</v>
      </c>
      <c r="L209" s="1122" t="s">
        <v>18</v>
      </c>
      <c r="M209" s="1093">
        <v>20</v>
      </c>
      <c r="N209" s="1107">
        <v>1138888.8799999999</v>
      </c>
      <c r="O209" s="1107">
        <f t="shared" ref="O209:O243" si="44">M209*N209</f>
        <v>22777777.599999998</v>
      </c>
      <c r="P209" s="1081">
        <f t="shared" ref="P209:P243" si="45">O209*8%</f>
        <v>1822222.2079999999</v>
      </c>
      <c r="Q209" s="1081">
        <f t="shared" ref="Q209:Q227" si="46">O209+P209</f>
        <v>24599999.807999998</v>
      </c>
      <c r="R209" s="1108"/>
      <c r="S209" s="1083"/>
      <c r="T209" s="1083"/>
      <c r="U209" s="1083"/>
      <c r="V209" s="1083">
        <f t="shared" si="43"/>
        <v>24599999.807999998</v>
      </c>
    </row>
    <row r="210" spans="1:22" s="1002" customFormat="1" hidden="1">
      <c r="A210" s="1000" t="s">
        <v>753</v>
      </c>
      <c r="B210" s="1001" t="s">
        <v>754</v>
      </c>
      <c r="C210" s="1077">
        <v>46052</v>
      </c>
      <c r="D210" s="1077"/>
      <c r="F210" s="1105">
        <v>46063</v>
      </c>
      <c r="H210" s="1111" t="s">
        <v>394</v>
      </c>
      <c r="I210" s="1002" t="s">
        <v>811</v>
      </c>
      <c r="J210" s="1007" t="s">
        <v>274</v>
      </c>
      <c r="K210" s="1016" t="s">
        <v>297</v>
      </c>
      <c r="L210" s="1122" t="s">
        <v>25</v>
      </c>
      <c r="M210" s="1093">
        <v>20</v>
      </c>
      <c r="N210" s="1107">
        <v>416666.66</v>
      </c>
      <c r="O210" s="1107">
        <f t="shared" si="44"/>
        <v>8333333.1999999993</v>
      </c>
      <c r="P210" s="1081">
        <f t="shared" si="45"/>
        <v>666666.65599999996</v>
      </c>
      <c r="Q210" s="1081">
        <f t="shared" si="46"/>
        <v>8999999.8559999987</v>
      </c>
      <c r="R210" s="1108"/>
      <c r="S210" s="1083"/>
      <c r="T210" s="1083"/>
      <c r="U210" s="1083"/>
      <c r="V210" s="1083">
        <f t="shared" si="43"/>
        <v>8999999.8559999987</v>
      </c>
    </row>
    <row r="211" spans="1:22" s="1002" customFormat="1" hidden="1">
      <c r="A211" s="1000" t="s">
        <v>753</v>
      </c>
      <c r="B211" s="1001" t="s">
        <v>754</v>
      </c>
      <c r="C211" s="1077">
        <v>46052</v>
      </c>
      <c r="D211" s="1077"/>
      <c r="F211" s="1110">
        <v>46111</v>
      </c>
      <c r="H211" s="1111" t="s">
        <v>396</v>
      </c>
      <c r="I211" s="1002" t="s">
        <v>811</v>
      </c>
      <c r="J211" s="1007" t="s">
        <v>74</v>
      </c>
      <c r="K211" s="1016" t="s">
        <v>141</v>
      </c>
      <c r="L211" s="1122" t="s">
        <v>18</v>
      </c>
      <c r="M211" s="1093">
        <v>24</v>
      </c>
      <c r="N211" s="1107">
        <v>361111.11</v>
      </c>
      <c r="O211" s="1107">
        <f t="shared" si="44"/>
        <v>8666666.6400000006</v>
      </c>
      <c r="P211" s="1081">
        <f t="shared" si="45"/>
        <v>693333.33120000002</v>
      </c>
      <c r="Q211" s="1081">
        <f t="shared" si="46"/>
        <v>9359999.9712000005</v>
      </c>
      <c r="R211" s="1108"/>
      <c r="S211" s="1083"/>
      <c r="T211" s="1083"/>
      <c r="U211" s="1083"/>
      <c r="V211" s="1083">
        <f t="shared" si="43"/>
        <v>9359999.9712000005</v>
      </c>
    </row>
    <row r="212" spans="1:22" s="1002" customFormat="1" ht="31.5" hidden="1">
      <c r="A212" s="1000" t="s">
        <v>753</v>
      </c>
      <c r="B212" s="1001" t="s">
        <v>754</v>
      </c>
      <c r="C212" s="1077">
        <v>46052</v>
      </c>
      <c r="D212" s="1077"/>
      <c r="F212" s="1110">
        <v>46127</v>
      </c>
      <c r="H212" s="1116" t="s">
        <v>388</v>
      </c>
      <c r="I212" s="1002" t="s">
        <v>811</v>
      </c>
      <c r="J212" s="1007" t="s">
        <v>83</v>
      </c>
      <c r="K212" s="1015" t="s">
        <v>84</v>
      </c>
      <c r="L212" s="1122" t="s">
        <v>18</v>
      </c>
      <c r="M212" s="1093">
        <v>20</v>
      </c>
      <c r="N212" s="1107">
        <v>1097222.22</v>
      </c>
      <c r="O212" s="1107">
        <f t="shared" si="44"/>
        <v>21944444.399999999</v>
      </c>
      <c r="P212" s="1081">
        <f t="shared" si="45"/>
        <v>1755555.5519999999</v>
      </c>
      <c r="Q212" s="1081">
        <f t="shared" si="46"/>
        <v>23699999.952</v>
      </c>
      <c r="R212" s="1108"/>
      <c r="S212" s="1083"/>
      <c r="T212" s="1083"/>
      <c r="U212" s="1083"/>
      <c r="V212" s="1083">
        <f t="shared" si="43"/>
        <v>23699999.952</v>
      </c>
    </row>
    <row r="213" spans="1:22" s="1002" customFormat="1" hidden="1">
      <c r="A213" s="1000" t="s">
        <v>753</v>
      </c>
      <c r="B213" s="1001" t="s">
        <v>754</v>
      </c>
      <c r="C213" s="1077">
        <v>46052</v>
      </c>
      <c r="D213" s="1077"/>
      <c r="F213" s="1110">
        <v>46127</v>
      </c>
      <c r="H213" s="1116" t="s">
        <v>388</v>
      </c>
      <c r="I213" s="1002" t="s">
        <v>811</v>
      </c>
      <c r="J213" s="1007" t="s">
        <v>279</v>
      </c>
      <c r="K213" s="1016" t="s">
        <v>280</v>
      </c>
      <c r="L213" s="1122" t="s">
        <v>92</v>
      </c>
      <c r="M213" s="1093">
        <v>12</v>
      </c>
      <c r="N213" s="1107">
        <v>387962.96</v>
      </c>
      <c r="O213" s="1107">
        <f t="shared" si="44"/>
        <v>4655555.5200000005</v>
      </c>
      <c r="P213" s="1081">
        <f t="shared" si="45"/>
        <v>372444.44160000002</v>
      </c>
      <c r="Q213" s="1081">
        <f t="shared" si="46"/>
        <v>5027999.9616</v>
      </c>
      <c r="R213" s="1108"/>
      <c r="S213" s="1083"/>
      <c r="T213" s="1083"/>
      <c r="U213" s="1083"/>
      <c r="V213" s="1083">
        <f t="shared" si="43"/>
        <v>5027999.9616</v>
      </c>
    </row>
    <row r="214" spans="1:22" s="1002" customFormat="1" hidden="1">
      <c r="A214" s="1000" t="s">
        <v>753</v>
      </c>
      <c r="B214" s="1001" t="s">
        <v>754</v>
      </c>
      <c r="C214" s="1077">
        <v>46052</v>
      </c>
      <c r="D214" s="1077"/>
      <c r="F214" s="1110">
        <v>46127</v>
      </c>
      <c r="H214" s="1116" t="s">
        <v>388</v>
      </c>
      <c r="I214" s="1002" t="s">
        <v>811</v>
      </c>
      <c r="J214" s="1007" t="s">
        <v>258</v>
      </c>
      <c r="K214" s="1016" t="s">
        <v>259</v>
      </c>
      <c r="L214" s="1122" t="s">
        <v>92</v>
      </c>
      <c r="M214" s="1093">
        <v>12</v>
      </c>
      <c r="N214" s="1107">
        <v>472222.22</v>
      </c>
      <c r="O214" s="1107">
        <f t="shared" si="44"/>
        <v>5666666.6399999997</v>
      </c>
      <c r="P214" s="1081">
        <f t="shared" si="45"/>
        <v>453333.33119999996</v>
      </c>
      <c r="Q214" s="1081">
        <f t="shared" si="46"/>
        <v>6119999.9711999996</v>
      </c>
      <c r="R214" s="1108"/>
      <c r="S214" s="1083"/>
      <c r="T214" s="1083"/>
      <c r="U214" s="1083"/>
      <c r="V214" s="1083">
        <f t="shared" si="43"/>
        <v>6119999.9711999996</v>
      </c>
    </row>
    <row r="215" spans="1:22" s="1002" customFormat="1" hidden="1">
      <c r="A215" s="1000" t="s">
        <v>753</v>
      </c>
      <c r="B215" s="1001" t="s">
        <v>754</v>
      </c>
      <c r="C215" s="1077">
        <v>46052</v>
      </c>
      <c r="D215" s="1077"/>
      <c r="F215" s="1110">
        <v>46127</v>
      </c>
      <c r="H215" s="1116" t="s">
        <v>388</v>
      </c>
      <c r="I215" s="1002" t="s">
        <v>811</v>
      </c>
      <c r="J215" s="1007" t="s">
        <v>260</v>
      </c>
      <c r="K215" s="1016" t="s">
        <v>261</v>
      </c>
      <c r="L215" s="1122" t="s">
        <v>92</v>
      </c>
      <c r="M215" s="1093">
        <v>12</v>
      </c>
      <c r="N215" s="1107">
        <v>492592.59</v>
      </c>
      <c r="O215" s="1107">
        <f t="shared" si="44"/>
        <v>5911111.0800000001</v>
      </c>
      <c r="P215" s="1081">
        <f t="shared" si="45"/>
        <v>472888.88640000002</v>
      </c>
      <c r="Q215" s="1081">
        <f t="shared" si="46"/>
        <v>6383999.9664000003</v>
      </c>
      <c r="R215" s="1108"/>
      <c r="S215" s="1083"/>
      <c r="T215" s="1083"/>
      <c r="U215" s="1083"/>
      <c r="V215" s="1083">
        <f t="shared" si="43"/>
        <v>6383999.9664000003</v>
      </c>
    </row>
    <row r="216" spans="1:22" s="1002" customFormat="1" hidden="1">
      <c r="A216" s="1000" t="s">
        <v>753</v>
      </c>
      <c r="B216" s="1001" t="s">
        <v>754</v>
      </c>
      <c r="C216" s="1117">
        <v>46055</v>
      </c>
      <c r="D216" s="1117"/>
      <c r="F216" s="1118"/>
      <c r="H216" s="1101"/>
      <c r="I216" s="1010" t="s">
        <v>397</v>
      </c>
      <c r="J216" s="1007"/>
      <c r="K216" s="1017"/>
      <c r="L216" s="1120"/>
      <c r="M216" s="1102"/>
      <c r="N216" s="1103"/>
      <c r="O216" s="1103">
        <f t="shared" si="44"/>
        <v>0</v>
      </c>
      <c r="P216" s="1103">
        <f t="shared" si="45"/>
        <v>0</v>
      </c>
      <c r="Q216" s="1103">
        <f t="shared" si="46"/>
        <v>0</v>
      </c>
      <c r="R216" s="1083"/>
      <c r="S216" s="1104">
        <v>800000</v>
      </c>
      <c r="T216" s="1083"/>
      <c r="U216" s="1083"/>
      <c r="V216" s="1083">
        <f t="shared" si="43"/>
        <v>-800000</v>
      </c>
    </row>
    <row r="217" spans="1:22" s="1002" customFormat="1" hidden="1">
      <c r="A217" s="1000" t="s">
        <v>753</v>
      </c>
      <c r="B217" s="1001" t="s">
        <v>754</v>
      </c>
      <c r="C217" s="1077">
        <v>46063</v>
      </c>
      <c r="D217" s="1077"/>
      <c r="F217" s="1110"/>
      <c r="H217" s="1111" t="s">
        <v>398</v>
      </c>
      <c r="I217" s="1018" t="s">
        <v>399</v>
      </c>
      <c r="J217" s="1007" t="s">
        <v>48</v>
      </c>
      <c r="K217" s="1002" t="s">
        <v>49</v>
      </c>
      <c r="L217" s="1008" t="s">
        <v>18</v>
      </c>
      <c r="M217" s="1093">
        <v>-12</v>
      </c>
      <c r="N217" s="1107">
        <v>601851.85</v>
      </c>
      <c r="O217" s="1107">
        <f>M217*N217</f>
        <v>-7222222.1999999993</v>
      </c>
      <c r="P217" s="1107">
        <f>O217*8%</f>
        <v>-577777.77599999995</v>
      </c>
      <c r="Q217" s="1081">
        <f t="shared" si="46"/>
        <v>-7799999.9759999989</v>
      </c>
      <c r="R217" s="1108"/>
      <c r="S217" s="1083"/>
      <c r="T217" s="1083"/>
      <c r="U217" s="1083"/>
      <c r="V217" s="1083">
        <f t="shared" si="43"/>
        <v>-7799999.9759999989</v>
      </c>
    </row>
    <row r="218" spans="1:22" s="1002" customFormat="1" ht="31.5" hidden="1">
      <c r="A218" s="1000" t="s">
        <v>753</v>
      </c>
      <c r="B218" s="1001" t="s">
        <v>754</v>
      </c>
      <c r="C218" s="1077">
        <v>46063</v>
      </c>
      <c r="D218" s="1077"/>
      <c r="F218" s="1110"/>
      <c r="H218" s="1111" t="s">
        <v>398</v>
      </c>
      <c r="I218" s="1018" t="s">
        <v>399</v>
      </c>
      <c r="J218" s="1007" t="s">
        <v>50</v>
      </c>
      <c r="K218" s="1013" t="s">
        <v>377</v>
      </c>
      <c r="L218" s="1008" t="s">
        <v>18</v>
      </c>
      <c r="M218" s="1093">
        <v>-6</v>
      </c>
      <c r="N218" s="1107">
        <v>937962</v>
      </c>
      <c r="O218" s="1107">
        <f t="shared" si="44"/>
        <v>-5627772</v>
      </c>
      <c r="P218" s="1081">
        <f t="shared" si="45"/>
        <v>-450221.76</v>
      </c>
      <c r="Q218" s="1081">
        <f t="shared" si="46"/>
        <v>-6077993.7599999998</v>
      </c>
      <c r="R218" s="1108"/>
      <c r="S218" s="1083"/>
      <c r="T218" s="1083"/>
      <c r="U218" s="1083"/>
      <c r="V218" s="1083">
        <f t="shared" si="43"/>
        <v>-6077993.7599999998</v>
      </c>
    </row>
    <row r="219" spans="1:22" s="1002" customFormat="1" hidden="1">
      <c r="A219" s="1000" t="s">
        <v>753</v>
      </c>
      <c r="B219" s="1001" t="s">
        <v>754</v>
      </c>
      <c r="C219" s="1077">
        <v>46063</v>
      </c>
      <c r="D219" s="1077"/>
      <c r="F219" s="1110"/>
      <c r="H219" s="1111" t="s">
        <v>398</v>
      </c>
      <c r="I219" s="1018" t="s">
        <v>399</v>
      </c>
      <c r="J219" s="1007" t="s">
        <v>226</v>
      </c>
      <c r="K219" s="1013" t="s">
        <v>227</v>
      </c>
      <c r="L219" s="1008" t="s">
        <v>18</v>
      </c>
      <c r="M219" s="1093">
        <v>-6</v>
      </c>
      <c r="N219" s="1107">
        <v>799074</v>
      </c>
      <c r="O219" s="1107">
        <f t="shared" si="44"/>
        <v>-4794444</v>
      </c>
      <c r="P219" s="1081">
        <f t="shared" si="45"/>
        <v>-383555.52</v>
      </c>
      <c r="Q219" s="1081">
        <f t="shared" si="46"/>
        <v>-5177999.5199999996</v>
      </c>
      <c r="R219" s="1108"/>
      <c r="S219" s="1083"/>
      <c r="T219" s="1083"/>
      <c r="U219" s="1083"/>
      <c r="V219" s="1083">
        <f t="shared" si="43"/>
        <v>-5177999.5199999996</v>
      </c>
    </row>
    <row r="220" spans="1:22" s="1002" customFormat="1" hidden="1">
      <c r="A220" s="1000" t="s">
        <v>753</v>
      </c>
      <c r="B220" s="1001" t="s">
        <v>754</v>
      </c>
      <c r="C220" s="1077">
        <v>46063</v>
      </c>
      <c r="D220" s="1077"/>
      <c r="F220" s="1110"/>
      <c r="H220" s="1111" t="s">
        <v>398</v>
      </c>
      <c r="I220" s="1018" t="s">
        <v>399</v>
      </c>
      <c r="J220" s="1007" t="s">
        <v>52</v>
      </c>
      <c r="K220" s="1002" t="s">
        <v>53</v>
      </c>
      <c r="L220" s="1008" t="s">
        <v>18</v>
      </c>
      <c r="M220" s="1093">
        <v>-6</v>
      </c>
      <c r="N220" s="1107">
        <v>1007407.4</v>
      </c>
      <c r="O220" s="1107">
        <f t="shared" si="44"/>
        <v>-6044444.4000000004</v>
      </c>
      <c r="P220" s="1081">
        <f t="shared" si="45"/>
        <v>-483555.55200000003</v>
      </c>
      <c r="Q220" s="1081">
        <f t="shared" si="46"/>
        <v>-6527999.9520000005</v>
      </c>
      <c r="R220" s="1108"/>
      <c r="S220" s="1083"/>
      <c r="T220" s="1083"/>
      <c r="U220" s="1083"/>
      <c r="V220" s="1083">
        <f t="shared" si="43"/>
        <v>-6527999.9520000005</v>
      </c>
    </row>
    <row r="221" spans="1:22" s="1002" customFormat="1" hidden="1">
      <c r="A221" s="1000" t="s">
        <v>753</v>
      </c>
      <c r="B221" s="1001" t="s">
        <v>754</v>
      </c>
      <c r="C221" s="1117">
        <v>46064</v>
      </c>
      <c r="D221" s="1117"/>
      <c r="F221" s="1118"/>
      <c r="H221" s="1101"/>
      <c r="I221" s="1002" t="s">
        <v>844</v>
      </c>
      <c r="J221" s="1007"/>
      <c r="K221" s="1017"/>
      <c r="L221" s="1120"/>
      <c r="M221" s="1102"/>
      <c r="N221" s="1103"/>
      <c r="O221" s="1103">
        <f t="shared" si="44"/>
        <v>0</v>
      </c>
      <c r="P221" s="1103">
        <f t="shared" si="45"/>
        <v>0</v>
      </c>
      <c r="Q221" s="1103">
        <f t="shared" si="46"/>
        <v>0</v>
      </c>
      <c r="R221" s="1104">
        <v>120000000</v>
      </c>
      <c r="S221" s="1083"/>
      <c r="T221" s="1083"/>
      <c r="U221" s="1083"/>
      <c r="V221" s="1083">
        <f t="shared" si="43"/>
        <v>-120000000</v>
      </c>
    </row>
    <row r="222" spans="1:22" s="1002" customFormat="1" hidden="1">
      <c r="A222" s="1000" t="s">
        <v>753</v>
      </c>
      <c r="B222" s="1001" t="s">
        <v>754</v>
      </c>
      <c r="C222" s="1117">
        <v>46064</v>
      </c>
      <c r="D222" s="1077"/>
      <c r="F222" s="1110">
        <v>46065</v>
      </c>
      <c r="H222" s="1111" t="s">
        <v>401</v>
      </c>
      <c r="I222" s="1002" t="s">
        <v>811</v>
      </c>
      <c r="J222" s="1007" t="s">
        <v>204</v>
      </c>
      <c r="K222" s="1015" t="s">
        <v>269</v>
      </c>
      <c r="L222" s="1122" t="s">
        <v>25</v>
      </c>
      <c r="M222" s="1093">
        <v>20</v>
      </c>
      <c r="N222" s="1107">
        <v>480555.6</v>
      </c>
      <c r="O222" s="1107">
        <f t="shared" si="44"/>
        <v>9611112</v>
      </c>
      <c r="P222" s="1081">
        <f t="shared" si="45"/>
        <v>768888.96</v>
      </c>
      <c r="Q222" s="1081">
        <f t="shared" si="46"/>
        <v>10380000.960000001</v>
      </c>
      <c r="R222" s="1108"/>
      <c r="S222" s="1083"/>
      <c r="T222" s="1083"/>
      <c r="U222" s="1083"/>
      <c r="V222" s="1083">
        <f t="shared" si="43"/>
        <v>10380000.960000001</v>
      </c>
    </row>
    <row r="223" spans="1:22" s="1002" customFormat="1" hidden="1">
      <c r="A223" s="1000" t="s">
        <v>753</v>
      </c>
      <c r="B223" s="1001" t="s">
        <v>754</v>
      </c>
      <c r="C223" s="1117">
        <v>46064</v>
      </c>
      <c r="D223" s="1077"/>
      <c r="F223" s="1110">
        <v>46065</v>
      </c>
      <c r="H223" s="1111" t="s">
        <v>401</v>
      </c>
      <c r="I223" s="1002" t="s">
        <v>811</v>
      </c>
      <c r="J223" s="1007" t="s">
        <v>77</v>
      </c>
      <c r="K223" s="1016" t="s">
        <v>78</v>
      </c>
      <c r="L223" s="1122" t="s">
        <v>25</v>
      </c>
      <c r="M223" s="1093">
        <v>20</v>
      </c>
      <c r="N223" s="1107">
        <v>324074.07</v>
      </c>
      <c r="O223" s="1107">
        <f t="shared" si="44"/>
        <v>6481481.4000000004</v>
      </c>
      <c r="P223" s="1081">
        <f t="shared" si="45"/>
        <v>518518.51200000005</v>
      </c>
      <c r="Q223" s="1081">
        <f t="shared" si="46"/>
        <v>6999999.9120000005</v>
      </c>
      <c r="R223" s="1108"/>
      <c r="S223" s="1083"/>
      <c r="T223" s="1083"/>
      <c r="U223" s="1083"/>
      <c r="V223" s="1083">
        <f t="shared" si="43"/>
        <v>6999999.9120000005</v>
      </c>
    </row>
    <row r="224" spans="1:22" s="1002" customFormat="1" hidden="1">
      <c r="A224" s="1000" t="s">
        <v>753</v>
      </c>
      <c r="B224" s="1001" t="s">
        <v>754</v>
      </c>
      <c r="C224" s="1117">
        <v>46064</v>
      </c>
      <c r="D224" s="1117"/>
      <c r="F224" s="1118"/>
      <c r="H224" s="1101"/>
      <c r="I224" s="1010" t="s">
        <v>402</v>
      </c>
      <c r="J224" s="1007"/>
      <c r="K224" s="1017"/>
      <c r="L224" s="1120"/>
      <c r="M224" s="1102"/>
      <c r="N224" s="1103"/>
      <c r="O224" s="1103">
        <f t="shared" si="44"/>
        <v>0</v>
      </c>
      <c r="P224" s="1103">
        <f t="shared" si="45"/>
        <v>0</v>
      </c>
      <c r="Q224" s="1103">
        <f t="shared" si="46"/>
        <v>0</v>
      </c>
      <c r="R224" s="1083"/>
      <c r="S224" s="1104">
        <v>320000</v>
      </c>
      <c r="T224" s="1083"/>
      <c r="U224" s="1083"/>
      <c r="V224" s="1083">
        <f t="shared" si="43"/>
        <v>-320000</v>
      </c>
    </row>
    <row r="225" spans="1:22" s="1002" customFormat="1" hidden="1">
      <c r="A225" s="1000" t="s">
        <v>753</v>
      </c>
      <c r="B225" s="1001" t="s">
        <v>754</v>
      </c>
      <c r="C225" s="1117"/>
      <c r="D225" s="1117"/>
      <c r="F225" s="1118"/>
      <c r="H225" s="1101"/>
      <c r="I225" s="1002" t="s">
        <v>844</v>
      </c>
      <c r="J225" s="1007"/>
      <c r="K225" s="1017"/>
      <c r="L225" s="1120"/>
      <c r="M225" s="1102"/>
      <c r="N225" s="1103"/>
      <c r="O225" s="1103">
        <f t="shared" si="44"/>
        <v>0</v>
      </c>
      <c r="P225" s="1103">
        <f t="shared" si="45"/>
        <v>0</v>
      </c>
      <c r="Q225" s="1103">
        <f t="shared" si="46"/>
        <v>0</v>
      </c>
      <c r="R225" s="1104">
        <v>80000000</v>
      </c>
      <c r="S225" s="1083"/>
      <c r="T225" s="1083"/>
      <c r="U225" s="1083"/>
      <c r="V225" s="1083">
        <f t="shared" si="43"/>
        <v>-80000000</v>
      </c>
    </row>
    <row r="226" spans="1:22" s="1002" customFormat="1" hidden="1">
      <c r="A226" s="1000" t="s">
        <v>753</v>
      </c>
      <c r="B226" s="1001" t="s">
        <v>754</v>
      </c>
      <c r="C226" s="1077">
        <v>46097</v>
      </c>
      <c r="D226" s="1077"/>
      <c r="F226" s="1110">
        <v>46111</v>
      </c>
      <c r="H226" s="1111" t="s">
        <v>396</v>
      </c>
      <c r="I226" s="1002" t="s">
        <v>811</v>
      </c>
      <c r="J226" s="1007" t="s">
        <v>74</v>
      </c>
      <c r="K226" s="1016" t="s">
        <v>141</v>
      </c>
      <c r="L226" s="1122" t="s">
        <v>18</v>
      </c>
      <c r="M226" s="1093">
        <v>56</v>
      </c>
      <c r="N226" s="1107">
        <v>361111.11</v>
      </c>
      <c r="O226" s="1107">
        <f t="shared" si="44"/>
        <v>20222222.16</v>
      </c>
      <c r="P226" s="1081">
        <f t="shared" si="45"/>
        <v>1617777.7728000002</v>
      </c>
      <c r="Q226" s="1081">
        <f t="shared" si="46"/>
        <v>21839999.932799999</v>
      </c>
      <c r="R226" s="1108"/>
      <c r="S226" s="1083"/>
      <c r="T226" s="1083"/>
      <c r="U226" s="1083"/>
      <c r="V226" s="1083">
        <f t="shared" si="43"/>
        <v>21839999.932799999</v>
      </c>
    </row>
    <row r="227" spans="1:22" s="1002" customFormat="1" hidden="1">
      <c r="A227" s="1000" t="s">
        <v>753</v>
      </c>
      <c r="B227" s="1001" t="s">
        <v>754</v>
      </c>
      <c r="C227" s="1077">
        <v>46097</v>
      </c>
      <c r="D227" s="1117"/>
      <c r="F227" s="1118"/>
      <c r="H227" s="1101"/>
      <c r="I227" s="1010" t="s">
        <v>404</v>
      </c>
      <c r="J227" s="1007"/>
      <c r="K227" s="1017"/>
      <c r="L227" s="1120"/>
      <c r="M227" s="1102"/>
      <c r="N227" s="1103"/>
      <c r="O227" s="1103">
        <f t="shared" si="44"/>
        <v>0</v>
      </c>
      <c r="P227" s="1103">
        <f t="shared" si="45"/>
        <v>0</v>
      </c>
      <c r="Q227" s="1103">
        <f t="shared" si="46"/>
        <v>0</v>
      </c>
      <c r="R227" s="1083"/>
      <c r="S227" s="1104">
        <v>360000</v>
      </c>
      <c r="T227" s="1083"/>
      <c r="U227" s="1083"/>
      <c r="V227" s="1083">
        <f t="shared" si="43"/>
        <v>-360000</v>
      </c>
    </row>
    <row r="228" spans="1:22" s="1002" customFormat="1" hidden="1">
      <c r="A228" s="1000" t="s">
        <v>753</v>
      </c>
      <c r="B228" s="1001" t="s">
        <v>754</v>
      </c>
      <c r="C228" s="1077">
        <v>46191</v>
      </c>
      <c r="D228" s="1077"/>
      <c r="F228" s="1123"/>
      <c r="H228" s="1123"/>
      <c r="I228" s="1002" t="s">
        <v>811</v>
      </c>
      <c r="J228" s="1007" t="s">
        <v>90</v>
      </c>
      <c r="K228" s="1016" t="s">
        <v>91</v>
      </c>
      <c r="L228" s="1122" t="s">
        <v>18</v>
      </c>
      <c r="M228" s="1093">
        <v>40</v>
      </c>
      <c r="N228" s="1107">
        <v>814814.81</v>
      </c>
      <c r="O228" s="1107">
        <f t="shared" si="44"/>
        <v>32592592.400000002</v>
      </c>
      <c r="P228" s="1081">
        <f t="shared" si="45"/>
        <v>2607407.3920000005</v>
      </c>
      <c r="Q228" s="1081">
        <f>O228+P228</f>
        <v>35199999.792000003</v>
      </c>
      <c r="R228" s="1081"/>
      <c r="S228" s="1083"/>
      <c r="T228" s="1083"/>
      <c r="U228" s="1083"/>
      <c r="V228" s="1083">
        <f t="shared" si="43"/>
        <v>35199999.792000003</v>
      </c>
    </row>
    <row r="229" spans="1:22" s="1002" customFormat="1" hidden="1">
      <c r="A229" s="1000" t="s">
        <v>753</v>
      </c>
      <c r="B229" s="1001" t="s">
        <v>754</v>
      </c>
      <c r="C229" s="1077">
        <v>46191</v>
      </c>
      <c r="D229" s="1077"/>
      <c r="F229" s="1123"/>
      <c r="H229" s="1123"/>
      <c r="I229" s="1002" t="s">
        <v>811</v>
      </c>
      <c r="J229" s="1007" t="s">
        <v>93</v>
      </c>
      <c r="K229" s="1016" t="s">
        <v>94</v>
      </c>
      <c r="L229" s="1122" t="s">
        <v>18</v>
      </c>
      <c r="M229" s="1093">
        <v>20</v>
      </c>
      <c r="N229" s="1107">
        <v>907407.41</v>
      </c>
      <c r="O229" s="1107">
        <f t="shared" si="44"/>
        <v>18148148.199999999</v>
      </c>
      <c r="P229" s="1081">
        <f t="shared" si="45"/>
        <v>1451851.8559999999</v>
      </c>
      <c r="Q229" s="1081">
        <f t="shared" ref="Q229:Q243" si="47">O229+P229</f>
        <v>19600000.055999998</v>
      </c>
      <c r="R229" s="1081"/>
      <c r="S229" s="1083"/>
      <c r="T229" s="1083"/>
      <c r="U229" s="1083"/>
      <c r="V229" s="1083">
        <f t="shared" si="43"/>
        <v>19600000.055999998</v>
      </c>
    </row>
    <row r="230" spans="1:22" s="1002" customFormat="1" hidden="1">
      <c r="A230" s="1000" t="s">
        <v>753</v>
      </c>
      <c r="B230" s="1001" t="s">
        <v>754</v>
      </c>
      <c r="C230" s="1117">
        <v>46193</v>
      </c>
      <c r="D230" s="1117"/>
      <c r="F230" s="1118"/>
      <c r="H230" s="1101"/>
      <c r="I230" s="1010" t="s">
        <v>402</v>
      </c>
      <c r="J230" s="1007"/>
      <c r="K230" s="1017"/>
      <c r="L230" s="1120"/>
      <c r="M230" s="1102"/>
      <c r="N230" s="1103"/>
      <c r="O230" s="1103">
        <f t="shared" si="44"/>
        <v>0</v>
      </c>
      <c r="P230" s="1103">
        <f t="shared" si="45"/>
        <v>0</v>
      </c>
      <c r="Q230" s="1103">
        <f t="shared" si="47"/>
        <v>0</v>
      </c>
      <c r="R230" s="1083"/>
      <c r="S230" s="1104">
        <v>600000</v>
      </c>
      <c r="T230" s="1083"/>
      <c r="U230" s="1083"/>
      <c r="V230" s="1083">
        <f t="shared" si="43"/>
        <v>-600000</v>
      </c>
    </row>
    <row r="231" spans="1:22" s="1002" customFormat="1" hidden="1">
      <c r="A231" s="1000" t="s">
        <v>753</v>
      </c>
      <c r="B231" s="1001" t="s">
        <v>754</v>
      </c>
      <c r="C231" s="1117">
        <v>46202</v>
      </c>
      <c r="D231" s="1117"/>
      <c r="F231" s="1118"/>
      <c r="H231" s="1101"/>
      <c r="I231" s="1002" t="s">
        <v>844</v>
      </c>
      <c r="J231" s="1007"/>
      <c r="K231" s="1017"/>
      <c r="L231" s="1120"/>
      <c r="M231" s="1102"/>
      <c r="N231" s="1103"/>
      <c r="O231" s="1103">
        <f t="shared" si="44"/>
        <v>0</v>
      </c>
      <c r="P231" s="1103">
        <f t="shared" si="45"/>
        <v>0</v>
      </c>
      <c r="Q231" s="1103">
        <f t="shared" si="47"/>
        <v>0</v>
      </c>
      <c r="R231" s="1104">
        <v>50000000</v>
      </c>
      <c r="S231" s="1083"/>
      <c r="T231" s="1083"/>
      <c r="U231" s="1083"/>
      <c r="V231" s="1083">
        <f t="shared" si="43"/>
        <v>-50000000</v>
      </c>
    </row>
    <row r="232" spans="1:22" s="1002" customFormat="1" hidden="1">
      <c r="A232" s="1000" t="s">
        <v>753</v>
      </c>
      <c r="B232" s="1001" t="s">
        <v>754</v>
      </c>
      <c r="C232" s="1117">
        <v>46202</v>
      </c>
      <c r="D232" s="1077"/>
      <c r="F232" s="1110">
        <v>46214</v>
      </c>
      <c r="H232" s="1111" t="s">
        <v>408</v>
      </c>
      <c r="I232" s="1002" t="s">
        <v>811</v>
      </c>
      <c r="J232" s="1007" t="s">
        <v>161</v>
      </c>
      <c r="K232" s="1019" t="s">
        <v>162</v>
      </c>
      <c r="L232" s="1124" t="s">
        <v>18</v>
      </c>
      <c r="M232" s="1125">
        <v>36</v>
      </c>
      <c r="N232" s="1126">
        <v>231481.48</v>
      </c>
      <c r="O232" s="1126">
        <f t="shared" si="44"/>
        <v>8333333.2800000003</v>
      </c>
      <c r="P232" s="1126">
        <f t="shared" si="45"/>
        <v>666666.66240000003</v>
      </c>
      <c r="Q232" s="1126">
        <f t="shared" si="47"/>
        <v>8999999.942400001</v>
      </c>
      <c r="R232" s="1081"/>
      <c r="S232" s="1083"/>
      <c r="T232" s="1083"/>
      <c r="U232" s="1083"/>
      <c r="V232" s="1083">
        <f t="shared" si="43"/>
        <v>8999999.942400001</v>
      </c>
    </row>
    <row r="233" spans="1:22" s="1002" customFormat="1" hidden="1">
      <c r="A233" s="1000" t="s">
        <v>753</v>
      </c>
      <c r="B233" s="1001" t="s">
        <v>754</v>
      </c>
      <c r="C233" s="1117">
        <v>46202</v>
      </c>
      <c r="D233" s="1077"/>
      <c r="F233" s="1110">
        <v>46214</v>
      </c>
      <c r="H233" s="1111" t="s">
        <v>408</v>
      </c>
      <c r="I233" s="1002" t="s">
        <v>811</v>
      </c>
      <c r="J233" s="1007" t="s">
        <v>163</v>
      </c>
      <c r="K233" s="1020" t="s">
        <v>164</v>
      </c>
      <c r="L233" s="1124" t="s">
        <v>18</v>
      </c>
      <c r="M233" s="1125">
        <v>40</v>
      </c>
      <c r="N233" s="1126">
        <v>185185.19</v>
      </c>
      <c r="O233" s="1126">
        <f t="shared" si="44"/>
        <v>7407407.5999999996</v>
      </c>
      <c r="P233" s="1126">
        <f t="shared" si="45"/>
        <v>592592.60800000001</v>
      </c>
      <c r="Q233" s="1126">
        <f t="shared" si="47"/>
        <v>8000000.2079999996</v>
      </c>
      <c r="R233" s="1081"/>
      <c r="S233" s="1083"/>
      <c r="T233" s="1083"/>
      <c r="U233" s="1083"/>
      <c r="V233" s="1083">
        <f t="shared" si="43"/>
        <v>8000000.2079999996</v>
      </c>
    </row>
    <row r="234" spans="1:22" s="1002" customFormat="1" ht="31.5" hidden="1">
      <c r="A234" s="1000" t="s">
        <v>753</v>
      </c>
      <c r="B234" s="1001" t="s">
        <v>754</v>
      </c>
      <c r="C234" s="1117">
        <v>46202</v>
      </c>
      <c r="D234" s="1077"/>
      <c r="F234" s="1110">
        <v>46214</v>
      </c>
      <c r="H234" s="1111" t="s">
        <v>408</v>
      </c>
      <c r="I234" s="1002" t="s">
        <v>811</v>
      </c>
      <c r="J234" s="1007" t="s">
        <v>165</v>
      </c>
      <c r="K234" s="1019" t="s">
        <v>409</v>
      </c>
      <c r="L234" s="1124" t="s">
        <v>18</v>
      </c>
      <c r="M234" s="1125">
        <v>60</v>
      </c>
      <c r="N234" s="1126">
        <v>203703.7</v>
      </c>
      <c r="O234" s="1126">
        <f t="shared" si="44"/>
        <v>12222222</v>
      </c>
      <c r="P234" s="1126">
        <f t="shared" si="45"/>
        <v>977777.76</v>
      </c>
      <c r="Q234" s="1126">
        <f t="shared" si="47"/>
        <v>13199999.76</v>
      </c>
      <c r="R234" s="1081"/>
      <c r="S234" s="1083"/>
      <c r="T234" s="1083"/>
      <c r="U234" s="1083"/>
      <c r="V234" s="1083">
        <f t="shared" si="43"/>
        <v>13199999.76</v>
      </c>
    </row>
    <row r="235" spans="1:22" s="1002" customFormat="1" ht="31.5" hidden="1">
      <c r="A235" s="1000" t="s">
        <v>753</v>
      </c>
      <c r="B235" s="1001" t="s">
        <v>754</v>
      </c>
      <c r="C235" s="1117">
        <v>46202</v>
      </c>
      <c r="D235" s="1077"/>
      <c r="F235" s="1110">
        <v>46214</v>
      </c>
      <c r="H235" s="1111" t="s">
        <v>408</v>
      </c>
      <c r="I235" s="1002" t="s">
        <v>811</v>
      </c>
      <c r="J235" s="1007" t="s">
        <v>167</v>
      </c>
      <c r="K235" s="1019" t="s">
        <v>410</v>
      </c>
      <c r="L235" s="1124" t="s">
        <v>18</v>
      </c>
      <c r="M235" s="1125">
        <v>60</v>
      </c>
      <c r="N235" s="1126">
        <v>231481.48</v>
      </c>
      <c r="O235" s="1126">
        <f t="shared" si="44"/>
        <v>13888888.800000001</v>
      </c>
      <c r="P235" s="1126">
        <f t="shared" si="45"/>
        <v>1111111.1040000001</v>
      </c>
      <c r="Q235" s="1126">
        <f t="shared" si="47"/>
        <v>14999999.904000001</v>
      </c>
      <c r="R235" s="1081"/>
      <c r="S235" s="1083"/>
      <c r="T235" s="1083"/>
      <c r="U235" s="1083"/>
      <c r="V235" s="1083">
        <f t="shared" si="43"/>
        <v>14999999.904000001</v>
      </c>
    </row>
    <row r="236" spans="1:22" s="1002" customFormat="1" hidden="1">
      <c r="A236" s="1000" t="s">
        <v>753</v>
      </c>
      <c r="B236" s="1001" t="s">
        <v>754</v>
      </c>
      <c r="C236" s="1117">
        <v>46202</v>
      </c>
      <c r="D236" s="1077"/>
      <c r="F236" s="1110">
        <v>46214</v>
      </c>
      <c r="H236" s="1111" t="s">
        <v>408</v>
      </c>
      <c r="I236" s="1002" t="s">
        <v>811</v>
      </c>
      <c r="J236" s="1007" t="s">
        <v>169</v>
      </c>
      <c r="K236" s="1019" t="s">
        <v>170</v>
      </c>
      <c r="L236" s="1124" t="s">
        <v>18</v>
      </c>
      <c r="M236" s="1125">
        <v>40</v>
      </c>
      <c r="N236" s="1126">
        <v>425925.93</v>
      </c>
      <c r="O236" s="1126">
        <f t="shared" si="44"/>
        <v>17037037.199999999</v>
      </c>
      <c r="P236" s="1126">
        <f t="shared" si="45"/>
        <v>1362962.976</v>
      </c>
      <c r="Q236" s="1126">
        <f t="shared" si="47"/>
        <v>18400000.175999999</v>
      </c>
      <c r="R236" s="1081"/>
      <c r="S236" s="1083"/>
      <c r="T236" s="1083"/>
      <c r="U236" s="1083"/>
      <c r="V236" s="1083">
        <f t="shared" si="43"/>
        <v>18400000.175999999</v>
      </c>
    </row>
    <row r="237" spans="1:22" s="1002" customFormat="1" hidden="1">
      <c r="A237" s="1000" t="s">
        <v>753</v>
      </c>
      <c r="B237" s="1001" t="s">
        <v>754</v>
      </c>
      <c r="C237" s="1117">
        <v>46203</v>
      </c>
      <c r="D237" s="1117"/>
      <c r="F237" s="1110"/>
      <c r="H237" s="1101"/>
      <c r="I237" s="1010" t="s">
        <v>402</v>
      </c>
      <c r="J237" s="1007"/>
      <c r="K237" s="1017"/>
      <c r="L237" s="1120"/>
      <c r="M237" s="1102"/>
      <c r="N237" s="1103"/>
      <c r="O237" s="1103">
        <f t="shared" si="44"/>
        <v>0</v>
      </c>
      <c r="P237" s="1103">
        <f t="shared" si="45"/>
        <v>0</v>
      </c>
      <c r="Q237" s="1103">
        <f t="shared" si="47"/>
        <v>0</v>
      </c>
      <c r="R237" s="1083"/>
      <c r="S237" s="1104">
        <v>360000</v>
      </c>
      <c r="T237" s="1083"/>
      <c r="U237" s="1083"/>
      <c r="V237" s="1083">
        <f>Q237-S237-R237-T237-U237</f>
        <v>-360000</v>
      </c>
    </row>
    <row r="238" spans="1:22" s="1002" customFormat="1" hidden="1">
      <c r="A238" s="1000" t="s">
        <v>753</v>
      </c>
      <c r="B238" s="1001" t="s">
        <v>754</v>
      </c>
      <c r="C238" s="1077">
        <v>46213</v>
      </c>
      <c r="D238" s="1077"/>
      <c r="F238" s="1110">
        <v>46230</v>
      </c>
      <c r="H238" s="1111" t="s">
        <v>830</v>
      </c>
      <c r="I238" s="1002" t="s">
        <v>811</v>
      </c>
      <c r="J238" s="1007" t="s">
        <v>90</v>
      </c>
      <c r="K238" s="1016" t="s">
        <v>91</v>
      </c>
      <c r="L238" s="1122" t="s">
        <v>18</v>
      </c>
      <c r="M238" s="1093">
        <v>30</v>
      </c>
      <c r="N238" s="1107">
        <v>814814.81</v>
      </c>
      <c r="O238" s="1107">
        <f t="shared" si="44"/>
        <v>24444444.300000001</v>
      </c>
      <c r="P238" s="1081">
        <f t="shared" si="45"/>
        <v>1955555.544</v>
      </c>
      <c r="Q238" s="1081">
        <f t="shared" si="47"/>
        <v>26399999.844000001</v>
      </c>
      <c r="R238" s="1081"/>
      <c r="S238" s="1083"/>
      <c r="T238" s="1083"/>
      <c r="U238" s="1083"/>
      <c r="V238" s="1083">
        <f t="shared" si="43"/>
        <v>26399999.844000001</v>
      </c>
    </row>
    <row r="239" spans="1:22" s="1002" customFormat="1" ht="47.25" hidden="1">
      <c r="A239" s="1000" t="s">
        <v>753</v>
      </c>
      <c r="B239" s="1001" t="s">
        <v>754</v>
      </c>
      <c r="C239" s="1077">
        <v>46213</v>
      </c>
      <c r="D239" s="1077"/>
      <c r="F239" s="1110">
        <v>46214</v>
      </c>
      <c r="H239" s="1111" t="s">
        <v>408</v>
      </c>
      <c r="I239" s="1002" t="s">
        <v>811</v>
      </c>
      <c r="J239" s="1007" t="s">
        <v>60</v>
      </c>
      <c r="K239" s="1015" t="s">
        <v>395</v>
      </c>
      <c r="L239" s="1122" t="s">
        <v>18</v>
      </c>
      <c r="M239" s="1093">
        <v>20</v>
      </c>
      <c r="N239" s="1107">
        <v>1138888.8799999999</v>
      </c>
      <c r="O239" s="1107">
        <f t="shared" si="44"/>
        <v>22777777.599999998</v>
      </c>
      <c r="P239" s="1081">
        <f t="shared" si="45"/>
        <v>1822222.2079999999</v>
      </c>
      <c r="Q239" s="1081">
        <f t="shared" si="47"/>
        <v>24599999.807999998</v>
      </c>
      <c r="R239" s="1108"/>
      <c r="S239" s="1083"/>
      <c r="T239" s="1083"/>
      <c r="U239" s="1083"/>
      <c r="V239" s="1083">
        <f t="shared" si="43"/>
        <v>24599999.807999998</v>
      </c>
    </row>
    <row r="240" spans="1:22" s="1002" customFormat="1" hidden="1">
      <c r="A240" s="1000" t="s">
        <v>753</v>
      </c>
      <c r="B240" s="1001" t="s">
        <v>754</v>
      </c>
      <c r="C240" s="1077">
        <v>46213</v>
      </c>
      <c r="D240" s="1077"/>
      <c r="F240" s="1110"/>
      <c r="H240" s="1111"/>
      <c r="I240" s="1010" t="s">
        <v>402</v>
      </c>
      <c r="J240" s="1007"/>
      <c r="K240" s="1015"/>
      <c r="L240" s="1122"/>
      <c r="M240" s="1093"/>
      <c r="N240" s="1107"/>
      <c r="O240" s="1107"/>
      <c r="P240" s="1081"/>
      <c r="Q240" s="1081"/>
      <c r="R240" s="1108"/>
      <c r="S240" s="1083">
        <v>600000</v>
      </c>
      <c r="T240" s="1083"/>
      <c r="U240" s="1083"/>
      <c r="V240" s="1083">
        <f t="shared" si="43"/>
        <v>-600000</v>
      </c>
    </row>
    <row r="241" spans="1:22" s="1002" customFormat="1" hidden="1">
      <c r="A241" s="1000" t="s">
        <v>753</v>
      </c>
      <c r="B241" s="1000" t="s">
        <v>754</v>
      </c>
      <c r="C241" s="1084">
        <v>46225</v>
      </c>
      <c r="D241" s="1084"/>
      <c r="F241" s="1110">
        <v>46287</v>
      </c>
      <c r="G241" s="1002" t="s">
        <v>1317</v>
      </c>
      <c r="H241" s="1106" t="s">
        <v>1316</v>
      </c>
      <c r="I241" s="1002" t="s">
        <v>811</v>
      </c>
      <c r="J241" s="1007" t="s">
        <v>101</v>
      </c>
      <c r="K241" s="1021" t="s">
        <v>102</v>
      </c>
      <c r="L241" s="1109" t="s">
        <v>18</v>
      </c>
      <c r="M241" s="1086">
        <v>20</v>
      </c>
      <c r="N241" s="1107">
        <v>861111.11</v>
      </c>
      <c r="O241" s="1107">
        <f t="shared" si="44"/>
        <v>17222222.199999999</v>
      </c>
      <c r="P241" s="1107">
        <f t="shared" si="45"/>
        <v>1377777.7760000001</v>
      </c>
      <c r="Q241" s="1107">
        <f t="shared" si="47"/>
        <v>18599999.976</v>
      </c>
      <c r="R241" s="1127"/>
      <c r="S241" s="1083"/>
      <c r="T241" s="1083"/>
      <c r="U241" s="1083"/>
      <c r="V241" s="1083">
        <f t="shared" si="43"/>
        <v>18599999.976</v>
      </c>
    </row>
    <row r="242" spans="1:22" s="1002" customFormat="1" hidden="1">
      <c r="A242" s="1000" t="s">
        <v>753</v>
      </c>
      <c r="B242" s="1001" t="s">
        <v>754</v>
      </c>
      <c r="C242" s="1077">
        <v>46225</v>
      </c>
      <c r="D242" s="1077"/>
      <c r="F242" s="1123"/>
      <c r="H242" s="1085"/>
      <c r="I242" s="1002" t="s">
        <v>811</v>
      </c>
      <c r="J242" s="1007" t="s">
        <v>103</v>
      </c>
      <c r="K242" s="1015" t="s">
        <v>104</v>
      </c>
      <c r="L242" s="1122" t="s">
        <v>18</v>
      </c>
      <c r="M242" s="1093">
        <v>18</v>
      </c>
      <c r="N242" s="1107">
        <v>675925.93</v>
      </c>
      <c r="O242" s="1107">
        <f t="shared" si="44"/>
        <v>12166666.74</v>
      </c>
      <c r="P242" s="1081">
        <f t="shared" si="45"/>
        <v>973333.33920000005</v>
      </c>
      <c r="Q242" s="1081">
        <f t="shared" si="47"/>
        <v>13140000.0792</v>
      </c>
      <c r="R242" s="1108"/>
      <c r="S242" s="1083"/>
      <c r="T242" s="1083"/>
      <c r="U242" s="1083"/>
      <c r="V242" s="1083">
        <f t="shared" si="43"/>
        <v>13140000.0792</v>
      </c>
    </row>
    <row r="243" spans="1:22" s="1002" customFormat="1" hidden="1">
      <c r="A243" s="1000" t="s">
        <v>753</v>
      </c>
      <c r="B243" s="1001" t="s">
        <v>754</v>
      </c>
      <c r="C243" s="1077">
        <v>46225</v>
      </c>
      <c r="D243" s="1077"/>
      <c r="F243" s="1123"/>
      <c r="H243" s="1123"/>
      <c r="I243" s="1002" t="s">
        <v>862</v>
      </c>
      <c r="J243" s="1007" t="s">
        <v>62</v>
      </c>
      <c r="K243" s="1015" t="s">
        <v>63</v>
      </c>
      <c r="L243" s="1122" t="s">
        <v>18</v>
      </c>
      <c r="M243" s="1093">
        <v>18</v>
      </c>
      <c r="N243" s="1107">
        <v>0</v>
      </c>
      <c r="O243" s="1107">
        <f t="shared" si="44"/>
        <v>0</v>
      </c>
      <c r="P243" s="1081">
        <f t="shared" si="45"/>
        <v>0</v>
      </c>
      <c r="Q243" s="1081">
        <f t="shared" si="47"/>
        <v>0</v>
      </c>
      <c r="R243" s="1108"/>
      <c r="S243" s="1083"/>
      <c r="T243" s="1083"/>
      <c r="U243" s="1083"/>
      <c r="V243" s="1083">
        <f t="shared" si="43"/>
        <v>0</v>
      </c>
    </row>
    <row r="244" spans="1:22" s="1002" customFormat="1" ht="47.25" hidden="1">
      <c r="A244" s="1000" t="s">
        <v>718</v>
      </c>
      <c r="B244" s="1001" t="s">
        <v>744</v>
      </c>
      <c r="C244" s="1084">
        <v>46121</v>
      </c>
      <c r="D244" s="1084"/>
      <c r="F244" s="1105" t="s">
        <v>267</v>
      </c>
      <c r="H244" s="1106" t="s">
        <v>266</v>
      </c>
      <c r="I244" s="1013" t="s">
        <v>268</v>
      </c>
      <c r="J244" s="1007" t="s">
        <v>204</v>
      </c>
      <c r="K244" s="1013" t="s">
        <v>269</v>
      </c>
      <c r="L244" s="1128" t="s">
        <v>25</v>
      </c>
      <c r="M244" s="1086">
        <v>6</v>
      </c>
      <c r="N244" s="1129">
        <v>480555.55</v>
      </c>
      <c r="O244" s="1107">
        <v>2883333</v>
      </c>
      <c r="P244" s="1107">
        <v>230666</v>
      </c>
      <c r="Q244" s="1107">
        <f t="shared" ref="Q244:Q285" si="48">O244+P244</f>
        <v>3113999</v>
      </c>
      <c r="R244" s="1108"/>
      <c r="S244" s="1083"/>
      <c r="T244" s="1083"/>
      <c r="U244" s="1083"/>
      <c r="V244" s="1083">
        <f t="shared" si="43"/>
        <v>3113999</v>
      </c>
    </row>
    <row r="245" spans="1:22" s="1002" customFormat="1" ht="47.25" hidden="1">
      <c r="A245" s="1000" t="s">
        <v>718</v>
      </c>
      <c r="B245" s="1001" t="s">
        <v>744</v>
      </c>
      <c r="C245" s="1084">
        <v>46121</v>
      </c>
      <c r="D245" s="1084"/>
      <c r="F245" s="1105" t="s">
        <v>267</v>
      </c>
      <c r="H245" s="1106" t="s">
        <v>266</v>
      </c>
      <c r="I245" s="1013" t="s">
        <v>268</v>
      </c>
      <c r="J245" s="1007" t="s">
        <v>208</v>
      </c>
      <c r="K245" s="1005" t="s">
        <v>209</v>
      </c>
      <c r="L245" s="1013" t="s">
        <v>113</v>
      </c>
      <c r="M245" s="1086">
        <v>6</v>
      </c>
      <c r="N245" s="1129">
        <v>647222.22</v>
      </c>
      <c r="O245" s="1107">
        <v>3883333</v>
      </c>
      <c r="P245" s="1107">
        <v>310667</v>
      </c>
      <c r="Q245" s="1107">
        <f t="shared" si="48"/>
        <v>4194000</v>
      </c>
      <c r="R245" s="1108"/>
      <c r="S245" s="1083"/>
      <c r="T245" s="1083"/>
      <c r="U245" s="1083"/>
      <c r="V245" s="1083">
        <f t="shared" si="43"/>
        <v>4194000</v>
      </c>
    </row>
    <row r="246" spans="1:22" s="1002" customFormat="1" ht="47.25" hidden="1">
      <c r="A246" s="1000" t="s">
        <v>718</v>
      </c>
      <c r="B246" s="1001" t="s">
        <v>744</v>
      </c>
      <c r="C246" s="1084">
        <v>46121</v>
      </c>
      <c r="D246" s="1084"/>
      <c r="F246" s="1105" t="s">
        <v>267</v>
      </c>
      <c r="H246" s="1106" t="s">
        <v>266</v>
      </c>
      <c r="I246" s="1013" t="s">
        <v>268</v>
      </c>
      <c r="J246" s="1007" t="s">
        <v>77</v>
      </c>
      <c r="K246" s="1013" t="s">
        <v>78</v>
      </c>
      <c r="L246" s="1013" t="s">
        <v>113</v>
      </c>
      <c r="M246" s="1086">
        <v>20</v>
      </c>
      <c r="N246" s="1129">
        <v>324074.07</v>
      </c>
      <c r="O246" s="1107">
        <v>6481481</v>
      </c>
      <c r="P246" s="1107">
        <v>518518</v>
      </c>
      <c r="Q246" s="1107">
        <f t="shared" si="48"/>
        <v>6999999</v>
      </c>
      <c r="R246" s="1108"/>
      <c r="S246" s="1083"/>
      <c r="T246" s="1083"/>
      <c r="U246" s="1083"/>
      <c r="V246" s="1083">
        <f t="shared" si="43"/>
        <v>6999999</v>
      </c>
    </row>
    <row r="247" spans="1:22" s="1002" customFormat="1" ht="47.25" hidden="1">
      <c r="A247" s="1000" t="s">
        <v>718</v>
      </c>
      <c r="B247" s="1001" t="s">
        <v>744</v>
      </c>
      <c r="C247" s="1084">
        <v>46121</v>
      </c>
      <c r="D247" s="1084"/>
      <c r="F247" s="1105" t="s">
        <v>267</v>
      </c>
      <c r="H247" s="1106" t="s">
        <v>266</v>
      </c>
      <c r="I247" s="1013" t="s">
        <v>268</v>
      </c>
      <c r="J247" s="1007" t="s">
        <v>262</v>
      </c>
      <c r="K247" s="1013" t="s">
        <v>270</v>
      </c>
      <c r="L247" s="1013" t="s">
        <v>113</v>
      </c>
      <c r="M247" s="1086">
        <v>5</v>
      </c>
      <c r="N247" s="1129">
        <v>851851.85</v>
      </c>
      <c r="O247" s="1107">
        <v>4259259</v>
      </c>
      <c r="P247" s="1107">
        <v>340741</v>
      </c>
      <c r="Q247" s="1107">
        <f t="shared" si="48"/>
        <v>4600000</v>
      </c>
      <c r="R247" s="1108"/>
      <c r="S247" s="1083"/>
      <c r="T247" s="1083"/>
      <c r="U247" s="1083"/>
      <c r="V247" s="1083">
        <f t="shared" si="43"/>
        <v>4600000</v>
      </c>
    </row>
    <row r="248" spans="1:22" s="1002" customFormat="1" ht="47.25" hidden="1">
      <c r="A248" s="1000" t="s">
        <v>718</v>
      </c>
      <c r="B248" s="1001" t="s">
        <v>744</v>
      </c>
      <c r="C248" s="1084">
        <v>46121</v>
      </c>
      <c r="D248" s="1084"/>
      <c r="F248" s="1105" t="s">
        <v>267</v>
      </c>
      <c r="H248" s="1106" t="s">
        <v>266</v>
      </c>
      <c r="I248" s="1013" t="s">
        <v>268</v>
      </c>
      <c r="J248" s="1007" t="s">
        <v>23</v>
      </c>
      <c r="K248" s="1013" t="s">
        <v>271</v>
      </c>
      <c r="L248" s="1013" t="s">
        <v>113</v>
      </c>
      <c r="M248" s="1093">
        <v>4</v>
      </c>
      <c r="N248" s="1130">
        <v>1185185.18</v>
      </c>
      <c r="O248" s="1107">
        <v>4740741</v>
      </c>
      <c r="P248" s="1107">
        <v>379259</v>
      </c>
      <c r="Q248" s="1107">
        <f t="shared" si="48"/>
        <v>5120000</v>
      </c>
      <c r="R248" s="1108"/>
      <c r="S248" s="1083"/>
      <c r="T248" s="1083"/>
      <c r="U248" s="1083"/>
      <c r="V248" s="1083">
        <f t="shared" si="43"/>
        <v>5120000</v>
      </c>
    </row>
    <row r="249" spans="1:22" s="1002" customFormat="1" ht="47.25" hidden="1">
      <c r="A249" s="1000" t="s">
        <v>718</v>
      </c>
      <c r="B249" s="1001" t="s">
        <v>744</v>
      </c>
      <c r="C249" s="1084">
        <v>46121</v>
      </c>
      <c r="D249" s="1084"/>
      <c r="F249" s="1105" t="s">
        <v>267</v>
      </c>
      <c r="H249" s="1106" t="s">
        <v>266</v>
      </c>
      <c r="I249" s="1013" t="s">
        <v>268</v>
      </c>
      <c r="J249" s="1007" t="s">
        <v>184</v>
      </c>
      <c r="K249" s="1013" t="s">
        <v>272</v>
      </c>
      <c r="L249" s="1013" t="s">
        <v>113</v>
      </c>
      <c r="M249" s="1093">
        <v>10</v>
      </c>
      <c r="N249" s="1130">
        <v>240740.74</v>
      </c>
      <c r="O249" s="1107">
        <v>2407407</v>
      </c>
      <c r="P249" s="1107">
        <v>192593</v>
      </c>
      <c r="Q249" s="1107">
        <f t="shared" si="48"/>
        <v>2600000</v>
      </c>
      <c r="R249" s="1108"/>
      <c r="S249" s="1083"/>
      <c r="T249" s="1083"/>
      <c r="U249" s="1083"/>
      <c r="V249" s="1083">
        <f t="shared" si="43"/>
        <v>2600000</v>
      </c>
    </row>
    <row r="250" spans="1:22" s="1002" customFormat="1" ht="47.25" hidden="1">
      <c r="A250" s="1000" t="s">
        <v>718</v>
      </c>
      <c r="B250" s="1001" t="s">
        <v>744</v>
      </c>
      <c r="C250" s="1084">
        <v>46121</v>
      </c>
      <c r="D250" s="1084"/>
      <c r="F250" s="1105" t="s">
        <v>267</v>
      </c>
      <c r="H250" s="1106" t="s">
        <v>266</v>
      </c>
      <c r="I250" s="1013" t="s">
        <v>268</v>
      </c>
      <c r="J250" s="1007" t="s">
        <v>30</v>
      </c>
      <c r="K250" s="1013" t="s">
        <v>31</v>
      </c>
      <c r="L250" s="1013" t="s">
        <v>113</v>
      </c>
      <c r="M250" s="1093">
        <v>10</v>
      </c>
      <c r="N250" s="1130">
        <v>259259.25</v>
      </c>
      <c r="O250" s="1107">
        <v>2592593</v>
      </c>
      <c r="P250" s="1107">
        <v>207407</v>
      </c>
      <c r="Q250" s="1107">
        <f t="shared" si="48"/>
        <v>2800000</v>
      </c>
      <c r="R250" s="1108"/>
      <c r="S250" s="1083"/>
      <c r="T250" s="1083"/>
      <c r="U250" s="1083"/>
      <c r="V250" s="1083">
        <f t="shared" si="43"/>
        <v>2800000</v>
      </c>
    </row>
    <row r="251" spans="1:22" s="1002" customFormat="1" ht="47.25" hidden="1">
      <c r="A251" s="1000" t="s">
        <v>718</v>
      </c>
      <c r="B251" s="1001" t="s">
        <v>744</v>
      </c>
      <c r="C251" s="1084">
        <v>46121</v>
      </c>
      <c r="D251" s="1084"/>
      <c r="F251" s="1105" t="s">
        <v>267</v>
      </c>
      <c r="H251" s="1106" t="s">
        <v>266</v>
      </c>
      <c r="I251" s="1013" t="s">
        <v>268</v>
      </c>
      <c r="J251" s="1007" t="s">
        <v>34</v>
      </c>
      <c r="K251" s="1013" t="s">
        <v>35</v>
      </c>
      <c r="L251" s="1013" t="s">
        <v>113</v>
      </c>
      <c r="M251" s="1093">
        <v>10</v>
      </c>
      <c r="N251" s="1129">
        <v>240740.74</v>
      </c>
      <c r="O251" s="1107">
        <v>2407407</v>
      </c>
      <c r="P251" s="1107">
        <v>192593</v>
      </c>
      <c r="Q251" s="1107">
        <f t="shared" si="48"/>
        <v>2600000</v>
      </c>
      <c r="R251" s="1108"/>
      <c r="S251" s="1083"/>
      <c r="T251" s="1083"/>
      <c r="U251" s="1083"/>
      <c r="V251" s="1083">
        <f t="shared" si="43"/>
        <v>2600000</v>
      </c>
    </row>
    <row r="252" spans="1:22" s="1002" customFormat="1" ht="47.25" hidden="1">
      <c r="A252" s="1000" t="s">
        <v>718</v>
      </c>
      <c r="B252" s="1001" t="s">
        <v>744</v>
      </c>
      <c r="C252" s="1084">
        <v>46121</v>
      </c>
      <c r="D252" s="1084"/>
      <c r="F252" s="1105" t="s">
        <v>267</v>
      </c>
      <c r="H252" s="1106" t="s">
        <v>266</v>
      </c>
      <c r="I252" s="1013" t="s">
        <v>268</v>
      </c>
      <c r="J252" s="1007" t="s">
        <v>36</v>
      </c>
      <c r="K252" s="1013" t="s">
        <v>273</v>
      </c>
      <c r="L252" s="1013" t="s">
        <v>113</v>
      </c>
      <c r="M252" s="1093">
        <v>10</v>
      </c>
      <c r="N252" s="1129">
        <v>259259.25</v>
      </c>
      <c r="O252" s="1107">
        <v>2592593</v>
      </c>
      <c r="P252" s="1107">
        <v>207407</v>
      </c>
      <c r="Q252" s="1107">
        <f t="shared" si="48"/>
        <v>2800000</v>
      </c>
      <c r="R252" s="1108"/>
      <c r="S252" s="1083"/>
      <c r="T252" s="1083"/>
      <c r="U252" s="1083"/>
      <c r="V252" s="1083">
        <f t="shared" si="43"/>
        <v>2800000</v>
      </c>
    </row>
    <row r="253" spans="1:22" s="1002" customFormat="1" ht="47.25" hidden="1">
      <c r="A253" s="1000" t="s">
        <v>718</v>
      </c>
      <c r="B253" s="1001" t="s">
        <v>744</v>
      </c>
      <c r="C253" s="1084">
        <v>46121</v>
      </c>
      <c r="D253" s="1084"/>
      <c r="F253" s="1105" t="s">
        <v>267</v>
      </c>
      <c r="H253" s="1106" t="s">
        <v>266</v>
      </c>
      <c r="I253" s="1013" t="s">
        <v>268</v>
      </c>
      <c r="J253" s="1007" t="s">
        <v>38</v>
      </c>
      <c r="K253" s="1013" t="s">
        <v>39</v>
      </c>
      <c r="L253" s="1013" t="s">
        <v>113</v>
      </c>
      <c r="M253" s="1093">
        <v>10</v>
      </c>
      <c r="N253" s="1129">
        <v>277777.77</v>
      </c>
      <c r="O253" s="1107">
        <v>2777778</v>
      </c>
      <c r="P253" s="1107">
        <v>222222</v>
      </c>
      <c r="Q253" s="1107">
        <f t="shared" si="48"/>
        <v>3000000</v>
      </c>
      <c r="R253" s="1108"/>
      <c r="S253" s="1083"/>
      <c r="T253" s="1083"/>
      <c r="U253" s="1083"/>
      <c r="V253" s="1083">
        <f t="shared" si="43"/>
        <v>3000000</v>
      </c>
    </row>
    <row r="254" spans="1:22" s="1002" customFormat="1" ht="47.25" hidden="1">
      <c r="A254" s="1000" t="s">
        <v>718</v>
      </c>
      <c r="B254" s="1001" t="s">
        <v>744</v>
      </c>
      <c r="C254" s="1084">
        <v>46121</v>
      </c>
      <c r="D254" s="1084"/>
      <c r="F254" s="1105" t="s">
        <v>267</v>
      </c>
      <c r="H254" s="1106" t="s">
        <v>266</v>
      </c>
      <c r="I254" s="1013" t="s">
        <v>268</v>
      </c>
      <c r="J254" s="1007" t="s">
        <v>274</v>
      </c>
      <c r="K254" s="1013" t="s">
        <v>275</v>
      </c>
      <c r="L254" s="1013" t="s">
        <v>113</v>
      </c>
      <c r="M254" s="1086">
        <v>20</v>
      </c>
      <c r="N254" s="1129">
        <v>416666.66</v>
      </c>
      <c r="O254" s="1107">
        <v>8333333</v>
      </c>
      <c r="P254" s="1107">
        <v>666667</v>
      </c>
      <c r="Q254" s="1107">
        <f t="shared" si="48"/>
        <v>9000000</v>
      </c>
      <c r="R254" s="1108"/>
      <c r="S254" s="1083"/>
      <c r="T254" s="1083"/>
      <c r="U254" s="1083"/>
      <c r="V254" s="1083">
        <f t="shared" si="43"/>
        <v>9000000</v>
      </c>
    </row>
    <row r="255" spans="1:22" s="1002" customFormat="1" ht="47.25" hidden="1">
      <c r="A255" s="1000" t="s">
        <v>718</v>
      </c>
      <c r="B255" s="1001" t="s">
        <v>744</v>
      </c>
      <c r="C255" s="1084">
        <v>46121</v>
      </c>
      <c r="D255" s="1084"/>
      <c r="F255" s="1105" t="s">
        <v>267</v>
      </c>
      <c r="H255" s="1106" t="s">
        <v>266</v>
      </c>
      <c r="I255" s="1013" t="s">
        <v>268</v>
      </c>
      <c r="J255" s="1007" t="s">
        <v>60</v>
      </c>
      <c r="K255" s="1013" t="s">
        <v>61</v>
      </c>
      <c r="L255" s="1013" t="s">
        <v>113</v>
      </c>
      <c r="M255" s="1086">
        <v>10</v>
      </c>
      <c r="N255" s="1129">
        <v>1138889</v>
      </c>
      <c r="O255" s="1107">
        <f>M255*N255</f>
        <v>11388890</v>
      </c>
      <c r="P255" s="1107">
        <v>911111</v>
      </c>
      <c r="Q255" s="1107">
        <f t="shared" si="48"/>
        <v>12300001</v>
      </c>
      <c r="R255" s="1108"/>
      <c r="S255" s="1083"/>
      <c r="T255" s="1083"/>
      <c r="U255" s="1083"/>
      <c r="V255" s="1083">
        <f t="shared" si="43"/>
        <v>12300001</v>
      </c>
    </row>
    <row r="256" spans="1:22" s="1002" customFormat="1" ht="47.25" hidden="1">
      <c r="A256" s="1000" t="s">
        <v>718</v>
      </c>
      <c r="B256" s="1001" t="s">
        <v>744</v>
      </c>
      <c r="C256" s="1084">
        <v>46121</v>
      </c>
      <c r="D256" s="1084"/>
      <c r="F256" s="1105" t="s">
        <v>267</v>
      </c>
      <c r="H256" s="1106" t="s">
        <v>266</v>
      </c>
      <c r="I256" s="1013" t="s">
        <v>268</v>
      </c>
      <c r="J256" s="1007" t="s">
        <v>16</v>
      </c>
      <c r="K256" s="1013" t="s">
        <v>17</v>
      </c>
      <c r="L256" s="1013" t="s">
        <v>113</v>
      </c>
      <c r="M256" s="1086">
        <v>4</v>
      </c>
      <c r="N256" s="1129">
        <v>851851.85</v>
      </c>
      <c r="O256" s="1107">
        <v>3407407</v>
      </c>
      <c r="P256" s="1107">
        <v>272593</v>
      </c>
      <c r="Q256" s="1107">
        <f t="shared" si="48"/>
        <v>3680000</v>
      </c>
      <c r="R256" s="1108"/>
      <c r="S256" s="1083"/>
      <c r="T256" s="1083"/>
      <c r="U256" s="1083"/>
      <c r="V256" s="1083">
        <f t="shared" si="43"/>
        <v>3680000</v>
      </c>
    </row>
    <row r="257" spans="1:22" s="1002" customFormat="1" ht="47.25" hidden="1">
      <c r="A257" s="1000" t="s">
        <v>718</v>
      </c>
      <c r="B257" s="1001" t="s">
        <v>744</v>
      </c>
      <c r="C257" s="1084">
        <v>46121</v>
      </c>
      <c r="D257" s="1084"/>
      <c r="F257" s="1105" t="s">
        <v>267</v>
      </c>
      <c r="H257" s="1106" t="s">
        <v>266</v>
      </c>
      <c r="I257" s="1013" t="s">
        <v>268</v>
      </c>
      <c r="J257" s="1007" t="s">
        <v>56</v>
      </c>
      <c r="K257" s="1013" t="s">
        <v>57</v>
      </c>
      <c r="L257" s="1013" t="s">
        <v>113</v>
      </c>
      <c r="M257" s="1086">
        <v>30</v>
      </c>
      <c r="N257" s="1129">
        <v>325925.92</v>
      </c>
      <c r="O257" s="1107">
        <v>9777778</v>
      </c>
      <c r="P257" s="1107">
        <v>782222</v>
      </c>
      <c r="Q257" s="1107">
        <f t="shared" si="48"/>
        <v>10560000</v>
      </c>
      <c r="R257" s="1108"/>
      <c r="S257" s="1083"/>
      <c r="T257" s="1083"/>
      <c r="U257" s="1083"/>
      <c r="V257" s="1083">
        <f t="shared" si="43"/>
        <v>10560000</v>
      </c>
    </row>
    <row r="258" spans="1:22" s="1002" customFormat="1" ht="47.25" hidden="1">
      <c r="A258" s="1000" t="s">
        <v>718</v>
      </c>
      <c r="B258" s="1001" t="s">
        <v>744</v>
      </c>
      <c r="C258" s="1084">
        <v>46121</v>
      </c>
      <c r="D258" s="1084"/>
      <c r="F258" s="1105" t="s">
        <v>267</v>
      </c>
      <c r="H258" s="1106" t="s">
        <v>266</v>
      </c>
      <c r="I258" s="1013" t="s">
        <v>268</v>
      </c>
      <c r="J258" s="1007" t="s">
        <v>194</v>
      </c>
      <c r="K258" s="1002" t="s">
        <v>720</v>
      </c>
      <c r="L258" s="1013" t="s">
        <v>277</v>
      </c>
      <c r="M258" s="1086">
        <v>2</v>
      </c>
      <c r="N258" s="1129">
        <v>1203703.7</v>
      </c>
      <c r="O258" s="1107">
        <v>2407407</v>
      </c>
      <c r="P258" s="1107">
        <v>192593</v>
      </c>
      <c r="Q258" s="1107">
        <f t="shared" si="48"/>
        <v>2600000</v>
      </c>
      <c r="R258" s="1108"/>
      <c r="S258" s="1083"/>
      <c r="T258" s="1083"/>
      <c r="U258" s="1083"/>
      <c r="V258" s="1083">
        <f t="shared" si="43"/>
        <v>2600000</v>
      </c>
    </row>
    <row r="259" spans="1:22" s="1002" customFormat="1" ht="47.25" hidden="1">
      <c r="A259" s="1000" t="s">
        <v>718</v>
      </c>
      <c r="B259" s="1001" t="s">
        <v>744</v>
      </c>
      <c r="C259" s="1084">
        <v>46121</v>
      </c>
      <c r="D259" s="1084"/>
      <c r="F259" s="1105" t="s">
        <v>267</v>
      </c>
      <c r="H259" s="1106" t="s">
        <v>266</v>
      </c>
      <c r="I259" s="1013" t="s">
        <v>268</v>
      </c>
      <c r="J259" s="1007" t="s">
        <v>58</v>
      </c>
      <c r="K259" s="1013" t="s">
        <v>278</v>
      </c>
      <c r="L259" s="1013"/>
      <c r="M259" s="1086">
        <v>2</v>
      </c>
      <c r="N259" s="1129">
        <v>1361111.11</v>
      </c>
      <c r="O259" s="1107">
        <v>2722222</v>
      </c>
      <c r="P259" s="1107">
        <v>217778</v>
      </c>
      <c r="Q259" s="1107">
        <f t="shared" si="48"/>
        <v>2940000</v>
      </c>
      <c r="R259" s="1108"/>
      <c r="S259" s="1083"/>
      <c r="T259" s="1083"/>
      <c r="U259" s="1083"/>
      <c r="V259" s="1083">
        <f t="shared" si="43"/>
        <v>2940000</v>
      </c>
    </row>
    <row r="260" spans="1:22" s="1002" customFormat="1" ht="47.25" hidden="1">
      <c r="A260" s="1000" t="s">
        <v>718</v>
      </c>
      <c r="B260" s="1001" t="s">
        <v>744</v>
      </c>
      <c r="C260" s="1084">
        <v>46121</v>
      </c>
      <c r="D260" s="1084"/>
      <c r="F260" s="1105" t="s">
        <v>267</v>
      </c>
      <c r="H260" s="1106" t="s">
        <v>266</v>
      </c>
      <c r="I260" s="1013" t="s">
        <v>268</v>
      </c>
      <c r="J260" s="1007" t="s">
        <v>74</v>
      </c>
      <c r="K260" s="1013" t="s">
        <v>141</v>
      </c>
      <c r="L260" s="1013" t="s">
        <v>113</v>
      </c>
      <c r="M260" s="1086">
        <v>16</v>
      </c>
      <c r="N260" s="1129">
        <v>361111.11</v>
      </c>
      <c r="O260" s="1107">
        <v>5777778</v>
      </c>
      <c r="P260" s="1107">
        <v>462222</v>
      </c>
      <c r="Q260" s="1107">
        <f t="shared" si="48"/>
        <v>6240000</v>
      </c>
      <c r="R260" s="1108"/>
      <c r="S260" s="1083"/>
      <c r="T260" s="1083"/>
      <c r="U260" s="1083"/>
      <c r="V260" s="1083">
        <f t="shared" si="43"/>
        <v>6240000</v>
      </c>
    </row>
    <row r="261" spans="1:22" s="1002" customFormat="1" ht="47.25" hidden="1">
      <c r="A261" s="1000" t="s">
        <v>718</v>
      </c>
      <c r="B261" s="1001" t="s">
        <v>744</v>
      </c>
      <c r="C261" s="1084">
        <v>46121</v>
      </c>
      <c r="D261" s="1084"/>
      <c r="F261" s="1105" t="s">
        <v>267</v>
      </c>
      <c r="H261" s="1106" t="s">
        <v>266</v>
      </c>
      <c r="I261" s="1013" t="s">
        <v>268</v>
      </c>
      <c r="J261" s="1007" t="s">
        <v>279</v>
      </c>
      <c r="K261" s="1013" t="s">
        <v>280</v>
      </c>
      <c r="L261" s="1013" t="s">
        <v>113</v>
      </c>
      <c r="M261" s="1086">
        <v>4</v>
      </c>
      <c r="N261" s="1129">
        <v>387962.96</v>
      </c>
      <c r="O261" s="1107">
        <v>1551852</v>
      </c>
      <c r="P261" s="1107">
        <v>124148</v>
      </c>
      <c r="Q261" s="1107">
        <f t="shared" si="48"/>
        <v>1676000</v>
      </c>
      <c r="R261" s="1108"/>
      <c r="S261" s="1083"/>
      <c r="T261" s="1083"/>
      <c r="U261" s="1083"/>
      <c r="V261" s="1083">
        <f t="shared" si="43"/>
        <v>1676000</v>
      </c>
    </row>
    <row r="262" spans="1:22" s="1002" customFormat="1" ht="47.25" hidden="1">
      <c r="A262" s="1000" t="s">
        <v>718</v>
      </c>
      <c r="B262" s="1001" t="s">
        <v>744</v>
      </c>
      <c r="C262" s="1084">
        <v>46121</v>
      </c>
      <c r="D262" s="1084"/>
      <c r="F262" s="1105" t="s">
        <v>267</v>
      </c>
      <c r="H262" s="1106" t="s">
        <v>266</v>
      </c>
      <c r="I262" s="1013" t="s">
        <v>268</v>
      </c>
      <c r="J262" s="1007" t="s">
        <v>258</v>
      </c>
      <c r="K262" s="1013" t="s">
        <v>259</v>
      </c>
      <c r="L262" s="1013" t="s">
        <v>113</v>
      </c>
      <c r="M262" s="1086">
        <v>4</v>
      </c>
      <c r="N262" s="1129">
        <v>472222.22</v>
      </c>
      <c r="O262" s="1107">
        <v>1888889</v>
      </c>
      <c r="P262" s="1107">
        <v>151111</v>
      </c>
      <c r="Q262" s="1107">
        <f t="shared" si="48"/>
        <v>2040000</v>
      </c>
      <c r="R262" s="1108"/>
      <c r="S262" s="1083"/>
      <c r="T262" s="1083"/>
      <c r="U262" s="1083"/>
      <c r="V262" s="1083">
        <f t="shared" si="43"/>
        <v>2040000</v>
      </c>
    </row>
    <row r="263" spans="1:22" s="1002" customFormat="1" ht="47.25" hidden="1">
      <c r="A263" s="1000" t="s">
        <v>718</v>
      </c>
      <c r="B263" s="1001" t="s">
        <v>744</v>
      </c>
      <c r="C263" s="1084">
        <v>46121</v>
      </c>
      <c r="D263" s="1084"/>
      <c r="F263" s="1105" t="s">
        <v>267</v>
      </c>
      <c r="H263" s="1106" t="s">
        <v>266</v>
      </c>
      <c r="I263" s="1013" t="s">
        <v>268</v>
      </c>
      <c r="J263" s="1007" t="s">
        <v>260</v>
      </c>
      <c r="K263" s="1013" t="s">
        <v>261</v>
      </c>
      <c r="L263" s="1013" t="s">
        <v>113</v>
      </c>
      <c r="M263" s="1086">
        <v>4</v>
      </c>
      <c r="N263" s="1129">
        <v>492592.59</v>
      </c>
      <c r="O263" s="1107">
        <v>1970370</v>
      </c>
      <c r="P263" s="1107">
        <v>157630</v>
      </c>
      <c r="Q263" s="1107">
        <f t="shared" si="48"/>
        <v>2128000</v>
      </c>
      <c r="R263" s="1108"/>
      <c r="S263" s="1083"/>
      <c r="T263" s="1083"/>
      <c r="U263" s="1083"/>
      <c r="V263" s="1083">
        <f t="shared" si="43"/>
        <v>2128000</v>
      </c>
    </row>
    <row r="264" spans="1:22" s="1002" customFormat="1" ht="47.25" hidden="1">
      <c r="A264" s="1000" t="s">
        <v>718</v>
      </c>
      <c r="B264" s="1001" t="s">
        <v>744</v>
      </c>
      <c r="C264" s="1084">
        <v>46121</v>
      </c>
      <c r="D264" s="1084"/>
      <c r="F264" s="1105" t="s">
        <v>267</v>
      </c>
      <c r="H264" s="1106" t="s">
        <v>266</v>
      </c>
      <c r="I264" s="1013" t="s">
        <v>268</v>
      </c>
      <c r="J264" s="1007" t="s">
        <v>83</v>
      </c>
      <c r="K264" s="1013" t="s">
        <v>84</v>
      </c>
      <c r="L264" s="1013" t="s">
        <v>113</v>
      </c>
      <c r="M264" s="1086">
        <v>10</v>
      </c>
      <c r="N264" s="1129">
        <v>1097222.22</v>
      </c>
      <c r="O264" s="1107">
        <v>10972222</v>
      </c>
      <c r="P264" s="1107">
        <v>877778</v>
      </c>
      <c r="Q264" s="1107">
        <f t="shared" si="48"/>
        <v>11850000</v>
      </c>
      <c r="R264" s="1108"/>
      <c r="S264" s="1083"/>
      <c r="T264" s="1083"/>
      <c r="U264" s="1083"/>
      <c r="V264" s="1083">
        <f t="shared" si="43"/>
        <v>11850000</v>
      </c>
    </row>
    <row r="265" spans="1:22" s="1002" customFormat="1" hidden="1">
      <c r="A265" s="1000" t="s">
        <v>718</v>
      </c>
      <c r="B265" s="1001" t="s">
        <v>744</v>
      </c>
      <c r="C265" s="1131">
        <v>46330</v>
      </c>
      <c r="D265" s="1131"/>
      <c r="F265" s="1132"/>
      <c r="H265" s="1133"/>
      <c r="I265" s="1022" t="s">
        <v>281</v>
      </c>
      <c r="J265" s="1007"/>
      <c r="K265" s="1022"/>
      <c r="L265" s="1134"/>
      <c r="M265" s="1135"/>
      <c r="N265" s="1136"/>
      <c r="O265" s="1137"/>
      <c r="P265" s="1137"/>
      <c r="Q265" s="1137">
        <f t="shared" si="48"/>
        <v>0</v>
      </c>
      <c r="R265" s="1083"/>
      <c r="S265" s="1137">
        <v>820000</v>
      </c>
      <c r="T265" s="1083"/>
      <c r="U265" s="1083"/>
      <c r="V265" s="1083">
        <f t="shared" ref="V265:V328" si="49">Q265-R265-S265-T265-U265</f>
        <v>-820000</v>
      </c>
    </row>
    <row r="266" spans="1:22" s="1002" customFormat="1" ht="47.25" hidden="1">
      <c r="A266" s="1000" t="s">
        <v>718</v>
      </c>
      <c r="B266" s="1001" t="s">
        <v>744</v>
      </c>
      <c r="C266" s="1084" t="s">
        <v>282</v>
      </c>
      <c r="D266" s="1084"/>
      <c r="F266" s="1110" t="s">
        <v>284</v>
      </c>
      <c r="H266" s="1111" t="s">
        <v>283</v>
      </c>
      <c r="I266" s="1013" t="s">
        <v>268</v>
      </c>
      <c r="J266" s="1007" t="s">
        <v>30</v>
      </c>
      <c r="K266" s="1013" t="s">
        <v>31</v>
      </c>
      <c r="L266" s="1013" t="s">
        <v>113</v>
      </c>
      <c r="M266" s="1093">
        <v>20</v>
      </c>
      <c r="N266" s="1130">
        <v>259259.25</v>
      </c>
      <c r="O266" s="1081">
        <v>5185185</v>
      </c>
      <c r="P266" s="1081">
        <v>414815</v>
      </c>
      <c r="Q266" s="1081">
        <f t="shared" si="48"/>
        <v>5600000</v>
      </c>
      <c r="R266" s="1108"/>
      <c r="S266" s="1083"/>
      <c r="T266" s="1083"/>
      <c r="U266" s="1083"/>
      <c r="V266" s="1083">
        <f t="shared" si="49"/>
        <v>5600000</v>
      </c>
    </row>
    <row r="267" spans="1:22" s="1002" customFormat="1" ht="47.25" hidden="1">
      <c r="A267" s="1000" t="s">
        <v>718</v>
      </c>
      <c r="B267" s="1001" t="s">
        <v>744</v>
      </c>
      <c r="C267" s="1084" t="s">
        <v>282</v>
      </c>
      <c r="D267" s="1084"/>
      <c r="F267" s="1110" t="s">
        <v>284</v>
      </c>
      <c r="H267" s="1111" t="s">
        <v>283</v>
      </c>
      <c r="I267" s="1013" t="s">
        <v>268</v>
      </c>
      <c r="J267" s="1007" t="s">
        <v>32</v>
      </c>
      <c r="K267" s="1013" t="s">
        <v>33</v>
      </c>
      <c r="L267" s="1013" t="s">
        <v>113</v>
      </c>
      <c r="M267" s="1093">
        <v>10</v>
      </c>
      <c r="N267" s="1130">
        <v>226851.85</v>
      </c>
      <c r="O267" s="1081">
        <v>2268519</v>
      </c>
      <c r="P267" s="1081">
        <v>181482</v>
      </c>
      <c r="Q267" s="1081">
        <f t="shared" si="48"/>
        <v>2450001</v>
      </c>
      <c r="R267" s="1108"/>
      <c r="S267" s="1083"/>
      <c r="T267" s="1083"/>
      <c r="U267" s="1083"/>
      <c r="V267" s="1083">
        <f t="shared" si="49"/>
        <v>2450001</v>
      </c>
    </row>
    <row r="268" spans="1:22" s="1002" customFormat="1" ht="47.25" hidden="1">
      <c r="A268" s="1000" t="s">
        <v>718</v>
      </c>
      <c r="B268" s="1001" t="s">
        <v>744</v>
      </c>
      <c r="C268" s="1084" t="s">
        <v>282</v>
      </c>
      <c r="D268" s="1084"/>
      <c r="F268" s="1110" t="s">
        <v>284</v>
      </c>
      <c r="H268" s="1111" t="s">
        <v>283</v>
      </c>
      <c r="I268" s="1013" t="s">
        <v>268</v>
      </c>
      <c r="J268" s="1007" t="s">
        <v>34</v>
      </c>
      <c r="K268" s="1013" t="s">
        <v>35</v>
      </c>
      <c r="L268" s="1013" t="s">
        <v>113</v>
      </c>
      <c r="M268" s="1093">
        <v>10</v>
      </c>
      <c r="N268" s="1130">
        <v>240740.74</v>
      </c>
      <c r="O268" s="1081">
        <v>2407407</v>
      </c>
      <c r="P268" s="1081">
        <v>192593</v>
      </c>
      <c r="Q268" s="1081">
        <f t="shared" si="48"/>
        <v>2600000</v>
      </c>
      <c r="R268" s="1108"/>
      <c r="S268" s="1083"/>
      <c r="T268" s="1083"/>
      <c r="U268" s="1083"/>
      <c r="V268" s="1083">
        <f t="shared" si="49"/>
        <v>2600000</v>
      </c>
    </row>
    <row r="269" spans="1:22" s="1002" customFormat="1" ht="47.25" hidden="1">
      <c r="A269" s="1000" t="s">
        <v>718</v>
      </c>
      <c r="B269" s="1001" t="s">
        <v>744</v>
      </c>
      <c r="C269" s="1084" t="s">
        <v>282</v>
      </c>
      <c r="D269" s="1084"/>
      <c r="F269" s="1110" t="s">
        <v>284</v>
      </c>
      <c r="H269" s="1111" t="s">
        <v>283</v>
      </c>
      <c r="I269" s="1013" t="s">
        <v>268</v>
      </c>
      <c r="J269" s="1007" t="s">
        <v>36</v>
      </c>
      <c r="K269" s="1013" t="s">
        <v>37</v>
      </c>
      <c r="L269" s="1013" t="s">
        <v>113</v>
      </c>
      <c r="M269" s="1093">
        <v>20</v>
      </c>
      <c r="N269" s="1130">
        <v>259259.25</v>
      </c>
      <c r="O269" s="1081">
        <v>5185185</v>
      </c>
      <c r="P269" s="1081">
        <v>414815</v>
      </c>
      <c r="Q269" s="1081">
        <f t="shared" si="48"/>
        <v>5600000</v>
      </c>
      <c r="R269" s="1108"/>
      <c r="S269" s="1083"/>
      <c r="T269" s="1083"/>
      <c r="U269" s="1083"/>
      <c r="V269" s="1083">
        <f t="shared" si="49"/>
        <v>5600000</v>
      </c>
    </row>
    <row r="270" spans="1:22" s="1002" customFormat="1" ht="47.25" hidden="1">
      <c r="A270" s="1000" t="s">
        <v>718</v>
      </c>
      <c r="B270" s="1001" t="s">
        <v>744</v>
      </c>
      <c r="C270" s="1084" t="s">
        <v>282</v>
      </c>
      <c r="D270" s="1084"/>
      <c r="F270" s="1110" t="s">
        <v>284</v>
      </c>
      <c r="H270" s="1111" t="s">
        <v>283</v>
      </c>
      <c r="I270" s="1013" t="s">
        <v>268</v>
      </c>
      <c r="J270" s="1007" t="s">
        <v>38</v>
      </c>
      <c r="K270" s="1013" t="s">
        <v>39</v>
      </c>
      <c r="L270" s="1013" t="s">
        <v>113</v>
      </c>
      <c r="M270" s="1093">
        <v>20</v>
      </c>
      <c r="N270" s="1130">
        <v>277777.8</v>
      </c>
      <c r="O270" s="1081">
        <v>5555556</v>
      </c>
      <c r="P270" s="1081">
        <v>444444</v>
      </c>
      <c r="Q270" s="1081">
        <f t="shared" si="48"/>
        <v>6000000</v>
      </c>
      <c r="R270" s="1108"/>
      <c r="S270" s="1083"/>
      <c r="T270" s="1083"/>
      <c r="U270" s="1083"/>
      <c r="V270" s="1083">
        <f t="shared" si="49"/>
        <v>6000000</v>
      </c>
    </row>
    <row r="271" spans="1:22" s="1002" customFormat="1" ht="47.25" hidden="1">
      <c r="A271" s="1000" t="s">
        <v>718</v>
      </c>
      <c r="B271" s="1001" t="s">
        <v>744</v>
      </c>
      <c r="C271" s="1084" t="s">
        <v>282</v>
      </c>
      <c r="D271" s="1084"/>
      <c r="F271" s="1110" t="s">
        <v>284</v>
      </c>
      <c r="H271" s="1111" t="s">
        <v>283</v>
      </c>
      <c r="I271" s="1013" t="s">
        <v>268</v>
      </c>
      <c r="J271" s="1007" t="s">
        <v>180</v>
      </c>
      <c r="K271" s="1013" t="s">
        <v>181</v>
      </c>
      <c r="L271" s="1013" t="s">
        <v>113</v>
      </c>
      <c r="M271" s="1093">
        <v>10</v>
      </c>
      <c r="N271" s="1130">
        <v>234259.26</v>
      </c>
      <c r="O271" s="1081">
        <v>2342593</v>
      </c>
      <c r="P271" s="1081">
        <v>187407</v>
      </c>
      <c r="Q271" s="1081">
        <f t="shared" si="48"/>
        <v>2530000</v>
      </c>
      <c r="R271" s="1108"/>
      <c r="S271" s="1083"/>
      <c r="T271" s="1083"/>
      <c r="U271" s="1083"/>
      <c r="V271" s="1083">
        <f t="shared" si="49"/>
        <v>2530000</v>
      </c>
    </row>
    <row r="272" spans="1:22" s="1002" customFormat="1" ht="47.25" hidden="1">
      <c r="A272" s="1000" t="s">
        <v>718</v>
      </c>
      <c r="B272" s="1001" t="s">
        <v>744</v>
      </c>
      <c r="C272" s="1084" t="s">
        <v>282</v>
      </c>
      <c r="D272" s="1084"/>
      <c r="F272" s="1110" t="s">
        <v>284</v>
      </c>
      <c r="H272" s="1111" t="s">
        <v>283</v>
      </c>
      <c r="I272" s="1013" t="s">
        <v>268</v>
      </c>
      <c r="J272" s="1007" t="s">
        <v>26</v>
      </c>
      <c r="K272" s="1013" t="s">
        <v>27</v>
      </c>
      <c r="L272" s="1013" t="s">
        <v>113</v>
      </c>
      <c r="M272" s="1093">
        <v>10</v>
      </c>
      <c r="N272" s="1130">
        <v>256481.48</v>
      </c>
      <c r="O272" s="1081">
        <v>2564815</v>
      </c>
      <c r="P272" s="1081">
        <v>205185</v>
      </c>
      <c r="Q272" s="1081">
        <f t="shared" si="48"/>
        <v>2770000</v>
      </c>
      <c r="R272" s="1108"/>
      <c r="S272" s="1083"/>
      <c r="T272" s="1083"/>
      <c r="U272" s="1083"/>
      <c r="V272" s="1083">
        <f t="shared" si="49"/>
        <v>2770000</v>
      </c>
    </row>
    <row r="273" spans="1:22" s="1002" customFormat="1" ht="47.25" hidden="1">
      <c r="A273" s="1000" t="s">
        <v>718</v>
      </c>
      <c r="B273" s="1001" t="s">
        <v>744</v>
      </c>
      <c r="C273" s="1084" t="s">
        <v>282</v>
      </c>
      <c r="D273" s="1084"/>
      <c r="F273" s="1110" t="s">
        <v>284</v>
      </c>
      <c r="H273" s="1111" t="s">
        <v>283</v>
      </c>
      <c r="I273" s="1013" t="s">
        <v>268</v>
      </c>
      <c r="J273" s="1007" t="s">
        <v>28</v>
      </c>
      <c r="K273" s="1013" t="s">
        <v>29</v>
      </c>
      <c r="L273" s="1013" t="s">
        <v>113</v>
      </c>
      <c r="M273" s="1093">
        <v>30</v>
      </c>
      <c r="N273" s="1130">
        <v>281481.48</v>
      </c>
      <c r="O273" s="1081">
        <v>8444444</v>
      </c>
      <c r="P273" s="1081">
        <v>675556</v>
      </c>
      <c r="Q273" s="1081">
        <f t="shared" si="48"/>
        <v>9120000</v>
      </c>
      <c r="R273" s="1108"/>
      <c r="S273" s="1083"/>
      <c r="T273" s="1083"/>
      <c r="U273" s="1083"/>
      <c r="V273" s="1083">
        <f t="shared" si="49"/>
        <v>9120000</v>
      </c>
    </row>
    <row r="274" spans="1:22" s="1002" customFormat="1" ht="47.25" hidden="1">
      <c r="A274" s="1000" t="s">
        <v>718</v>
      </c>
      <c r="B274" s="1001" t="s">
        <v>744</v>
      </c>
      <c r="C274" s="1084" t="s">
        <v>282</v>
      </c>
      <c r="D274" s="1084"/>
      <c r="F274" s="1110" t="s">
        <v>284</v>
      </c>
      <c r="H274" s="1111" t="s">
        <v>283</v>
      </c>
      <c r="I274" s="1013" t="s">
        <v>268</v>
      </c>
      <c r="J274" s="1007" t="s">
        <v>204</v>
      </c>
      <c r="K274" s="1013" t="s">
        <v>269</v>
      </c>
      <c r="L274" s="1013" t="s">
        <v>113</v>
      </c>
      <c r="M274" s="1093">
        <v>10</v>
      </c>
      <c r="N274" s="1130">
        <v>480555.55</v>
      </c>
      <c r="O274" s="1081">
        <v>4805556</v>
      </c>
      <c r="P274" s="1081">
        <v>384444</v>
      </c>
      <c r="Q274" s="1081">
        <f t="shared" si="48"/>
        <v>5190000</v>
      </c>
      <c r="R274" s="1108"/>
      <c r="S274" s="1083"/>
      <c r="T274" s="1083"/>
      <c r="U274" s="1083"/>
      <c r="V274" s="1083">
        <f t="shared" si="49"/>
        <v>5190000</v>
      </c>
    </row>
    <row r="275" spans="1:22" s="1002" customFormat="1" ht="47.25" hidden="1">
      <c r="A275" s="1000" t="s">
        <v>718</v>
      </c>
      <c r="B275" s="1001" t="s">
        <v>744</v>
      </c>
      <c r="C275" s="1084" t="s">
        <v>282</v>
      </c>
      <c r="D275" s="1084"/>
      <c r="F275" s="1110" t="s">
        <v>284</v>
      </c>
      <c r="H275" s="1111" t="s">
        <v>283</v>
      </c>
      <c r="I275" s="1013" t="s">
        <v>268</v>
      </c>
      <c r="J275" s="1007" t="s">
        <v>208</v>
      </c>
      <c r="K275" s="1005" t="s">
        <v>209</v>
      </c>
      <c r="L275" s="1013" t="s">
        <v>113</v>
      </c>
      <c r="M275" s="1093">
        <v>10</v>
      </c>
      <c r="N275" s="1130">
        <v>647222.22</v>
      </c>
      <c r="O275" s="1081">
        <v>6472222</v>
      </c>
      <c r="P275" s="1081">
        <v>517778</v>
      </c>
      <c r="Q275" s="1081">
        <f t="shared" si="48"/>
        <v>6990000</v>
      </c>
      <c r="R275" s="1108"/>
      <c r="S275" s="1083"/>
      <c r="T275" s="1083"/>
      <c r="U275" s="1083"/>
      <c r="V275" s="1083">
        <f t="shared" si="49"/>
        <v>6990000</v>
      </c>
    </row>
    <row r="276" spans="1:22" s="1002" customFormat="1" ht="47.25" hidden="1">
      <c r="A276" s="1000" t="s">
        <v>718</v>
      </c>
      <c r="B276" s="1001" t="s">
        <v>744</v>
      </c>
      <c r="C276" s="1084" t="s">
        <v>282</v>
      </c>
      <c r="D276" s="1084"/>
      <c r="F276" s="1110" t="s">
        <v>284</v>
      </c>
      <c r="H276" s="1111" t="s">
        <v>285</v>
      </c>
      <c r="I276" s="1013" t="s">
        <v>268</v>
      </c>
      <c r="J276" s="1007" t="s">
        <v>34</v>
      </c>
      <c r="K276" s="1013" t="s">
        <v>35</v>
      </c>
      <c r="L276" s="1013" t="s">
        <v>113</v>
      </c>
      <c r="M276" s="1093">
        <v>1</v>
      </c>
      <c r="N276" s="1130">
        <v>240740.74</v>
      </c>
      <c r="O276" s="1081">
        <v>240741</v>
      </c>
      <c r="P276" s="1081">
        <v>19259</v>
      </c>
      <c r="Q276" s="1081">
        <f t="shared" si="48"/>
        <v>260000</v>
      </c>
      <c r="R276" s="1108"/>
      <c r="S276" s="1083"/>
      <c r="T276" s="1083"/>
      <c r="U276" s="1083"/>
      <c r="V276" s="1083">
        <f t="shared" si="49"/>
        <v>260000</v>
      </c>
    </row>
    <row r="277" spans="1:22" s="1002" customFormat="1" ht="47.25" hidden="1">
      <c r="A277" s="1000" t="s">
        <v>718</v>
      </c>
      <c r="B277" s="1001" t="s">
        <v>744</v>
      </c>
      <c r="C277" s="1084" t="s">
        <v>282</v>
      </c>
      <c r="D277" s="1084"/>
      <c r="F277" s="1110" t="s">
        <v>284</v>
      </c>
      <c r="H277" s="1111" t="s">
        <v>285</v>
      </c>
      <c r="I277" s="1013" t="s">
        <v>268</v>
      </c>
      <c r="J277" s="1007" t="s">
        <v>30</v>
      </c>
      <c r="K277" s="1013" t="s">
        <v>31</v>
      </c>
      <c r="L277" s="1013" t="s">
        <v>113</v>
      </c>
      <c r="M277" s="1093">
        <v>1</v>
      </c>
      <c r="N277" s="1130">
        <v>259259.25</v>
      </c>
      <c r="O277" s="1081">
        <v>259259</v>
      </c>
      <c r="P277" s="1081">
        <v>20741</v>
      </c>
      <c r="Q277" s="1081">
        <f t="shared" si="48"/>
        <v>280000</v>
      </c>
      <c r="R277" s="1108"/>
      <c r="S277" s="1083"/>
      <c r="T277" s="1083"/>
      <c r="U277" s="1083"/>
      <c r="V277" s="1083">
        <f t="shared" si="49"/>
        <v>280000</v>
      </c>
    </row>
    <row r="278" spans="1:22" s="1002" customFormat="1" ht="47.25" hidden="1">
      <c r="A278" s="1000" t="s">
        <v>718</v>
      </c>
      <c r="B278" s="1001" t="s">
        <v>744</v>
      </c>
      <c r="C278" s="1084" t="s">
        <v>282</v>
      </c>
      <c r="D278" s="1084"/>
      <c r="F278" s="1110" t="s">
        <v>284</v>
      </c>
      <c r="H278" s="1111" t="s">
        <v>285</v>
      </c>
      <c r="I278" s="1013" t="s">
        <v>268</v>
      </c>
      <c r="J278" s="1007" t="s">
        <v>38</v>
      </c>
      <c r="K278" s="1013" t="s">
        <v>39</v>
      </c>
      <c r="L278" s="1013" t="s">
        <v>113</v>
      </c>
      <c r="M278" s="1093">
        <v>1</v>
      </c>
      <c r="N278" s="1130">
        <v>277777.78000000003</v>
      </c>
      <c r="O278" s="1081">
        <v>277778</v>
      </c>
      <c r="P278" s="1081">
        <v>22222</v>
      </c>
      <c r="Q278" s="1081">
        <f t="shared" si="48"/>
        <v>300000</v>
      </c>
      <c r="R278" s="1108"/>
      <c r="S278" s="1083"/>
      <c r="T278" s="1083"/>
      <c r="U278" s="1083"/>
      <c r="V278" s="1083">
        <f t="shared" si="49"/>
        <v>300000</v>
      </c>
    </row>
    <row r="279" spans="1:22" s="1002" customFormat="1" hidden="1">
      <c r="A279" s="1000" t="s">
        <v>718</v>
      </c>
      <c r="B279" s="1001" t="s">
        <v>744</v>
      </c>
      <c r="C279" s="1131" t="s">
        <v>232</v>
      </c>
      <c r="D279" s="1131"/>
      <c r="F279" s="1132"/>
      <c r="H279" s="1133"/>
      <c r="I279" s="1022" t="s">
        <v>281</v>
      </c>
      <c r="J279" s="1007"/>
      <c r="K279" s="1022"/>
      <c r="L279" s="1134"/>
      <c r="M279" s="1135"/>
      <c r="N279" s="1136"/>
      <c r="O279" s="1137"/>
      <c r="P279" s="1137"/>
      <c r="Q279" s="1137"/>
      <c r="R279" s="1083"/>
      <c r="S279" s="1137">
        <v>460000</v>
      </c>
      <c r="T279" s="1083"/>
      <c r="U279" s="1083"/>
      <c r="V279" s="1083">
        <f t="shared" si="49"/>
        <v>-460000</v>
      </c>
    </row>
    <row r="280" spans="1:22" s="1002" customFormat="1" hidden="1">
      <c r="A280" s="1000" t="s">
        <v>718</v>
      </c>
      <c r="B280" s="1001" t="s">
        <v>744</v>
      </c>
      <c r="C280" s="1077" t="s">
        <v>287</v>
      </c>
      <c r="D280" s="1077"/>
      <c r="F280" s="1110" t="s">
        <v>287</v>
      </c>
      <c r="H280" s="1111" t="s">
        <v>288</v>
      </c>
      <c r="I280" s="1018" t="s">
        <v>516</v>
      </c>
      <c r="J280" s="1007" t="s">
        <v>194</v>
      </c>
      <c r="K280" s="1002" t="s">
        <v>720</v>
      </c>
      <c r="L280" s="1013" t="s">
        <v>277</v>
      </c>
      <c r="M280" s="1093">
        <v>-2</v>
      </c>
      <c r="N280" s="1129">
        <v>1203703.7</v>
      </c>
      <c r="O280" s="1081">
        <v>-2407407</v>
      </c>
      <c r="P280" s="1081">
        <v>-192593</v>
      </c>
      <c r="Q280" s="1081">
        <f t="shared" si="48"/>
        <v>-2600000</v>
      </c>
      <c r="R280" s="1081"/>
      <c r="S280" s="1083"/>
      <c r="T280" s="1083"/>
      <c r="U280" s="1083"/>
      <c r="V280" s="1083">
        <f t="shared" si="49"/>
        <v>-2600000</v>
      </c>
    </row>
    <row r="281" spans="1:22" s="1002" customFormat="1" hidden="1">
      <c r="A281" s="1000" t="s">
        <v>718</v>
      </c>
      <c r="B281" s="1001" t="s">
        <v>744</v>
      </c>
      <c r="C281" s="1077" t="s">
        <v>287</v>
      </c>
      <c r="D281" s="1077"/>
      <c r="F281" s="1110" t="s">
        <v>287</v>
      </c>
      <c r="H281" s="1111" t="s">
        <v>288</v>
      </c>
      <c r="I281" s="1018" t="s">
        <v>516</v>
      </c>
      <c r="J281" s="1007" t="s">
        <v>58</v>
      </c>
      <c r="K281" s="1013" t="s">
        <v>278</v>
      </c>
      <c r="L281" s="1013" t="s">
        <v>277</v>
      </c>
      <c r="M281" s="1093">
        <v>-2</v>
      </c>
      <c r="N281" s="1129">
        <v>1361111.11</v>
      </c>
      <c r="O281" s="1081">
        <v>-2722222</v>
      </c>
      <c r="P281" s="1081">
        <v>-217778</v>
      </c>
      <c r="Q281" s="1081">
        <f t="shared" si="48"/>
        <v>-2940000</v>
      </c>
      <c r="R281" s="1081"/>
      <c r="S281" s="1083"/>
      <c r="T281" s="1083"/>
      <c r="U281" s="1083"/>
      <c r="V281" s="1083">
        <f t="shared" si="49"/>
        <v>-2940000</v>
      </c>
    </row>
    <row r="282" spans="1:22" s="1002" customFormat="1" ht="31.5" hidden="1">
      <c r="A282" s="1000" t="s">
        <v>718</v>
      </c>
      <c r="B282" s="1001" t="s">
        <v>744</v>
      </c>
      <c r="C282" s="1077" t="s">
        <v>287</v>
      </c>
      <c r="D282" s="1077"/>
      <c r="F282" s="1110" t="s">
        <v>287</v>
      </c>
      <c r="H282" s="1111" t="s">
        <v>288</v>
      </c>
      <c r="I282" s="1018" t="s">
        <v>516</v>
      </c>
      <c r="J282" s="1007" t="s">
        <v>60</v>
      </c>
      <c r="K282" s="1013" t="s">
        <v>61</v>
      </c>
      <c r="L282" s="1013" t="s">
        <v>113</v>
      </c>
      <c r="M282" s="1093">
        <v>-9</v>
      </c>
      <c r="N282" s="1129">
        <v>1138889</v>
      </c>
      <c r="O282" s="1081">
        <v>-10250001</v>
      </c>
      <c r="P282" s="1081">
        <v>-820000</v>
      </c>
      <c r="Q282" s="1081">
        <f t="shared" si="48"/>
        <v>-11070001</v>
      </c>
      <c r="R282" s="1081"/>
      <c r="S282" s="1083"/>
      <c r="T282" s="1083"/>
      <c r="U282" s="1083"/>
      <c r="V282" s="1083">
        <f t="shared" si="49"/>
        <v>-11070001</v>
      </c>
    </row>
    <row r="283" spans="1:22" s="1002" customFormat="1" ht="31.5" hidden="1">
      <c r="A283" s="1000" t="s">
        <v>718</v>
      </c>
      <c r="B283" s="1001" t="s">
        <v>744</v>
      </c>
      <c r="C283" s="1077" t="s">
        <v>287</v>
      </c>
      <c r="D283" s="1077"/>
      <c r="F283" s="1110" t="s">
        <v>287</v>
      </c>
      <c r="H283" s="1111" t="s">
        <v>288</v>
      </c>
      <c r="I283" s="1018" t="s">
        <v>516</v>
      </c>
      <c r="J283" s="1007" t="s">
        <v>83</v>
      </c>
      <c r="K283" s="1013" t="s">
        <v>84</v>
      </c>
      <c r="L283" s="1013" t="s">
        <v>113</v>
      </c>
      <c r="M283" s="1093">
        <v>-10</v>
      </c>
      <c r="N283" s="1129">
        <v>1097222.22</v>
      </c>
      <c r="O283" s="1081">
        <v>-10972222</v>
      </c>
      <c r="P283" s="1081">
        <v>-877778</v>
      </c>
      <c r="Q283" s="1081">
        <f t="shared" si="48"/>
        <v>-11850000</v>
      </c>
      <c r="R283" s="1081"/>
      <c r="S283" s="1083"/>
      <c r="T283" s="1083"/>
      <c r="U283" s="1083"/>
      <c r="V283" s="1083">
        <f t="shared" si="49"/>
        <v>-11850000</v>
      </c>
    </row>
    <row r="284" spans="1:22" s="1002" customFormat="1" ht="31.5" hidden="1">
      <c r="A284" s="1000" t="s">
        <v>718</v>
      </c>
      <c r="B284" s="1001" t="s">
        <v>744</v>
      </c>
      <c r="C284" s="1077" t="s">
        <v>287</v>
      </c>
      <c r="D284" s="1077"/>
      <c r="F284" s="1110" t="s">
        <v>287</v>
      </c>
      <c r="H284" s="1111" t="s">
        <v>288</v>
      </c>
      <c r="I284" s="1018" t="s">
        <v>516</v>
      </c>
      <c r="J284" s="1007" t="s">
        <v>16</v>
      </c>
      <c r="K284" s="1013" t="s">
        <v>17</v>
      </c>
      <c r="L284" s="1013" t="s">
        <v>113</v>
      </c>
      <c r="M284" s="1093">
        <v>-3</v>
      </c>
      <c r="N284" s="1129">
        <v>851851.85</v>
      </c>
      <c r="O284" s="1081">
        <v>-2555556</v>
      </c>
      <c r="P284" s="1081">
        <v>-204444</v>
      </c>
      <c r="Q284" s="1081">
        <f t="shared" si="48"/>
        <v>-2760000</v>
      </c>
      <c r="R284" s="1081"/>
      <c r="S284" s="1083"/>
      <c r="T284" s="1083"/>
      <c r="U284" s="1083"/>
      <c r="V284" s="1083">
        <f t="shared" si="49"/>
        <v>-2760000</v>
      </c>
    </row>
    <row r="285" spans="1:22" s="1002" customFormat="1" ht="31.5" hidden="1">
      <c r="A285" s="1000" t="s">
        <v>718</v>
      </c>
      <c r="B285" s="1001" t="s">
        <v>744</v>
      </c>
      <c r="C285" s="1077" t="s">
        <v>287</v>
      </c>
      <c r="D285" s="1077"/>
      <c r="F285" s="1110" t="s">
        <v>287</v>
      </c>
      <c r="H285" s="1111" t="s">
        <v>288</v>
      </c>
      <c r="I285" s="1018" t="s">
        <v>516</v>
      </c>
      <c r="J285" s="1007" t="s">
        <v>56</v>
      </c>
      <c r="K285" s="1013" t="s">
        <v>57</v>
      </c>
      <c r="L285" s="1013" t="s">
        <v>113</v>
      </c>
      <c r="M285" s="1093">
        <v>-29</v>
      </c>
      <c r="N285" s="1129">
        <v>325925.92</v>
      </c>
      <c r="O285" s="1081">
        <v>-9451852</v>
      </c>
      <c r="P285" s="1081">
        <v>-756148</v>
      </c>
      <c r="Q285" s="1081">
        <f t="shared" si="48"/>
        <v>-10208000</v>
      </c>
      <c r="R285" s="1081"/>
      <c r="S285" s="1083"/>
      <c r="T285" s="1083"/>
      <c r="U285" s="1083"/>
      <c r="V285" s="1083">
        <f t="shared" si="49"/>
        <v>-10208000</v>
      </c>
    </row>
    <row r="286" spans="1:22" s="1002" customFormat="1" ht="47.25" hidden="1">
      <c r="A286" s="1000" t="s">
        <v>718</v>
      </c>
      <c r="B286" s="1001" t="s">
        <v>744</v>
      </c>
      <c r="C286" s="1077" t="s">
        <v>287</v>
      </c>
      <c r="D286" s="1077"/>
      <c r="F286" s="1110" t="s">
        <v>291</v>
      </c>
      <c r="H286" s="1111" t="s">
        <v>290</v>
      </c>
      <c r="I286" s="1013" t="s">
        <v>268</v>
      </c>
      <c r="J286" s="1007" t="s">
        <v>74</v>
      </c>
      <c r="K286" s="1013" t="s">
        <v>141</v>
      </c>
      <c r="L286" s="1013" t="s">
        <v>113</v>
      </c>
      <c r="M286" s="1086">
        <v>10</v>
      </c>
      <c r="N286" s="1129">
        <v>361111.11</v>
      </c>
      <c r="O286" s="1107">
        <v>3611111</v>
      </c>
      <c r="P286" s="1107">
        <v>288889</v>
      </c>
      <c r="Q286" s="1107">
        <f>O286+P286</f>
        <v>3900000</v>
      </c>
      <c r="R286" s="1081"/>
      <c r="S286" s="1083"/>
      <c r="T286" s="1083"/>
      <c r="U286" s="1083"/>
      <c r="V286" s="1083">
        <f t="shared" si="49"/>
        <v>3900000</v>
      </c>
    </row>
    <row r="287" spans="1:22" s="1002" customFormat="1" ht="47.25" hidden="1">
      <c r="A287" s="1000" t="s">
        <v>718</v>
      </c>
      <c r="B287" s="1001" t="s">
        <v>744</v>
      </c>
      <c r="C287" s="1077" t="s">
        <v>287</v>
      </c>
      <c r="D287" s="1077"/>
      <c r="F287" s="1110" t="s">
        <v>291</v>
      </c>
      <c r="H287" s="1111" t="s">
        <v>290</v>
      </c>
      <c r="I287" s="1013" t="s">
        <v>268</v>
      </c>
      <c r="J287" s="1007" t="s">
        <v>34</v>
      </c>
      <c r="K287" s="1013" t="s">
        <v>35</v>
      </c>
      <c r="L287" s="1013" t="s">
        <v>113</v>
      </c>
      <c r="M287" s="1093">
        <v>5</v>
      </c>
      <c r="N287" s="1130">
        <v>240740.74</v>
      </c>
      <c r="O287" s="1081">
        <v>1203704</v>
      </c>
      <c r="P287" s="1081">
        <v>96296</v>
      </c>
      <c r="Q287" s="1081">
        <f t="shared" ref="Q287:Q294" si="50">O287+P287</f>
        <v>1300000</v>
      </c>
      <c r="R287" s="1081"/>
      <c r="S287" s="1083"/>
      <c r="T287" s="1083"/>
      <c r="U287" s="1083"/>
      <c r="V287" s="1083">
        <f t="shared" si="49"/>
        <v>1300000</v>
      </c>
    </row>
    <row r="288" spans="1:22" s="1002" customFormat="1" ht="47.25" hidden="1">
      <c r="A288" s="1000" t="s">
        <v>718</v>
      </c>
      <c r="B288" s="1001" t="s">
        <v>744</v>
      </c>
      <c r="C288" s="1077" t="s">
        <v>287</v>
      </c>
      <c r="D288" s="1077"/>
      <c r="F288" s="1110" t="s">
        <v>291</v>
      </c>
      <c r="H288" s="1111" t="s">
        <v>290</v>
      </c>
      <c r="I288" s="1013" t="s">
        <v>268</v>
      </c>
      <c r="J288" s="1007" t="s">
        <v>36</v>
      </c>
      <c r="K288" s="1013" t="s">
        <v>37</v>
      </c>
      <c r="L288" s="1013" t="s">
        <v>113</v>
      </c>
      <c r="M288" s="1093">
        <v>5</v>
      </c>
      <c r="N288" s="1130">
        <v>259259.25</v>
      </c>
      <c r="O288" s="1081">
        <v>1296296</v>
      </c>
      <c r="P288" s="1081">
        <v>103704</v>
      </c>
      <c r="Q288" s="1081">
        <f t="shared" si="50"/>
        <v>1400000</v>
      </c>
      <c r="R288" s="1081"/>
      <c r="S288" s="1083"/>
      <c r="T288" s="1083"/>
      <c r="U288" s="1083"/>
      <c r="V288" s="1083">
        <f t="shared" si="49"/>
        <v>1400000</v>
      </c>
    </row>
    <row r="289" spans="1:22" s="1002" customFormat="1" ht="47.25" hidden="1">
      <c r="A289" s="1000" t="s">
        <v>718</v>
      </c>
      <c r="B289" s="1001" t="s">
        <v>744</v>
      </c>
      <c r="C289" s="1077" t="s">
        <v>287</v>
      </c>
      <c r="D289" s="1077"/>
      <c r="F289" s="1110" t="s">
        <v>291</v>
      </c>
      <c r="H289" s="1111" t="s">
        <v>290</v>
      </c>
      <c r="I289" s="1013" t="s">
        <v>268</v>
      </c>
      <c r="J289" s="1007" t="s">
        <v>38</v>
      </c>
      <c r="K289" s="1013" t="s">
        <v>39</v>
      </c>
      <c r="L289" s="1013" t="s">
        <v>113</v>
      </c>
      <c r="M289" s="1093">
        <v>5</v>
      </c>
      <c r="N289" s="1130">
        <v>277777.78000000003</v>
      </c>
      <c r="O289" s="1081">
        <v>1388889</v>
      </c>
      <c r="P289" s="1107">
        <v>111111</v>
      </c>
      <c r="Q289" s="1081">
        <f t="shared" si="50"/>
        <v>1500000</v>
      </c>
      <c r="R289" s="1081"/>
      <c r="S289" s="1083"/>
      <c r="T289" s="1083"/>
      <c r="U289" s="1083"/>
      <c r="V289" s="1083">
        <f t="shared" si="49"/>
        <v>1500000</v>
      </c>
    </row>
    <row r="290" spans="1:22" s="1002" customFormat="1" ht="47.25" hidden="1">
      <c r="A290" s="1000" t="s">
        <v>718</v>
      </c>
      <c r="B290" s="1001" t="s">
        <v>744</v>
      </c>
      <c r="C290" s="1077" t="s">
        <v>287</v>
      </c>
      <c r="D290" s="1077"/>
      <c r="F290" s="1110" t="s">
        <v>291</v>
      </c>
      <c r="H290" s="1111" t="s">
        <v>290</v>
      </c>
      <c r="I290" s="1013" t="s">
        <v>268</v>
      </c>
      <c r="J290" s="1007" t="s">
        <v>77</v>
      </c>
      <c r="K290" s="1013" t="s">
        <v>78</v>
      </c>
      <c r="L290" s="1013" t="s">
        <v>113</v>
      </c>
      <c r="M290" s="1086">
        <v>10</v>
      </c>
      <c r="N290" s="1129">
        <v>324074.07</v>
      </c>
      <c r="O290" s="1107">
        <v>3240741</v>
      </c>
      <c r="P290" s="1107">
        <v>259259</v>
      </c>
      <c r="Q290" s="1107">
        <f t="shared" si="50"/>
        <v>3500000</v>
      </c>
      <c r="R290" s="1081"/>
      <c r="S290" s="1083"/>
      <c r="T290" s="1083"/>
      <c r="U290" s="1083"/>
      <c r="V290" s="1083">
        <f t="shared" si="49"/>
        <v>3500000</v>
      </c>
    </row>
    <row r="291" spans="1:22" s="1002" customFormat="1" ht="47.25" hidden="1">
      <c r="A291" s="1000" t="s">
        <v>718</v>
      </c>
      <c r="B291" s="1001" t="s">
        <v>744</v>
      </c>
      <c r="C291" s="1077" t="s">
        <v>287</v>
      </c>
      <c r="D291" s="1077"/>
      <c r="F291" s="1110" t="s">
        <v>291</v>
      </c>
      <c r="H291" s="1111" t="s">
        <v>290</v>
      </c>
      <c r="I291" s="1013" t="s">
        <v>268</v>
      </c>
      <c r="J291" s="1007" t="s">
        <v>204</v>
      </c>
      <c r="K291" s="1013" t="s">
        <v>269</v>
      </c>
      <c r="L291" s="1128" t="s">
        <v>25</v>
      </c>
      <c r="M291" s="1086">
        <v>10</v>
      </c>
      <c r="N291" s="1129">
        <v>480555.55</v>
      </c>
      <c r="O291" s="1107">
        <v>4805556</v>
      </c>
      <c r="P291" s="1107">
        <v>384444</v>
      </c>
      <c r="Q291" s="1107">
        <f t="shared" si="50"/>
        <v>5190000</v>
      </c>
      <c r="R291" s="1081"/>
      <c r="S291" s="1083"/>
      <c r="T291" s="1083"/>
      <c r="U291" s="1083"/>
      <c r="V291" s="1083">
        <f t="shared" si="49"/>
        <v>5190000</v>
      </c>
    </row>
    <row r="292" spans="1:22" s="1002" customFormat="1" ht="47.25" hidden="1">
      <c r="A292" s="1000" t="s">
        <v>718</v>
      </c>
      <c r="B292" s="1001" t="s">
        <v>744</v>
      </c>
      <c r="C292" s="1077" t="s">
        <v>287</v>
      </c>
      <c r="D292" s="1077"/>
      <c r="F292" s="1110" t="s">
        <v>291</v>
      </c>
      <c r="H292" s="1111" t="s">
        <v>290</v>
      </c>
      <c r="I292" s="1013" t="s">
        <v>268</v>
      </c>
      <c r="J292" s="1007" t="s">
        <v>279</v>
      </c>
      <c r="K292" s="1013" t="s">
        <v>280</v>
      </c>
      <c r="L292" s="1013" t="s">
        <v>113</v>
      </c>
      <c r="M292" s="1086">
        <v>6</v>
      </c>
      <c r="N292" s="1129">
        <v>387962.96</v>
      </c>
      <c r="O292" s="1107">
        <v>2327778</v>
      </c>
      <c r="P292" s="1107">
        <v>186222</v>
      </c>
      <c r="Q292" s="1107">
        <f t="shared" si="50"/>
        <v>2514000</v>
      </c>
      <c r="R292" s="1081"/>
      <c r="S292" s="1083"/>
      <c r="T292" s="1083"/>
      <c r="U292" s="1083"/>
      <c r="V292" s="1083">
        <f t="shared" si="49"/>
        <v>2514000</v>
      </c>
    </row>
    <row r="293" spans="1:22" s="1002" customFormat="1" ht="47.25" hidden="1">
      <c r="A293" s="1000" t="s">
        <v>718</v>
      </c>
      <c r="B293" s="1001" t="s">
        <v>744</v>
      </c>
      <c r="C293" s="1077" t="s">
        <v>287</v>
      </c>
      <c r="D293" s="1077"/>
      <c r="F293" s="1110" t="s">
        <v>291</v>
      </c>
      <c r="H293" s="1111" t="s">
        <v>290</v>
      </c>
      <c r="I293" s="1013" t="s">
        <v>268</v>
      </c>
      <c r="J293" s="1007" t="s">
        <v>258</v>
      </c>
      <c r="K293" s="1013" t="s">
        <v>259</v>
      </c>
      <c r="L293" s="1013" t="s">
        <v>113</v>
      </c>
      <c r="M293" s="1086">
        <v>6</v>
      </c>
      <c r="N293" s="1129">
        <v>472222.22</v>
      </c>
      <c r="O293" s="1107">
        <v>2833333</v>
      </c>
      <c r="P293" s="1107">
        <v>226667</v>
      </c>
      <c r="Q293" s="1107">
        <f t="shared" si="50"/>
        <v>3060000</v>
      </c>
      <c r="R293" s="1081"/>
      <c r="S293" s="1083"/>
      <c r="T293" s="1083"/>
      <c r="U293" s="1083"/>
      <c r="V293" s="1083">
        <f t="shared" si="49"/>
        <v>3060000</v>
      </c>
    </row>
    <row r="294" spans="1:22" s="1002" customFormat="1" ht="47.25" hidden="1">
      <c r="A294" s="1000" t="s">
        <v>718</v>
      </c>
      <c r="B294" s="1001" t="s">
        <v>744</v>
      </c>
      <c r="C294" s="1077" t="s">
        <v>287</v>
      </c>
      <c r="D294" s="1077"/>
      <c r="F294" s="1110" t="s">
        <v>291</v>
      </c>
      <c r="H294" s="1111" t="s">
        <v>290</v>
      </c>
      <c r="I294" s="1013" t="s">
        <v>268</v>
      </c>
      <c r="J294" s="1007" t="s">
        <v>260</v>
      </c>
      <c r="K294" s="1013" t="s">
        <v>261</v>
      </c>
      <c r="L294" s="1013" t="s">
        <v>113</v>
      </c>
      <c r="M294" s="1086">
        <v>6</v>
      </c>
      <c r="N294" s="1129">
        <v>492592.59</v>
      </c>
      <c r="O294" s="1107">
        <v>2955556</v>
      </c>
      <c r="P294" s="1107">
        <v>236444</v>
      </c>
      <c r="Q294" s="1107">
        <f t="shared" si="50"/>
        <v>3192000</v>
      </c>
      <c r="R294" s="1081"/>
      <c r="S294" s="1083"/>
      <c r="T294" s="1083"/>
      <c r="U294" s="1083"/>
      <c r="V294" s="1083">
        <f t="shared" si="49"/>
        <v>3192000</v>
      </c>
    </row>
    <row r="295" spans="1:22" s="1002" customFormat="1" hidden="1">
      <c r="A295" s="1000" t="s">
        <v>718</v>
      </c>
      <c r="B295" s="1001" t="s">
        <v>744</v>
      </c>
      <c r="C295" s="1131" t="s">
        <v>287</v>
      </c>
      <c r="D295" s="1131"/>
      <c r="F295" s="1132"/>
      <c r="H295" s="1133"/>
      <c r="I295" s="1022" t="s">
        <v>281</v>
      </c>
      <c r="J295" s="1007"/>
      <c r="K295" s="1022"/>
      <c r="L295" s="1134"/>
      <c r="M295" s="1135"/>
      <c r="N295" s="1136"/>
      <c r="O295" s="1137"/>
      <c r="P295" s="1137"/>
      <c r="Q295" s="1137"/>
      <c r="R295" s="1083"/>
      <c r="S295" s="1137">
        <v>300000</v>
      </c>
      <c r="T295" s="1083"/>
      <c r="U295" s="1083"/>
      <c r="V295" s="1083">
        <f t="shared" si="49"/>
        <v>-300000</v>
      </c>
    </row>
    <row r="296" spans="1:22" s="1002" customFormat="1" hidden="1">
      <c r="A296" s="1000" t="s">
        <v>718</v>
      </c>
      <c r="B296" s="1001" t="s">
        <v>744</v>
      </c>
      <c r="C296" s="1131" t="s">
        <v>292</v>
      </c>
      <c r="D296" s="1131"/>
      <c r="F296" s="1132"/>
      <c r="H296" s="1133"/>
      <c r="I296" s="1002" t="s">
        <v>844</v>
      </c>
      <c r="J296" s="1007"/>
      <c r="K296" s="1022"/>
      <c r="L296" s="1134"/>
      <c r="M296" s="1135"/>
      <c r="N296" s="1136"/>
      <c r="O296" s="1137"/>
      <c r="P296" s="1137"/>
      <c r="Q296" s="1137"/>
      <c r="R296" s="1137">
        <v>50000000</v>
      </c>
      <c r="S296" s="1083"/>
      <c r="T296" s="1083"/>
      <c r="U296" s="1083"/>
      <c r="V296" s="1083">
        <f t="shared" si="49"/>
        <v>-50000000</v>
      </c>
    </row>
    <row r="297" spans="1:22" s="1002" customFormat="1" ht="47.25" hidden="1">
      <c r="A297" s="1000" t="s">
        <v>718</v>
      </c>
      <c r="B297" s="1001" t="s">
        <v>744</v>
      </c>
      <c r="C297" s="1077" t="s">
        <v>95</v>
      </c>
      <c r="D297" s="1077"/>
      <c r="F297" s="1110" t="s">
        <v>295</v>
      </c>
      <c r="H297" s="1111" t="s">
        <v>294</v>
      </c>
      <c r="I297" s="1013" t="s">
        <v>268</v>
      </c>
      <c r="J297" s="1007" t="s">
        <v>204</v>
      </c>
      <c r="K297" s="1013" t="s">
        <v>269</v>
      </c>
      <c r="L297" s="1128" t="s">
        <v>25</v>
      </c>
      <c r="M297" s="1086">
        <v>10</v>
      </c>
      <c r="N297" s="1129">
        <v>480555.55</v>
      </c>
      <c r="O297" s="1107">
        <v>4805556</v>
      </c>
      <c r="P297" s="1107">
        <v>384444</v>
      </c>
      <c r="Q297" s="1107">
        <f t="shared" ref="Q297:Q314" si="51">O297+P297</f>
        <v>5190000</v>
      </c>
      <c r="R297" s="1081"/>
      <c r="S297" s="1083"/>
      <c r="T297" s="1083"/>
      <c r="U297" s="1083"/>
      <c r="V297" s="1083">
        <f t="shared" si="49"/>
        <v>5190000</v>
      </c>
    </row>
    <row r="298" spans="1:22" s="1002" customFormat="1" ht="47.25" hidden="1">
      <c r="A298" s="1000" t="s">
        <v>718</v>
      </c>
      <c r="B298" s="1001" t="s">
        <v>744</v>
      </c>
      <c r="C298" s="1077" t="s">
        <v>95</v>
      </c>
      <c r="D298" s="1077"/>
      <c r="F298" s="1110" t="s">
        <v>295</v>
      </c>
      <c r="H298" s="1111" t="s">
        <v>294</v>
      </c>
      <c r="I298" s="1013" t="s">
        <v>268</v>
      </c>
      <c r="J298" s="1007" t="s">
        <v>208</v>
      </c>
      <c r="K298" s="1005" t="s">
        <v>209</v>
      </c>
      <c r="L298" s="1013" t="s">
        <v>25</v>
      </c>
      <c r="M298" s="1086">
        <v>2</v>
      </c>
      <c r="N298" s="1129">
        <v>647222.22</v>
      </c>
      <c r="O298" s="1107">
        <v>1294444</v>
      </c>
      <c r="P298" s="1107">
        <v>103556</v>
      </c>
      <c r="Q298" s="1107">
        <f t="shared" si="51"/>
        <v>1398000</v>
      </c>
      <c r="R298" s="1081"/>
      <c r="S298" s="1083"/>
      <c r="T298" s="1083"/>
      <c r="U298" s="1083"/>
      <c r="V298" s="1083">
        <f t="shared" si="49"/>
        <v>1398000</v>
      </c>
    </row>
    <row r="299" spans="1:22" s="1002" customFormat="1" ht="47.25" hidden="1">
      <c r="A299" s="1000" t="s">
        <v>718</v>
      </c>
      <c r="B299" s="1001" t="s">
        <v>744</v>
      </c>
      <c r="C299" s="1077" t="s">
        <v>95</v>
      </c>
      <c r="D299" s="1077"/>
      <c r="F299" s="1110" t="s">
        <v>295</v>
      </c>
      <c r="H299" s="1111" t="s">
        <v>294</v>
      </c>
      <c r="I299" s="1013" t="s">
        <v>268</v>
      </c>
      <c r="J299" s="1007" t="s">
        <v>206</v>
      </c>
      <c r="K299" s="1013" t="s">
        <v>296</v>
      </c>
      <c r="L299" s="1013" t="s">
        <v>25</v>
      </c>
      <c r="M299" s="1093">
        <v>10</v>
      </c>
      <c r="N299" s="1130">
        <v>483333.33</v>
      </c>
      <c r="O299" s="1107">
        <v>4833333</v>
      </c>
      <c r="P299" s="1081">
        <v>386667</v>
      </c>
      <c r="Q299" s="1107">
        <f t="shared" si="51"/>
        <v>5220000</v>
      </c>
      <c r="R299" s="1081"/>
      <c r="S299" s="1083"/>
      <c r="T299" s="1083"/>
      <c r="U299" s="1083"/>
      <c r="V299" s="1083">
        <f t="shared" si="49"/>
        <v>5220000</v>
      </c>
    </row>
    <row r="300" spans="1:22" s="1002" customFormat="1" ht="47.25" hidden="1">
      <c r="A300" s="1000" t="s">
        <v>718</v>
      </c>
      <c r="B300" s="1001" t="s">
        <v>744</v>
      </c>
      <c r="C300" s="1077" t="s">
        <v>95</v>
      </c>
      <c r="D300" s="1077"/>
      <c r="F300" s="1110" t="s">
        <v>295</v>
      </c>
      <c r="H300" s="1111" t="s">
        <v>294</v>
      </c>
      <c r="I300" s="1013" t="s">
        <v>268</v>
      </c>
      <c r="J300" s="1007" t="s">
        <v>262</v>
      </c>
      <c r="K300" s="1013" t="s">
        <v>270</v>
      </c>
      <c r="L300" s="1128" t="s">
        <v>25</v>
      </c>
      <c r="M300" s="1086">
        <v>6</v>
      </c>
      <c r="N300" s="1129">
        <v>851851.85</v>
      </c>
      <c r="O300" s="1107">
        <v>5111111</v>
      </c>
      <c r="P300" s="1107">
        <v>408889</v>
      </c>
      <c r="Q300" s="1107">
        <f t="shared" si="51"/>
        <v>5520000</v>
      </c>
      <c r="R300" s="1081"/>
      <c r="S300" s="1083"/>
      <c r="T300" s="1083"/>
      <c r="U300" s="1083"/>
      <c r="V300" s="1083">
        <f t="shared" si="49"/>
        <v>5520000</v>
      </c>
    </row>
    <row r="301" spans="1:22" s="1002" customFormat="1" ht="47.25" hidden="1">
      <c r="A301" s="1000" t="s">
        <v>718</v>
      </c>
      <c r="B301" s="1001" t="s">
        <v>744</v>
      </c>
      <c r="C301" s="1077" t="s">
        <v>95</v>
      </c>
      <c r="D301" s="1077"/>
      <c r="F301" s="1110" t="s">
        <v>295</v>
      </c>
      <c r="H301" s="1111" t="s">
        <v>294</v>
      </c>
      <c r="I301" s="1013" t="s">
        <v>268</v>
      </c>
      <c r="J301" s="1007" t="s">
        <v>23</v>
      </c>
      <c r="K301" s="1013" t="s">
        <v>271</v>
      </c>
      <c r="L301" s="1013" t="s">
        <v>25</v>
      </c>
      <c r="M301" s="1093">
        <v>2</v>
      </c>
      <c r="N301" s="1130">
        <v>1185185.18</v>
      </c>
      <c r="O301" s="1107">
        <v>2370370</v>
      </c>
      <c r="P301" s="1107">
        <v>189630</v>
      </c>
      <c r="Q301" s="1107">
        <f t="shared" si="51"/>
        <v>2560000</v>
      </c>
      <c r="R301" s="1081"/>
      <c r="S301" s="1083"/>
      <c r="T301" s="1083"/>
      <c r="U301" s="1083"/>
      <c r="V301" s="1083">
        <f t="shared" si="49"/>
        <v>2560000</v>
      </c>
    </row>
    <row r="302" spans="1:22" s="1002" customFormat="1" ht="47.25" hidden="1">
      <c r="A302" s="1000" t="s">
        <v>718</v>
      </c>
      <c r="B302" s="1001" t="s">
        <v>744</v>
      </c>
      <c r="C302" s="1077" t="s">
        <v>95</v>
      </c>
      <c r="D302" s="1077"/>
      <c r="F302" s="1110" t="s">
        <v>295</v>
      </c>
      <c r="H302" s="1111" t="s">
        <v>294</v>
      </c>
      <c r="I302" s="1013" t="s">
        <v>268</v>
      </c>
      <c r="J302" s="1007" t="s">
        <v>28</v>
      </c>
      <c r="K302" s="1013" t="s">
        <v>29</v>
      </c>
      <c r="L302" s="1013" t="s">
        <v>113</v>
      </c>
      <c r="M302" s="1093">
        <v>10</v>
      </c>
      <c r="N302" s="1130">
        <v>281481.48</v>
      </c>
      <c r="O302" s="1107">
        <v>2814815</v>
      </c>
      <c r="P302" s="1081">
        <v>225185</v>
      </c>
      <c r="Q302" s="1107">
        <f t="shared" si="51"/>
        <v>3040000</v>
      </c>
      <c r="R302" s="1081"/>
      <c r="S302" s="1083"/>
      <c r="T302" s="1083"/>
      <c r="U302" s="1083"/>
      <c r="V302" s="1083">
        <f t="shared" si="49"/>
        <v>3040000</v>
      </c>
    </row>
    <row r="303" spans="1:22" s="1002" customFormat="1" ht="47.25" hidden="1">
      <c r="A303" s="1000" t="s">
        <v>718</v>
      </c>
      <c r="B303" s="1001" t="s">
        <v>744</v>
      </c>
      <c r="C303" s="1077" t="s">
        <v>95</v>
      </c>
      <c r="D303" s="1077"/>
      <c r="F303" s="1110" t="s">
        <v>295</v>
      </c>
      <c r="H303" s="1111" t="s">
        <v>294</v>
      </c>
      <c r="I303" s="1013" t="s">
        <v>268</v>
      </c>
      <c r="J303" s="1007" t="s">
        <v>34</v>
      </c>
      <c r="K303" s="1013" t="s">
        <v>35</v>
      </c>
      <c r="L303" s="1013" t="s">
        <v>113</v>
      </c>
      <c r="M303" s="1093">
        <v>10</v>
      </c>
      <c r="N303" s="1130">
        <v>240740.74</v>
      </c>
      <c r="O303" s="1107">
        <v>2407407</v>
      </c>
      <c r="P303" s="1081">
        <v>192593</v>
      </c>
      <c r="Q303" s="1107">
        <f t="shared" si="51"/>
        <v>2600000</v>
      </c>
      <c r="R303" s="1081"/>
      <c r="S303" s="1083"/>
      <c r="T303" s="1083"/>
      <c r="U303" s="1083"/>
      <c r="V303" s="1083">
        <f t="shared" si="49"/>
        <v>2600000</v>
      </c>
    </row>
    <row r="304" spans="1:22" s="1002" customFormat="1" ht="47.25" hidden="1">
      <c r="A304" s="1000" t="s">
        <v>718</v>
      </c>
      <c r="B304" s="1001" t="s">
        <v>744</v>
      </c>
      <c r="C304" s="1077" t="s">
        <v>95</v>
      </c>
      <c r="D304" s="1077"/>
      <c r="F304" s="1110" t="s">
        <v>295</v>
      </c>
      <c r="H304" s="1111" t="s">
        <v>294</v>
      </c>
      <c r="I304" s="1013" t="s">
        <v>268</v>
      </c>
      <c r="J304" s="1007" t="s">
        <v>36</v>
      </c>
      <c r="K304" s="1013" t="s">
        <v>37</v>
      </c>
      <c r="L304" s="1013" t="s">
        <v>113</v>
      </c>
      <c r="M304" s="1093">
        <v>10</v>
      </c>
      <c r="N304" s="1130">
        <v>259259.25</v>
      </c>
      <c r="O304" s="1107">
        <v>2592593</v>
      </c>
      <c r="P304" s="1081">
        <v>207407</v>
      </c>
      <c r="Q304" s="1107">
        <f t="shared" si="51"/>
        <v>2800000</v>
      </c>
      <c r="R304" s="1081"/>
      <c r="S304" s="1083"/>
      <c r="T304" s="1083"/>
      <c r="U304" s="1083"/>
      <c r="V304" s="1083">
        <f t="shared" si="49"/>
        <v>2800000</v>
      </c>
    </row>
    <row r="305" spans="1:22" s="1002" customFormat="1" ht="47.25" hidden="1">
      <c r="A305" s="1000" t="s">
        <v>718</v>
      </c>
      <c r="B305" s="1001" t="s">
        <v>744</v>
      </c>
      <c r="C305" s="1077" t="s">
        <v>95</v>
      </c>
      <c r="D305" s="1077"/>
      <c r="F305" s="1110" t="s">
        <v>295</v>
      </c>
      <c r="H305" s="1111" t="s">
        <v>294</v>
      </c>
      <c r="I305" s="1013" t="s">
        <v>268</v>
      </c>
      <c r="J305" s="1007" t="s">
        <v>38</v>
      </c>
      <c r="K305" s="1013" t="s">
        <v>39</v>
      </c>
      <c r="L305" s="1013" t="s">
        <v>113</v>
      </c>
      <c r="M305" s="1093">
        <v>10</v>
      </c>
      <c r="N305" s="1130">
        <v>277777.78000000003</v>
      </c>
      <c r="O305" s="1107">
        <v>2777778</v>
      </c>
      <c r="P305" s="1081">
        <v>222222</v>
      </c>
      <c r="Q305" s="1107">
        <f t="shared" si="51"/>
        <v>3000000</v>
      </c>
      <c r="R305" s="1081"/>
      <c r="S305" s="1083"/>
      <c r="T305" s="1083"/>
      <c r="U305" s="1083"/>
      <c r="V305" s="1083">
        <f t="shared" si="49"/>
        <v>3000000</v>
      </c>
    </row>
    <row r="306" spans="1:22" s="1002" customFormat="1" ht="47.25" hidden="1">
      <c r="A306" s="1000" t="s">
        <v>718</v>
      </c>
      <c r="B306" s="1001" t="s">
        <v>744</v>
      </c>
      <c r="C306" s="1077" t="s">
        <v>95</v>
      </c>
      <c r="D306" s="1077"/>
      <c r="F306" s="1110" t="s">
        <v>451</v>
      </c>
      <c r="H306" s="1111" t="s">
        <v>831</v>
      </c>
      <c r="I306" s="1013" t="s">
        <v>268</v>
      </c>
      <c r="J306" s="1007" t="s">
        <v>274</v>
      </c>
      <c r="K306" s="1013" t="s">
        <v>297</v>
      </c>
      <c r="L306" s="1013" t="s">
        <v>113</v>
      </c>
      <c r="M306" s="1093">
        <v>10</v>
      </c>
      <c r="N306" s="1130">
        <v>416666.66</v>
      </c>
      <c r="O306" s="1107">
        <v>4166667</v>
      </c>
      <c r="P306" s="1081">
        <v>333333</v>
      </c>
      <c r="Q306" s="1107">
        <f t="shared" si="51"/>
        <v>4500000</v>
      </c>
      <c r="R306" s="1081"/>
      <c r="S306" s="1083"/>
      <c r="T306" s="1083"/>
      <c r="U306" s="1083"/>
      <c r="V306" s="1083">
        <f t="shared" si="49"/>
        <v>4500000</v>
      </c>
    </row>
    <row r="307" spans="1:22" s="1002" customFormat="1" ht="47.25" hidden="1">
      <c r="A307" s="1000" t="s">
        <v>718</v>
      </c>
      <c r="B307" s="1001" t="s">
        <v>744</v>
      </c>
      <c r="C307" s="1077" t="s">
        <v>95</v>
      </c>
      <c r="D307" s="1077"/>
      <c r="F307" s="1110" t="s">
        <v>451</v>
      </c>
      <c r="H307" s="1111" t="s">
        <v>831</v>
      </c>
      <c r="I307" s="1013" t="s">
        <v>268</v>
      </c>
      <c r="J307" s="1007" t="s">
        <v>90</v>
      </c>
      <c r="K307" s="1013" t="s">
        <v>91</v>
      </c>
      <c r="L307" s="1013" t="s">
        <v>92</v>
      </c>
      <c r="M307" s="1093">
        <v>2</v>
      </c>
      <c r="N307" s="1130">
        <v>814814.81</v>
      </c>
      <c r="O307" s="1107">
        <v>1629630</v>
      </c>
      <c r="P307" s="1081">
        <v>130371</v>
      </c>
      <c r="Q307" s="1107">
        <f t="shared" si="51"/>
        <v>1760001</v>
      </c>
      <c r="R307" s="1081"/>
      <c r="S307" s="1083"/>
      <c r="T307" s="1083"/>
      <c r="U307" s="1083"/>
      <c r="V307" s="1083">
        <f t="shared" si="49"/>
        <v>1760001</v>
      </c>
    </row>
    <row r="308" spans="1:22" s="1002" customFormat="1" ht="47.25" hidden="1">
      <c r="A308" s="1000" t="s">
        <v>718</v>
      </c>
      <c r="B308" s="1001" t="s">
        <v>744</v>
      </c>
      <c r="C308" s="1077" t="s">
        <v>95</v>
      </c>
      <c r="D308" s="1077"/>
      <c r="F308" s="1110" t="s">
        <v>451</v>
      </c>
      <c r="H308" s="1111" t="s">
        <v>831</v>
      </c>
      <c r="I308" s="1013" t="s">
        <v>268</v>
      </c>
      <c r="J308" s="1007" t="s">
        <v>93</v>
      </c>
      <c r="K308" s="1013" t="s">
        <v>94</v>
      </c>
      <c r="L308" s="1013" t="s">
        <v>92</v>
      </c>
      <c r="M308" s="1093">
        <v>2</v>
      </c>
      <c r="N308" s="1130">
        <v>907407.4</v>
      </c>
      <c r="O308" s="1107">
        <v>1814815</v>
      </c>
      <c r="P308" s="1081">
        <v>145185</v>
      </c>
      <c r="Q308" s="1107">
        <f t="shared" si="51"/>
        <v>1960000</v>
      </c>
      <c r="R308" s="1081"/>
      <c r="S308" s="1083"/>
      <c r="T308" s="1083"/>
      <c r="U308" s="1083"/>
      <c r="V308" s="1083">
        <f t="shared" si="49"/>
        <v>1960000</v>
      </c>
    </row>
    <row r="309" spans="1:22" s="1002" customFormat="1" ht="47.25" hidden="1">
      <c r="A309" s="1000" t="s">
        <v>718</v>
      </c>
      <c r="B309" s="1001" t="s">
        <v>744</v>
      </c>
      <c r="C309" s="1077" t="s">
        <v>298</v>
      </c>
      <c r="D309" s="1077"/>
      <c r="F309" s="1110" t="s">
        <v>451</v>
      </c>
      <c r="H309" s="1111" t="s">
        <v>831</v>
      </c>
      <c r="I309" s="1013" t="s">
        <v>268</v>
      </c>
      <c r="J309" s="1007" t="s">
        <v>74</v>
      </c>
      <c r="K309" s="1013" t="s">
        <v>141</v>
      </c>
      <c r="L309" s="1013" t="s">
        <v>113</v>
      </c>
      <c r="M309" s="1093">
        <v>16</v>
      </c>
      <c r="N309" s="1130">
        <v>361111.11</v>
      </c>
      <c r="O309" s="1107">
        <f t="shared" ref="O309:O315" si="52">M309*N309</f>
        <v>5777777.7599999998</v>
      </c>
      <c r="P309" s="1081">
        <f>O309*8%</f>
        <v>462222.22080000001</v>
      </c>
      <c r="Q309" s="1107">
        <f t="shared" si="51"/>
        <v>6239999.9808</v>
      </c>
      <c r="R309" s="1081"/>
      <c r="S309" s="1083"/>
      <c r="T309" s="1083"/>
      <c r="U309" s="1083"/>
      <c r="V309" s="1083">
        <f t="shared" si="49"/>
        <v>6239999.9808</v>
      </c>
    </row>
    <row r="310" spans="1:22" s="1002" customFormat="1" ht="47.25" hidden="1">
      <c r="A310" s="1000" t="s">
        <v>718</v>
      </c>
      <c r="B310" s="1001" t="s">
        <v>744</v>
      </c>
      <c r="C310" s="1077" t="s">
        <v>298</v>
      </c>
      <c r="D310" s="1077"/>
      <c r="F310" s="1110" t="s">
        <v>451</v>
      </c>
      <c r="H310" s="1111" t="s">
        <v>831</v>
      </c>
      <c r="I310" s="1013" t="s">
        <v>268</v>
      </c>
      <c r="J310" s="1007" t="s">
        <v>299</v>
      </c>
      <c r="K310" s="1013" t="s">
        <v>300</v>
      </c>
      <c r="L310" s="1013"/>
      <c r="M310" s="1093">
        <v>20</v>
      </c>
      <c r="N310" s="1130">
        <v>298148.15000000002</v>
      </c>
      <c r="O310" s="1107">
        <f t="shared" si="52"/>
        <v>5962963</v>
      </c>
      <c r="P310" s="1081">
        <f t="shared" ref="P310:P315" si="53">O310*8%</f>
        <v>477037.04000000004</v>
      </c>
      <c r="Q310" s="1107">
        <f t="shared" si="51"/>
        <v>6440000.04</v>
      </c>
      <c r="R310" s="1081"/>
      <c r="S310" s="1083"/>
      <c r="T310" s="1083"/>
      <c r="U310" s="1083"/>
      <c r="V310" s="1083">
        <f t="shared" si="49"/>
        <v>6440000.04</v>
      </c>
    </row>
    <row r="311" spans="1:22" s="1002" customFormat="1" ht="47.25" hidden="1">
      <c r="A311" s="1000" t="s">
        <v>718</v>
      </c>
      <c r="B311" s="1001" t="s">
        <v>744</v>
      </c>
      <c r="C311" s="1077" t="s">
        <v>298</v>
      </c>
      <c r="D311" s="1077"/>
      <c r="F311" s="1110" t="s">
        <v>451</v>
      </c>
      <c r="H311" s="1111" t="s">
        <v>831</v>
      </c>
      <c r="I311" s="1013" t="s">
        <v>268</v>
      </c>
      <c r="J311" s="1007" t="s">
        <v>301</v>
      </c>
      <c r="K311" s="1013" t="s">
        <v>302</v>
      </c>
      <c r="L311" s="1013" t="s">
        <v>113</v>
      </c>
      <c r="M311" s="1093">
        <v>20</v>
      </c>
      <c r="N311" s="1130">
        <v>277777.78000000003</v>
      </c>
      <c r="O311" s="1107">
        <f t="shared" si="52"/>
        <v>5555555.6000000006</v>
      </c>
      <c r="P311" s="1081">
        <f t="shared" si="53"/>
        <v>444444.44800000003</v>
      </c>
      <c r="Q311" s="1107">
        <f t="shared" si="51"/>
        <v>6000000.0480000004</v>
      </c>
      <c r="R311" s="1081"/>
      <c r="S311" s="1083"/>
      <c r="T311" s="1083"/>
      <c r="U311" s="1083"/>
      <c r="V311" s="1083">
        <f t="shared" si="49"/>
        <v>6000000.0480000004</v>
      </c>
    </row>
    <row r="312" spans="1:22" s="1002" customFormat="1" ht="47.25" hidden="1">
      <c r="A312" s="1000" t="s">
        <v>718</v>
      </c>
      <c r="B312" s="1001" t="s">
        <v>744</v>
      </c>
      <c r="C312" s="1077" t="s">
        <v>298</v>
      </c>
      <c r="D312" s="1077"/>
      <c r="F312" s="1110" t="s">
        <v>451</v>
      </c>
      <c r="H312" s="1111" t="s">
        <v>831</v>
      </c>
      <c r="I312" s="1013" t="s">
        <v>268</v>
      </c>
      <c r="J312" s="1007" t="s">
        <v>38</v>
      </c>
      <c r="K312" s="1013" t="s">
        <v>39</v>
      </c>
      <c r="L312" s="1013" t="s">
        <v>113</v>
      </c>
      <c r="M312" s="1093">
        <v>20</v>
      </c>
      <c r="N312" s="1130">
        <v>277777.78000000003</v>
      </c>
      <c r="O312" s="1107">
        <f t="shared" si="52"/>
        <v>5555555.6000000006</v>
      </c>
      <c r="P312" s="1081">
        <f t="shared" si="53"/>
        <v>444444.44800000003</v>
      </c>
      <c r="Q312" s="1107">
        <f t="shared" si="51"/>
        <v>6000000.0480000004</v>
      </c>
      <c r="R312" s="1081"/>
      <c r="S312" s="1083"/>
      <c r="T312" s="1083"/>
      <c r="U312" s="1083"/>
      <c r="V312" s="1083">
        <f t="shared" si="49"/>
        <v>6000000.0480000004</v>
      </c>
    </row>
    <row r="313" spans="1:22" s="1002" customFormat="1" ht="47.25" hidden="1">
      <c r="A313" s="1000" t="s">
        <v>718</v>
      </c>
      <c r="B313" s="1001" t="s">
        <v>744</v>
      </c>
      <c r="C313" s="1077" t="s">
        <v>298</v>
      </c>
      <c r="D313" s="1077"/>
      <c r="F313" s="1110" t="s">
        <v>451</v>
      </c>
      <c r="H313" s="1111" t="s">
        <v>831</v>
      </c>
      <c r="I313" s="1013" t="s">
        <v>268</v>
      </c>
      <c r="J313" s="1007" t="s">
        <v>274</v>
      </c>
      <c r="K313" s="1013" t="s">
        <v>297</v>
      </c>
      <c r="L313" s="1013" t="s">
        <v>113</v>
      </c>
      <c r="M313" s="1093">
        <v>5</v>
      </c>
      <c r="N313" s="1130">
        <v>416666.66</v>
      </c>
      <c r="O313" s="1107">
        <f t="shared" si="52"/>
        <v>2083333.2999999998</v>
      </c>
      <c r="P313" s="1081">
        <f t="shared" si="53"/>
        <v>166666.66399999999</v>
      </c>
      <c r="Q313" s="1107">
        <f t="shared" si="51"/>
        <v>2249999.9639999997</v>
      </c>
      <c r="R313" s="1081"/>
      <c r="S313" s="1083"/>
      <c r="T313" s="1083"/>
      <c r="U313" s="1083"/>
      <c r="V313" s="1083">
        <f t="shared" si="49"/>
        <v>2249999.9639999997</v>
      </c>
    </row>
    <row r="314" spans="1:22" s="1002" customFormat="1" ht="47.25" hidden="1">
      <c r="A314" s="1000" t="s">
        <v>718</v>
      </c>
      <c r="B314" s="1001" t="s">
        <v>744</v>
      </c>
      <c r="C314" s="1077" t="s">
        <v>298</v>
      </c>
      <c r="D314" s="1077"/>
      <c r="F314" s="1110" t="s">
        <v>451</v>
      </c>
      <c r="H314" s="1111" t="s">
        <v>831</v>
      </c>
      <c r="I314" s="1013" t="s">
        <v>268</v>
      </c>
      <c r="J314" s="1007" t="s">
        <v>262</v>
      </c>
      <c r="K314" s="1013" t="s">
        <v>270</v>
      </c>
      <c r="L314" s="1013" t="s">
        <v>25</v>
      </c>
      <c r="M314" s="1093">
        <v>16</v>
      </c>
      <c r="N314" s="1130">
        <v>851851.85</v>
      </c>
      <c r="O314" s="1107">
        <f t="shared" si="52"/>
        <v>13629629.6</v>
      </c>
      <c r="P314" s="1081">
        <f t="shared" si="53"/>
        <v>1090370.368</v>
      </c>
      <c r="Q314" s="1107">
        <f t="shared" si="51"/>
        <v>14719999.968</v>
      </c>
      <c r="R314" s="1081"/>
      <c r="S314" s="1083"/>
      <c r="T314" s="1083"/>
      <c r="U314" s="1083"/>
      <c r="V314" s="1083">
        <f t="shared" si="49"/>
        <v>14719999.968</v>
      </c>
    </row>
    <row r="315" spans="1:22" s="1002" customFormat="1" ht="47.25" hidden="1">
      <c r="A315" s="1000" t="s">
        <v>718</v>
      </c>
      <c r="B315" s="1001" t="s">
        <v>744</v>
      </c>
      <c r="C315" s="1077" t="s">
        <v>298</v>
      </c>
      <c r="D315" s="1077"/>
      <c r="F315" s="1110" t="s">
        <v>451</v>
      </c>
      <c r="H315" s="1111" t="s">
        <v>831</v>
      </c>
      <c r="I315" s="1013" t="s">
        <v>268</v>
      </c>
      <c r="J315" s="1007" t="s">
        <v>62</v>
      </c>
      <c r="K315" s="1013" t="s">
        <v>304</v>
      </c>
      <c r="L315" s="1013" t="s">
        <v>113</v>
      </c>
      <c r="M315" s="1093">
        <v>30</v>
      </c>
      <c r="N315" s="1130">
        <v>78703.7</v>
      </c>
      <c r="O315" s="1107">
        <f t="shared" si="52"/>
        <v>2361111</v>
      </c>
      <c r="P315" s="1081">
        <f t="shared" si="53"/>
        <v>188888.88</v>
      </c>
      <c r="Q315" s="1107">
        <f>O315+P315</f>
        <v>2549999.88</v>
      </c>
      <c r="R315" s="1081"/>
      <c r="S315" s="1083"/>
      <c r="T315" s="1083"/>
      <c r="U315" s="1083"/>
      <c r="V315" s="1083">
        <f t="shared" si="49"/>
        <v>2549999.88</v>
      </c>
    </row>
    <row r="316" spans="1:22" s="1002" customFormat="1" ht="31.5" hidden="1">
      <c r="A316" s="1000" t="s">
        <v>794</v>
      </c>
      <c r="B316" s="1001" t="s">
        <v>804</v>
      </c>
      <c r="C316" s="1066">
        <v>46035</v>
      </c>
      <c r="D316" s="1066"/>
      <c r="F316" s="1066">
        <v>46035</v>
      </c>
      <c r="H316" s="1138" t="s">
        <v>306</v>
      </c>
      <c r="I316" s="1002" t="s">
        <v>809</v>
      </c>
      <c r="J316" s="1007" t="s">
        <v>308</v>
      </c>
      <c r="K316" s="1023" t="s">
        <v>210</v>
      </c>
      <c r="M316" s="1086">
        <v>100</v>
      </c>
      <c r="N316" s="1107">
        <v>324074.07</v>
      </c>
      <c r="O316" s="1107">
        <f t="shared" ref="O316:O323" si="54">N316*M316</f>
        <v>32407407</v>
      </c>
      <c r="P316" s="1107">
        <f t="shared" ref="P316:P323" si="55">O316*8%</f>
        <v>2592592.56</v>
      </c>
      <c r="Q316" s="1107">
        <f t="shared" ref="Q316:Q323" si="56">O316+P316</f>
        <v>34999999.560000002</v>
      </c>
      <c r="R316" s="1107"/>
      <c r="S316" s="1083"/>
      <c r="T316" s="1083"/>
      <c r="U316" s="1083"/>
      <c r="V316" s="1083">
        <f t="shared" si="49"/>
        <v>34999999.560000002</v>
      </c>
    </row>
    <row r="317" spans="1:22" s="1002" customFormat="1" ht="31.5" hidden="1">
      <c r="A317" s="1000" t="s">
        <v>794</v>
      </c>
      <c r="B317" s="1001" t="s">
        <v>804</v>
      </c>
      <c r="C317" s="1066">
        <v>46035</v>
      </c>
      <c r="D317" s="1066"/>
      <c r="F317" s="1066">
        <v>46035</v>
      </c>
      <c r="H317" s="1138" t="s">
        <v>306</v>
      </c>
      <c r="I317" s="1002" t="s">
        <v>809</v>
      </c>
      <c r="J317" s="1007" t="s">
        <v>309</v>
      </c>
      <c r="K317" s="1007" t="s">
        <v>47</v>
      </c>
      <c r="M317" s="1086">
        <v>12</v>
      </c>
      <c r="N317" s="1107">
        <v>194444.44</v>
      </c>
      <c r="O317" s="1107">
        <f t="shared" si="54"/>
        <v>2333333.2800000003</v>
      </c>
      <c r="P317" s="1107">
        <f t="shared" si="55"/>
        <v>186666.66240000003</v>
      </c>
      <c r="Q317" s="1107">
        <f t="shared" si="56"/>
        <v>2519999.9424000001</v>
      </c>
      <c r="R317" s="1107"/>
      <c r="S317" s="1083"/>
      <c r="T317" s="1083"/>
      <c r="U317" s="1083"/>
      <c r="V317" s="1083">
        <f t="shared" si="49"/>
        <v>2519999.9424000001</v>
      </c>
    </row>
    <row r="318" spans="1:22" s="1002" customFormat="1" hidden="1">
      <c r="A318" s="1000" t="s">
        <v>794</v>
      </c>
      <c r="B318" s="1001" t="s">
        <v>804</v>
      </c>
      <c r="C318" s="1066">
        <v>46035</v>
      </c>
      <c r="D318" s="1066"/>
      <c r="F318" s="1066">
        <v>46035</v>
      </c>
      <c r="H318" s="1138" t="s">
        <v>306</v>
      </c>
      <c r="I318" s="1002" t="s">
        <v>809</v>
      </c>
      <c r="J318" s="1007" t="s">
        <v>68</v>
      </c>
      <c r="K318" s="1005" t="s">
        <v>69</v>
      </c>
      <c r="M318" s="1086">
        <v>12</v>
      </c>
      <c r="N318" s="1107">
        <v>120370.37</v>
      </c>
      <c r="O318" s="1107">
        <f t="shared" si="54"/>
        <v>1444444.44</v>
      </c>
      <c r="P318" s="1107">
        <f t="shared" si="55"/>
        <v>115555.5552</v>
      </c>
      <c r="Q318" s="1107">
        <f t="shared" si="56"/>
        <v>1559999.9952</v>
      </c>
      <c r="R318" s="1107"/>
      <c r="S318" s="1083"/>
      <c r="T318" s="1083"/>
      <c r="U318" s="1083"/>
      <c r="V318" s="1083">
        <f t="shared" si="49"/>
        <v>1559999.9952</v>
      </c>
    </row>
    <row r="319" spans="1:22" s="1002" customFormat="1" hidden="1">
      <c r="A319" s="1000" t="s">
        <v>794</v>
      </c>
      <c r="B319" s="1001" t="s">
        <v>804</v>
      </c>
      <c r="C319" s="1066">
        <v>46035</v>
      </c>
      <c r="D319" s="1066"/>
      <c r="F319" s="1066">
        <v>46035</v>
      </c>
      <c r="H319" s="1138" t="s">
        <v>306</v>
      </c>
      <c r="I319" s="1002" t="s">
        <v>809</v>
      </c>
      <c r="J319" s="1007" t="s">
        <v>70</v>
      </c>
      <c r="K319" s="1005" t="s">
        <v>71</v>
      </c>
      <c r="M319" s="1086">
        <v>12</v>
      </c>
      <c r="N319" s="1107">
        <v>129629.63</v>
      </c>
      <c r="O319" s="1107">
        <f t="shared" si="54"/>
        <v>1555555.56</v>
      </c>
      <c r="P319" s="1107">
        <f t="shared" si="55"/>
        <v>124444.44480000001</v>
      </c>
      <c r="Q319" s="1107">
        <f t="shared" si="56"/>
        <v>1680000.0048</v>
      </c>
      <c r="R319" s="1107"/>
      <c r="S319" s="1083"/>
      <c r="T319" s="1083"/>
      <c r="U319" s="1083"/>
      <c r="V319" s="1083">
        <f t="shared" si="49"/>
        <v>1680000.0048</v>
      </c>
    </row>
    <row r="320" spans="1:22" s="1002" customFormat="1" hidden="1">
      <c r="A320" s="1000" t="s">
        <v>794</v>
      </c>
      <c r="B320" s="1001" t="s">
        <v>804</v>
      </c>
      <c r="C320" s="1066">
        <v>46035</v>
      </c>
      <c r="D320" s="1066"/>
      <c r="F320" s="1066">
        <v>46035</v>
      </c>
      <c r="H320" s="1138" t="s">
        <v>306</v>
      </c>
      <c r="I320" s="1002" t="s">
        <v>809</v>
      </c>
      <c r="J320" s="1007" t="s">
        <v>72</v>
      </c>
      <c r="K320" s="1005" t="s">
        <v>73</v>
      </c>
      <c r="M320" s="1086">
        <v>12</v>
      </c>
      <c r="N320" s="1107">
        <v>138888.89000000001</v>
      </c>
      <c r="O320" s="1107">
        <f t="shared" si="54"/>
        <v>1666666.6800000002</v>
      </c>
      <c r="P320" s="1107">
        <f t="shared" si="55"/>
        <v>133333.33440000002</v>
      </c>
      <c r="Q320" s="1107">
        <f t="shared" si="56"/>
        <v>1800000.0144000002</v>
      </c>
      <c r="R320" s="1107"/>
      <c r="S320" s="1083"/>
      <c r="T320" s="1083"/>
      <c r="U320" s="1083"/>
      <c r="V320" s="1083">
        <f t="shared" si="49"/>
        <v>1800000.0144000002</v>
      </c>
    </row>
    <row r="321" spans="1:22" s="1002" customFormat="1" hidden="1">
      <c r="A321" s="1000" t="s">
        <v>794</v>
      </c>
      <c r="B321" s="1001" t="s">
        <v>804</v>
      </c>
      <c r="C321" s="1066">
        <v>46035</v>
      </c>
      <c r="D321" s="1076"/>
      <c r="F321" s="1139">
        <v>46135</v>
      </c>
      <c r="H321" s="1140" t="s">
        <v>311</v>
      </c>
      <c r="I321" s="1002" t="s">
        <v>809</v>
      </c>
      <c r="J321" s="1007" t="s">
        <v>74</v>
      </c>
      <c r="K321" s="1003" t="s">
        <v>312</v>
      </c>
      <c r="M321" s="1093">
        <v>8</v>
      </c>
      <c r="N321" s="1081">
        <v>361111.11</v>
      </c>
      <c r="O321" s="1081">
        <f t="shared" si="54"/>
        <v>2888888.88</v>
      </c>
      <c r="P321" s="1081">
        <f t="shared" si="55"/>
        <v>231111.11040000001</v>
      </c>
      <c r="Q321" s="1081">
        <f t="shared" si="56"/>
        <v>3119999.9904</v>
      </c>
      <c r="R321" s="1081"/>
      <c r="S321" s="1083"/>
      <c r="T321" s="1083"/>
      <c r="U321" s="1083"/>
      <c r="V321" s="1083">
        <f t="shared" si="49"/>
        <v>3119999.9904</v>
      </c>
    </row>
    <row r="322" spans="1:22" s="1002" customFormat="1" hidden="1">
      <c r="A322" s="1000" t="s">
        <v>794</v>
      </c>
      <c r="B322" s="1001" t="s">
        <v>804</v>
      </c>
      <c r="C322" s="1066">
        <v>46035</v>
      </c>
      <c r="D322" s="1076"/>
      <c r="F322" s="1139">
        <v>46135</v>
      </c>
      <c r="H322" s="1140" t="s">
        <v>313</v>
      </c>
      <c r="I322" s="1002" t="s">
        <v>809</v>
      </c>
      <c r="J322" s="1007" t="s">
        <v>50</v>
      </c>
      <c r="K322" s="1003" t="s">
        <v>314</v>
      </c>
      <c r="M322" s="1093">
        <v>6</v>
      </c>
      <c r="N322" s="1081">
        <v>937963</v>
      </c>
      <c r="O322" s="1081">
        <f t="shared" si="54"/>
        <v>5627778</v>
      </c>
      <c r="P322" s="1081">
        <f t="shared" si="55"/>
        <v>450222.24</v>
      </c>
      <c r="Q322" s="1081">
        <f t="shared" si="56"/>
        <v>6078000.2400000002</v>
      </c>
      <c r="R322" s="1081"/>
      <c r="S322" s="1083"/>
      <c r="T322" s="1083"/>
      <c r="U322" s="1083"/>
      <c r="V322" s="1083">
        <f t="shared" si="49"/>
        <v>6078000.2400000002</v>
      </c>
    </row>
    <row r="323" spans="1:22" s="1002" customFormat="1" hidden="1">
      <c r="A323" s="1000" t="s">
        <v>794</v>
      </c>
      <c r="B323" s="1001" t="s">
        <v>804</v>
      </c>
      <c r="C323" s="1066">
        <v>46035</v>
      </c>
      <c r="D323" s="1076"/>
      <c r="F323" s="1139">
        <v>46115</v>
      </c>
      <c r="H323" s="1140" t="s">
        <v>313</v>
      </c>
      <c r="I323" s="1002" t="s">
        <v>809</v>
      </c>
      <c r="J323" s="1007" t="s">
        <v>52</v>
      </c>
      <c r="K323" s="1002" t="s">
        <v>53</v>
      </c>
      <c r="L323" s="1008" t="s">
        <v>18</v>
      </c>
      <c r="M323" s="1093">
        <v>6</v>
      </c>
      <c r="N323" s="1081">
        <v>1007407.4</v>
      </c>
      <c r="O323" s="1081">
        <f t="shared" si="54"/>
        <v>6044444.4000000004</v>
      </c>
      <c r="P323" s="1081">
        <f t="shared" si="55"/>
        <v>483555.55200000003</v>
      </c>
      <c r="Q323" s="1081">
        <f t="shared" si="56"/>
        <v>6527999.9520000005</v>
      </c>
      <c r="R323" s="1081"/>
      <c r="S323" s="1083"/>
      <c r="T323" s="1083"/>
      <c r="U323" s="1083"/>
      <c r="V323" s="1083">
        <f t="shared" si="49"/>
        <v>6527999.9520000005</v>
      </c>
    </row>
    <row r="324" spans="1:22" s="1002" customFormat="1" ht="31.5" hidden="1">
      <c r="A324" s="1000" t="s">
        <v>794</v>
      </c>
      <c r="B324" s="1001" t="s">
        <v>804</v>
      </c>
      <c r="C324" s="1066">
        <v>46035</v>
      </c>
      <c r="D324" s="1076"/>
      <c r="F324" s="1139">
        <v>46135</v>
      </c>
      <c r="H324" s="1140" t="s">
        <v>311</v>
      </c>
      <c r="I324" s="1002" t="s">
        <v>862</v>
      </c>
      <c r="J324" s="1007" t="s">
        <v>62</v>
      </c>
      <c r="K324" s="1024" t="s">
        <v>234</v>
      </c>
      <c r="M324" s="1093">
        <v>12</v>
      </c>
      <c r="N324" s="1081"/>
      <c r="O324" s="1081"/>
      <c r="P324" s="1081"/>
      <c r="Q324" s="1081"/>
      <c r="R324" s="1081"/>
      <c r="S324" s="1083"/>
      <c r="T324" s="1083"/>
      <c r="U324" s="1083"/>
      <c r="V324" s="1083">
        <f t="shared" si="49"/>
        <v>0</v>
      </c>
    </row>
    <row r="325" spans="1:22" s="1002" customFormat="1" hidden="1">
      <c r="A325" s="1000" t="s">
        <v>794</v>
      </c>
      <c r="B325" s="1000" t="s">
        <v>804</v>
      </c>
      <c r="C325" s="1066">
        <v>46038</v>
      </c>
      <c r="D325" s="1066"/>
      <c r="F325" s="1141"/>
      <c r="H325" s="1039"/>
      <c r="I325" s="1002" t="s">
        <v>844</v>
      </c>
      <c r="J325" s="1007"/>
      <c r="K325" s="1005"/>
      <c r="M325" s="1086"/>
      <c r="N325" s="1107"/>
      <c r="O325" s="1107"/>
      <c r="P325" s="1107"/>
      <c r="Q325" s="1107"/>
      <c r="R325" s="1107">
        <v>20000000</v>
      </c>
      <c r="S325" s="1083"/>
      <c r="T325" s="1083"/>
      <c r="U325" s="1083"/>
      <c r="V325" s="1083">
        <f t="shared" si="49"/>
        <v>-20000000</v>
      </c>
    </row>
    <row r="326" spans="1:22" s="1002" customFormat="1" hidden="1">
      <c r="A326" s="1000" t="s">
        <v>794</v>
      </c>
      <c r="B326" s="1000" t="s">
        <v>804</v>
      </c>
      <c r="C326" s="1066">
        <v>46043</v>
      </c>
      <c r="D326" s="1066"/>
      <c r="F326" s="1141">
        <v>46084</v>
      </c>
      <c r="H326" s="1138" t="s">
        <v>319</v>
      </c>
      <c r="I326" s="1002" t="s">
        <v>809</v>
      </c>
      <c r="J326" s="1007" t="s">
        <v>77</v>
      </c>
      <c r="K326" s="1005" t="s">
        <v>320</v>
      </c>
      <c r="M326" s="1086">
        <v>120</v>
      </c>
      <c r="N326" s="1107">
        <v>324074.08</v>
      </c>
      <c r="O326" s="1107">
        <f t="shared" ref="O326:O336" si="57">N326*M326</f>
        <v>38888889.600000001</v>
      </c>
      <c r="P326" s="1107">
        <f t="shared" ref="P326:P336" si="58">O326*8%</f>
        <v>3111111.1680000001</v>
      </c>
      <c r="Q326" s="1107">
        <f t="shared" ref="Q326:Q336" si="59">O326+P326</f>
        <v>42000000.767999999</v>
      </c>
      <c r="R326" s="1107"/>
      <c r="S326" s="1083"/>
      <c r="T326" s="1083"/>
      <c r="U326" s="1083"/>
      <c r="V326" s="1083">
        <f t="shared" si="49"/>
        <v>42000000.767999999</v>
      </c>
    </row>
    <row r="327" spans="1:22" s="1002" customFormat="1" hidden="1">
      <c r="A327" s="1000" t="s">
        <v>794</v>
      </c>
      <c r="B327" s="1000" t="s">
        <v>804</v>
      </c>
      <c r="C327" s="1066">
        <v>46044</v>
      </c>
      <c r="D327" s="1066"/>
      <c r="F327" s="1141"/>
      <c r="H327" s="1039"/>
      <c r="I327" s="1002" t="s">
        <v>844</v>
      </c>
      <c r="J327" s="1007"/>
      <c r="K327" s="1005"/>
      <c r="M327" s="1086"/>
      <c r="N327" s="1107"/>
      <c r="O327" s="1107">
        <f t="shared" si="57"/>
        <v>0</v>
      </c>
      <c r="P327" s="1107">
        <f t="shared" si="58"/>
        <v>0</v>
      </c>
      <c r="Q327" s="1107">
        <f t="shared" si="59"/>
        <v>0</v>
      </c>
      <c r="R327" s="1107">
        <v>22560000</v>
      </c>
      <c r="S327" s="1083"/>
      <c r="T327" s="1083"/>
      <c r="U327" s="1083"/>
      <c r="V327" s="1083">
        <f t="shared" si="49"/>
        <v>-22560000</v>
      </c>
    </row>
    <row r="328" spans="1:22" s="1002" customFormat="1" ht="47.25" hidden="1">
      <c r="A328" s="1000" t="s">
        <v>794</v>
      </c>
      <c r="B328" s="1000" t="s">
        <v>804</v>
      </c>
      <c r="C328" s="1066">
        <v>46056</v>
      </c>
      <c r="D328" s="1066"/>
      <c r="F328" s="1141">
        <v>46084</v>
      </c>
      <c r="H328" s="1138" t="s">
        <v>319</v>
      </c>
      <c r="I328" s="1002" t="s">
        <v>809</v>
      </c>
      <c r="J328" s="1007" t="s">
        <v>180</v>
      </c>
      <c r="K328" s="1007" t="s">
        <v>323</v>
      </c>
      <c r="M328" s="1086">
        <v>30</v>
      </c>
      <c r="N328" s="1107">
        <v>234259.25</v>
      </c>
      <c r="O328" s="1107">
        <f t="shared" si="57"/>
        <v>7027777.5</v>
      </c>
      <c r="P328" s="1107">
        <f t="shared" si="58"/>
        <v>562222.20000000007</v>
      </c>
      <c r="Q328" s="1107">
        <f t="shared" si="59"/>
        <v>7589999.7000000002</v>
      </c>
      <c r="R328" s="1114"/>
      <c r="S328" s="1083"/>
      <c r="T328" s="1083"/>
      <c r="U328" s="1083"/>
      <c r="V328" s="1083">
        <f t="shared" si="49"/>
        <v>7589999.7000000002</v>
      </c>
    </row>
    <row r="329" spans="1:22" s="1002" customFormat="1" ht="47.25" hidden="1">
      <c r="A329" s="1000" t="s">
        <v>794</v>
      </c>
      <c r="B329" s="1000" t="s">
        <v>804</v>
      </c>
      <c r="C329" s="1066">
        <v>46056</v>
      </c>
      <c r="D329" s="1066"/>
      <c r="F329" s="1141">
        <v>46084</v>
      </c>
      <c r="H329" s="1138" t="s">
        <v>319</v>
      </c>
      <c r="I329" s="1002" t="s">
        <v>809</v>
      </c>
      <c r="J329" s="1007" t="s">
        <v>26</v>
      </c>
      <c r="K329" s="1007" t="s">
        <v>324</v>
      </c>
      <c r="M329" s="1086">
        <v>30</v>
      </c>
      <c r="N329" s="1107">
        <v>256481.48</v>
      </c>
      <c r="O329" s="1107">
        <f t="shared" si="57"/>
        <v>7694444.4000000004</v>
      </c>
      <c r="P329" s="1107">
        <f t="shared" si="58"/>
        <v>615555.55200000003</v>
      </c>
      <c r="Q329" s="1107">
        <f t="shared" si="59"/>
        <v>8309999.9520000005</v>
      </c>
      <c r="R329" s="1114"/>
      <c r="S329" s="1083"/>
      <c r="T329" s="1083"/>
      <c r="U329" s="1083"/>
      <c r="V329" s="1083">
        <f t="shared" ref="V329:V372" si="60">Q329-R329-S329-T329-U329</f>
        <v>8309999.9520000005</v>
      </c>
    </row>
    <row r="330" spans="1:22" s="1002" customFormat="1" ht="47.25" hidden="1">
      <c r="A330" s="1000" t="s">
        <v>794</v>
      </c>
      <c r="B330" s="1000" t="s">
        <v>804</v>
      </c>
      <c r="C330" s="1066">
        <v>46056</v>
      </c>
      <c r="D330" s="1066"/>
      <c r="F330" s="1141">
        <v>46084</v>
      </c>
      <c r="H330" s="1138" t="s">
        <v>319</v>
      </c>
      <c r="I330" s="1002" t="s">
        <v>809</v>
      </c>
      <c r="J330" s="1007" t="s">
        <v>28</v>
      </c>
      <c r="K330" s="1007" t="s">
        <v>325</v>
      </c>
      <c r="M330" s="1086">
        <v>40</v>
      </c>
      <c r="N330" s="1107">
        <v>281481.48</v>
      </c>
      <c r="O330" s="1107">
        <f t="shared" si="57"/>
        <v>11259259.199999999</v>
      </c>
      <c r="P330" s="1107">
        <f t="shared" si="58"/>
        <v>900740.73599999992</v>
      </c>
      <c r="Q330" s="1107">
        <f t="shared" si="59"/>
        <v>12159999.935999999</v>
      </c>
      <c r="R330" s="1114"/>
      <c r="S330" s="1083"/>
      <c r="T330" s="1083"/>
      <c r="U330" s="1083"/>
      <c r="V330" s="1083">
        <f t="shared" si="60"/>
        <v>12159999.935999999</v>
      </c>
    </row>
    <row r="331" spans="1:22" s="1002" customFormat="1" ht="47.25" hidden="1">
      <c r="A331" s="1000" t="s">
        <v>794</v>
      </c>
      <c r="B331" s="1000" t="s">
        <v>804</v>
      </c>
      <c r="C331" s="1066">
        <v>46056</v>
      </c>
      <c r="D331" s="1066"/>
      <c r="F331" s="1141">
        <v>46084</v>
      </c>
      <c r="H331" s="1138" t="s">
        <v>319</v>
      </c>
      <c r="I331" s="1002" t="s">
        <v>809</v>
      </c>
      <c r="J331" s="1007" t="s">
        <v>60</v>
      </c>
      <c r="K331" s="1007" t="s">
        <v>223</v>
      </c>
      <c r="M331" s="1086">
        <v>20</v>
      </c>
      <c r="N331" s="1107">
        <v>1138888.8799999999</v>
      </c>
      <c r="O331" s="1107">
        <f t="shared" si="57"/>
        <v>22777777.599999998</v>
      </c>
      <c r="P331" s="1107">
        <f t="shared" si="58"/>
        <v>1822222.2079999999</v>
      </c>
      <c r="Q331" s="1107">
        <f t="shared" si="59"/>
        <v>24599999.807999998</v>
      </c>
      <c r="R331" s="1114"/>
      <c r="S331" s="1083"/>
      <c r="T331" s="1083"/>
      <c r="U331" s="1083"/>
      <c r="V331" s="1083">
        <f t="shared" si="60"/>
        <v>24599999.807999998</v>
      </c>
    </row>
    <row r="332" spans="1:22" s="1002" customFormat="1" hidden="1">
      <c r="A332" s="1000" t="s">
        <v>794</v>
      </c>
      <c r="B332" s="1000" t="s">
        <v>804</v>
      </c>
      <c r="C332" s="1066">
        <v>46056</v>
      </c>
      <c r="D332" s="1066"/>
      <c r="F332" s="1141">
        <v>46084</v>
      </c>
      <c r="H332" s="1138" t="s">
        <v>319</v>
      </c>
      <c r="I332" s="1002" t="s">
        <v>809</v>
      </c>
      <c r="J332" s="1007" t="s">
        <v>54</v>
      </c>
      <c r="K332" s="1005" t="s">
        <v>229</v>
      </c>
      <c r="M332" s="1086">
        <v>12</v>
      </c>
      <c r="N332" s="1107">
        <v>324074.07</v>
      </c>
      <c r="O332" s="1107">
        <f t="shared" si="57"/>
        <v>3888888.84</v>
      </c>
      <c r="P332" s="1107">
        <f t="shared" si="58"/>
        <v>311111.10719999997</v>
      </c>
      <c r="Q332" s="1107">
        <f t="shared" si="59"/>
        <v>4199999.9472000003</v>
      </c>
      <c r="R332" s="1114"/>
      <c r="S332" s="1083"/>
      <c r="T332" s="1083"/>
      <c r="U332" s="1083"/>
      <c r="V332" s="1083">
        <f t="shared" si="60"/>
        <v>4199999.9472000003</v>
      </c>
    </row>
    <row r="333" spans="1:22" s="1002" customFormat="1" ht="47.25" hidden="1">
      <c r="A333" s="1000" t="s">
        <v>794</v>
      </c>
      <c r="B333" s="1000" t="s">
        <v>804</v>
      </c>
      <c r="C333" s="1066">
        <v>46056</v>
      </c>
      <c r="D333" s="1066"/>
      <c r="F333" s="1141">
        <v>46084</v>
      </c>
      <c r="H333" s="1138" t="s">
        <v>319</v>
      </c>
      <c r="I333" s="1002" t="s">
        <v>809</v>
      </c>
      <c r="J333" s="1007" t="s">
        <v>56</v>
      </c>
      <c r="K333" s="1007" t="s">
        <v>218</v>
      </c>
      <c r="M333" s="1086">
        <v>12</v>
      </c>
      <c r="N333" s="1107">
        <v>325925.92</v>
      </c>
      <c r="O333" s="1107">
        <f t="shared" si="57"/>
        <v>3911111.04</v>
      </c>
      <c r="P333" s="1107">
        <f t="shared" si="58"/>
        <v>312888.88319999998</v>
      </c>
      <c r="Q333" s="1107">
        <f t="shared" si="59"/>
        <v>4223999.9232000001</v>
      </c>
      <c r="R333" s="1114"/>
      <c r="S333" s="1083"/>
      <c r="T333" s="1083"/>
      <c r="U333" s="1083"/>
      <c r="V333" s="1083">
        <f t="shared" si="60"/>
        <v>4223999.9232000001</v>
      </c>
    </row>
    <row r="334" spans="1:22" s="1002" customFormat="1" hidden="1">
      <c r="A334" s="1000" t="s">
        <v>794</v>
      </c>
      <c r="B334" s="1000" t="s">
        <v>804</v>
      </c>
      <c r="C334" s="1066">
        <v>46056</v>
      </c>
      <c r="D334" s="1066"/>
      <c r="F334" s="1141">
        <v>46084</v>
      </c>
      <c r="H334" s="1138" t="s">
        <v>319</v>
      </c>
      <c r="I334" s="1002" t="s">
        <v>809</v>
      </c>
      <c r="J334" s="1007" t="s">
        <v>107</v>
      </c>
      <c r="K334" s="1005" t="s">
        <v>108</v>
      </c>
      <c r="M334" s="1086">
        <v>12</v>
      </c>
      <c r="N334" s="1107">
        <v>312037.03000000003</v>
      </c>
      <c r="O334" s="1107">
        <f t="shared" si="57"/>
        <v>3744444.3600000003</v>
      </c>
      <c r="P334" s="1107">
        <f t="shared" si="58"/>
        <v>299555.54880000005</v>
      </c>
      <c r="Q334" s="1107">
        <f t="shared" si="59"/>
        <v>4043999.9088000003</v>
      </c>
      <c r="R334" s="1114"/>
      <c r="S334" s="1083"/>
      <c r="T334" s="1083"/>
      <c r="U334" s="1083"/>
      <c r="V334" s="1083">
        <f t="shared" si="60"/>
        <v>4043999.9088000003</v>
      </c>
    </row>
    <row r="335" spans="1:22" s="1002" customFormat="1" ht="31.5" hidden="1">
      <c r="A335" s="1000" t="s">
        <v>794</v>
      </c>
      <c r="B335" s="1000" t="s">
        <v>804</v>
      </c>
      <c r="C335" s="1066">
        <v>46056</v>
      </c>
      <c r="D335" s="1066"/>
      <c r="F335" s="1141">
        <v>46135</v>
      </c>
      <c r="H335" s="1138" t="s">
        <v>311</v>
      </c>
      <c r="I335" s="1002" t="s">
        <v>809</v>
      </c>
      <c r="J335" s="1007" t="s">
        <v>326</v>
      </c>
      <c r="K335" s="1005" t="s">
        <v>141</v>
      </c>
      <c r="M335" s="1086">
        <v>32</v>
      </c>
      <c r="N335" s="1107">
        <v>361111.11</v>
      </c>
      <c r="O335" s="1107">
        <f t="shared" si="57"/>
        <v>11555555.52</v>
      </c>
      <c r="P335" s="1107">
        <f t="shared" si="58"/>
        <v>924444.44160000002</v>
      </c>
      <c r="Q335" s="1107">
        <f t="shared" si="59"/>
        <v>12479999.9616</v>
      </c>
      <c r="R335" s="1107"/>
      <c r="S335" s="1083"/>
      <c r="T335" s="1083"/>
      <c r="U335" s="1083"/>
      <c r="V335" s="1083">
        <f t="shared" si="60"/>
        <v>12479999.9616</v>
      </c>
    </row>
    <row r="336" spans="1:22" s="1002" customFormat="1" ht="47.25" hidden="1">
      <c r="A336" s="1000" t="s">
        <v>794</v>
      </c>
      <c r="B336" s="1000" t="s">
        <v>804</v>
      </c>
      <c r="C336" s="1066">
        <v>46056</v>
      </c>
      <c r="D336" s="1066"/>
      <c r="F336" s="1141">
        <v>46135</v>
      </c>
      <c r="H336" s="1138" t="s">
        <v>311</v>
      </c>
      <c r="I336" s="1002" t="s">
        <v>809</v>
      </c>
      <c r="J336" s="1007" t="s">
        <v>83</v>
      </c>
      <c r="K336" s="1007" t="s">
        <v>240</v>
      </c>
      <c r="M336" s="1086">
        <v>24</v>
      </c>
      <c r="N336" s="1107">
        <v>1097222.22</v>
      </c>
      <c r="O336" s="1107">
        <f t="shared" si="57"/>
        <v>26333333.280000001</v>
      </c>
      <c r="P336" s="1107">
        <f t="shared" si="58"/>
        <v>2106666.6624000003</v>
      </c>
      <c r="Q336" s="1107">
        <f t="shared" si="59"/>
        <v>28439999.942400001</v>
      </c>
      <c r="R336" s="1114"/>
      <c r="S336" s="1083"/>
      <c r="T336" s="1083"/>
      <c r="U336" s="1083"/>
      <c r="V336" s="1083">
        <f t="shared" si="60"/>
        <v>28439999.942400001</v>
      </c>
    </row>
    <row r="337" spans="1:22" s="1002" customFormat="1" hidden="1">
      <c r="A337" s="1000" t="s">
        <v>794</v>
      </c>
      <c r="B337" s="1000" t="s">
        <v>804</v>
      </c>
      <c r="C337" s="1066">
        <v>46093</v>
      </c>
      <c r="D337" s="1066"/>
      <c r="F337" s="1141"/>
      <c r="H337" s="1005"/>
      <c r="I337" s="1002" t="s">
        <v>844</v>
      </c>
      <c r="J337" s="1007"/>
      <c r="K337" s="1005"/>
      <c r="M337" s="1086"/>
      <c r="N337" s="1107"/>
      <c r="O337" s="1107"/>
      <c r="P337" s="1107"/>
      <c r="Q337" s="1107"/>
      <c r="R337" s="1107">
        <v>35000000</v>
      </c>
      <c r="S337" s="1083"/>
      <c r="T337" s="1083"/>
      <c r="U337" s="1083"/>
      <c r="V337" s="1083">
        <f t="shared" si="60"/>
        <v>-35000000</v>
      </c>
    </row>
    <row r="338" spans="1:22" s="1002" customFormat="1" ht="47.25" hidden="1">
      <c r="A338" s="1000" t="s">
        <v>794</v>
      </c>
      <c r="B338" s="1000" t="s">
        <v>804</v>
      </c>
      <c r="C338" s="1066">
        <v>46093</v>
      </c>
      <c r="D338" s="1066"/>
      <c r="F338" s="1141">
        <v>46135</v>
      </c>
      <c r="H338" s="1138" t="s">
        <v>311</v>
      </c>
      <c r="I338" s="1002" t="s">
        <v>809</v>
      </c>
      <c r="J338" s="1007" t="s">
        <v>180</v>
      </c>
      <c r="K338" s="1007" t="s">
        <v>323</v>
      </c>
      <c r="M338" s="1086">
        <v>50</v>
      </c>
      <c r="N338" s="1107">
        <v>234259.25</v>
      </c>
      <c r="O338" s="1107">
        <f t="shared" ref="O338:O340" si="61">N338*M338</f>
        <v>11712962.5</v>
      </c>
      <c r="P338" s="1107">
        <f t="shared" ref="P338:P344" si="62">O338*8%</f>
        <v>937037</v>
      </c>
      <c r="Q338" s="1107">
        <f t="shared" ref="Q338:Q340" si="63">O338+P338</f>
        <v>12649999.5</v>
      </c>
      <c r="R338" s="1107"/>
      <c r="S338" s="1083"/>
      <c r="T338" s="1083"/>
      <c r="U338" s="1083"/>
      <c r="V338" s="1083">
        <f t="shared" si="60"/>
        <v>12649999.5</v>
      </c>
    </row>
    <row r="339" spans="1:22" s="1002" customFormat="1" ht="47.25" hidden="1">
      <c r="A339" s="1000" t="s">
        <v>794</v>
      </c>
      <c r="B339" s="1000" t="s">
        <v>804</v>
      </c>
      <c r="C339" s="1066">
        <v>46093</v>
      </c>
      <c r="D339" s="1066"/>
      <c r="F339" s="1141">
        <v>46135</v>
      </c>
      <c r="H339" s="1138" t="s">
        <v>311</v>
      </c>
      <c r="I339" s="1002" t="s">
        <v>809</v>
      </c>
      <c r="J339" s="1007" t="s">
        <v>26</v>
      </c>
      <c r="K339" s="1007" t="s">
        <v>324</v>
      </c>
      <c r="M339" s="1086">
        <v>50</v>
      </c>
      <c r="N339" s="1107">
        <v>256481.48</v>
      </c>
      <c r="O339" s="1107">
        <f t="shared" si="61"/>
        <v>12824074</v>
      </c>
      <c r="P339" s="1107">
        <f t="shared" si="62"/>
        <v>1025925.92</v>
      </c>
      <c r="Q339" s="1107">
        <f t="shared" si="63"/>
        <v>13849999.92</v>
      </c>
      <c r="R339" s="1107"/>
      <c r="S339" s="1083"/>
      <c r="T339" s="1083"/>
      <c r="U339" s="1083"/>
      <c r="V339" s="1083">
        <f t="shared" si="60"/>
        <v>13849999.92</v>
      </c>
    </row>
    <row r="340" spans="1:22" s="1002" customFormat="1" ht="47.25" hidden="1">
      <c r="A340" s="1000" t="s">
        <v>794</v>
      </c>
      <c r="B340" s="1000" t="s">
        <v>804</v>
      </c>
      <c r="C340" s="1066">
        <v>46093</v>
      </c>
      <c r="D340" s="1066"/>
      <c r="F340" s="1141">
        <v>46135</v>
      </c>
      <c r="H340" s="1138" t="s">
        <v>311</v>
      </c>
      <c r="I340" s="1002" t="s">
        <v>809</v>
      </c>
      <c r="J340" s="1007" t="s">
        <v>28</v>
      </c>
      <c r="K340" s="1007" t="s">
        <v>325</v>
      </c>
      <c r="M340" s="1086">
        <v>100</v>
      </c>
      <c r="N340" s="1107">
        <v>281481.48</v>
      </c>
      <c r="O340" s="1107">
        <f t="shared" si="61"/>
        <v>28148148</v>
      </c>
      <c r="P340" s="1107">
        <f t="shared" si="62"/>
        <v>2251851.84</v>
      </c>
      <c r="Q340" s="1107">
        <f t="shared" si="63"/>
        <v>30399999.84</v>
      </c>
      <c r="R340" s="1107"/>
      <c r="S340" s="1083"/>
      <c r="T340" s="1083"/>
      <c r="U340" s="1083"/>
      <c r="V340" s="1083">
        <f t="shared" si="60"/>
        <v>30399999.84</v>
      </c>
    </row>
    <row r="341" spans="1:22" s="1002" customFormat="1" ht="47.25" hidden="1">
      <c r="A341" s="1000" t="s">
        <v>794</v>
      </c>
      <c r="B341" s="1000" t="s">
        <v>804</v>
      </c>
      <c r="C341" s="1066">
        <v>46093</v>
      </c>
      <c r="D341" s="1066"/>
      <c r="F341" s="1141">
        <v>46135</v>
      </c>
      <c r="H341" s="1138" t="s">
        <v>311</v>
      </c>
      <c r="I341" s="1002" t="s">
        <v>809</v>
      </c>
      <c r="J341" s="1007" t="s">
        <v>60</v>
      </c>
      <c r="K341" s="1007" t="s">
        <v>223</v>
      </c>
      <c r="M341" s="1086">
        <v>16</v>
      </c>
      <c r="N341" s="1107">
        <v>1138888.8799999999</v>
      </c>
      <c r="O341" s="1107">
        <f>N341*M341</f>
        <v>18222222.079999998</v>
      </c>
      <c r="P341" s="1107">
        <f t="shared" si="62"/>
        <v>1457777.7663999998</v>
      </c>
      <c r="Q341" s="1107">
        <f>O341+P341</f>
        <v>19679999.846399996</v>
      </c>
      <c r="R341" s="1107"/>
      <c r="S341" s="1083"/>
      <c r="T341" s="1083"/>
      <c r="U341" s="1083"/>
      <c r="V341" s="1083">
        <f t="shared" si="60"/>
        <v>19679999.846399996</v>
      </c>
    </row>
    <row r="342" spans="1:22" s="1002" customFormat="1" ht="47.25" hidden="1">
      <c r="A342" s="1000" t="s">
        <v>794</v>
      </c>
      <c r="B342" s="1000" t="s">
        <v>804</v>
      </c>
      <c r="C342" s="1066">
        <v>46093</v>
      </c>
      <c r="D342" s="1066"/>
      <c r="F342" s="1141">
        <v>46135</v>
      </c>
      <c r="H342" s="1138" t="s">
        <v>311</v>
      </c>
      <c r="I342" s="1002" t="s">
        <v>809</v>
      </c>
      <c r="J342" s="1007" t="s">
        <v>16</v>
      </c>
      <c r="K342" s="1007" t="s">
        <v>224</v>
      </c>
      <c r="M342" s="1086">
        <v>8</v>
      </c>
      <c r="N342" s="1107">
        <v>851851.85</v>
      </c>
      <c r="O342" s="1107">
        <f t="shared" ref="O342" si="64">N342*M342</f>
        <v>6814814.7999999998</v>
      </c>
      <c r="P342" s="1107">
        <f t="shared" si="62"/>
        <v>545185.18400000001</v>
      </c>
      <c r="Q342" s="1107">
        <f t="shared" ref="Q342" si="65">O342+P342</f>
        <v>7359999.9840000002</v>
      </c>
      <c r="R342" s="1107"/>
      <c r="S342" s="1083"/>
      <c r="T342" s="1083"/>
      <c r="U342" s="1083"/>
      <c r="V342" s="1083">
        <f t="shared" si="60"/>
        <v>7359999.9840000002</v>
      </c>
    </row>
    <row r="343" spans="1:22" s="1002" customFormat="1" ht="31.5" hidden="1">
      <c r="A343" s="1000" t="s">
        <v>794</v>
      </c>
      <c r="B343" s="1000" t="s">
        <v>804</v>
      </c>
      <c r="C343" s="1066">
        <v>46093</v>
      </c>
      <c r="D343" s="1066"/>
      <c r="F343" s="1141">
        <v>46135</v>
      </c>
      <c r="H343" s="1138" t="s">
        <v>311</v>
      </c>
      <c r="I343" s="1002" t="s">
        <v>809</v>
      </c>
      <c r="J343" s="1007" t="s">
        <v>326</v>
      </c>
      <c r="K343" s="1005" t="s">
        <v>141</v>
      </c>
      <c r="M343" s="1086">
        <v>40</v>
      </c>
      <c r="N343" s="1107">
        <v>361111.11</v>
      </c>
      <c r="O343" s="1107">
        <f>N343*M343</f>
        <v>14444444.399999999</v>
      </c>
      <c r="P343" s="1107">
        <f t="shared" si="62"/>
        <v>1155555.5519999999</v>
      </c>
      <c r="Q343" s="1107">
        <f>O343+P343</f>
        <v>15599999.951999998</v>
      </c>
      <c r="R343" s="1107"/>
      <c r="S343" s="1083"/>
      <c r="T343" s="1083"/>
      <c r="U343" s="1083"/>
      <c r="V343" s="1083">
        <f t="shared" si="60"/>
        <v>15599999.951999998</v>
      </c>
    </row>
    <row r="344" spans="1:22" s="1002" customFormat="1" ht="47.25" hidden="1">
      <c r="A344" s="1000" t="s">
        <v>794</v>
      </c>
      <c r="B344" s="1000" t="s">
        <v>804</v>
      </c>
      <c r="C344" s="1066">
        <v>46093</v>
      </c>
      <c r="D344" s="1066"/>
      <c r="F344" s="1141">
        <v>46135</v>
      </c>
      <c r="H344" s="1138" t="s">
        <v>311</v>
      </c>
      <c r="I344" s="1002" t="s">
        <v>809</v>
      </c>
      <c r="J344" s="1007" t="s">
        <v>83</v>
      </c>
      <c r="K344" s="1007" t="s">
        <v>240</v>
      </c>
      <c r="M344" s="1086">
        <v>4</v>
      </c>
      <c r="N344" s="1107">
        <v>1097222.22</v>
      </c>
      <c r="O344" s="1107">
        <f t="shared" ref="O344" si="66">N344*M344</f>
        <v>4388888.88</v>
      </c>
      <c r="P344" s="1107">
        <f t="shared" si="62"/>
        <v>351111.11040000001</v>
      </c>
      <c r="Q344" s="1107">
        <f t="shared" ref="Q344" si="67">O344+P344</f>
        <v>4739999.9903999995</v>
      </c>
      <c r="R344" s="1114"/>
      <c r="S344" s="1083"/>
      <c r="T344" s="1083"/>
      <c r="U344" s="1083"/>
      <c r="V344" s="1083">
        <f t="shared" si="60"/>
        <v>4739999.9903999995</v>
      </c>
    </row>
    <row r="345" spans="1:22" s="1002" customFormat="1" hidden="1">
      <c r="A345" s="1000" t="s">
        <v>794</v>
      </c>
      <c r="B345" s="1000" t="s">
        <v>804</v>
      </c>
      <c r="C345" s="1066">
        <v>46340</v>
      </c>
      <c r="D345" s="1066"/>
      <c r="F345" s="1141"/>
      <c r="H345" s="1005"/>
      <c r="I345" s="1002" t="s">
        <v>844</v>
      </c>
      <c r="J345" s="1007"/>
      <c r="K345" s="1005"/>
      <c r="M345" s="1086"/>
      <c r="N345" s="1107"/>
      <c r="O345" s="1107"/>
      <c r="P345" s="1107"/>
      <c r="Q345" s="1107"/>
      <c r="R345" s="1107">
        <v>100000000</v>
      </c>
      <c r="S345" s="1083"/>
      <c r="T345" s="1083"/>
      <c r="U345" s="1083"/>
      <c r="V345" s="1083">
        <f t="shared" si="60"/>
        <v>-100000000</v>
      </c>
    </row>
    <row r="346" spans="1:22" s="1002" customFormat="1" ht="31.5" hidden="1">
      <c r="A346" s="1000" t="s">
        <v>794</v>
      </c>
      <c r="B346" s="1000" t="s">
        <v>804</v>
      </c>
      <c r="C346" s="1066">
        <v>46140</v>
      </c>
      <c r="D346" s="1066"/>
      <c r="F346" s="1141">
        <v>46146</v>
      </c>
      <c r="H346" s="1138" t="s">
        <v>328</v>
      </c>
      <c r="I346" s="1002" t="s">
        <v>809</v>
      </c>
      <c r="J346" s="1007" t="s">
        <v>62</v>
      </c>
      <c r="K346" s="1007" t="s">
        <v>234</v>
      </c>
      <c r="M346" s="1086">
        <v>50</v>
      </c>
      <c r="N346" s="1107">
        <v>81730.759999999995</v>
      </c>
      <c r="O346" s="1107">
        <f t="shared" ref="O346:O352" si="68">N346*M346</f>
        <v>4086537.9999999995</v>
      </c>
      <c r="P346" s="1107">
        <f t="shared" ref="P346:P352" si="69">O346*8%</f>
        <v>326923.03999999998</v>
      </c>
      <c r="Q346" s="1107">
        <f t="shared" ref="Q346:Q352" si="70">O346+P346</f>
        <v>4413461.0399999991</v>
      </c>
      <c r="R346" s="1107"/>
      <c r="S346" s="1083"/>
      <c r="T346" s="1083"/>
      <c r="U346" s="1083"/>
      <c r="V346" s="1083">
        <f t="shared" si="60"/>
        <v>4413461.0399999991</v>
      </c>
    </row>
    <row r="347" spans="1:22" s="1002" customFormat="1" ht="47.25" hidden="1">
      <c r="A347" s="1000" t="s">
        <v>794</v>
      </c>
      <c r="B347" s="1000" t="s">
        <v>804</v>
      </c>
      <c r="C347" s="1066">
        <v>46140</v>
      </c>
      <c r="D347" s="1066"/>
      <c r="F347" s="1141">
        <v>46146</v>
      </c>
      <c r="H347" s="1138" t="s">
        <v>328</v>
      </c>
      <c r="I347" s="1002" t="s">
        <v>809</v>
      </c>
      <c r="J347" s="1007" t="s">
        <v>180</v>
      </c>
      <c r="K347" s="1007" t="s">
        <v>323</v>
      </c>
      <c r="M347" s="1086">
        <v>30</v>
      </c>
      <c r="N347" s="1107">
        <v>234259.25</v>
      </c>
      <c r="O347" s="1107">
        <f t="shared" si="68"/>
        <v>7027777.5</v>
      </c>
      <c r="P347" s="1107">
        <f t="shared" si="69"/>
        <v>562222.20000000007</v>
      </c>
      <c r="Q347" s="1107">
        <f t="shared" si="70"/>
        <v>7589999.7000000002</v>
      </c>
      <c r="R347" s="1107"/>
      <c r="S347" s="1083"/>
      <c r="T347" s="1083"/>
      <c r="U347" s="1083"/>
      <c r="V347" s="1083">
        <f t="shared" si="60"/>
        <v>7589999.7000000002</v>
      </c>
    </row>
    <row r="348" spans="1:22" s="1002" customFormat="1" ht="47.25" hidden="1">
      <c r="A348" s="1000" t="s">
        <v>794</v>
      </c>
      <c r="B348" s="1000" t="s">
        <v>804</v>
      </c>
      <c r="C348" s="1066">
        <v>46140</v>
      </c>
      <c r="D348" s="1066"/>
      <c r="F348" s="1141">
        <v>46146</v>
      </c>
      <c r="H348" s="1138" t="s">
        <v>328</v>
      </c>
      <c r="I348" s="1002" t="s">
        <v>809</v>
      </c>
      <c r="J348" s="1007" t="s">
        <v>26</v>
      </c>
      <c r="K348" s="1007" t="s">
        <v>324</v>
      </c>
      <c r="M348" s="1086">
        <v>80</v>
      </c>
      <c r="N348" s="1107">
        <v>256481.48</v>
      </c>
      <c r="O348" s="1107">
        <f t="shared" si="68"/>
        <v>20518518.400000002</v>
      </c>
      <c r="P348" s="1107">
        <f t="shared" si="69"/>
        <v>1641481.4720000003</v>
      </c>
      <c r="Q348" s="1107">
        <f t="shared" si="70"/>
        <v>22159999.872000001</v>
      </c>
      <c r="R348" s="1107"/>
      <c r="S348" s="1083"/>
      <c r="T348" s="1083"/>
      <c r="U348" s="1083"/>
      <c r="V348" s="1083">
        <f t="shared" si="60"/>
        <v>22159999.872000001</v>
      </c>
    </row>
    <row r="349" spans="1:22" s="1002" customFormat="1" ht="47.25" hidden="1">
      <c r="A349" s="1000" t="s">
        <v>794</v>
      </c>
      <c r="B349" s="1000" t="s">
        <v>804</v>
      </c>
      <c r="C349" s="1066">
        <v>46140</v>
      </c>
      <c r="D349" s="1066"/>
      <c r="F349" s="1141">
        <v>46146</v>
      </c>
      <c r="H349" s="1138" t="s">
        <v>328</v>
      </c>
      <c r="I349" s="1002" t="s">
        <v>809</v>
      </c>
      <c r="J349" s="1007" t="s">
        <v>28</v>
      </c>
      <c r="K349" s="1007" t="s">
        <v>325</v>
      </c>
      <c r="M349" s="1086">
        <v>160</v>
      </c>
      <c r="N349" s="1107">
        <v>281481.48</v>
      </c>
      <c r="O349" s="1107">
        <f t="shared" si="68"/>
        <v>45037036.799999997</v>
      </c>
      <c r="P349" s="1107">
        <f t="shared" si="69"/>
        <v>3602962.9439999997</v>
      </c>
      <c r="Q349" s="1107">
        <f t="shared" si="70"/>
        <v>48639999.743999995</v>
      </c>
      <c r="R349" s="1107"/>
      <c r="S349" s="1083"/>
      <c r="T349" s="1083"/>
      <c r="U349" s="1083"/>
      <c r="V349" s="1083">
        <f t="shared" si="60"/>
        <v>48639999.743999995</v>
      </c>
    </row>
    <row r="350" spans="1:22" s="1002" customFormat="1" hidden="1">
      <c r="A350" s="1000" t="s">
        <v>794</v>
      </c>
      <c r="B350" s="1000" t="s">
        <v>804</v>
      </c>
      <c r="C350" s="1066">
        <v>46140</v>
      </c>
      <c r="D350" s="1066"/>
      <c r="F350" s="1141">
        <v>46146</v>
      </c>
      <c r="H350" s="1138" t="s">
        <v>328</v>
      </c>
      <c r="I350" s="1002" t="s">
        <v>809</v>
      </c>
      <c r="J350" s="1007" t="s">
        <v>54</v>
      </c>
      <c r="K350" s="1005" t="s">
        <v>329</v>
      </c>
      <c r="M350" s="1086">
        <v>36</v>
      </c>
      <c r="N350" s="1107">
        <v>324074.07</v>
      </c>
      <c r="O350" s="1107">
        <f t="shared" si="68"/>
        <v>11666666.52</v>
      </c>
      <c r="P350" s="1107">
        <f t="shared" si="69"/>
        <v>933333.32160000002</v>
      </c>
      <c r="Q350" s="1107">
        <f t="shared" si="70"/>
        <v>12599999.841599999</v>
      </c>
      <c r="R350" s="1107"/>
      <c r="S350" s="1083"/>
      <c r="T350" s="1083"/>
      <c r="U350" s="1083"/>
      <c r="V350" s="1083">
        <f t="shared" si="60"/>
        <v>12599999.841599999</v>
      </c>
    </row>
    <row r="351" spans="1:22" s="1002" customFormat="1" hidden="1">
      <c r="A351" s="1000" t="s">
        <v>794</v>
      </c>
      <c r="B351" s="1000" t="s">
        <v>804</v>
      </c>
      <c r="C351" s="1066">
        <v>46140</v>
      </c>
      <c r="D351" s="1066"/>
      <c r="F351" s="1141">
        <v>46146</v>
      </c>
      <c r="H351" s="1138" t="s">
        <v>328</v>
      </c>
      <c r="I351" s="1002" t="s">
        <v>809</v>
      </c>
      <c r="J351" s="1007" t="s">
        <v>56</v>
      </c>
      <c r="K351" s="1005" t="s">
        <v>330</v>
      </c>
      <c r="M351" s="1086">
        <v>120</v>
      </c>
      <c r="N351" s="1107">
        <v>325925.92</v>
      </c>
      <c r="O351" s="1107">
        <f t="shared" si="68"/>
        <v>39111110.399999999</v>
      </c>
      <c r="P351" s="1107">
        <f t="shared" si="69"/>
        <v>3128888.8319999999</v>
      </c>
      <c r="Q351" s="1107">
        <f t="shared" si="70"/>
        <v>42239999.232000001</v>
      </c>
      <c r="R351" s="1107"/>
      <c r="S351" s="1083"/>
      <c r="T351" s="1083"/>
      <c r="U351" s="1083"/>
      <c r="V351" s="1083">
        <f t="shared" si="60"/>
        <v>42239999.232000001</v>
      </c>
    </row>
    <row r="352" spans="1:22" s="1002" customFormat="1" ht="31.5" hidden="1">
      <c r="A352" s="1000" t="s">
        <v>794</v>
      </c>
      <c r="B352" s="1000" t="s">
        <v>804</v>
      </c>
      <c r="C352" s="1066">
        <v>46140</v>
      </c>
      <c r="D352" s="1066"/>
      <c r="F352" s="1141">
        <v>46146</v>
      </c>
      <c r="H352" s="1138" t="s">
        <v>328</v>
      </c>
      <c r="I352" s="1002" t="s">
        <v>809</v>
      </c>
      <c r="J352" s="1007" t="s">
        <v>326</v>
      </c>
      <c r="K352" s="1005" t="s">
        <v>141</v>
      </c>
      <c r="M352" s="1086">
        <v>200</v>
      </c>
      <c r="N352" s="1107">
        <v>361111.11</v>
      </c>
      <c r="O352" s="1107">
        <f t="shared" si="68"/>
        <v>72222222</v>
      </c>
      <c r="P352" s="1107">
        <f t="shared" si="69"/>
        <v>5777777.7599999998</v>
      </c>
      <c r="Q352" s="1107">
        <f t="shared" si="70"/>
        <v>77999999.760000005</v>
      </c>
      <c r="R352" s="1107"/>
      <c r="S352" s="1083"/>
      <c r="T352" s="1083"/>
      <c r="U352" s="1083"/>
      <c r="V352" s="1083">
        <f t="shared" si="60"/>
        <v>77999999.760000005</v>
      </c>
    </row>
    <row r="353" spans="1:22" s="1002" customFormat="1" ht="47.25" hidden="1">
      <c r="A353" s="1000" t="s">
        <v>794</v>
      </c>
      <c r="B353" s="1000" t="s">
        <v>804</v>
      </c>
      <c r="C353" s="1066">
        <v>46140</v>
      </c>
      <c r="D353" s="1066"/>
      <c r="F353" s="1141">
        <v>46169</v>
      </c>
      <c r="H353" s="1138" t="s">
        <v>332</v>
      </c>
      <c r="I353" s="1002" t="s">
        <v>809</v>
      </c>
      <c r="J353" s="1007" t="s">
        <v>243</v>
      </c>
      <c r="K353" s="1007" t="s">
        <v>333</v>
      </c>
      <c r="M353" s="1086">
        <v>220</v>
      </c>
      <c r="N353" s="1107">
        <v>298148.14</v>
      </c>
      <c r="O353" s="1107">
        <f>N353*M353</f>
        <v>65592590.800000004</v>
      </c>
      <c r="P353" s="1107">
        <f>O353*8%</f>
        <v>5247407.2640000004</v>
      </c>
      <c r="Q353" s="1107">
        <f>O353+P353</f>
        <v>70839998.06400001</v>
      </c>
      <c r="R353" s="1107"/>
      <c r="S353" s="1083"/>
      <c r="T353" s="1083"/>
      <c r="U353" s="1083"/>
      <c r="V353" s="1083">
        <f t="shared" si="60"/>
        <v>70839998.06400001</v>
      </c>
    </row>
    <row r="354" spans="1:22" s="1002" customFormat="1" ht="47.25" hidden="1">
      <c r="A354" s="1000" t="s">
        <v>794</v>
      </c>
      <c r="B354" s="1000" t="s">
        <v>804</v>
      </c>
      <c r="C354" s="1066">
        <v>46161</v>
      </c>
      <c r="D354" s="1066"/>
      <c r="F354" s="1141">
        <v>46169</v>
      </c>
      <c r="H354" s="1138" t="s">
        <v>332</v>
      </c>
      <c r="I354" s="1002" t="s">
        <v>809</v>
      </c>
      <c r="J354" s="1007" t="s">
        <v>243</v>
      </c>
      <c r="K354" s="1007" t="s">
        <v>333</v>
      </c>
      <c r="M354" s="1086">
        <v>10</v>
      </c>
      <c r="N354" s="1107">
        <v>298148.14</v>
      </c>
      <c r="O354" s="1107">
        <f>N354*M354</f>
        <v>2981481.4000000004</v>
      </c>
      <c r="P354" s="1107">
        <f>O354*8%</f>
        <v>238518.51200000005</v>
      </c>
      <c r="Q354" s="1107">
        <f>O354+P354</f>
        <v>3219999.9120000005</v>
      </c>
      <c r="R354" s="1107"/>
      <c r="S354" s="1083"/>
      <c r="T354" s="1083"/>
      <c r="U354" s="1083"/>
      <c r="V354" s="1083">
        <f t="shared" si="60"/>
        <v>3219999.9120000005</v>
      </c>
    </row>
    <row r="355" spans="1:22" s="1002" customFormat="1" hidden="1">
      <c r="A355" s="1000" t="s">
        <v>794</v>
      </c>
      <c r="B355" s="1000" t="s">
        <v>804</v>
      </c>
      <c r="C355" s="1066"/>
      <c r="D355" s="1066"/>
      <c r="F355" s="1141"/>
      <c r="H355" s="1138"/>
      <c r="I355" s="1002" t="s">
        <v>864</v>
      </c>
      <c r="J355" s="1007"/>
      <c r="K355" s="1007"/>
      <c r="M355" s="1086"/>
      <c r="N355" s="1107"/>
      <c r="O355" s="1107"/>
      <c r="P355" s="1107"/>
      <c r="Q355" s="1107"/>
      <c r="R355" s="1107"/>
      <c r="S355" s="1083"/>
      <c r="T355" s="1083">
        <f>3%*SUM(Q328:Q354)</f>
        <v>15000943.658327997</v>
      </c>
      <c r="U355" s="1083"/>
      <c r="V355" s="1083">
        <f>Q355-R355-S355-T355-U355</f>
        <v>-15000943.658327997</v>
      </c>
    </row>
    <row r="356" spans="1:22" s="1002" customFormat="1" hidden="1">
      <c r="A356" s="1000" t="s">
        <v>794</v>
      </c>
      <c r="B356" s="1000" t="s">
        <v>804</v>
      </c>
      <c r="C356" s="1066">
        <v>46153</v>
      </c>
      <c r="D356" s="1066"/>
      <c r="F356" s="1141"/>
      <c r="H356" s="1005"/>
      <c r="I356" s="1002" t="s">
        <v>844</v>
      </c>
      <c r="J356" s="1007"/>
      <c r="K356" s="1005"/>
      <c r="M356" s="1086"/>
      <c r="N356" s="1107"/>
      <c r="O356" s="1107"/>
      <c r="P356" s="1107"/>
      <c r="Q356" s="1107"/>
      <c r="R356" s="1107">
        <v>100000000</v>
      </c>
      <c r="S356" s="1083"/>
      <c r="T356" s="1083"/>
      <c r="U356" s="1083"/>
      <c r="V356" s="1083">
        <f t="shared" si="60"/>
        <v>-100000000</v>
      </c>
    </row>
    <row r="357" spans="1:22" s="1002" customFormat="1" hidden="1">
      <c r="A357" s="1000" t="s">
        <v>794</v>
      </c>
      <c r="B357" s="1001" t="s">
        <v>804</v>
      </c>
      <c r="C357" s="1066">
        <v>46148</v>
      </c>
      <c r="D357" s="1066"/>
      <c r="F357" s="1141" t="s">
        <v>335</v>
      </c>
      <c r="H357" s="1005"/>
      <c r="I357" s="1002" t="s">
        <v>809</v>
      </c>
      <c r="J357" s="1007" t="s">
        <v>85</v>
      </c>
      <c r="K357" s="1020" t="s">
        <v>86</v>
      </c>
      <c r="M357" s="1125">
        <v>100</v>
      </c>
      <c r="N357" s="1126">
        <v>509259.26</v>
      </c>
      <c r="O357" s="1126">
        <f>N357*M357</f>
        <v>50925926</v>
      </c>
      <c r="P357" s="1126">
        <f>O357*8%</f>
        <v>4074074.08</v>
      </c>
      <c r="Q357" s="1126">
        <f>O357+P357</f>
        <v>55000000.079999998</v>
      </c>
      <c r="R357" s="1081"/>
      <c r="S357" s="1083"/>
      <c r="T357" s="1083"/>
      <c r="U357" s="1083"/>
      <c r="V357" s="1083">
        <f t="shared" si="60"/>
        <v>55000000.079999998</v>
      </c>
    </row>
    <row r="358" spans="1:22" s="1002" customFormat="1" hidden="1">
      <c r="A358" s="1000" t="s">
        <v>794</v>
      </c>
      <c r="B358" s="1000" t="s">
        <v>804</v>
      </c>
      <c r="C358" s="1066">
        <v>46190</v>
      </c>
      <c r="D358" s="1066"/>
      <c r="F358" s="1141"/>
      <c r="H358" s="1005"/>
      <c r="I358" s="1002" t="s">
        <v>844</v>
      </c>
      <c r="J358" s="1007"/>
      <c r="K358" s="1005"/>
      <c r="M358" s="1086"/>
      <c r="N358" s="1107"/>
      <c r="O358" s="1107"/>
      <c r="P358" s="1107"/>
      <c r="Q358" s="1107"/>
      <c r="R358" s="1107">
        <v>100000000</v>
      </c>
      <c r="S358" s="1083"/>
      <c r="T358" s="1083"/>
      <c r="U358" s="1083"/>
      <c r="V358" s="1083">
        <f t="shared" si="60"/>
        <v>-100000000</v>
      </c>
    </row>
    <row r="359" spans="1:22" s="1002" customFormat="1" hidden="1">
      <c r="A359" s="1000" t="s">
        <v>794</v>
      </c>
      <c r="B359" s="1001" t="s">
        <v>804</v>
      </c>
      <c r="C359" s="1066">
        <v>46196</v>
      </c>
      <c r="D359" s="1066"/>
      <c r="F359" s="1141">
        <v>46198</v>
      </c>
      <c r="H359" s="1138" t="s">
        <v>832</v>
      </c>
      <c r="I359" s="1002" t="s">
        <v>809</v>
      </c>
      <c r="J359" s="1007" t="s">
        <v>80</v>
      </c>
      <c r="K359" s="1002" t="s">
        <v>81</v>
      </c>
      <c r="L359" s="1002" t="s">
        <v>18</v>
      </c>
      <c r="M359" s="1093">
        <v>10</v>
      </c>
      <c r="N359" s="1081">
        <v>824074.07</v>
      </c>
      <c r="O359" s="1081">
        <f>M359*N359</f>
        <v>8240740.6999999993</v>
      </c>
      <c r="P359" s="1081">
        <f>O359*8%</f>
        <v>659259.25599999994</v>
      </c>
      <c r="Q359" s="1081">
        <f>O359+P359</f>
        <v>8899999.9559999984</v>
      </c>
      <c r="R359" s="1081"/>
      <c r="S359" s="1083"/>
      <c r="T359" s="1083"/>
      <c r="U359" s="1083"/>
      <c r="V359" s="1083">
        <f t="shared" si="60"/>
        <v>8899999.9559999984</v>
      </c>
    </row>
    <row r="360" spans="1:22" s="1002" customFormat="1" ht="31.5" hidden="1">
      <c r="A360" s="1000" t="s">
        <v>794</v>
      </c>
      <c r="B360" s="1001" t="s">
        <v>804</v>
      </c>
      <c r="C360" s="1066">
        <v>46196</v>
      </c>
      <c r="D360" s="1066"/>
      <c r="F360" s="1141">
        <v>46198</v>
      </c>
      <c r="H360" s="1138" t="s">
        <v>832</v>
      </c>
      <c r="I360" s="1002" t="s">
        <v>809</v>
      </c>
      <c r="J360" s="1007" t="s">
        <v>21</v>
      </c>
      <c r="K360" s="1024" t="s">
        <v>338</v>
      </c>
      <c r="M360" s="1093">
        <v>10</v>
      </c>
      <c r="N360" s="1081">
        <v>937963.96</v>
      </c>
      <c r="O360" s="1081">
        <f>M360*N360</f>
        <v>9379639.5999999996</v>
      </c>
      <c r="P360" s="1081">
        <f>O360*8%</f>
        <v>750371.16799999995</v>
      </c>
      <c r="Q360" s="1081">
        <f>O360+P360</f>
        <v>10130010.767999999</v>
      </c>
      <c r="R360" s="1081"/>
      <c r="S360" s="1083"/>
      <c r="T360" s="1083"/>
      <c r="U360" s="1083"/>
      <c r="V360" s="1083">
        <f t="shared" si="60"/>
        <v>10130010.767999999</v>
      </c>
    </row>
    <row r="361" spans="1:22" s="1002" customFormat="1" ht="31.5" hidden="1">
      <c r="A361" s="1000" t="s">
        <v>794</v>
      </c>
      <c r="B361" s="1001" t="s">
        <v>804</v>
      </c>
      <c r="C361" s="1066">
        <v>46196</v>
      </c>
      <c r="D361" s="1066"/>
      <c r="F361" s="1141"/>
      <c r="H361" s="1138"/>
      <c r="I361" s="1002" t="s">
        <v>809</v>
      </c>
      <c r="J361" s="1007" t="s">
        <v>96</v>
      </c>
      <c r="K361" s="1019" t="s">
        <v>97</v>
      </c>
      <c r="M361" s="1125">
        <v>10</v>
      </c>
      <c r="N361" s="1126">
        <v>574074.06999999995</v>
      </c>
      <c r="O361" s="1126">
        <f>M361*N361</f>
        <v>5740740.6999999993</v>
      </c>
      <c r="P361" s="1126">
        <f>O361*8%</f>
        <v>459259.25599999994</v>
      </c>
      <c r="Q361" s="1126">
        <f>O361+P361</f>
        <v>6199999.9559999993</v>
      </c>
      <c r="R361" s="1081"/>
      <c r="S361" s="1083"/>
      <c r="T361" s="1083"/>
      <c r="U361" s="1083"/>
      <c r="V361" s="1083">
        <f t="shared" si="60"/>
        <v>6199999.9559999993</v>
      </c>
    </row>
    <row r="362" spans="1:22" s="1002" customFormat="1" ht="31.5" hidden="1">
      <c r="A362" s="1000" t="s">
        <v>794</v>
      </c>
      <c r="B362" s="1001" t="s">
        <v>804</v>
      </c>
      <c r="C362" s="1066">
        <v>46196</v>
      </c>
      <c r="D362" s="1066"/>
      <c r="F362" s="1141">
        <v>46228</v>
      </c>
      <c r="H362" s="1138" t="s">
        <v>833</v>
      </c>
      <c r="I362" s="1002" t="s">
        <v>809</v>
      </c>
      <c r="J362" s="1007" t="s">
        <v>98</v>
      </c>
      <c r="K362" s="1019" t="s">
        <v>99</v>
      </c>
      <c r="M362" s="1125">
        <v>100</v>
      </c>
      <c r="N362" s="1126">
        <v>694444.44</v>
      </c>
      <c r="O362" s="1126">
        <f>M362*N362</f>
        <v>69444444</v>
      </c>
      <c r="P362" s="1126">
        <f>O362*8%</f>
        <v>5555555.5200000005</v>
      </c>
      <c r="Q362" s="1126">
        <f>O362+P362</f>
        <v>74999999.519999996</v>
      </c>
      <c r="R362" s="1081"/>
      <c r="S362" s="1083"/>
      <c r="T362" s="1083"/>
      <c r="U362" s="1083"/>
      <c r="V362" s="1083">
        <f t="shared" si="60"/>
        <v>74999999.519999996</v>
      </c>
    </row>
    <row r="363" spans="1:22" s="1002" customFormat="1" hidden="1">
      <c r="A363" s="1000" t="s">
        <v>794</v>
      </c>
      <c r="B363" s="1000" t="s">
        <v>804</v>
      </c>
      <c r="C363" s="1066">
        <v>46233</v>
      </c>
      <c r="D363" s="1066"/>
      <c r="F363" s="1141">
        <v>46239</v>
      </c>
      <c r="H363" s="1005"/>
      <c r="I363" s="1002" t="s">
        <v>844</v>
      </c>
      <c r="J363" s="1007"/>
      <c r="K363" s="1005"/>
      <c r="M363" s="1086"/>
      <c r="N363" s="1107"/>
      <c r="O363" s="1107"/>
      <c r="P363" s="1107"/>
      <c r="Q363" s="1107"/>
      <c r="R363" s="1107">
        <v>100000000</v>
      </c>
      <c r="S363" s="1083"/>
      <c r="T363" s="1083"/>
      <c r="U363" s="1083"/>
      <c r="V363" s="1083">
        <f t="shared" si="60"/>
        <v>-100000000</v>
      </c>
    </row>
    <row r="364" spans="1:22" s="1002" customFormat="1" hidden="1">
      <c r="A364" s="1000" t="s">
        <v>794</v>
      </c>
      <c r="B364" s="1001" t="s">
        <v>804</v>
      </c>
      <c r="C364" s="1066">
        <v>46233</v>
      </c>
      <c r="D364" s="1066"/>
      <c r="F364" s="1141">
        <v>46239</v>
      </c>
      <c r="H364" s="1138" t="s">
        <v>834</v>
      </c>
      <c r="I364" s="1002" t="s">
        <v>809</v>
      </c>
      <c r="J364" s="1007" t="s">
        <v>204</v>
      </c>
      <c r="K364" s="1024" t="s">
        <v>269</v>
      </c>
      <c r="M364" s="1093">
        <v>20</v>
      </c>
      <c r="N364" s="1081">
        <v>480555.55</v>
      </c>
      <c r="O364" s="1081">
        <f>M364*N364</f>
        <v>9611111</v>
      </c>
      <c r="P364" s="1081">
        <f t="shared" ref="P364:P372" si="71">O364*8%</f>
        <v>768888.88</v>
      </c>
      <c r="Q364" s="1081">
        <f t="shared" ref="Q364:Q372" si="72">O364+P364</f>
        <v>10379999.880000001</v>
      </c>
      <c r="R364" s="1081"/>
      <c r="S364" s="1083"/>
      <c r="T364" s="1083"/>
      <c r="U364" s="1083"/>
      <c r="V364" s="1083">
        <f t="shared" si="60"/>
        <v>10379999.880000001</v>
      </c>
    </row>
    <row r="365" spans="1:22" s="1002" customFormat="1" hidden="1">
      <c r="A365" s="1000" t="s">
        <v>794</v>
      </c>
      <c r="B365" s="1001" t="s">
        <v>804</v>
      </c>
      <c r="C365" s="1066">
        <v>46233</v>
      </c>
      <c r="D365" s="1066"/>
      <c r="F365" s="1141">
        <v>46239</v>
      </c>
      <c r="H365" s="1138" t="s">
        <v>834</v>
      </c>
      <c r="I365" s="1002" t="s">
        <v>809</v>
      </c>
      <c r="J365" s="1007" t="s">
        <v>206</v>
      </c>
      <c r="K365" s="1024" t="s">
        <v>835</v>
      </c>
      <c r="M365" s="1093">
        <v>20</v>
      </c>
      <c r="N365" s="1081">
        <v>483333.33</v>
      </c>
      <c r="O365" s="1081">
        <f>M365*N365</f>
        <v>9666666.5999999996</v>
      </c>
      <c r="P365" s="1081">
        <f t="shared" si="71"/>
        <v>773333.32799999998</v>
      </c>
      <c r="Q365" s="1081">
        <f t="shared" si="72"/>
        <v>10439999.927999999</v>
      </c>
      <c r="R365" s="1081"/>
      <c r="S365" s="1083"/>
      <c r="T365" s="1083"/>
      <c r="U365" s="1083"/>
      <c r="V365" s="1083">
        <f t="shared" si="60"/>
        <v>10439999.927999999</v>
      </c>
    </row>
    <row r="366" spans="1:22" s="1002" customFormat="1" ht="31.5" hidden="1">
      <c r="A366" s="1000" t="s">
        <v>794</v>
      </c>
      <c r="B366" s="1001" t="s">
        <v>804</v>
      </c>
      <c r="C366" s="1066">
        <v>46233</v>
      </c>
      <c r="D366" s="1066"/>
      <c r="F366" s="1141">
        <v>46239</v>
      </c>
      <c r="H366" s="1138" t="s">
        <v>834</v>
      </c>
      <c r="I366" s="1002" t="s">
        <v>809</v>
      </c>
      <c r="J366" s="1007" t="s">
        <v>308</v>
      </c>
      <c r="K366" s="1024" t="s">
        <v>320</v>
      </c>
      <c r="M366" s="1093">
        <v>40</v>
      </c>
      <c r="N366" s="1081">
        <v>324074.07</v>
      </c>
      <c r="O366" s="1081">
        <f>N366*M366</f>
        <v>12962962.800000001</v>
      </c>
      <c r="P366" s="1081">
        <f t="shared" si="71"/>
        <v>1037037.0240000001</v>
      </c>
      <c r="Q366" s="1081">
        <f t="shared" si="72"/>
        <v>13999999.824000001</v>
      </c>
      <c r="R366" s="1081"/>
      <c r="S366" s="1083"/>
      <c r="T366" s="1083"/>
      <c r="U366" s="1083"/>
      <c r="V366" s="1083">
        <f t="shared" si="60"/>
        <v>13999999.824000001</v>
      </c>
    </row>
    <row r="367" spans="1:22" s="1002" customFormat="1" hidden="1">
      <c r="A367" s="1000" t="s">
        <v>794</v>
      </c>
      <c r="B367" s="1001" t="s">
        <v>804</v>
      </c>
      <c r="C367" s="1066">
        <v>46233</v>
      </c>
      <c r="D367" s="1066"/>
      <c r="F367" s="1141">
        <v>46239</v>
      </c>
      <c r="H367" s="1138" t="s">
        <v>834</v>
      </c>
      <c r="I367" s="1002" t="s">
        <v>809</v>
      </c>
      <c r="J367" s="1007" t="s">
        <v>90</v>
      </c>
      <c r="K367" s="1024" t="s">
        <v>91</v>
      </c>
      <c r="M367" s="1093">
        <v>10</v>
      </c>
      <c r="N367" s="1081">
        <v>814814.81</v>
      </c>
      <c r="O367" s="1081">
        <f>N367*M367</f>
        <v>8148148.1000000006</v>
      </c>
      <c r="P367" s="1081">
        <f t="shared" si="71"/>
        <v>651851.84800000011</v>
      </c>
      <c r="Q367" s="1081">
        <f t="shared" si="72"/>
        <v>8799999.9480000008</v>
      </c>
      <c r="R367" s="1081"/>
      <c r="S367" s="1083"/>
      <c r="T367" s="1083"/>
      <c r="U367" s="1083"/>
      <c r="V367" s="1083">
        <f t="shared" si="60"/>
        <v>8799999.9480000008</v>
      </c>
    </row>
    <row r="368" spans="1:22" s="1002" customFormat="1" hidden="1">
      <c r="A368" s="1000" t="s">
        <v>794</v>
      </c>
      <c r="B368" s="1001" t="s">
        <v>804</v>
      </c>
      <c r="C368" s="1066">
        <v>46233</v>
      </c>
      <c r="D368" s="1066"/>
      <c r="F368" s="1141"/>
      <c r="H368" s="1005"/>
      <c r="I368" s="1002" t="s">
        <v>809</v>
      </c>
      <c r="J368" s="1007" t="s">
        <v>641</v>
      </c>
      <c r="K368" s="1024" t="s">
        <v>657</v>
      </c>
      <c r="M368" s="1093">
        <v>1</v>
      </c>
      <c r="N368" s="1081">
        <v>644444.43999999994</v>
      </c>
      <c r="O368" s="1081">
        <f>M368*N368</f>
        <v>644444.43999999994</v>
      </c>
      <c r="P368" s="1081">
        <f t="shared" si="71"/>
        <v>51555.555199999995</v>
      </c>
      <c r="Q368" s="1081">
        <f t="shared" si="72"/>
        <v>695999.99519999989</v>
      </c>
      <c r="R368" s="1081"/>
      <c r="S368" s="1083"/>
      <c r="T368" s="1083"/>
      <c r="U368" s="1083"/>
      <c r="V368" s="1083">
        <f t="shared" si="60"/>
        <v>695999.99519999989</v>
      </c>
    </row>
    <row r="369" spans="1:22" s="1002" customFormat="1" hidden="1">
      <c r="A369" s="1000" t="s">
        <v>794</v>
      </c>
      <c r="B369" s="1001" t="s">
        <v>804</v>
      </c>
      <c r="C369" s="1066">
        <v>46233</v>
      </c>
      <c r="D369" s="1066"/>
      <c r="F369" s="1141"/>
      <c r="H369" s="1005"/>
      <c r="I369" s="1002" t="s">
        <v>809</v>
      </c>
      <c r="J369" s="1007" t="s">
        <v>645</v>
      </c>
      <c r="K369" s="1024" t="s">
        <v>646</v>
      </c>
      <c r="M369" s="1093">
        <v>120</v>
      </c>
      <c r="N369" s="1081">
        <v>629629.63</v>
      </c>
      <c r="O369" s="1081">
        <f>M369*N369</f>
        <v>75555555.599999994</v>
      </c>
      <c r="P369" s="1081">
        <f t="shared" si="71"/>
        <v>6044444.4479999999</v>
      </c>
      <c r="Q369" s="1081">
        <f t="shared" si="72"/>
        <v>81600000.047999993</v>
      </c>
      <c r="R369" s="1081"/>
      <c r="S369" s="1083"/>
      <c r="T369" s="1083"/>
      <c r="U369" s="1083"/>
      <c r="V369" s="1083">
        <f t="shared" si="60"/>
        <v>81600000.047999993</v>
      </c>
    </row>
    <row r="370" spans="1:22" s="1002" customFormat="1" hidden="1">
      <c r="A370" s="1000" t="s">
        <v>794</v>
      </c>
      <c r="B370" s="1001" t="s">
        <v>804</v>
      </c>
      <c r="C370" s="1066">
        <v>46233</v>
      </c>
      <c r="D370" s="1066"/>
      <c r="F370" s="1141"/>
      <c r="H370" s="1005"/>
      <c r="I370" s="1002" t="s">
        <v>809</v>
      </c>
      <c r="J370" s="1007" t="s">
        <v>651</v>
      </c>
      <c r="K370" s="1024" t="s">
        <v>652</v>
      </c>
      <c r="M370" s="1093">
        <v>1</v>
      </c>
      <c r="N370" s="1081">
        <v>694444.44</v>
      </c>
      <c r="O370" s="1081">
        <f>M370*N370</f>
        <v>694444.44</v>
      </c>
      <c r="P370" s="1081">
        <f t="shared" si="71"/>
        <v>55555.555199999995</v>
      </c>
      <c r="Q370" s="1081">
        <f t="shared" si="72"/>
        <v>749999.99519999989</v>
      </c>
      <c r="R370" s="1081"/>
      <c r="S370" s="1083"/>
      <c r="T370" s="1083"/>
      <c r="U370" s="1083"/>
      <c r="V370" s="1083">
        <f t="shared" si="60"/>
        <v>749999.99519999989</v>
      </c>
    </row>
    <row r="371" spans="1:22" s="1002" customFormat="1" hidden="1">
      <c r="A371" s="1000" t="s">
        <v>794</v>
      </c>
      <c r="B371" s="1001" t="s">
        <v>804</v>
      </c>
      <c r="C371" s="1066">
        <v>46233</v>
      </c>
      <c r="D371" s="1066"/>
      <c r="F371" s="1141"/>
      <c r="H371" s="1005"/>
      <c r="I371" s="1002" t="s">
        <v>809</v>
      </c>
      <c r="J371" s="1007" t="s">
        <v>655</v>
      </c>
      <c r="K371" s="1024" t="s">
        <v>656</v>
      </c>
      <c r="M371" s="1093">
        <v>1</v>
      </c>
      <c r="N371" s="1081">
        <v>574074.06999999995</v>
      </c>
      <c r="O371" s="1081">
        <f>M371*N371</f>
        <v>574074.06999999995</v>
      </c>
      <c r="P371" s="1081">
        <f t="shared" si="71"/>
        <v>45925.925599999995</v>
      </c>
      <c r="Q371" s="1081">
        <f t="shared" si="72"/>
        <v>619999.99559999991</v>
      </c>
      <c r="R371" s="1081"/>
      <c r="S371" s="1083"/>
      <c r="T371" s="1083"/>
      <c r="U371" s="1083"/>
      <c r="V371" s="1083">
        <f t="shared" si="60"/>
        <v>619999.99559999991</v>
      </c>
    </row>
    <row r="372" spans="1:22" s="1002" customFormat="1" hidden="1">
      <c r="A372" s="1000" t="s">
        <v>794</v>
      </c>
      <c r="B372" s="1001" t="s">
        <v>804</v>
      </c>
      <c r="C372" s="1066">
        <v>46233</v>
      </c>
      <c r="D372" s="1066"/>
      <c r="F372" s="1141"/>
      <c r="H372" s="1005"/>
      <c r="I372" s="1002" t="s">
        <v>809</v>
      </c>
      <c r="J372" s="1007" t="s">
        <v>645</v>
      </c>
      <c r="K372" s="1024" t="s">
        <v>646</v>
      </c>
      <c r="M372" s="1093">
        <v>12</v>
      </c>
      <c r="N372" s="1081">
        <v>0</v>
      </c>
      <c r="O372" s="1081">
        <f>M372*N372</f>
        <v>0</v>
      </c>
      <c r="P372" s="1081">
        <f t="shared" si="71"/>
        <v>0</v>
      </c>
      <c r="Q372" s="1081">
        <f t="shared" si="72"/>
        <v>0</v>
      </c>
      <c r="R372" s="1081"/>
      <c r="S372" s="1083"/>
      <c r="T372" s="1083"/>
      <c r="U372" s="1083"/>
      <c r="V372" s="1083">
        <f t="shared" si="60"/>
        <v>0</v>
      </c>
    </row>
    <row r="373" spans="1:22" s="1002" customFormat="1" ht="31.5" hidden="1">
      <c r="A373" s="1000" t="s">
        <v>768</v>
      </c>
      <c r="B373" s="1001" t="s">
        <v>770</v>
      </c>
      <c r="C373" s="1084" t="s">
        <v>19</v>
      </c>
      <c r="D373" s="1084"/>
      <c r="F373" s="1105" t="s">
        <v>19</v>
      </c>
      <c r="H373" s="1106" t="s">
        <v>531</v>
      </c>
      <c r="I373" s="1002" t="s">
        <v>820</v>
      </c>
      <c r="J373" s="1007" t="s">
        <v>38</v>
      </c>
      <c r="K373" s="572" t="s">
        <v>39</v>
      </c>
      <c r="L373" s="1002" t="s">
        <v>113</v>
      </c>
      <c r="M373" s="1086">
        <v>10</v>
      </c>
      <c r="N373" s="1129">
        <v>277778</v>
      </c>
      <c r="O373" s="1129">
        <f t="shared" ref="O373:O425" si="73">M373*N373</f>
        <v>2777780</v>
      </c>
      <c r="P373" s="1129">
        <f t="shared" ref="P373:P425" si="74">O373*8%</f>
        <v>222222.4</v>
      </c>
      <c r="Q373" s="1129">
        <f t="shared" ref="Q373:Q425" si="75">O373+P373</f>
        <v>3000002.4</v>
      </c>
      <c r="R373" s="1081"/>
      <c r="S373" s="1083"/>
      <c r="T373" s="1083"/>
      <c r="U373" s="1083"/>
      <c r="V373" s="1083">
        <f>Q373-R373-S373-T373-U373</f>
        <v>3000002.4</v>
      </c>
    </row>
    <row r="374" spans="1:22" s="1002" customFormat="1" ht="31.5" hidden="1">
      <c r="A374" s="1000" t="s">
        <v>768</v>
      </c>
      <c r="B374" s="1001" t="s">
        <v>770</v>
      </c>
      <c r="C374" s="1084" t="s">
        <v>19</v>
      </c>
      <c r="D374" s="1084"/>
      <c r="F374" s="1105" t="s">
        <v>19</v>
      </c>
      <c r="H374" s="1106" t="s">
        <v>531</v>
      </c>
      <c r="I374" s="1002" t="s">
        <v>820</v>
      </c>
      <c r="J374" s="1007" t="s">
        <v>40</v>
      </c>
      <c r="K374" s="572" t="s">
        <v>41</v>
      </c>
      <c r="L374" s="1002" t="s">
        <v>113</v>
      </c>
      <c r="M374" s="1086">
        <v>4</v>
      </c>
      <c r="N374" s="1129">
        <v>844444</v>
      </c>
      <c r="O374" s="1129">
        <f t="shared" si="73"/>
        <v>3377776</v>
      </c>
      <c r="P374" s="1129">
        <f t="shared" si="74"/>
        <v>270222.08000000002</v>
      </c>
      <c r="Q374" s="1129">
        <f t="shared" si="75"/>
        <v>3647998.08</v>
      </c>
      <c r="R374" s="1081"/>
      <c r="S374" s="1083"/>
      <c r="T374" s="1083"/>
      <c r="U374" s="1083"/>
      <c r="V374" s="1083">
        <f t="shared" ref="V374:V429" si="76">Q374-R374-S374-T374-U374</f>
        <v>3647998.08</v>
      </c>
    </row>
    <row r="375" spans="1:22" s="1002" customFormat="1" hidden="1">
      <c r="A375" s="1000" t="s">
        <v>768</v>
      </c>
      <c r="B375" s="1001" t="s">
        <v>770</v>
      </c>
      <c r="C375" s="1084" t="s">
        <v>19</v>
      </c>
      <c r="D375" s="1084"/>
      <c r="F375" s="1105" t="s">
        <v>19</v>
      </c>
      <c r="H375" s="1106" t="s">
        <v>531</v>
      </c>
      <c r="I375" s="1002" t="s">
        <v>820</v>
      </c>
      <c r="J375" s="1007" t="s">
        <v>46</v>
      </c>
      <c r="K375" s="572" t="s">
        <v>47</v>
      </c>
      <c r="L375" s="1002" t="s">
        <v>113</v>
      </c>
      <c r="M375" s="1086">
        <v>24</v>
      </c>
      <c r="N375" s="1129">
        <v>194444</v>
      </c>
      <c r="O375" s="1129">
        <f t="shared" si="73"/>
        <v>4666656</v>
      </c>
      <c r="P375" s="1129">
        <f t="shared" si="74"/>
        <v>373332.47999999998</v>
      </c>
      <c r="Q375" s="1129">
        <f t="shared" si="75"/>
        <v>5039988.4800000004</v>
      </c>
      <c r="R375" s="1081"/>
      <c r="S375" s="1083"/>
      <c r="T375" s="1083"/>
      <c r="U375" s="1083"/>
      <c r="V375" s="1083">
        <f t="shared" si="76"/>
        <v>5039988.4800000004</v>
      </c>
    </row>
    <row r="376" spans="1:22" s="1002" customFormat="1" hidden="1">
      <c r="A376" s="1000" t="s">
        <v>768</v>
      </c>
      <c r="B376" s="1001" t="s">
        <v>770</v>
      </c>
      <c r="C376" s="1084" t="s">
        <v>19</v>
      </c>
      <c r="D376" s="1084"/>
      <c r="F376" s="1105" t="s">
        <v>19</v>
      </c>
      <c r="H376" s="1106" t="s">
        <v>531</v>
      </c>
      <c r="I376" s="1002" t="s">
        <v>820</v>
      </c>
      <c r="J376" s="1007" t="s">
        <v>77</v>
      </c>
      <c r="K376" s="572" t="s">
        <v>78</v>
      </c>
      <c r="L376" s="1002" t="s">
        <v>113</v>
      </c>
      <c r="M376" s="1086">
        <v>12</v>
      </c>
      <c r="N376" s="1129">
        <v>314815</v>
      </c>
      <c r="O376" s="1129">
        <f t="shared" si="73"/>
        <v>3777780</v>
      </c>
      <c r="P376" s="1129">
        <f t="shared" si="74"/>
        <v>302222.40000000002</v>
      </c>
      <c r="Q376" s="1129">
        <f t="shared" si="75"/>
        <v>4080002.4</v>
      </c>
      <c r="R376" s="1081"/>
      <c r="S376" s="1083"/>
      <c r="T376" s="1083"/>
      <c r="U376" s="1083"/>
      <c r="V376" s="1083">
        <f t="shared" si="76"/>
        <v>4080002.4</v>
      </c>
    </row>
    <row r="377" spans="1:22" s="1002" customFormat="1" hidden="1">
      <c r="A377" s="1000" t="s">
        <v>768</v>
      </c>
      <c r="B377" s="1001" t="s">
        <v>770</v>
      </c>
      <c r="C377" s="1084" t="s">
        <v>19</v>
      </c>
      <c r="D377" s="1084"/>
      <c r="F377" s="1105" t="s">
        <v>19</v>
      </c>
      <c r="H377" s="1106" t="s">
        <v>531</v>
      </c>
      <c r="I377" s="1002" t="s">
        <v>820</v>
      </c>
      <c r="J377" s="1007" t="s">
        <v>62</v>
      </c>
      <c r="K377" s="572" t="s">
        <v>63</v>
      </c>
      <c r="L377" s="1002" t="s">
        <v>113</v>
      </c>
      <c r="M377" s="1086">
        <v>10</v>
      </c>
      <c r="N377" s="1129">
        <v>78704</v>
      </c>
      <c r="O377" s="1129">
        <f t="shared" si="73"/>
        <v>787040</v>
      </c>
      <c r="P377" s="1129">
        <f t="shared" si="74"/>
        <v>62963.200000000004</v>
      </c>
      <c r="Q377" s="1129">
        <f t="shared" si="75"/>
        <v>850003.2</v>
      </c>
      <c r="R377" s="1081"/>
      <c r="S377" s="1083"/>
      <c r="T377" s="1083"/>
      <c r="U377" s="1083"/>
      <c r="V377" s="1083">
        <f t="shared" si="76"/>
        <v>850003.2</v>
      </c>
    </row>
    <row r="378" spans="1:22" s="1002" customFormat="1" ht="31.5" hidden="1">
      <c r="A378" s="1000" t="s">
        <v>768</v>
      </c>
      <c r="B378" s="1001" t="s">
        <v>770</v>
      </c>
      <c r="C378" s="1084" t="s">
        <v>19</v>
      </c>
      <c r="D378" s="1084"/>
      <c r="F378" s="1105" t="s">
        <v>19</v>
      </c>
      <c r="H378" s="1106" t="s">
        <v>531</v>
      </c>
      <c r="I378" s="1002" t="s">
        <v>820</v>
      </c>
      <c r="J378" s="1007" t="s">
        <v>180</v>
      </c>
      <c r="K378" s="572" t="s">
        <v>181</v>
      </c>
      <c r="L378" s="1002" t="s">
        <v>113</v>
      </c>
      <c r="M378" s="1086">
        <v>10</v>
      </c>
      <c r="N378" s="1129">
        <v>234259</v>
      </c>
      <c r="O378" s="1129">
        <f t="shared" si="73"/>
        <v>2342590</v>
      </c>
      <c r="P378" s="1129">
        <f t="shared" si="74"/>
        <v>187407.2</v>
      </c>
      <c r="Q378" s="1129">
        <f t="shared" si="75"/>
        <v>2529997.2000000002</v>
      </c>
      <c r="R378" s="1081"/>
      <c r="S378" s="1083"/>
      <c r="T378" s="1083"/>
      <c r="U378" s="1083"/>
      <c r="V378" s="1083">
        <f t="shared" si="76"/>
        <v>2529997.2000000002</v>
      </c>
    </row>
    <row r="379" spans="1:22" s="1002" customFormat="1" ht="31.5" hidden="1">
      <c r="A379" s="1000" t="s">
        <v>768</v>
      </c>
      <c r="B379" s="1001" t="s">
        <v>770</v>
      </c>
      <c r="C379" s="1084" t="s">
        <v>19</v>
      </c>
      <c r="D379" s="1084"/>
      <c r="F379" s="1105" t="s">
        <v>19</v>
      </c>
      <c r="H379" s="1106" t="s">
        <v>531</v>
      </c>
      <c r="I379" s="1002" t="s">
        <v>820</v>
      </c>
      <c r="J379" s="1007" t="s">
        <v>26</v>
      </c>
      <c r="K379" s="572" t="s">
        <v>27</v>
      </c>
      <c r="L379" s="1002" t="s">
        <v>113</v>
      </c>
      <c r="M379" s="1086">
        <v>10</v>
      </c>
      <c r="N379" s="1129">
        <v>256481</v>
      </c>
      <c r="O379" s="1129">
        <f t="shared" si="73"/>
        <v>2564810</v>
      </c>
      <c r="P379" s="1129">
        <f t="shared" si="74"/>
        <v>205184.80000000002</v>
      </c>
      <c r="Q379" s="1129">
        <f t="shared" si="75"/>
        <v>2769994.8</v>
      </c>
      <c r="R379" s="1081"/>
      <c r="S379" s="1083"/>
      <c r="T379" s="1083"/>
      <c r="U379" s="1083"/>
      <c r="V379" s="1083">
        <f t="shared" si="76"/>
        <v>2769994.8</v>
      </c>
    </row>
    <row r="380" spans="1:22" s="1002" customFormat="1" ht="31.5" hidden="1">
      <c r="A380" s="1000" t="s">
        <v>768</v>
      </c>
      <c r="B380" s="1001" t="s">
        <v>770</v>
      </c>
      <c r="C380" s="1084" t="s">
        <v>19</v>
      </c>
      <c r="D380" s="1084"/>
      <c r="F380" s="1105" t="s">
        <v>19</v>
      </c>
      <c r="H380" s="1106" t="s">
        <v>531</v>
      </c>
      <c r="I380" s="1002" t="s">
        <v>820</v>
      </c>
      <c r="J380" s="1007" t="s">
        <v>28</v>
      </c>
      <c r="K380" s="572" t="s">
        <v>29</v>
      </c>
      <c r="L380" s="1002" t="s">
        <v>113</v>
      </c>
      <c r="M380" s="1086">
        <v>10</v>
      </c>
      <c r="N380" s="1129">
        <v>281481</v>
      </c>
      <c r="O380" s="1129">
        <f t="shared" si="73"/>
        <v>2814810</v>
      </c>
      <c r="P380" s="1129">
        <f t="shared" si="74"/>
        <v>225184.80000000002</v>
      </c>
      <c r="Q380" s="1129">
        <f t="shared" si="75"/>
        <v>3039994.8</v>
      </c>
      <c r="R380" s="1081"/>
      <c r="S380" s="1083"/>
      <c r="T380" s="1083"/>
      <c r="U380" s="1083"/>
      <c r="V380" s="1083">
        <f t="shared" si="76"/>
        <v>3039994.8</v>
      </c>
    </row>
    <row r="381" spans="1:22" s="1002" customFormat="1" ht="31.5" hidden="1">
      <c r="A381" s="1000" t="s">
        <v>768</v>
      </c>
      <c r="B381" s="1001" t="s">
        <v>770</v>
      </c>
      <c r="C381" s="1084" t="s">
        <v>19</v>
      </c>
      <c r="D381" s="1084"/>
      <c r="F381" s="1105" t="s">
        <v>19</v>
      </c>
      <c r="H381" s="1106" t="s">
        <v>531</v>
      </c>
      <c r="I381" s="1002" t="s">
        <v>820</v>
      </c>
      <c r="J381" s="1007" t="s">
        <v>184</v>
      </c>
      <c r="K381" s="572" t="s">
        <v>272</v>
      </c>
      <c r="L381" s="1002" t="s">
        <v>113</v>
      </c>
      <c r="M381" s="1086">
        <v>10</v>
      </c>
      <c r="N381" s="1129">
        <v>227778</v>
      </c>
      <c r="O381" s="1129">
        <f t="shared" si="73"/>
        <v>2277780</v>
      </c>
      <c r="P381" s="1129">
        <f t="shared" si="74"/>
        <v>182222.4</v>
      </c>
      <c r="Q381" s="1129">
        <f t="shared" si="75"/>
        <v>2460002.4</v>
      </c>
      <c r="R381" s="1081"/>
      <c r="S381" s="1083"/>
      <c r="T381" s="1083"/>
      <c r="U381" s="1083"/>
      <c r="V381" s="1083">
        <f t="shared" si="76"/>
        <v>2460002.4</v>
      </c>
    </row>
    <row r="382" spans="1:22" s="1002" customFormat="1" ht="31.5" hidden="1">
      <c r="A382" s="1000" t="s">
        <v>768</v>
      </c>
      <c r="B382" s="1001" t="s">
        <v>770</v>
      </c>
      <c r="C382" s="1084" t="s">
        <v>19</v>
      </c>
      <c r="D382" s="1084"/>
      <c r="F382" s="1105" t="s">
        <v>19</v>
      </c>
      <c r="H382" s="1106" t="s">
        <v>531</v>
      </c>
      <c r="I382" s="1002" t="s">
        <v>820</v>
      </c>
      <c r="J382" s="1007" t="s">
        <v>30</v>
      </c>
      <c r="K382" s="572" t="s">
        <v>31</v>
      </c>
      <c r="L382" s="1002" t="s">
        <v>113</v>
      </c>
      <c r="M382" s="1086">
        <v>10</v>
      </c>
      <c r="N382" s="1129">
        <v>252778</v>
      </c>
      <c r="O382" s="1129">
        <f t="shared" si="73"/>
        <v>2527780</v>
      </c>
      <c r="P382" s="1129">
        <f t="shared" si="74"/>
        <v>202222.4</v>
      </c>
      <c r="Q382" s="1129">
        <f t="shared" si="75"/>
        <v>2730002.4</v>
      </c>
      <c r="R382" s="1081"/>
      <c r="S382" s="1083"/>
      <c r="T382" s="1083"/>
      <c r="U382" s="1083"/>
      <c r="V382" s="1083">
        <f t="shared" si="76"/>
        <v>2730002.4</v>
      </c>
    </row>
    <row r="383" spans="1:22" s="1002" customFormat="1" ht="31.5" hidden="1">
      <c r="A383" s="1000" t="s">
        <v>768</v>
      </c>
      <c r="B383" s="1001" t="s">
        <v>770</v>
      </c>
      <c r="C383" s="1084" t="s">
        <v>19</v>
      </c>
      <c r="D383" s="1084"/>
      <c r="F383" s="1105" t="s">
        <v>19</v>
      </c>
      <c r="H383" s="1106" t="s">
        <v>531</v>
      </c>
      <c r="I383" s="1002" t="s">
        <v>820</v>
      </c>
      <c r="J383" s="1007" t="s">
        <v>32</v>
      </c>
      <c r="K383" s="572" t="s">
        <v>33</v>
      </c>
      <c r="L383" s="1002" t="s">
        <v>113</v>
      </c>
      <c r="M383" s="1086">
        <v>10</v>
      </c>
      <c r="N383" s="1129">
        <v>256481</v>
      </c>
      <c r="O383" s="1129">
        <f t="shared" si="73"/>
        <v>2564810</v>
      </c>
      <c r="P383" s="1129">
        <f t="shared" si="74"/>
        <v>205184.80000000002</v>
      </c>
      <c r="Q383" s="1129">
        <f t="shared" si="75"/>
        <v>2769994.8</v>
      </c>
      <c r="R383" s="1081"/>
      <c r="S383" s="1083"/>
      <c r="T383" s="1083"/>
      <c r="U383" s="1083"/>
      <c r="V383" s="1083">
        <f t="shared" si="76"/>
        <v>2769994.8</v>
      </c>
    </row>
    <row r="384" spans="1:22" s="1002" customFormat="1" ht="31.5" hidden="1">
      <c r="A384" s="1000" t="s">
        <v>768</v>
      </c>
      <c r="B384" s="1001" t="s">
        <v>770</v>
      </c>
      <c r="C384" s="1084" t="s">
        <v>19</v>
      </c>
      <c r="D384" s="1084"/>
      <c r="F384" s="1105" t="s">
        <v>19</v>
      </c>
      <c r="H384" s="1106" t="s">
        <v>531</v>
      </c>
      <c r="I384" s="1002" t="s">
        <v>820</v>
      </c>
      <c r="J384" s="1007" t="s">
        <v>34</v>
      </c>
      <c r="K384" s="572" t="s">
        <v>35</v>
      </c>
      <c r="L384" s="1002" t="s">
        <v>113</v>
      </c>
      <c r="M384" s="1086">
        <v>10</v>
      </c>
      <c r="N384" s="1129">
        <v>227778</v>
      </c>
      <c r="O384" s="1129">
        <f t="shared" si="73"/>
        <v>2277780</v>
      </c>
      <c r="P384" s="1129">
        <f t="shared" si="74"/>
        <v>182222.4</v>
      </c>
      <c r="Q384" s="1129">
        <f t="shared" si="75"/>
        <v>2460002.4</v>
      </c>
      <c r="R384" s="1081"/>
      <c r="S384" s="1083"/>
      <c r="T384" s="1083"/>
      <c r="U384" s="1083"/>
      <c r="V384" s="1083">
        <f t="shared" si="76"/>
        <v>2460002.4</v>
      </c>
    </row>
    <row r="385" spans="1:22" s="1002" customFormat="1" ht="31.5" hidden="1">
      <c r="A385" s="1000" t="s">
        <v>768</v>
      </c>
      <c r="B385" s="1001" t="s">
        <v>770</v>
      </c>
      <c r="C385" s="1084" t="s">
        <v>19</v>
      </c>
      <c r="D385" s="1084"/>
      <c r="F385" s="1105" t="s">
        <v>19</v>
      </c>
      <c r="H385" s="1106" t="s">
        <v>531</v>
      </c>
      <c r="I385" s="1002" t="s">
        <v>820</v>
      </c>
      <c r="J385" s="1007" t="s">
        <v>36</v>
      </c>
      <c r="K385" s="572" t="s">
        <v>37</v>
      </c>
      <c r="L385" s="1002" t="s">
        <v>113</v>
      </c>
      <c r="M385" s="1086">
        <v>10</v>
      </c>
      <c r="N385" s="1129">
        <v>252778</v>
      </c>
      <c r="O385" s="1129">
        <f t="shared" si="73"/>
        <v>2527780</v>
      </c>
      <c r="P385" s="1129">
        <f t="shared" si="74"/>
        <v>202222.4</v>
      </c>
      <c r="Q385" s="1129">
        <f t="shared" si="75"/>
        <v>2730002.4</v>
      </c>
      <c r="R385" s="1081"/>
      <c r="S385" s="1083"/>
      <c r="T385" s="1083"/>
      <c r="U385" s="1083"/>
      <c r="V385" s="1083">
        <f t="shared" si="76"/>
        <v>2730002.4</v>
      </c>
    </row>
    <row r="386" spans="1:22" s="1002" customFormat="1" ht="47.25" hidden="1">
      <c r="A386" s="1000" t="s">
        <v>768</v>
      </c>
      <c r="B386" s="1001" t="s">
        <v>770</v>
      </c>
      <c r="C386" s="1084" t="s">
        <v>19</v>
      </c>
      <c r="D386" s="1084"/>
      <c r="F386" s="1105">
        <v>46297</v>
      </c>
      <c r="H386" s="1111" t="s">
        <v>533</v>
      </c>
      <c r="I386" s="1002" t="s">
        <v>820</v>
      </c>
      <c r="J386" s="1007" t="s">
        <v>60</v>
      </c>
      <c r="K386" s="572" t="s">
        <v>534</v>
      </c>
      <c r="L386" s="1002" t="s">
        <v>113</v>
      </c>
      <c r="M386" s="1086">
        <v>2</v>
      </c>
      <c r="N386" s="1129">
        <v>1138889</v>
      </c>
      <c r="O386" s="1129">
        <f t="shared" si="73"/>
        <v>2277778</v>
      </c>
      <c r="P386" s="1129">
        <f t="shared" si="74"/>
        <v>182222.24</v>
      </c>
      <c r="Q386" s="1129">
        <f t="shared" si="75"/>
        <v>2460000.2400000002</v>
      </c>
      <c r="R386" s="1081"/>
      <c r="S386" s="1083"/>
      <c r="T386" s="1083"/>
      <c r="U386" s="1083"/>
      <c r="V386" s="1083">
        <f t="shared" si="76"/>
        <v>2460000.2400000002</v>
      </c>
    </row>
    <row r="387" spans="1:22" s="1002" customFormat="1" ht="47.25" hidden="1">
      <c r="A387" s="1000" t="s">
        <v>768</v>
      </c>
      <c r="B387" s="1001" t="s">
        <v>770</v>
      </c>
      <c r="C387" s="1084" t="s">
        <v>19</v>
      </c>
      <c r="D387" s="1084"/>
      <c r="F387" s="1105">
        <v>46297</v>
      </c>
      <c r="H387" s="1111" t="s">
        <v>533</v>
      </c>
      <c r="I387" s="1002" t="s">
        <v>820</v>
      </c>
      <c r="J387" s="1007" t="s">
        <v>16</v>
      </c>
      <c r="K387" s="572" t="s">
        <v>535</v>
      </c>
      <c r="L387" s="1002" t="s">
        <v>113</v>
      </c>
      <c r="M387" s="1086">
        <v>2</v>
      </c>
      <c r="N387" s="1129">
        <v>851852</v>
      </c>
      <c r="O387" s="1129">
        <f t="shared" si="73"/>
        <v>1703704</v>
      </c>
      <c r="P387" s="1129">
        <f t="shared" si="74"/>
        <v>136296.32000000001</v>
      </c>
      <c r="Q387" s="1129">
        <f t="shared" si="75"/>
        <v>1840000.32</v>
      </c>
      <c r="R387" s="1081"/>
      <c r="S387" s="1083"/>
      <c r="T387" s="1083"/>
      <c r="U387" s="1083"/>
      <c r="V387" s="1083">
        <f t="shared" si="76"/>
        <v>1840000.32</v>
      </c>
    </row>
    <row r="388" spans="1:22" s="1002" customFormat="1" hidden="1">
      <c r="A388" s="1000" t="s">
        <v>768</v>
      </c>
      <c r="B388" s="1001" t="s">
        <v>770</v>
      </c>
      <c r="C388" s="1084" t="s">
        <v>19</v>
      </c>
      <c r="D388" s="1084"/>
      <c r="F388" s="1105" t="s">
        <v>536</v>
      </c>
      <c r="H388" s="1111" t="s">
        <v>537</v>
      </c>
      <c r="I388" s="1002" t="s">
        <v>820</v>
      </c>
      <c r="J388" s="1007" t="s">
        <v>48</v>
      </c>
      <c r="K388" s="1002" t="s">
        <v>49</v>
      </c>
      <c r="L388" s="1002" t="s">
        <v>113</v>
      </c>
      <c r="M388" s="1086">
        <v>12</v>
      </c>
      <c r="N388" s="1129">
        <v>601852</v>
      </c>
      <c r="O388" s="1129">
        <f t="shared" si="73"/>
        <v>7222224</v>
      </c>
      <c r="P388" s="1129">
        <f t="shared" si="74"/>
        <v>577777.92000000004</v>
      </c>
      <c r="Q388" s="1129">
        <f t="shared" si="75"/>
        <v>7800001.9199999999</v>
      </c>
      <c r="R388" s="1081"/>
      <c r="S388" s="1083"/>
      <c r="T388" s="1083"/>
      <c r="U388" s="1083"/>
      <c r="V388" s="1083">
        <f t="shared" si="76"/>
        <v>7800001.9199999999</v>
      </c>
    </row>
    <row r="389" spans="1:22" s="1002" customFormat="1" ht="31.5" hidden="1">
      <c r="A389" s="1000" t="s">
        <v>768</v>
      </c>
      <c r="B389" s="1001" t="s">
        <v>770</v>
      </c>
      <c r="C389" s="1084" t="s">
        <v>19</v>
      </c>
      <c r="D389" s="1084"/>
      <c r="F389" s="1105" t="s">
        <v>536</v>
      </c>
      <c r="H389" s="1111" t="s">
        <v>537</v>
      </c>
      <c r="I389" s="1002" t="s">
        <v>820</v>
      </c>
      <c r="J389" s="1007" t="s">
        <v>540</v>
      </c>
      <c r="K389" s="572" t="s">
        <v>229</v>
      </c>
      <c r="L389" s="1002" t="s">
        <v>113</v>
      </c>
      <c r="M389" s="1086">
        <v>12</v>
      </c>
      <c r="N389" s="1129">
        <v>324074</v>
      </c>
      <c r="O389" s="1129">
        <f t="shared" si="73"/>
        <v>3888888</v>
      </c>
      <c r="P389" s="1129">
        <f t="shared" si="74"/>
        <v>311111.03999999998</v>
      </c>
      <c r="Q389" s="1129">
        <f t="shared" si="75"/>
        <v>4199999.04</v>
      </c>
      <c r="R389" s="1081"/>
      <c r="S389" s="1083"/>
      <c r="T389" s="1083"/>
      <c r="U389" s="1083"/>
      <c r="V389" s="1083">
        <f t="shared" si="76"/>
        <v>4199999.04</v>
      </c>
    </row>
    <row r="390" spans="1:22" s="1002" customFormat="1" ht="31.5" hidden="1">
      <c r="A390" s="1000" t="s">
        <v>768</v>
      </c>
      <c r="B390" s="1001" t="s">
        <v>770</v>
      </c>
      <c r="C390" s="1084" t="s">
        <v>19</v>
      </c>
      <c r="D390" s="1084"/>
      <c r="F390" s="1105" t="s">
        <v>536</v>
      </c>
      <c r="H390" s="1111" t="s">
        <v>537</v>
      </c>
      <c r="I390" s="1002" t="s">
        <v>820</v>
      </c>
      <c r="J390" s="1007" t="s">
        <v>56</v>
      </c>
      <c r="K390" s="572" t="s">
        <v>541</v>
      </c>
      <c r="L390" s="1002" t="s">
        <v>113</v>
      </c>
      <c r="M390" s="1086">
        <v>24</v>
      </c>
      <c r="N390" s="1129">
        <v>325926</v>
      </c>
      <c r="O390" s="1129">
        <f t="shared" si="73"/>
        <v>7822224</v>
      </c>
      <c r="P390" s="1129">
        <f t="shared" si="74"/>
        <v>625777.92000000004</v>
      </c>
      <c r="Q390" s="1129">
        <f t="shared" si="75"/>
        <v>8448001.9199999999</v>
      </c>
      <c r="R390" s="1081"/>
      <c r="S390" s="1083"/>
      <c r="T390" s="1083"/>
      <c r="U390" s="1083"/>
      <c r="V390" s="1083">
        <f t="shared" si="76"/>
        <v>8448001.9199999999</v>
      </c>
    </row>
    <row r="391" spans="1:22" s="1002" customFormat="1" hidden="1">
      <c r="A391" s="1000" t="s">
        <v>768</v>
      </c>
      <c r="B391" s="1001" t="s">
        <v>770</v>
      </c>
      <c r="C391" s="1084" t="s">
        <v>19</v>
      </c>
      <c r="D391" s="1084"/>
      <c r="F391" s="1105" t="s">
        <v>19</v>
      </c>
      <c r="H391" s="1106" t="s">
        <v>531</v>
      </c>
      <c r="I391" s="1002" t="s">
        <v>862</v>
      </c>
      <c r="J391" s="1007" t="s">
        <v>62</v>
      </c>
      <c r="K391" s="572" t="s">
        <v>63</v>
      </c>
      <c r="L391" s="1002" t="s">
        <v>113</v>
      </c>
      <c r="M391" s="1086">
        <v>12</v>
      </c>
      <c r="N391" s="1129"/>
      <c r="O391" s="1129"/>
      <c r="P391" s="1107"/>
      <c r="Q391" s="1107"/>
      <c r="R391" s="1081"/>
      <c r="S391" s="1083"/>
      <c r="T391" s="1083"/>
      <c r="U391" s="1083"/>
      <c r="V391" s="1083">
        <f t="shared" si="76"/>
        <v>0</v>
      </c>
    </row>
    <row r="392" spans="1:22" s="1002" customFormat="1" hidden="1">
      <c r="A392" s="1000" t="s">
        <v>768</v>
      </c>
      <c r="B392" s="1001" t="s">
        <v>770</v>
      </c>
      <c r="C392" s="1084"/>
      <c r="D392" s="1084"/>
      <c r="F392" s="1105"/>
      <c r="H392" s="1106"/>
      <c r="I392" s="1002" t="s">
        <v>868</v>
      </c>
      <c r="J392" s="1007"/>
      <c r="K392" s="572"/>
      <c r="L392" s="1109"/>
      <c r="M392" s="1086"/>
      <c r="N392" s="1129"/>
      <c r="O392" s="1129"/>
      <c r="P392" s="1107"/>
      <c r="Q392" s="1107"/>
      <c r="R392" s="1081"/>
      <c r="S392" s="1083">
        <f>2%*SUM(Q373:Q390)</f>
        <v>1257119.784</v>
      </c>
      <c r="T392" s="1083"/>
      <c r="U392" s="1083"/>
      <c r="V392" s="1083">
        <f t="shared" si="76"/>
        <v>-1257119.784</v>
      </c>
    </row>
    <row r="393" spans="1:22" s="1002" customFormat="1" hidden="1">
      <c r="A393" s="1000" t="s">
        <v>768</v>
      </c>
      <c r="B393" s="1001" t="s">
        <v>770</v>
      </c>
      <c r="C393" s="1142">
        <v>46054</v>
      </c>
      <c r="D393" s="1142"/>
      <c r="F393" s="1143"/>
      <c r="H393" s="1144" t="s">
        <v>542</v>
      </c>
      <c r="I393" s="1002" t="s">
        <v>844</v>
      </c>
      <c r="J393" s="1007"/>
      <c r="K393" s="1025"/>
      <c r="L393" s="1145"/>
      <c r="M393" s="1146"/>
      <c r="N393" s="1147"/>
      <c r="O393" s="1147">
        <f t="shared" si="73"/>
        <v>0</v>
      </c>
      <c r="P393" s="1148">
        <f t="shared" si="74"/>
        <v>0</v>
      </c>
      <c r="Q393" s="1148">
        <f t="shared" si="75"/>
        <v>0</v>
      </c>
      <c r="R393" s="1148">
        <v>18656000</v>
      </c>
      <c r="S393" s="1083"/>
      <c r="T393" s="1083"/>
      <c r="U393" s="1083"/>
      <c r="V393" s="1083">
        <f t="shared" si="76"/>
        <v>-18656000</v>
      </c>
    </row>
    <row r="394" spans="1:22" s="1002" customFormat="1" hidden="1">
      <c r="A394" s="1000" t="s">
        <v>768</v>
      </c>
      <c r="B394" s="1001" t="s">
        <v>770</v>
      </c>
      <c r="C394" s="1084">
        <v>46083</v>
      </c>
      <c r="D394" s="1084"/>
      <c r="F394" s="1105">
        <v>46114</v>
      </c>
      <c r="H394" s="1106" t="s">
        <v>544</v>
      </c>
      <c r="I394" s="1002" t="s">
        <v>820</v>
      </c>
      <c r="J394" s="1007" t="s">
        <v>260</v>
      </c>
      <c r="K394" s="572" t="s">
        <v>261</v>
      </c>
      <c r="L394" s="1002" t="s">
        <v>113</v>
      </c>
      <c r="M394" s="1086">
        <v>4</v>
      </c>
      <c r="N394" s="1129">
        <v>492592.59</v>
      </c>
      <c r="O394" s="1129">
        <f t="shared" si="73"/>
        <v>1970370.36</v>
      </c>
      <c r="P394" s="1129">
        <f t="shared" si="74"/>
        <v>157629.62880000001</v>
      </c>
      <c r="Q394" s="1129">
        <f t="shared" si="75"/>
        <v>2127999.9887999999</v>
      </c>
      <c r="R394" s="1081"/>
      <c r="S394" s="1083"/>
      <c r="T394" s="1083"/>
      <c r="U394" s="1083"/>
      <c r="V394" s="1083">
        <f t="shared" si="76"/>
        <v>2127999.9887999999</v>
      </c>
    </row>
    <row r="395" spans="1:22" s="1002" customFormat="1" hidden="1">
      <c r="A395" s="1000" t="s">
        <v>768</v>
      </c>
      <c r="B395" s="1001" t="s">
        <v>770</v>
      </c>
      <c r="C395" s="1084">
        <v>46083</v>
      </c>
      <c r="D395" s="1084"/>
      <c r="F395" s="1105">
        <v>46114</v>
      </c>
      <c r="H395" s="1106" t="s">
        <v>544</v>
      </c>
      <c r="I395" s="1002" t="s">
        <v>820</v>
      </c>
      <c r="J395" s="1007" t="s">
        <v>62</v>
      </c>
      <c r="K395" s="572" t="s">
        <v>63</v>
      </c>
      <c r="L395" s="1002" t="s">
        <v>113</v>
      </c>
      <c r="M395" s="1086">
        <v>10</v>
      </c>
      <c r="N395" s="1129">
        <v>78703.7</v>
      </c>
      <c r="O395" s="1129">
        <f t="shared" si="73"/>
        <v>787037</v>
      </c>
      <c r="P395" s="1129">
        <f t="shared" si="74"/>
        <v>62962.96</v>
      </c>
      <c r="Q395" s="1129">
        <f t="shared" si="75"/>
        <v>849999.96</v>
      </c>
      <c r="R395" s="1081"/>
      <c r="S395" s="1083"/>
      <c r="T395" s="1083"/>
      <c r="U395" s="1083"/>
      <c r="V395" s="1083">
        <f t="shared" si="76"/>
        <v>849999.96</v>
      </c>
    </row>
    <row r="396" spans="1:22" s="1002" customFormat="1" ht="31.5" hidden="1">
      <c r="A396" s="1000" t="s">
        <v>768</v>
      </c>
      <c r="B396" s="1001" t="s">
        <v>770</v>
      </c>
      <c r="C396" s="1084">
        <v>46083</v>
      </c>
      <c r="D396" s="1084"/>
      <c r="F396" s="1105">
        <v>46114</v>
      </c>
      <c r="H396" s="1106" t="s">
        <v>544</v>
      </c>
      <c r="I396" s="1002" t="s">
        <v>820</v>
      </c>
      <c r="J396" s="1007" t="s">
        <v>38</v>
      </c>
      <c r="K396" s="572" t="s">
        <v>39</v>
      </c>
      <c r="L396" s="1002" t="s">
        <v>113</v>
      </c>
      <c r="M396" s="1086">
        <v>10</v>
      </c>
      <c r="N396" s="1129">
        <v>277777.77</v>
      </c>
      <c r="O396" s="1129">
        <f t="shared" si="73"/>
        <v>2777777.7</v>
      </c>
      <c r="P396" s="1129">
        <f t="shared" si="74"/>
        <v>222222.21600000001</v>
      </c>
      <c r="Q396" s="1129">
        <f t="shared" si="75"/>
        <v>2999999.9160000002</v>
      </c>
      <c r="R396" s="1081"/>
      <c r="S396" s="1083"/>
      <c r="T396" s="1083"/>
      <c r="U396" s="1083"/>
      <c r="V396" s="1083">
        <f t="shared" si="76"/>
        <v>2999999.9160000002</v>
      </c>
    </row>
    <row r="397" spans="1:22" s="1002" customFormat="1" ht="31.5" hidden="1">
      <c r="A397" s="1000" t="s">
        <v>768</v>
      </c>
      <c r="B397" s="1001" t="s">
        <v>770</v>
      </c>
      <c r="C397" s="1084">
        <v>46083</v>
      </c>
      <c r="D397" s="1084"/>
      <c r="F397" s="1105">
        <v>46114</v>
      </c>
      <c r="H397" s="1106" t="s">
        <v>544</v>
      </c>
      <c r="I397" s="1002" t="s">
        <v>820</v>
      </c>
      <c r="J397" s="1007" t="s">
        <v>40</v>
      </c>
      <c r="K397" s="572" t="s">
        <v>41</v>
      </c>
      <c r="L397" s="1002" t="s">
        <v>113</v>
      </c>
      <c r="M397" s="1086">
        <v>2</v>
      </c>
      <c r="N397" s="1129">
        <v>844444.44</v>
      </c>
      <c r="O397" s="1129">
        <f t="shared" si="73"/>
        <v>1688888.88</v>
      </c>
      <c r="P397" s="1129">
        <f t="shared" si="74"/>
        <v>135111.11040000001</v>
      </c>
      <c r="Q397" s="1129">
        <f t="shared" si="75"/>
        <v>1823999.9904</v>
      </c>
      <c r="R397" s="1081"/>
      <c r="S397" s="1083"/>
      <c r="T397" s="1083"/>
      <c r="U397" s="1083"/>
      <c r="V397" s="1083">
        <f t="shared" si="76"/>
        <v>1823999.9904</v>
      </c>
    </row>
    <row r="398" spans="1:22" s="1002" customFormat="1" ht="47.25" hidden="1">
      <c r="A398" s="1000" t="s">
        <v>768</v>
      </c>
      <c r="B398" s="1001" t="s">
        <v>770</v>
      </c>
      <c r="C398" s="1084">
        <v>46083</v>
      </c>
      <c r="D398" s="1084"/>
      <c r="F398" s="1105">
        <v>46297</v>
      </c>
      <c r="H398" s="1111" t="s">
        <v>533</v>
      </c>
      <c r="I398" s="1002" t="s">
        <v>820</v>
      </c>
      <c r="J398" s="1007" t="s">
        <v>16</v>
      </c>
      <c r="K398" s="572" t="s">
        <v>535</v>
      </c>
      <c r="L398" s="1002" t="s">
        <v>113</v>
      </c>
      <c r="M398" s="1086">
        <v>4</v>
      </c>
      <c r="N398" s="1129">
        <v>851852</v>
      </c>
      <c r="O398" s="1129">
        <f t="shared" si="73"/>
        <v>3407408</v>
      </c>
      <c r="P398" s="1129">
        <f t="shared" si="74"/>
        <v>272592.64000000001</v>
      </c>
      <c r="Q398" s="1129">
        <f t="shared" si="75"/>
        <v>3680000.64</v>
      </c>
      <c r="R398" s="1081"/>
      <c r="S398" s="1083"/>
      <c r="T398" s="1083"/>
      <c r="U398" s="1083"/>
      <c r="V398" s="1083">
        <f t="shared" si="76"/>
        <v>3680000.64</v>
      </c>
    </row>
    <row r="399" spans="1:22" s="1002" customFormat="1" hidden="1">
      <c r="A399" s="1000" t="s">
        <v>768</v>
      </c>
      <c r="B399" s="1001" t="s">
        <v>770</v>
      </c>
      <c r="C399" s="1142" t="s">
        <v>545</v>
      </c>
      <c r="D399" s="1142"/>
      <c r="F399" s="1143" t="s">
        <v>546</v>
      </c>
      <c r="H399" s="1144"/>
      <c r="I399" s="1002" t="s">
        <v>844</v>
      </c>
      <c r="J399" s="1007"/>
      <c r="K399" s="1025"/>
      <c r="L399" s="1145"/>
      <c r="M399" s="1146"/>
      <c r="N399" s="1147"/>
      <c r="O399" s="1147">
        <f>M399*N399</f>
        <v>0</v>
      </c>
      <c r="P399" s="1147">
        <f>O399*8%</f>
        <v>0</v>
      </c>
      <c r="Q399" s="1147">
        <f>O399+P399</f>
        <v>0</v>
      </c>
      <c r="R399" s="1148">
        <v>35233986</v>
      </c>
      <c r="S399" s="1083"/>
      <c r="T399" s="1083"/>
      <c r="U399" s="1083"/>
      <c r="V399" s="1083">
        <f t="shared" si="76"/>
        <v>-35233986</v>
      </c>
    </row>
    <row r="400" spans="1:22" s="1002" customFormat="1" ht="31.5" hidden="1">
      <c r="A400" s="1000" t="s">
        <v>768</v>
      </c>
      <c r="B400" s="1001" t="s">
        <v>770</v>
      </c>
      <c r="C400" s="1084">
        <v>46083</v>
      </c>
      <c r="D400" s="1084"/>
      <c r="F400" s="1105" t="s">
        <v>536</v>
      </c>
      <c r="H400" s="1111" t="s">
        <v>537</v>
      </c>
      <c r="I400" s="1002" t="s">
        <v>532</v>
      </c>
      <c r="J400" s="1007" t="s">
        <v>54</v>
      </c>
      <c r="K400" s="572" t="s">
        <v>229</v>
      </c>
      <c r="L400" s="1002" t="s">
        <v>113</v>
      </c>
      <c r="M400" s="1086">
        <v>12</v>
      </c>
      <c r="N400" s="1129">
        <v>324074.07</v>
      </c>
      <c r="O400" s="1129">
        <f t="shared" si="73"/>
        <v>3888888.84</v>
      </c>
      <c r="P400" s="1129">
        <f t="shared" si="74"/>
        <v>311111.10719999997</v>
      </c>
      <c r="Q400" s="1129">
        <f t="shared" si="75"/>
        <v>4199999.9472000003</v>
      </c>
      <c r="R400" s="1081"/>
      <c r="S400" s="1083"/>
      <c r="T400" s="1083"/>
      <c r="U400" s="1083"/>
      <c r="V400" s="1083">
        <f t="shared" si="76"/>
        <v>4199999.9472000003</v>
      </c>
    </row>
    <row r="401" spans="1:22" s="1002" customFormat="1" hidden="1">
      <c r="A401" s="1000" t="s">
        <v>768</v>
      </c>
      <c r="B401" s="1001" t="s">
        <v>770</v>
      </c>
      <c r="C401" s="1142"/>
      <c r="D401" s="1142"/>
      <c r="F401" s="1143">
        <v>46147</v>
      </c>
      <c r="H401" s="1144"/>
      <c r="I401" s="1002" t="s">
        <v>844</v>
      </c>
      <c r="J401" s="1007"/>
      <c r="K401" s="1025"/>
      <c r="L401" s="1145"/>
      <c r="M401" s="1146"/>
      <c r="N401" s="1147"/>
      <c r="O401" s="1147">
        <f>M401*N401</f>
        <v>0</v>
      </c>
      <c r="P401" s="1147">
        <f>O401*8%</f>
        <v>0</v>
      </c>
      <c r="Q401" s="1147">
        <f>O401+P401</f>
        <v>0</v>
      </c>
      <c r="R401" s="1148">
        <v>23390844</v>
      </c>
      <c r="S401" s="1083"/>
      <c r="T401" s="1083"/>
      <c r="U401" s="1083"/>
      <c r="V401" s="1083">
        <f t="shared" si="76"/>
        <v>-23390844</v>
      </c>
    </row>
    <row r="402" spans="1:22" s="1002" customFormat="1" hidden="1">
      <c r="A402" s="1000" t="s">
        <v>768</v>
      </c>
      <c r="B402" s="1001" t="s">
        <v>770</v>
      </c>
      <c r="C402" s="1077"/>
      <c r="D402" s="1077"/>
      <c r="F402" s="1105">
        <v>46208</v>
      </c>
      <c r="H402" s="1040"/>
      <c r="I402" s="1018" t="s">
        <v>516</v>
      </c>
      <c r="J402" s="1007" t="s">
        <v>46</v>
      </c>
      <c r="K402" s="572" t="s">
        <v>47</v>
      </c>
      <c r="L402" s="1002" t="s">
        <v>113</v>
      </c>
      <c r="M402" s="1086">
        <v>-18</v>
      </c>
      <c r="N402" s="1129">
        <v>194444</v>
      </c>
      <c r="O402" s="1129">
        <f>M402*N402</f>
        <v>-3499992</v>
      </c>
      <c r="P402" s="1129">
        <f>O402*8%</f>
        <v>-279999.35999999999</v>
      </c>
      <c r="Q402" s="1129">
        <f>O402+P402</f>
        <v>-3779991.36</v>
      </c>
      <c r="R402" s="1081"/>
      <c r="S402" s="1083"/>
      <c r="T402" s="1083"/>
      <c r="U402" s="1083"/>
      <c r="V402" s="1083">
        <f t="shared" si="76"/>
        <v>-3779991.36</v>
      </c>
    </row>
    <row r="403" spans="1:22" s="1002" customFormat="1" ht="31.5" hidden="1">
      <c r="A403" s="1000" t="s">
        <v>768</v>
      </c>
      <c r="B403" s="1001" t="s">
        <v>770</v>
      </c>
      <c r="C403" s="1077"/>
      <c r="D403" s="1077"/>
      <c r="F403" s="1105">
        <v>46208</v>
      </c>
      <c r="H403" s="1040"/>
      <c r="I403" s="1018" t="s">
        <v>516</v>
      </c>
      <c r="J403" s="1007" t="s">
        <v>180</v>
      </c>
      <c r="K403" s="572" t="s">
        <v>181</v>
      </c>
      <c r="L403" s="1002" t="s">
        <v>113</v>
      </c>
      <c r="M403" s="1086">
        <v>-10</v>
      </c>
      <c r="N403" s="1129">
        <v>234259</v>
      </c>
      <c r="O403" s="1129">
        <f>M403*N403</f>
        <v>-2342590</v>
      </c>
      <c r="P403" s="1129">
        <f>O403*8%</f>
        <v>-187407.2</v>
      </c>
      <c r="Q403" s="1129">
        <f>O403+P403</f>
        <v>-2529997.2000000002</v>
      </c>
      <c r="R403" s="1081"/>
      <c r="S403" s="1083"/>
      <c r="T403" s="1083"/>
      <c r="U403" s="1083"/>
      <c r="V403" s="1083">
        <f t="shared" si="76"/>
        <v>-2529997.2000000002</v>
      </c>
    </row>
    <row r="404" spans="1:22" s="1002" customFormat="1" ht="31.5" hidden="1">
      <c r="A404" s="1000" t="s">
        <v>768</v>
      </c>
      <c r="B404" s="1001" t="s">
        <v>770</v>
      </c>
      <c r="C404" s="1077"/>
      <c r="D404" s="1077"/>
      <c r="F404" s="1105">
        <v>46208</v>
      </c>
      <c r="H404" s="1040"/>
      <c r="I404" s="1018" t="s">
        <v>516</v>
      </c>
      <c r="J404" s="1007" t="s">
        <v>26</v>
      </c>
      <c r="K404" s="572" t="s">
        <v>27</v>
      </c>
      <c r="L404" s="1002" t="s">
        <v>113</v>
      </c>
      <c r="M404" s="1086">
        <v>-10</v>
      </c>
      <c r="N404" s="1129">
        <v>256481</v>
      </c>
      <c r="O404" s="1129">
        <f>M404*N404</f>
        <v>-2564810</v>
      </c>
      <c r="P404" s="1129">
        <f>O404*8%</f>
        <v>-205184.80000000002</v>
      </c>
      <c r="Q404" s="1129">
        <f>O404+P404</f>
        <v>-2769994.8</v>
      </c>
      <c r="R404" s="1081"/>
      <c r="S404" s="1083"/>
      <c r="T404" s="1083"/>
      <c r="U404" s="1083"/>
      <c r="V404" s="1083">
        <f t="shared" si="76"/>
        <v>-2769994.8</v>
      </c>
    </row>
    <row r="405" spans="1:22" s="1002" customFormat="1" ht="31.5" hidden="1">
      <c r="A405" s="1000" t="s">
        <v>768</v>
      </c>
      <c r="B405" s="1001" t="s">
        <v>770</v>
      </c>
      <c r="C405" s="1077"/>
      <c r="D405" s="1077"/>
      <c r="F405" s="1105">
        <v>46208</v>
      </c>
      <c r="H405" s="1040"/>
      <c r="I405" s="1018" t="s">
        <v>516</v>
      </c>
      <c r="J405" s="1007" t="s">
        <v>184</v>
      </c>
      <c r="K405" s="572" t="s">
        <v>272</v>
      </c>
      <c r="L405" s="1002" t="s">
        <v>113</v>
      </c>
      <c r="M405" s="1086">
        <v>-10</v>
      </c>
      <c r="N405" s="1129">
        <v>227778</v>
      </c>
      <c r="O405" s="1129">
        <f>M405*N405</f>
        <v>-2277780</v>
      </c>
      <c r="P405" s="1129">
        <f>O405*8%</f>
        <v>-182222.4</v>
      </c>
      <c r="Q405" s="1129">
        <f>O405+P405</f>
        <v>-2460002.4</v>
      </c>
      <c r="R405" s="1081"/>
      <c r="S405" s="1083"/>
      <c r="T405" s="1083"/>
      <c r="U405" s="1083"/>
      <c r="V405" s="1083">
        <f t="shared" si="76"/>
        <v>-2460002.4</v>
      </c>
    </row>
    <row r="406" spans="1:22" s="1002" customFormat="1" ht="31.5" hidden="1">
      <c r="A406" s="1000" t="s">
        <v>768</v>
      </c>
      <c r="B406" s="1001" t="s">
        <v>770</v>
      </c>
      <c r="C406" s="1084">
        <v>46117</v>
      </c>
      <c r="D406" s="1084"/>
      <c r="F406" s="1105">
        <v>46208</v>
      </c>
      <c r="H406" s="1111" t="s">
        <v>548</v>
      </c>
      <c r="I406" s="1002" t="s">
        <v>820</v>
      </c>
      <c r="J406" s="1007" t="s">
        <v>355</v>
      </c>
      <c r="K406" s="572" t="s">
        <v>356</v>
      </c>
      <c r="L406" s="1002" t="s">
        <v>25</v>
      </c>
      <c r="M406" s="1086">
        <v>2</v>
      </c>
      <c r="N406" s="1129">
        <v>1043518.52</v>
      </c>
      <c r="O406" s="1129">
        <f t="shared" si="73"/>
        <v>2087037.04</v>
      </c>
      <c r="P406" s="1129">
        <f t="shared" si="74"/>
        <v>166962.9632</v>
      </c>
      <c r="Q406" s="1129">
        <f t="shared" si="75"/>
        <v>2254000.0032000002</v>
      </c>
      <c r="R406" s="1081"/>
      <c r="S406" s="1083"/>
      <c r="T406" s="1083"/>
      <c r="U406" s="1083"/>
      <c r="V406" s="1083">
        <f t="shared" si="76"/>
        <v>2254000.0032000002</v>
      </c>
    </row>
    <row r="407" spans="1:22" s="1002" customFormat="1" hidden="1">
      <c r="A407" s="1000" t="s">
        <v>768</v>
      </c>
      <c r="B407" s="1001" t="s">
        <v>770</v>
      </c>
      <c r="C407" s="1084">
        <v>46117</v>
      </c>
      <c r="D407" s="1084"/>
      <c r="F407" s="1105">
        <v>46208</v>
      </c>
      <c r="H407" s="1111" t="s">
        <v>548</v>
      </c>
      <c r="I407" s="1002" t="s">
        <v>820</v>
      </c>
      <c r="J407" s="1007" t="s">
        <v>262</v>
      </c>
      <c r="K407" s="572" t="s">
        <v>263</v>
      </c>
      <c r="L407" s="1002" t="s">
        <v>25</v>
      </c>
      <c r="M407" s="1086">
        <v>2</v>
      </c>
      <c r="N407" s="1129">
        <v>851851.85</v>
      </c>
      <c r="O407" s="1129">
        <f t="shared" si="73"/>
        <v>1703703.7</v>
      </c>
      <c r="P407" s="1129">
        <f t="shared" si="74"/>
        <v>136296.296</v>
      </c>
      <c r="Q407" s="1129">
        <f t="shared" si="75"/>
        <v>1839999.996</v>
      </c>
      <c r="R407" s="1081"/>
      <c r="S407" s="1083"/>
      <c r="T407" s="1083"/>
      <c r="U407" s="1083"/>
      <c r="V407" s="1083">
        <f t="shared" si="76"/>
        <v>1839999.996</v>
      </c>
    </row>
    <row r="408" spans="1:22" s="1002" customFormat="1" ht="31.5" hidden="1">
      <c r="A408" s="1000" t="s">
        <v>768</v>
      </c>
      <c r="B408" s="1001" t="s">
        <v>770</v>
      </c>
      <c r="C408" s="1084">
        <v>46117</v>
      </c>
      <c r="D408" s="1084"/>
      <c r="F408" s="1105">
        <v>46208</v>
      </c>
      <c r="H408" s="1111" t="s">
        <v>548</v>
      </c>
      <c r="I408" s="1002" t="s">
        <v>820</v>
      </c>
      <c r="J408" s="1007" t="s">
        <v>30</v>
      </c>
      <c r="K408" s="572" t="s">
        <v>31</v>
      </c>
      <c r="L408" s="1002" t="s">
        <v>113</v>
      </c>
      <c r="M408" s="1086">
        <v>20</v>
      </c>
      <c r="N408" s="1129">
        <v>252777.78</v>
      </c>
      <c r="O408" s="1129">
        <f t="shared" si="73"/>
        <v>5055555.5999999996</v>
      </c>
      <c r="P408" s="1129">
        <f t="shared" si="74"/>
        <v>404444.44799999997</v>
      </c>
      <c r="Q408" s="1129">
        <f t="shared" si="75"/>
        <v>5460000.0479999995</v>
      </c>
      <c r="R408" s="1081"/>
      <c r="S408" s="1083"/>
      <c r="T408" s="1083"/>
      <c r="U408" s="1083"/>
      <c r="V408" s="1083">
        <f t="shared" si="76"/>
        <v>5460000.0479999995</v>
      </c>
    </row>
    <row r="409" spans="1:22" s="1002" customFormat="1" ht="31.5" hidden="1">
      <c r="A409" s="1000" t="s">
        <v>768</v>
      </c>
      <c r="B409" s="1001" t="s">
        <v>770</v>
      </c>
      <c r="C409" s="1084">
        <v>46117</v>
      </c>
      <c r="D409" s="1084"/>
      <c r="F409" s="1105">
        <v>46208</v>
      </c>
      <c r="H409" s="1111" t="s">
        <v>548</v>
      </c>
      <c r="I409" s="1002" t="s">
        <v>820</v>
      </c>
      <c r="J409" s="1007" t="s">
        <v>36</v>
      </c>
      <c r="K409" s="572" t="s">
        <v>37</v>
      </c>
      <c r="L409" s="1002" t="s">
        <v>113</v>
      </c>
      <c r="M409" s="1086">
        <v>20</v>
      </c>
      <c r="N409" s="1129">
        <v>252777.78</v>
      </c>
      <c r="O409" s="1129">
        <f t="shared" si="73"/>
        <v>5055555.5999999996</v>
      </c>
      <c r="P409" s="1129">
        <f t="shared" si="74"/>
        <v>404444.44799999997</v>
      </c>
      <c r="Q409" s="1129">
        <f t="shared" si="75"/>
        <v>5460000.0479999995</v>
      </c>
      <c r="R409" s="1081"/>
      <c r="S409" s="1083"/>
      <c r="T409" s="1083"/>
      <c r="U409" s="1083"/>
      <c r="V409" s="1083">
        <f t="shared" si="76"/>
        <v>5460000.0479999995</v>
      </c>
    </row>
    <row r="410" spans="1:22" s="1002" customFormat="1" ht="31.5" hidden="1">
      <c r="A410" s="1000" t="s">
        <v>768</v>
      </c>
      <c r="B410" s="1001" t="s">
        <v>770</v>
      </c>
      <c r="C410" s="1084">
        <v>46117</v>
      </c>
      <c r="D410" s="1084"/>
      <c r="F410" s="1105">
        <v>46208</v>
      </c>
      <c r="H410" s="1111" t="s">
        <v>548</v>
      </c>
      <c r="I410" s="1002" t="s">
        <v>820</v>
      </c>
      <c r="J410" s="1007" t="s">
        <v>38</v>
      </c>
      <c r="K410" s="572" t="s">
        <v>39</v>
      </c>
      <c r="L410" s="1002" t="s">
        <v>113</v>
      </c>
      <c r="M410" s="1086">
        <v>20</v>
      </c>
      <c r="N410" s="1129">
        <v>277777.78000000003</v>
      </c>
      <c r="O410" s="1129">
        <f t="shared" si="73"/>
        <v>5555555.6000000006</v>
      </c>
      <c r="P410" s="1129">
        <f t="shared" si="74"/>
        <v>444444.44800000003</v>
      </c>
      <c r="Q410" s="1129">
        <f t="shared" si="75"/>
        <v>6000000.0480000004</v>
      </c>
      <c r="R410" s="1081"/>
      <c r="S410" s="1083"/>
      <c r="T410" s="1083"/>
      <c r="U410" s="1083"/>
      <c r="V410" s="1083">
        <f t="shared" si="76"/>
        <v>6000000.0480000004</v>
      </c>
    </row>
    <row r="411" spans="1:22" s="1002" customFormat="1" ht="31.5" hidden="1">
      <c r="A411" s="1000" t="s">
        <v>768</v>
      </c>
      <c r="B411" s="1001" t="s">
        <v>770</v>
      </c>
      <c r="C411" s="1084">
        <v>46117</v>
      </c>
      <c r="D411" s="1084"/>
      <c r="F411" s="1105">
        <v>46208</v>
      </c>
      <c r="H411" s="1111" t="s">
        <v>548</v>
      </c>
      <c r="I411" s="1002" t="s">
        <v>820</v>
      </c>
      <c r="J411" s="1007" t="s">
        <v>60</v>
      </c>
      <c r="K411" s="572" t="s">
        <v>61</v>
      </c>
      <c r="L411" s="1002" t="s">
        <v>113</v>
      </c>
      <c r="M411" s="1086">
        <v>4</v>
      </c>
      <c r="N411" s="1129">
        <v>1138889</v>
      </c>
      <c r="O411" s="1129">
        <f t="shared" si="73"/>
        <v>4555556</v>
      </c>
      <c r="P411" s="1129">
        <f t="shared" si="74"/>
        <v>364444.48</v>
      </c>
      <c r="Q411" s="1129">
        <f t="shared" si="75"/>
        <v>4920000.4800000004</v>
      </c>
      <c r="R411" s="1081"/>
      <c r="S411" s="1083"/>
      <c r="T411" s="1083"/>
      <c r="U411" s="1083"/>
      <c r="V411" s="1083">
        <f t="shared" si="76"/>
        <v>4920000.4800000004</v>
      </c>
    </row>
    <row r="412" spans="1:22" s="1002" customFormat="1" ht="31.5" hidden="1">
      <c r="A412" s="1000" t="s">
        <v>768</v>
      </c>
      <c r="B412" s="1001" t="s">
        <v>770</v>
      </c>
      <c r="C412" s="1084">
        <v>46117</v>
      </c>
      <c r="D412" s="1084"/>
      <c r="F412" s="1105">
        <v>46208</v>
      </c>
      <c r="H412" s="1111" t="s">
        <v>548</v>
      </c>
      <c r="I412" s="1002" t="s">
        <v>820</v>
      </c>
      <c r="J412" s="1007" t="s">
        <v>83</v>
      </c>
      <c r="K412" s="572" t="s">
        <v>84</v>
      </c>
      <c r="L412" s="1002" t="s">
        <v>113</v>
      </c>
      <c r="M412" s="1086">
        <v>4</v>
      </c>
      <c r="N412" s="1129">
        <v>1097222.22</v>
      </c>
      <c r="O412" s="1129">
        <f t="shared" si="73"/>
        <v>4388888.88</v>
      </c>
      <c r="P412" s="1129">
        <f t="shared" si="74"/>
        <v>351111.11040000001</v>
      </c>
      <c r="Q412" s="1129">
        <f t="shared" si="75"/>
        <v>4739999.9903999995</v>
      </c>
      <c r="R412" s="1081"/>
      <c r="S412" s="1083"/>
      <c r="T412" s="1083"/>
      <c r="U412" s="1083"/>
      <c r="V412" s="1083">
        <f t="shared" si="76"/>
        <v>4739999.9903999995</v>
      </c>
    </row>
    <row r="413" spans="1:22" s="1002" customFormat="1" ht="31.5" hidden="1">
      <c r="A413" s="1000" t="s">
        <v>768</v>
      </c>
      <c r="B413" s="1001" t="s">
        <v>770</v>
      </c>
      <c r="C413" s="1084">
        <v>46117</v>
      </c>
      <c r="D413" s="1084"/>
      <c r="F413" s="1105">
        <v>46208</v>
      </c>
      <c r="H413" s="1111" t="s">
        <v>548</v>
      </c>
      <c r="I413" s="1002" t="s">
        <v>820</v>
      </c>
      <c r="J413" s="1007" t="s">
        <v>56</v>
      </c>
      <c r="K413" s="572" t="s">
        <v>57</v>
      </c>
      <c r="L413" s="1002" t="s">
        <v>113</v>
      </c>
      <c r="M413" s="1086">
        <v>60</v>
      </c>
      <c r="N413" s="1129">
        <v>325925.93</v>
      </c>
      <c r="O413" s="1129">
        <f t="shared" si="73"/>
        <v>19555555.800000001</v>
      </c>
      <c r="P413" s="1129">
        <f t="shared" si="74"/>
        <v>1564444.4640000002</v>
      </c>
      <c r="Q413" s="1129">
        <f t="shared" si="75"/>
        <v>21120000.264000002</v>
      </c>
      <c r="R413" s="1081"/>
      <c r="S413" s="1083"/>
      <c r="T413" s="1083"/>
      <c r="U413" s="1083"/>
      <c r="V413" s="1083">
        <f t="shared" si="76"/>
        <v>21120000.264000002</v>
      </c>
    </row>
    <row r="414" spans="1:22" s="1002" customFormat="1" hidden="1">
      <c r="A414" s="1000" t="s">
        <v>768</v>
      </c>
      <c r="B414" s="1001" t="s">
        <v>770</v>
      </c>
      <c r="C414" s="1084">
        <v>46117</v>
      </c>
      <c r="D414" s="1084"/>
      <c r="F414" s="1105">
        <v>46208</v>
      </c>
      <c r="H414" s="1111" t="s">
        <v>548</v>
      </c>
      <c r="I414" s="1002" t="s">
        <v>820</v>
      </c>
      <c r="J414" s="1007" t="s">
        <v>62</v>
      </c>
      <c r="K414" s="572" t="s">
        <v>63</v>
      </c>
      <c r="L414" s="1002" t="s">
        <v>113</v>
      </c>
      <c r="M414" s="1086">
        <v>10</v>
      </c>
      <c r="N414" s="1129">
        <v>78703.7</v>
      </c>
      <c r="O414" s="1129">
        <f t="shared" si="73"/>
        <v>787037</v>
      </c>
      <c r="P414" s="1129">
        <f t="shared" si="74"/>
        <v>62962.96</v>
      </c>
      <c r="Q414" s="1129">
        <f t="shared" si="75"/>
        <v>849999.96</v>
      </c>
      <c r="R414" s="1081"/>
      <c r="S414" s="1083"/>
      <c r="T414" s="1083"/>
      <c r="U414" s="1083"/>
      <c r="V414" s="1083">
        <f t="shared" si="76"/>
        <v>849999.96</v>
      </c>
    </row>
    <row r="415" spans="1:22" s="1002" customFormat="1" hidden="1">
      <c r="A415" s="1000" t="s">
        <v>768</v>
      </c>
      <c r="B415" s="1001" t="s">
        <v>770</v>
      </c>
      <c r="C415" s="1084">
        <v>46117</v>
      </c>
      <c r="D415" s="1084"/>
      <c r="F415" s="1105">
        <v>46208</v>
      </c>
      <c r="H415" s="1111" t="s">
        <v>548</v>
      </c>
      <c r="I415" s="1002" t="s">
        <v>820</v>
      </c>
      <c r="J415" s="1007" t="s">
        <v>74</v>
      </c>
      <c r="K415" s="572" t="s">
        <v>141</v>
      </c>
      <c r="L415" s="1002" t="s">
        <v>113</v>
      </c>
      <c r="M415" s="1086">
        <v>8</v>
      </c>
      <c r="N415" s="1129">
        <v>361111.11</v>
      </c>
      <c r="O415" s="1129">
        <f t="shared" si="73"/>
        <v>2888888.88</v>
      </c>
      <c r="P415" s="1129">
        <f t="shared" si="74"/>
        <v>231111.11040000001</v>
      </c>
      <c r="Q415" s="1129">
        <f t="shared" si="75"/>
        <v>3119999.9904</v>
      </c>
      <c r="R415" s="1081"/>
      <c r="S415" s="1083"/>
      <c r="T415" s="1083"/>
      <c r="U415" s="1083"/>
      <c r="V415" s="1083">
        <f t="shared" si="76"/>
        <v>3119999.9904</v>
      </c>
    </row>
    <row r="416" spans="1:22" s="1002" customFormat="1" hidden="1">
      <c r="A416" s="1000" t="s">
        <v>768</v>
      </c>
      <c r="B416" s="1001" t="s">
        <v>770</v>
      </c>
      <c r="C416" s="1084">
        <v>46117</v>
      </c>
      <c r="D416" s="1084"/>
      <c r="F416" s="1105">
        <v>46208</v>
      </c>
      <c r="H416" s="1111" t="s">
        <v>548</v>
      </c>
      <c r="I416" s="1002" t="s">
        <v>820</v>
      </c>
      <c r="J416" s="1007" t="s">
        <v>274</v>
      </c>
      <c r="K416" s="572" t="s">
        <v>297</v>
      </c>
      <c r="L416" s="1002" t="s">
        <v>25</v>
      </c>
      <c r="M416" s="1086">
        <v>20</v>
      </c>
      <c r="N416" s="1129">
        <v>416666.66</v>
      </c>
      <c r="O416" s="1129">
        <f t="shared" si="73"/>
        <v>8333333.1999999993</v>
      </c>
      <c r="P416" s="1129">
        <f t="shared" si="74"/>
        <v>666666.65599999996</v>
      </c>
      <c r="Q416" s="1129">
        <f t="shared" si="75"/>
        <v>8999999.8559999987</v>
      </c>
      <c r="R416" s="1081"/>
      <c r="S416" s="1083"/>
      <c r="T416" s="1083"/>
      <c r="U416" s="1083"/>
      <c r="V416" s="1083">
        <f t="shared" si="76"/>
        <v>8999999.8559999987</v>
      </c>
    </row>
    <row r="417" spans="1:22" s="1002" customFormat="1" hidden="1">
      <c r="A417" s="1000" t="s">
        <v>768</v>
      </c>
      <c r="B417" s="1001" t="s">
        <v>770</v>
      </c>
      <c r="C417" s="1084">
        <v>46117</v>
      </c>
      <c r="D417" s="1084"/>
      <c r="F417" s="1105">
        <v>46208</v>
      </c>
      <c r="H417" s="1111" t="s">
        <v>548</v>
      </c>
      <c r="I417" s="1002" t="s">
        <v>820</v>
      </c>
      <c r="J417" s="1007" t="s">
        <v>77</v>
      </c>
      <c r="K417" s="572" t="s">
        <v>78</v>
      </c>
      <c r="L417" s="1002" t="s">
        <v>25</v>
      </c>
      <c r="M417" s="1086">
        <v>11</v>
      </c>
      <c r="N417" s="1129">
        <v>324074.07</v>
      </c>
      <c r="O417" s="1129">
        <f t="shared" si="73"/>
        <v>3564814.77</v>
      </c>
      <c r="P417" s="1129">
        <f t="shared" si="74"/>
        <v>285185.18160000001</v>
      </c>
      <c r="Q417" s="1129">
        <f t="shared" si="75"/>
        <v>3849999.9516000003</v>
      </c>
      <c r="R417" s="1081"/>
      <c r="S417" s="1083"/>
      <c r="T417" s="1083"/>
      <c r="U417" s="1083"/>
      <c r="V417" s="1083">
        <f t="shared" si="76"/>
        <v>3849999.9516000003</v>
      </c>
    </row>
    <row r="418" spans="1:22" s="1002" customFormat="1" ht="31.5" hidden="1">
      <c r="A418" s="1000" t="s">
        <v>768</v>
      </c>
      <c r="B418" s="1001" t="s">
        <v>770</v>
      </c>
      <c r="C418" s="1077">
        <v>46117</v>
      </c>
      <c r="D418" s="1077"/>
      <c r="F418" s="1110" t="s">
        <v>331</v>
      </c>
      <c r="H418" s="1111" t="s">
        <v>549</v>
      </c>
      <c r="I418" s="1002" t="s">
        <v>820</v>
      </c>
      <c r="J418" s="1007" t="s">
        <v>301</v>
      </c>
      <c r="K418" s="1013" t="s">
        <v>302</v>
      </c>
      <c r="L418" s="1008" t="s">
        <v>113</v>
      </c>
      <c r="M418" s="1093">
        <v>20</v>
      </c>
      <c r="N418" s="1129">
        <v>268518.52</v>
      </c>
      <c r="O418" s="1129">
        <f t="shared" si="73"/>
        <v>5370370.4000000004</v>
      </c>
      <c r="P418" s="1129">
        <f t="shared" si="74"/>
        <v>429629.63200000004</v>
      </c>
      <c r="Q418" s="1129">
        <f t="shared" si="75"/>
        <v>5800000.0320000006</v>
      </c>
      <c r="R418" s="1081"/>
      <c r="S418" s="1083"/>
      <c r="T418" s="1083"/>
      <c r="U418" s="1083"/>
      <c r="V418" s="1083">
        <f t="shared" si="76"/>
        <v>5800000.0320000006</v>
      </c>
    </row>
    <row r="419" spans="1:22" s="1002" customFormat="1" ht="31.5" hidden="1">
      <c r="A419" s="1000" t="s">
        <v>768</v>
      </c>
      <c r="B419" s="1001" t="s">
        <v>770</v>
      </c>
      <c r="C419" s="1077">
        <v>46059</v>
      </c>
      <c r="D419" s="1077"/>
      <c r="F419" s="1110">
        <v>46059</v>
      </c>
      <c r="H419" s="1111" t="s">
        <v>550</v>
      </c>
      <c r="I419" s="1002" t="s">
        <v>820</v>
      </c>
      <c r="J419" s="1007" t="s">
        <v>301</v>
      </c>
      <c r="K419" s="1013" t="s">
        <v>302</v>
      </c>
      <c r="L419" s="1008" t="s">
        <v>113</v>
      </c>
      <c r="M419" s="1093">
        <v>20</v>
      </c>
      <c r="N419" s="1129">
        <v>268518.52</v>
      </c>
      <c r="O419" s="1129">
        <f t="shared" si="73"/>
        <v>5370370.4000000004</v>
      </c>
      <c r="P419" s="1129">
        <f t="shared" si="74"/>
        <v>429629.63200000004</v>
      </c>
      <c r="Q419" s="1129">
        <f t="shared" si="75"/>
        <v>5800000.0320000006</v>
      </c>
      <c r="R419" s="1081"/>
      <c r="S419" s="1083"/>
      <c r="T419" s="1083"/>
      <c r="U419" s="1083"/>
      <c r="V419" s="1083">
        <f t="shared" si="76"/>
        <v>5800000.0320000006</v>
      </c>
    </row>
    <row r="420" spans="1:22" s="1002" customFormat="1" hidden="1">
      <c r="A420" s="1000" t="s">
        <v>768</v>
      </c>
      <c r="B420" s="1001" t="s">
        <v>770</v>
      </c>
      <c r="C420" s="1142"/>
      <c r="D420" s="1142"/>
      <c r="F420" s="1143">
        <v>46271</v>
      </c>
      <c r="H420" s="1144"/>
      <c r="I420" s="1002" t="s">
        <v>844</v>
      </c>
      <c r="J420" s="1007"/>
      <c r="K420" s="1025"/>
      <c r="L420" s="1145"/>
      <c r="M420" s="1146"/>
      <c r="N420" s="1147"/>
      <c r="O420" s="1147">
        <f t="shared" si="73"/>
        <v>0</v>
      </c>
      <c r="P420" s="1147">
        <f t="shared" si="74"/>
        <v>0</v>
      </c>
      <c r="Q420" s="1147">
        <f t="shared" si="75"/>
        <v>0</v>
      </c>
      <c r="R420" s="1148">
        <v>68674055</v>
      </c>
      <c r="S420" s="1083"/>
      <c r="T420" s="1083"/>
      <c r="U420" s="1083"/>
      <c r="V420" s="1083">
        <f t="shared" si="76"/>
        <v>-68674055</v>
      </c>
    </row>
    <row r="421" spans="1:22" s="1002" customFormat="1" hidden="1">
      <c r="A421" s="1000" t="s">
        <v>768</v>
      </c>
      <c r="B421" s="1001" t="s">
        <v>770</v>
      </c>
      <c r="C421" s="1077">
        <v>46183</v>
      </c>
      <c r="D421" s="1077"/>
      <c r="F421" s="1110">
        <v>46185</v>
      </c>
      <c r="H421" s="1111" t="s">
        <v>551</v>
      </c>
      <c r="I421" s="1002" t="s">
        <v>820</v>
      </c>
      <c r="J421" s="1007" t="s">
        <v>274</v>
      </c>
      <c r="K421" s="572" t="s">
        <v>297</v>
      </c>
      <c r="L421" s="1002" t="s">
        <v>25</v>
      </c>
      <c r="M421" s="1086">
        <v>20</v>
      </c>
      <c r="N421" s="1129">
        <v>416666.66</v>
      </c>
      <c r="O421" s="1129">
        <f t="shared" si="73"/>
        <v>8333333.1999999993</v>
      </c>
      <c r="P421" s="1129">
        <f t="shared" si="74"/>
        <v>666666.65599999996</v>
      </c>
      <c r="Q421" s="1129">
        <f t="shared" si="75"/>
        <v>8999999.8559999987</v>
      </c>
      <c r="R421" s="1081"/>
      <c r="S421" s="1083"/>
      <c r="T421" s="1083"/>
      <c r="U421" s="1083"/>
      <c r="V421" s="1083">
        <f t="shared" si="76"/>
        <v>8999999.8559999987</v>
      </c>
    </row>
    <row r="422" spans="1:22" s="1002" customFormat="1" hidden="1">
      <c r="A422" s="1000" t="s">
        <v>768</v>
      </c>
      <c r="B422" s="1001" t="s">
        <v>770</v>
      </c>
      <c r="C422" s="1077">
        <v>46183</v>
      </c>
      <c r="D422" s="1077"/>
      <c r="F422" s="1110">
        <v>46185</v>
      </c>
      <c r="H422" s="1040" t="s">
        <v>551</v>
      </c>
      <c r="I422" s="1002" t="s">
        <v>820</v>
      </c>
      <c r="J422" s="1007" t="s">
        <v>74</v>
      </c>
      <c r="K422" s="572" t="s">
        <v>141</v>
      </c>
      <c r="L422" s="1002" t="s">
        <v>113</v>
      </c>
      <c r="M422" s="1086">
        <v>24</v>
      </c>
      <c r="N422" s="1129">
        <v>361111.11</v>
      </c>
      <c r="O422" s="1129">
        <f t="shared" si="73"/>
        <v>8666666.6400000006</v>
      </c>
      <c r="P422" s="1129">
        <f t="shared" si="74"/>
        <v>693333.33120000002</v>
      </c>
      <c r="Q422" s="1129">
        <f t="shared" si="75"/>
        <v>9359999.9712000005</v>
      </c>
      <c r="R422" s="1081"/>
      <c r="S422" s="1083"/>
      <c r="T422" s="1083"/>
      <c r="U422" s="1083"/>
      <c r="V422" s="1083">
        <f t="shared" si="76"/>
        <v>9359999.9712000005</v>
      </c>
    </row>
    <row r="423" spans="1:22" s="1002" customFormat="1" hidden="1">
      <c r="A423" s="1000" t="s">
        <v>768</v>
      </c>
      <c r="B423" s="1001" t="s">
        <v>770</v>
      </c>
      <c r="C423" s="1077">
        <v>46183</v>
      </c>
      <c r="D423" s="1077"/>
      <c r="F423" s="1110"/>
      <c r="H423" s="1123" t="s">
        <v>335</v>
      </c>
      <c r="I423" s="1002" t="s">
        <v>820</v>
      </c>
      <c r="J423" s="1007" t="s">
        <v>85</v>
      </c>
      <c r="K423" s="1026" t="s">
        <v>86</v>
      </c>
      <c r="L423" s="1149" t="s">
        <v>113</v>
      </c>
      <c r="M423" s="1125">
        <v>30</v>
      </c>
      <c r="N423" s="1150">
        <v>509259.26</v>
      </c>
      <c r="O423" s="1150">
        <f t="shared" si="73"/>
        <v>15277777.800000001</v>
      </c>
      <c r="P423" s="1150">
        <f t="shared" si="74"/>
        <v>1222222.2240000002</v>
      </c>
      <c r="Q423" s="1150">
        <f t="shared" si="75"/>
        <v>16500000.024</v>
      </c>
      <c r="R423" s="1081"/>
      <c r="S423" s="1083"/>
      <c r="T423" s="1083"/>
      <c r="U423" s="1083"/>
      <c r="V423" s="1083">
        <f t="shared" si="76"/>
        <v>16500000.024</v>
      </c>
    </row>
    <row r="424" spans="1:22" s="1002" customFormat="1" hidden="1">
      <c r="A424" s="1000" t="s">
        <v>768</v>
      </c>
      <c r="B424" s="1001" t="s">
        <v>770</v>
      </c>
      <c r="C424" s="1077" t="s">
        <v>405</v>
      </c>
      <c r="D424" s="1077"/>
      <c r="F424" s="1110" t="s">
        <v>829</v>
      </c>
      <c r="H424" s="1111" t="s">
        <v>836</v>
      </c>
      <c r="I424" s="1002" t="s">
        <v>820</v>
      </c>
      <c r="J424" s="1007" t="s">
        <v>90</v>
      </c>
      <c r="K424" s="572" t="s">
        <v>91</v>
      </c>
      <c r="L424" s="1002" t="s">
        <v>92</v>
      </c>
      <c r="M424" s="1086">
        <v>20</v>
      </c>
      <c r="N424" s="1129">
        <v>814814.81</v>
      </c>
      <c r="O424" s="1129">
        <f t="shared" si="73"/>
        <v>16296296.200000001</v>
      </c>
      <c r="P424" s="1129">
        <f t="shared" si="74"/>
        <v>1303703.6960000002</v>
      </c>
      <c r="Q424" s="1129">
        <f t="shared" si="75"/>
        <v>17599999.896000002</v>
      </c>
      <c r="R424" s="1081"/>
      <c r="S424" s="1083"/>
      <c r="T424" s="1083"/>
      <c r="U424" s="1083"/>
      <c r="V424" s="1083">
        <f t="shared" si="76"/>
        <v>17599999.896000002</v>
      </c>
    </row>
    <row r="425" spans="1:22" s="1002" customFormat="1" hidden="1">
      <c r="A425" s="1000" t="s">
        <v>768</v>
      </c>
      <c r="B425" s="1001" t="s">
        <v>770</v>
      </c>
      <c r="C425" s="1077" t="s">
        <v>405</v>
      </c>
      <c r="D425" s="1077"/>
      <c r="F425" s="1110" t="s">
        <v>829</v>
      </c>
      <c r="H425" s="1111" t="s">
        <v>836</v>
      </c>
      <c r="I425" s="1002" t="s">
        <v>820</v>
      </c>
      <c r="J425" s="1007" t="s">
        <v>93</v>
      </c>
      <c r="K425" s="572" t="s">
        <v>94</v>
      </c>
      <c r="L425" s="1002" t="s">
        <v>92</v>
      </c>
      <c r="M425" s="1086">
        <v>2</v>
      </c>
      <c r="N425" s="1129">
        <v>907407.41</v>
      </c>
      <c r="O425" s="1129">
        <f t="shared" si="73"/>
        <v>1814814.82</v>
      </c>
      <c r="P425" s="1129">
        <f t="shared" si="74"/>
        <v>145185.1856</v>
      </c>
      <c r="Q425" s="1129">
        <f t="shared" si="75"/>
        <v>1960000.0056</v>
      </c>
      <c r="R425" s="1081"/>
      <c r="S425" s="1083"/>
      <c r="T425" s="1083"/>
      <c r="U425" s="1083"/>
      <c r="V425" s="1083">
        <f t="shared" si="76"/>
        <v>1960000.0056</v>
      </c>
    </row>
    <row r="426" spans="1:22" s="1002" customFormat="1" hidden="1">
      <c r="A426" s="1000" t="s">
        <v>768</v>
      </c>
      <c r="B426" s="1001" t="s">
        <v>770</v>
      </c>
      <c r="C426" s="1142" t="s">
        <v>485</v>
      </c>
      <c r="D426" s="1142"/>
      <c r="F426" s="1143"/>
      <c r="H426" s="1144"/>
      <c r="I426" s="1027" t="s">
        <v>281</v>
      </c>
      <c r="J426" s="1007"/>
      <c r="K426" s="1025"/>
      <c r="L426" s="1145"/>
      <c r="M426" s="1146"/>
      <c r="N426" s="1147"/>
      <c r="O426" s="1147"/>
      <c r="P426" s="1147"/>
      <c r="Q426" s="1147"/>
      <c r="R426" s="1083"/>
      <c r="S426" s="1148">
        <v>220000</v>
      </c>
      <c r="T426" s="1083"/>
      <c r="U426" s="1083"/>
      <c r="V426" s="1083">
        <f t="shared" si="76"/>
        <v>-220000</v>
      </c>
    </row>
    <row r="427" spans="1:22" s="1002" customFormat="1" hidden="1">
      <c r="A427" s="1000" t="s">
        <v>768</v>
      </c>
      <c r="B427" s="1001" t="s">
        <v>770</v>
      </c>
      <c r="C427" s="1077">
        <v>46210</v>
      </c>
      <c r="D427" s="1077"/>
      <c r="F427" s="1110" t="s">
        <v>829</v>
      </c>
      <c r="H427" s="1111" t="s">
        <v>836</v>
      </c>
      <c r="I427" s="1002" t="s">
        <v>820</v>
      </c>
      <c r="J427" s="1007" t="s">
        <v>90</v>
      </c>
      <c r="K427" s="572" t="s">
        <v>91</v>
      </c>
      <c r="L427" s="1002" t="s">
        <v>92</v>
      </c>
      <c r="M427" s="1086">
        <v>30</v>
      </c>
      <c r="N427" s="1129">
        <v>814814.81</v>
      </c>
      <c r="O427" s="1129">
        <f>M427*N427</f>
        <v>24444444.300000001</v>
      </c>
      <c r="P427" s="1129">
        <f>O427*8%</f>
        <v>1955555.544</v>
      </c>
      <c r="Q427" s="1129">
        <f>O427+P427</f>
        <v>26399999.844000001</v>
      </c>
      <c r="R427" s="1081"/>
      <c r="S427" s="1083"/>
      <c r="T427" s="1083"/>
      <c r="U427" s="1083"/>
      <c r="V427" s="1083">
        <f t="shared" si="76"/>
        <v>26399999.844000001</v>
      </c>
    </row>
    <row r="428" spans="1:22" s="1002" customFormat="1" hidden="1">
      <c r="A428" s="1000" t="s">
        <v>768</v>
      </c>
      <c r="B428" s="1001" t="s">
        <v>770</v>
      </c>
      <c r="C428" s="1077">
        <v>46210</v>
      </c>
      <c r="D428" s="1077"/>
      <c r="F428" s="1110" t="s">
        <v>552</v>
      </c>
      <c r="H428" s="1111" t="s">
        <v>553</v>
      </c>
      <c r="I428" s="1002" t="s">
        <v>820</v>
      </c>
      <c r="J428" s="1007" t="s">
        <v>98</v>
      </c>
      <c r="K428" s="1026" t="s">
        <v>251</v>
      </c>
      <c r="L428" s="1149" t="s">
        <v>113</v>
      </c>
      <c r="M428" s="1125">
        <v>2</v>
      </c>
      <c r="N428" s="1150">
        <v>694444.44</v>
      </c>
      <c r="O428" s="1150">
        <f>M428*N428</f>
        <v>1388888.88</v>
      </c>
      <c r="P428" s="1150">
        <f>O428*8%</f>
        <v>111111.11039999999</v>
      </c>
      <c r="Q428" s="1150">
        <f>O428+P428</f>
        <v>1499999.9903999998</v>
      </c>
      <c r="R428" s="1081"/>
      <c r="S428" s="1083"/>
      <c r="T428" s="1083"/>
      <c r="U428" s="1083"/>
      <c r="V428" s="1083">
        <f t="shared" si="76"/>
        <v>1499999.9903999998</v>
      </c>
    </row>
    <row r="429" spans="1:22" s="1002" customFormat="1" hidden="1">
      <c r="A429" s="1000" t="s">
        <v>768</v>
      </c>
      <c r="B429" s="1001" t="s">
        <v>770</v>
      </c>
      <c r="C429" s="1142">
        <v>46241</v>
      </c>
      <c r="D429" s="1142"/>
      <c r="F429" s="1143"/>
      <c r="H429" s="1144"/>
      <c r="I429" s="1027" t="s">
        <v>281</v>
      </c>
      <c r="J429" s="1007"/>
      <c r="K429" s="1025"/>
      <c r="L429" s="1145"/>
      <c r="M429" s="1146"/>
      <c r="N429" s="1147"/>
      <c r="O429" s="1147"/>
      <c r="P429" s="1147"/>
      <c r="Q429" s="1147"/>
      <c r="R429" s="1083"/>
      <c r="S429" s="1148">
        <v>425000</v>
      </c>
      <c r="T429" s="1083"/>
      <c r="U429" s="1083"/>
      <c r="V429" s="1083">
        <f t="shared" si="76"/>
        <v>-425000</v>
      </c>
    </row>
    <row r="430" spans="1:22" s="1002" customFormat="1" ht="31.5" hidden="1">
      <c r="A430" s="1000" t="s">
        <v>660</v>
      </c>
      <c r="B430" s="1028" t="s">
        <v>888</v>
      </c>
      <c r="C430" s="1066">
        <v>46036</v>
      </c>
      <c r="D430" s="1066"/>
      <c r="F430" s="1141">
        <v>46036</v>
      </c>
      <c r="G430" s="1138"/>
      <c r="H430" s="1138" t="s">
        <v>414</v>
      </c>
      <c r="I430" s="1008" t="s">
        <v>889</v>
      </c>
      <c r="J430" s="1007" t="s">
        <v>308</v>
      </c>
      <c r="K430" s="1023" t="s">
        <v>210</v>
      </c>
      <c r="M430" s="1086">
        <v>56</v>
      </c>
      <c r="N430" s="1107">
        <v>314814.82</v>
      </c>
      <c r="O430" s="1107">
        <f t="shared" ref="O430:O442" si="77">N430*M430</f>
        <v>17629629.920000002</v>
      </c>
      <c r="P430" s="1107">
        <f t="shared" ref="P430:P442" si="78">O430*8%</f>
        <v>1410370.3936000001</v>
      </c>
      <c r="Q430" s="1107">
        <f t="shared" ref="Q430:Q442" si="79">O430+P430</f>
        <v>19040000.313600004</v>
      </c>
      <c r="R430" s="1107"/>
      <c r="S430" s="1083"/>
      <c r="T430" s="1083"/>
      <c r="U430" s="1083"/>
      <c r="V430" s="1083">
        <f t="shared" ref="V430:V458" si="80">Q430-R430-S430-T430-U430</f>
        <v>19040000.313600004</v>
      </c>
    </row>
    <row r="431" spans="1:22" s="1002" customFormat="1" ht="31.5" hidden="1">
      <c r="A431" s="1000" t="s">
        <v>660</v>
      </c>
      <c r="B431" s="1028" t="s">
        <v>888</v>
      </c>
      <c r="C431" s="1066">
        <v>46036</v>
      </c>
      <c r="D431" s="1066"/>
      <c r="F431" s="1141">
        <v>46036</v>
      </c>
      <c r="G431" s="1138"/>
      <c r="H431" s="1138" t="s">
        <v>414</v>
      </c>
      <c r="I431" s="1008" t="s">
        <v>889</v>
      </c>
      <c r="J431" s="1007" t="s">
        <v>416</v>
      </c>
      <c r="K431" s="1007" t="s">
        <v>275</v>
      </c>
      <c r="M431" s="1086">
        <v>20</v>
      </c>
      <c r="N431" s="1107">
        <v>416666.65</v>
      </c>
      <c r="O431" s="1107">
        <f t="shared" si="77"/>
        <v>8333333</v>
      </c>
      <c r="P431" s="1107">
        <f t="shared" si="78"/>
        <v>666666.64</v>
      </c>
      <c r="Q431" s="1107">
        <f t="shared" si="79"/>
        <v>8999999.6400000006</v>
      </c>
      <c r="R431" s="1107"/>
      <c r="S431" s="1083"/>
      <c r="T431" s="1083"/>
      <c r="U431" s="1083"/>
      <c r="V431" s="1083">
        <f t="shared" si="80"/>
        <v>8999999.6400000006</v>
      </c>
    </row>
    <row r="432" spans="1:22" s="1002" customFormat="1" hidden="1">
      <c r="A432" s="1000" t="s">
        <v>660</v>
      </c>
      <c r="B432" s="1028" t="s">
        <v>888</v>
      </c>
      <c r="C432" s="1066">
        <v>46036</v>
      </c>
      <c r="D432" s="1066"/>
      <c r="F432" s="1141">
        <v>46036</v>
      </c>
      <c r="G432" s="1138"/>
      <c r="H432" s="1138" t="s">
        <v>414</v>
      </c>
      <c r="I432" s="1008" t="s">
        <v>889</v>
      </c>
      <c r="J432" s="1007" t="s">
        <v>80</v>
      </c>
      <c r="K432" s="1002" t="s">
        <v>81</v>
      </c>
      <c r="L432" s="1002" t="s">
        <v>18</v>
      </c>
      <c r="M432" s="1086">
        <v>20</v>
      </c>
      <c r="N432" s="1107">
        <v>824074.05</v>
      </c>
      <c r="O432" s="1107">
        <f t="shared" si="77"/>
        <v>16481481</v>
      </c>
      <c r="P432" s="1107">
        <f t="shared" si="78"/>
        <v>1318518.48</v>
      </c>
      <c r="Q432" s="1107">
        <f t="shared" si="79"/>
        <v>17799999.48</v>
      </c>
      <c r="R432" s="1107"/>
      <c r="S432" s="1083"/>
      <c r="T432" s="1083"/>
      <c r="U432" s="1083"/>
      <c r="V432" s="1083">
        <f t="shared" si="80"/>
        <v>17799999.48</v>
      </c>
    </row>
    <row r="433" spans="1:22" s="1002" customFormat="1" hidden="1">
      <c r="A433" s="1000" t="s">
        <v>660</v>
      </c>
      <c r="B433" s="1028" t="s">
        <v>888</v>
      </c>
      <c r="C433" s="1066">
        <v>46036</v>
      </c>
      <c r="D433" s="1066"/>
      <c r="F433" s="1141">
        <v>46036</v>
      </c>
      <c r="G433" s="1138"/>
      <c r="H433" s="1138" t="s">
        <v>414</v>
      </c>
      <c r="I433" s="1008" t="s">
        <v>889</v>
      </c>
      <c r="J433" s="1007" t="s">
        <v>21</v>
      </c>
      <c r="K433" s="1005" t="s">
        <v>22</v>
      </c>
      <c r="M433" s="1086">
        <v>20</v>
      </c>
      <c r="N433" s="1107">
        <v>937962.95</v>
      </c>
      <c r="O433" s="1107">
        <f t="shared" si="77"/>
        <v>18759259</v>
      </c>
      <c r="P433" s="1107">
        <f t="shared" si="78"/>
        <v>1500740.72</v>
      </c>
      <c r="Q433" s="1107">
        <f t="shared" si="79"/>
        <v>20259999.719999999</v>
      </c>
      <c r="R433" s="1107"/>
      <c r="S433" s="1083"/>
      <c r="T433" s="1083"/>
      <c r="U433" s="1083"/>
      <c r="V433" s="1083">
        <f t="shared" si="80"/>
        <v>20259999.719999999</v>
      </c>
    </row>
    <row r="434" spans="1:22" s="1002" customFormat="1" hidden="1">
      <c r="A434" s="1000" t="s">
        <v>660</v>
      </c>
      <c r="B434" s="1028" t="s">
        <v>888</v>
      </c>
      <c r="C434" s="1066">
        <v>46036</v>
      </c>
      <c r="D434" s="1066"/>
      <c r="F434" s="1141">
        <v>46036</v>
      </c>
      <c r="G434" s="1138"/>
      <c r="H434" s="1138" t="s">
        <v>414</v>
      </c>
      <c r="I434" s="1008" t="s">
        <v>889</v>
      </c>
      <c r="J434" s="1007" t="s">
        <v>23</v>
      </c>
      <c r="K434" s="1007" t="s">
        <v>82</v>
      </c>
      <c r="M434" s="1086">
        <v>30</v>
      </c>
      <c r="N434" s="1107">
        <v>1185185.19</v>
      </c>
      <c r="O434" s="1107">
        <f t="shared" si="77"/>
        <v>35555555.699999996</v>
      </c>
      <c r="P434" s="1107">
        <f t="shared" si="78"/>
        <v>2844444.4559999998</v>
      </c>
      <c r="Q434" s="1107">
        <f t="shared" si="79"/>
        <v>38400000.155999996</v>
      </c>
      <c r="R434" s="1107"/>
      <c r="S434" s="1083"/>
      <c r="T434" s="1083"/>
      <c r="U434" s="1083"/>
      <c r="V434" s="1083">
        <f t="shared" si="80"/>
        <v>38400000.155999996</v>
      </c>
    </row>
    <row r="435" spans="1:22" s="1002" customFormat="1" hidden="1">
      <c r="A435" s="1000" t="s">
        <v>660</v>
      </c>
      <c r="B435" s="1028" t="s">
        <v>888</v>
      </c>
      <c r="C435" s="1066">
        <v>46036</v>
      </c>
      <c r="D435" s="1066"/>
      <c r="F435" s="1141">
        <v>46036</v>
      </c>
      <c r="G435" s="1138"/>
      <c r="H435" s="1138" t="s">
        <v>414</v>
      </c>
      <c r="I435" s="1008" t="s">
        <v>889</v>
      </c>
      <c r="J435" s="1007" t="s">
        <v>32</v>
      </c>
      <c r="K435" s="1005" t="s">
        <v>187</v>
      </c>
      <c r="M435" s="1086">
        <v>10</v>
      </c>
      <c r="N435" s="1107">
        <v>225000</v>
      </c>
      <c r="O435" s="1107">
        <f t="shared" si="77"/>
        <v>2250000</v>
      </c>
      <c r="P435" s="1107">
        <f t="shared" si="78"/>
        <v>180000</v>
      </c>
      <c r="Q435" s="1107">
        <f t="shared" si="79"/>
        <v>2430000</v>
      </c>
      <c r="R435" s="1107"/>
      <c r="S435" s="1083"/>
      <c r="T435" s="1083"/>
      <c r="U435" s="1083"/>
      <c r="V435" s="1083">
        <f t="shared" si="80"/>
        <v>2430000</v>
      </c>
    </row>
    <row r="436" spans="1:22" s="1002" customFormat="1" hidden="1">
      <c r="A436" s="1000" t="s">
        <v>660</v>
      </c>
      <c r="B436" s="1028" t="s">
        <v>888</v>
      </c>
      <c r="C436" s="1066">
        <v>46036</v>
      </c>
      <c r="D436" s="1066"/>
      <c r="F436" s="1141">
        <v>46036</v>
      </c>
      <c r="G436" s="1138"/>
      <c r="H436" s="1138" t="s">
        <v>414</v>
      </c>
      <c r="I436" s="1008" t="s">
        <v>889</v>
      </c>
      <c r="J436" s="1007" t="s">
        <v>34</v>
      </c>
      <c r="K436" s="1005" t="s">
        <v>188</v>
      </c>
      <c r="M436" s="1086">
        <v>10</v>
      </c>
      <c r="N436" s="1107">
        <v>247222.22</v>
      </c>
      <c r="O436" s="1107">
        <f t="shared" si="77"/>
        <v>2472222.2000000002</v>
      </c>
      <c r="P436" s="1107">
        <f t="shared" si="78"/>
        <v>197777.77600000001</v>
      </c>
      <c r="Q436" s="1107">
        <f t="shared" si="79"/>
        <v>2669999.9760000003</v>
      </c>
      <c r="R436" s="1107"/>
      <c r="S436" s="1083"/>
      <c r="T436" s="1083"/>
      <c r="U436" s="1083"/>
      <c r="V436" s="1083">
        <f t="shared" si="80"/>
        <v>2669999.9760000003</v>
      </c>
    </row>
    <row r="437" spans="1:22" s="1002" customFormat="1" hidden="1">
      <c r="A437" s="1000" t="s">
        <v>660</v>
      </c>
      <c r="B437" s="1028" t="s">
        <v>888</v>
      </c>
      <c r="C437" s="1066">
        <v>46036</v>
      </c>
      <c r="D437" s="1066"/>
      <c r="F437" s="1141">
        <v>46036</v>
      </c>
      <c r="G437" s="1138"/>
      <c r="H437" s="1138" t="s">
        <v>414</v>
      </c>
      <c r="I437" s="1008" t="s">
        <v>889</v>
      </c>
      <c r="J437" s="1007" t="s">
        <v>36</v>
      </c>
      <c r="K437" s="1005" t="s">
        <v>189</v>
      </c>
      <c r="M437" s="1086">
        <v>10</v>
      </c>
      <c r="N437" s="1107">
        <v>268518.52</v>
      </c>
      <c r="O437" s="1107">
        <f t="shared" si="77"/>
        <v>2685185.2</v>
      </c>
      <c r="P437" s="1107">
        <f t="shared" si="78"/>
        <v>214814.81600000002</v>
      </c>
      <c r="Q437" s="1107">
        <f t="shared" si="79"/>
        <v>2900000.0160000003</v>
      </c>
      <c r="R437" s="1107"/>
      <c r="S437" s="1083"/>
      <c r="T437" s="1083"/>
      <c r="U437" s="1083"/>
      <c r="V437" s="1083">
        <f t="shared" si="80"/>
        <v>2900000.0160000003</v>
      </c>
    </row>
    <row r="438" spans="1:22" s="1002" customFormat="1" hidden="1">
      <c r="A438" s="1000" t="s">
        <v>660</v>
      </c>
      <c r="B438" s="1028" t="s">
        <v>888</v>
      </c>
      <c r="C438" s="1066">
        <v>46036</v>
      </c>
      <c r="D438" s="1066"/>
      <c r="F438" s="1141">
        <v>46036</v>
      </c>
      <c r="G438" s="1138"/>
      <c r="H438" s="1138" t="s">
        <v>414</v>
      </c>
      <c r="I438" s="1008" t="s">
        <v>889</v>
      </c>
      <c r="J438" s="1007" t="s">
        <v>38</v>
      </c>
      <c r="K438" s="1005" t="s">
        <v>190</v>
      </c>
      <c r="M438" s="1086">
        <v>10</v>
      </c>
      <c r="N438" s="1107">
        <v>288888.89</v>
      </c>
      <c r="O438" s="1107">
        <f t="shared" si="77"/>
        <v>2888888.9000000004</v>
      </c>
      <c r="P438" s="1107">
        <f t="shared" si="78"/>
        <v>231111.11200000002</v>
      </c>
      <c r="Q438" s="1107">
        <f t="shared" si="79"/>
        <v>3120000.0120000006</v>
      </c>
      <c r="R438" s="1107"/>
      <c r="S438" s="1083"/>
      <c r="T438" s="1083"/>
      <c r="U438" s="1083"/>
      <c r="V438" s="1083">
        <f t="shared" si="80"/>
        <v>3120000.0120000006</v>
      </c>
    </row>
    <row r="439" spans="1:22" s="1002" customFormat="1" hidden="1">
      <c r="A439" s="1000" t="s">
        <v>660</v>
      </c>
      <c r="B439" s="1028" t="s">
        <v>888</v>
      </c>
      <c r="C439" s="1066">
        <v>46036</v>
      </c>
      <c r="D439" s="1066"/>
      <c r="F439" s="1141">
        <v>46036</v>
      </c>
      <c r="G439" s="1138"/>
      <c r="H439" s="1138" t="s">
        <v>414</v>
      </c>
      <c r="I439" s="1008" t="s">
        <v>889</v>
      </c>
      <c r="J439" s="1007" t="s">
        <v>40</v>
      </c>
      <c r="K439" s="1005" t="s">
        <v>41</v>
      </c>
      <c r="M439" s="1086">
        <v>10</v>
      </c>
      <c r="N439" s="1107">
        <v>844444.5</v>
      </c>
      <c r="O439" s="1107">
        <f t="shared" si="77"/>
        <v>8444445</v>
      </c>
      <c r="P439" s="1107">
        <f t="shared" si="78"/>
        <v>675555.6</v>
      </c>
      <c r="Q439" s="1107">
        <f t="shared" si="79"/>
        <v>9120000.5999999996</v>
      </c>
      <c r="R439" s="1107"/>
      <c r="S439" s="1083"/>
      <c r="T439" s="1083"/>
      <c r="U439" s="1083"/>
      <c r="V439" s="1083">
        <f t="shared" si="80"/>
        <v>9120000.5999999996</v>
      </c>
    </row>
    <row r="440" spans="1:22" s="1002" customFormat="1" hidden="1">
      <c r="A440" s="1000" t="s">
        <v>660</v>
      </c>
      <c r="B440" s="1028" t="s">
        <v>888</v>
      </c>
      <c r="C440" s="1066">
        <v>46036</v>
      </c>
      <c r="D440" s="1066"/>
      <c r="F440" s="1141">
        <v>46036</v>
      </c>
      <c r="G440" s="1138"/>
      <c r="H440" s="1138" t="s">
        <v>414</v>
      </c>
      <c r="I440" s="1008" t="s">
        <v>889</v>
      </c>
      <c r="J440" s="1007" t="s">
        <v>194</v>
      </c>
      <c r="K440" s="1002" t="s">
        <v>720</v>
      </c>
      <c r="M440" s="1086">
        <v>6</v>
      </c>
      <c r="N440" s="1107">
        <v>1203703.75</v>
      </c>
      <c r="O440" s="1107">
        <f t="shared" si="77"/>
        <v>7222222.5</v>
      </c>
      <c r="P440" s="1107">
        <f t="shared" si="78"/>
        <v>577777.80000000005</v>
      </c>
      <c r="Q440" s="1107">
        <f t="shared" si="79"/>
        <v>7800000.2999999998</v>
      </c>
      <c r="R440" s="1107"/>
      <c r="S440" s="1083"/>
      <c r="T440" s="1083"/>
      <c r="U440" s="1083"/>
      <c r="V440" s="1083">
        <f t="shared" si="80"/>
        <v>7800000.2999999998</v>
      </c>
    </row>
    <row r="441" spans="1:22" s="1002" customFormat="1" hidden="1">
      <c r="A441" s="1000" t="s">
        <v>660</v>
      </c>
      <c r="B441" s="1028" t="s">
        <v>888</v>
      </c>
      <c r="C441" s="1066">
        <v>46036</v>
      </c>
      <c r="D441" s="1066"/>
      <c r="F441" s="1141">
        <v>46036</v>
      </c>
      <c r="G441" s="1138"/>
      <c r="H441" s="1138" t="s">
        <v>414</v>
      </c>
      <c r="I441" s="1002" t="s">
        <v>889</v>
      </c>
      <c r="J441" s="1007" t="s">
        <v>58</v>
      </c>
      <c r="K441" s="1007" t="s">
        <v>59</v>
      </c>
      <c r="M441" s="1086">
        <v>6</v>
      </c>
      <c r="N441" s="1107">
        <v>1361111</v>
      </c>
      <c r="O441" s="1107">
        <f t="shared" si="77"/>
        <v>8166666</v>
      </c>
      <c r="P441" s="1107">
        <f t="shared" si="78"/>
        <v>653333.28</v>
      </c>
      <c r="Q441" s="1107">
        <f t="shared" si="79"/>
        <v>8819999.2799999993</v>
      </c>
      <c r="R441" s="1107"/>
      <c r="S441" s="1083"/>
      <c r="T441" s="1083"/>
      <c r="U441" s="1083"/>
      <c r="V441" s="1083">
        <f t="shared" si="80"/>
        <v>8819999.2799999993</v>
      </c>
    </row>
    <row r="442" spans="1:22" s="1002" customFormat="1" hidden="1">
      <c r="A442" s="1000" t="s">
        <v>660</v>
      </c>
      <c r="B442" s="1028" t="s">
        <v>888</v>
      </c>
      <c r="C442" s="1066">
        <v>46036</v>
      </c>
      <c r="D442" s="1066"/>
      <c r="F442" s="1141">
        <v>46167</v>
      </c>
      <c r="G442" s="1140"/>
      <c r="H442" s="1138" t="s">
        <v>417</v>
      </c>
      <c r="I442" s="1002" t="s">
        <v>889</v>
      </c>
      <c r="J442" s="1007" t="s">
        <v>74</v>
      </c>
      <c r="K442" s="1005" t="s">
        <v>141</v>
      </c>
      <c r="M442" s="1086">
        <v>40</v>
      </c>
      <c r="N442" s="1107">
        <v>361111.11</v>
      </c>
      <c r="O442" s="1107">
        <f t="shared" si="77"/>
        <v>14444444.399999999</v>
      </c>
      <c r="P442" s="1107">
        <f t="shared" si="78"/>
        <v>1155555.5519999999</v>
      </c>
      <c r="Q442" s="1107">
        <f t="shared" si="79"/>
        <v>15599999.951999998</v>
      </c>
      <c r="R442" s="1107"/>
      <c r="S442" s="1083"/>
      <c r="T442" s="1083"/>
      <c r="U442" s="1083"/>
      <c r="V442" s="1083">
        <f t="shared" si="80"/>
        <v>15599999.951999998</v>
      </c>
    </row>
    <row r="443" spans="1:22" s="1002" customFormat="1" hidden="1">
      <c r="A443" s="1000" t="s">
        <v>660</v>
      </c>
      <c r="B443" s="1028" t="s">
        <v>888</v>
      </c>
      <c r="C443" s="1066">
        <v>46048</v>
      </c>
      <c r="D443" s="1066"/>
      <c r="F443" s="1005"/>
      <c r="G443" s="1031"/>
      <c r="H443" s="1005" t="s">
        <v>420</v>
      </c>
      <c r="I443" s="1002" t="s">
        <v>844</v>
      </c>
      <c r="J443" s="1007"/>
      <c r="K443" s="1005"/>
      <c r="M443" s="1086"/>
      <c r="N443" s="1107"/>
      <c r="O443" s="1107"/>
      <c r="P443" s="1107"/>
      <c r="Q443" s="1107"/>
      <c r="R443" s="1107">
        <v>70680000</v>
      </c>
      <c r="S443" s="1083"/>
      <c r="T443" s="1083"/>
      <c r="U443" s="1083"/>
      <c r="V443" s="1083">
        <f t="shared" si="80"/>
        <v>-70680000</v>
      </c>
    </row>
    <row r="444" spans="1:22" s="1002" customFormat="1" ht="47.25" hidden="1">
      <c r="A444" s="1000" t="s">
        <v>660</v>
      </c>
      <c r="B444" s="1028" t="s">
        <v>888</v>
      </c>
      <c r="C444" s="1066">
        <v>46049</v>
      </c>
      <c r="D444" s="1066"/>
      <c r="F444" s="1141">
        <v>46080</v>
      </c>
      <c r="G444" s="1138"/>
      <c r="H444" s="1138" t="s">
        <v>423</v>
      </c>
      <c r="I444" s="1002" t="s">
        <v>889</v>
      </c>
      <c r="J444" s="1007" t="s">
        <v>16</v>
      </c>
      <c r="K444" s="1007" t="s">
        <v>224</v>
      </c>
      <c r="M444" s="1086">
        <v>40</v>
      </c>
      <c r="N444" s="1107">
        <v>851851.85</v>
      </c>
      <c r="O444" s="1107">
        <f t="shared" ref="O444:O449" si="81">N444*M444</f>
        <v>34074074</v>
      </c>
      <c r="P444" s="1107">
        <f t="shared" ref="P444:P449" si="82">O444*8%</f>
        <v>2725925.92</v>
      </c>
      <c r="Q444" s="1107">
        <f t="shared" ref="Q444:Q449" si="83">O444+P444</f>
        <v>36799999.920000002</v>
      </c>
      <c r="R444" s="1107"/>
      <c r="S444" s="1083"/>
      <c r="T444" s="1083"/>
      <c r="U444" s="1083"/>
      <c r="V444" s="1083">
        <f t="shared" si="80"/>
        <v>36799999.920000002</v>
      </c>
    </row>
    <row r="445" spans="1:22" s="1002" customFormat="1" hidden="1">
      <c r="A445" s="1000" t="s">
        <v>660</v>
      </c>
      <c r="B445" s="1028" t="s">
        <v>888</v>
      </c>
      <c r="C445" s="1066">
        <v>46049</v>
      </c>
      <c r="D445" s="1066"/>
      <c r="F445" s="1141">
        <v>46167</v>
      </c>
      <c r="G445" s="1140"/>
      <c r="H445" s="1138" t="s">
        <v>417</v>
      </c>
      <c r="I445" s="1002" t="s">
        <v>889</v>
      </c>
      <c r="J445" s="1007" t="s">
        <v>83</v>
      </c>
      <c r="K445" s="1005" t="s">
        <v>240</v>
      </c>
      <c r="M445" s="1086">
        <v>8</v>
      </c>
      <c r="N445" s="1107">
        <v>1097222.22</v>
      </c>
      <c r="O445" s="1107">
        <f t="shared" si="81"/>
        <v>8777777.7599999998</v>
      </c>
      <c r="P445" s="1107">
        <f t="shared" si="82"/>
        <v>702222.22080000001</v>
      </c>
      <c r="Q445" s="1107">
        <f t="shared" si="83"/>
        <v>9479999.9807999991</v>
      </c>
      <c r="R445" s="1107"/>
      <c r="S445" s="1083"/>
      <c r="T445" s="1083"/>
      <c r="U445" s="1083"/>
      <c r="V445" s="1083">
        <f t="shared" si="80"/>
        <v>9479999.9807999991</v>
      </c>
    </row>
    <row r="446" spans="1:22" s="1002" customFormat="1" ht="47.25" hidden="1">
      <c r="A446" s="1000" t="s">
        <v>660</v>
      </c>
      <c r="B446" s="1028" t="s">
        <v>888</v>
      </c>
      <c r="C446" s="1066">
        <v>46049</v>
      </c>
      <c r="D446" s="1066"/>
      <c r="F446" s="1141">
        <v>46080</v>
      </c>
      <c r="G446" s="1138"/>
      <c r="H446" s="1138" t="s">
        <v>423</v>
      </c>
      <c r="I446" s="1002" t="s">
        <v>889</v>
      </c>
      <c r="J446" s="1007" t="s">
        <v>60</v>
      </c>
      <c r="K446" s="1007" t="s">
        <v>223</v>
      </c>
      <c r="M446" s="1086">
        <v>20</v>
      </c>
      <c r="N446" s="1107">
        <v>1138888.8899999999</v>
      </c>
      <c r="O446" s="1107">
        <f t="shared" si="81"/>
        <v>22777777.799999997</v>
      </c>
      <c r="P446" s="1107">
        <f t="shared" si="82"/>
        <v>1822222.2239999997</v>
      </c>
      <c r="Q446" s="1107">
        <f t="shared" si="83"/>
        <v>24600000.023999996</v>
      </c>
      <c r="R446" s="1107"/>
      <c r="S446" s="1083"/>
      <c r="T446" s="1083"/>
      <c r="U446" s="1083"/>
      <c r="V446" s="1083">
        <f t="shared" si="80"/>
        <v>24600000.023999996</v>
      </c>
    </row>
    <row r="447" spans="1:22" s="1002" customFormat="1" hidden="1">
      <c r="A447" s="1000" t="s">
        <v>660</v>
      </c>
      <c r="B447" s="1028" t="s">
        <v>888</v>
      </c>
      <c r="C447" s="1066">
        <v>46049</v>
      </c>
      <c r="D447" s="1066"/>
      <c r="F447" s="1141">
        <v>46080</v>
      </c>
      <c r="G447" s="1138"/>
      <c r="H447" s="1138" t="s">
        <v>423</v>
      </c>
      <c r="I447" s="1002" t="s">
        <v>889</v>
      </c>
      <c r="J447" s="1007" t="s">
        <v>58</v>
      </c>
      <c r="K447" s="1005" t="s">
        <v>59</v>
      </c>
      <c r="M447" s="1086">
        <v>20</v>
      </c>
      <c r="N447" s="1107">
        <v>1361111.11</v>
      </c>
      <c r="O447" s="1107">
        <f t="shared" si="81"/>
        <v>27222222.200000003</v>
      </c>
      <c r="P447" s="1107">
        <f t="shared" si="82"/>
        <v>2177777.7760000001</v>
      </c>
      <c r="Q447" s="1107">
        <f t="shared" si="83"/>
        <v>29399999.976000004</v>
      </c>
      <c r="R447" s="1107"/>
      <c r="S447" s="1083"/>
      <c r="T447" s="1083"/>
      <c r="U447" s="1083"/>
      <c r="V447" s="1083">
        <f t="shared" si="80"/>
        <v>29399999.976000004</v>
      </c>
    </row>
    <row r="448" spans="1:22" s="1002" customFormat="1" hidden="1">
      <c r="A448" s="1000" t="s">
        <v>660</v>
      </c>
      <c r="B448" s="1028" t="s">
        <v>888</v>
      </c>
      <c r="C448" s="1066">
        <v>46049</v>
      </c>
      <c r="D448" s="1066"/>
      <c r="F448" s="1141">
        <v>46080</v>
      </c>
      <c r="G448" s="1138"/>
      <c r="H448" s="1138" t="s">
        <v>423</v>
      </c>
      <c r="I448" s="1002" t="s">
        <v>889</v>
      </c>
      <c r="J448" s="1007" t="s">
        <v>274</v>
      </c>
      <c r="K448" s="1005" t="s">
        <v>297</v>
      </c>
      <c r="M448" s="1086">
        <v>100</v>
      </c>
      <c r="N448" s="1107">
        <v>416666.67</v>
      </c>
      <c r="O448" s="1107">
        <f t="shared" si="81"/>
        <v>41666667</v>
      </c>
      <c r="P448" s="1107">
        <f t="shared" si="82"/>
        <v>3333333.36</v>
      </c>
      <c r="Q448" s="1107">
        <f t="shared" si="83"/>
        <v>45000000.359999999</v>
      </c>
      <c r="R448" s="1107"/>
      <c r="S448" s="1083"/>
      <c r="T448" s="1083"/>
      <c r="U448" s="1083"/>
      <c r="V448" s="1083">
        <f t="shared" si="80"/>
        <v>45000000.359999999</v>
      </c>
    </row>
    <row r="449" spans="1:22" s="1002" customFormat="1" hidden="1">
      <c r="A449" s="1000" t="s">
        <v>660</v>
      </c>
      <c r="B449" s="1028" t="s">
        <v>888</v>
      </c>
      <c r="C449" s="1066">
        <v>46049</v>
      </c>
      <c r="D449" s="1066"/>
      <c r="F449" s="1141"/>
      <c r="G449" s="1140"/>
      <c r="H449" s="1138"/>
      <c r="I449" s="1002" t="s">
        <v>889</v>
      </c>
      <c r="J449" s="1007" t="s">
        <v>424</v>
      </c>
      <c r="K449" s="1005" t="s">
        <v>425</v>
      </c>
      <c r="M449" s="1086">
        <v>20</v>
      </c>
      <c r="N449" s="1107">
        <v>882407.4</v>
      </c>
      <c r="O449" s="1107">
        <f t="shared" si="81"/>
        <v>17648148</v>
      </c>
      <c r="P449" s="1107">
        <f t="shared" si="82"/>
        <v>1411851.84</v>
      </c>
      <c r="Q449" s="1107">
        <f t="shared" si="83"/>
        <v>19059999.84</v>
      </c>
      <c r="R449" s="1107"/>
      <c r="S449" s="1083"/>
      <c r="T449" s="1083"/>
      <c r="U449" s="1083"/>
      <c r="V449" s="1083">
        <f t="shared" si="80"/>
        <v>19059999.84</v>
      </c>
    </row>
    <row r="450" spans="1:22" s="1002" customFormat="1" hidden="1">
      <c r="A450" s="1000" t="s">
        <v>660</v>
      </c>
      <c r="B450" s="1028" t="s">
        <v>888</v>
      </c>
      <c r="C450" s="1066">
        <v>46063</v>
      </c>
      <c r="D450" s="1066"/>
      <c r="F450" s="1141"/>
      <c r="G450" s="1140"/>
      <c r="H450" s="1138" t="s">
        <v>427</v>
      </c>
      <c r="I450" s="1002" t="s">
        <v>844</v>
      </c>
      <c r="J450" s="1007"/>
      <c r="K450" s="1005"/>
      <c r="M450" s="1086"/>
      <c r="N450" s="1107"/>
      <c r="O450" s="1107"/>
      <c r="P450" s="1107"/>
      <c r="Q450" s="1107"/>
      <c r="R450" s="1107">
        <f>R443</f>
        <v>70680000</v>
      </c>
      <c r="S450" s="1083"/>
      <c r="T450" s="1083"/>
      <c r="U450" s="1083"/>
      <c r="V450" s="1083">
        <f t="shared" si="80"/>
        <v>-70680000</v>
      </c>
    </row>
    <row r="451" spans="1:22" s="1002" customFormat="1" hidden="1">
      <c r="A451" s="1000" t="s">
        <v>660</v>
      </c>
      <c r="B451" s="1028" t="s">
        <v>888</v>
      </c>
      <c r="C451" s="1066">
        <v>46063</v>
      </c>
      <c r="D451" s="1066"/>
      <c r="F451" s="1005"/>
      <c r="G451" s="1140"/>
      <c r="H451" s="1138"/>
      <c r="I451" s="1002" t="s">
        <v>889</v>
      </c>
      <c r="J451" s="1007" t="s">
        <v>204</v>
      </c>
      <c r="K451" s="1005" t="s">
        <v>269</v>
      </c>
      <c r="M451" s="1086">
        <v>30</v>
      </c>
      <c r="N451" s="1107">
        <v>480555.55</v>
      </c>
      <c r="O451" s="1107">
        <f t="shared" ref="O451:O457" si="84">N451*M451</f>
        <v>14416666.5</v>
      </c>
      <c r="P451" s="1107">
        <f t="shared" ref="P451:P457" si="85">O451*8%</f>
        <v>1153333.32</v>
      </c>
      <c r="Q451" s="1107">
        <f t="shared" ref="Q451:Q457" si="86">O451+P451</f>
        <v>15569999.82</v>
      </c>
      <c r="R451" s="1107"/>
      <c r="S451" s="1083"/>
      <c r="T451" s="1083"/>
      <c r="U451" s="1083"/>
      <c r="V451" s="1083">
        <f t="shared" si="80"/>
        <v>15569999.82</v>
      </c>
    </row>
    <row r="452" spans="1:22" s="1002" customFormat="1" hidden="1">
      <c r="A452" s="1000" t="s">
        <v>660</v>
      </c>
      <c r="B452" s="1028" t="s">
        <v>888</v>
      </c>
      <c r="C452" s="1066">
        <v>46063</v>
      </c>
      <c r="D452" s="1066"/>
      <c r="F452" s="1005"/>
      <c r="G452" s="1140"/>
      <c r="H452" s="1138"/>
      <c r="I452" s="1002" t="s">
        <v>889</v>
      </c>
      <c r="J452" s="1007" t="s">
        <v>208</v>
      </c>
      <c r="K452" s="1005" t="s">
        <v>209</v>
      </c>
      <c r="M452" s="1086">
        <v>20</v>
      </c>
      <c r="N452" s="1107">
        <v>647222.22</v>
      </c>
      <c r="O452" s="1107">
        <f t="shared" si="84"/>
        <v>12944444.399999999</v>
      </c>
      <c r="P452" s="1107">
        <f t="shared" si="85"/>
        <v>1035555.5519999999</v>
      </c>
      <c r="Q452" s="1107">
        <f t="shared" si="86"/>
        <v>13979999.951999998</v>
      </c>
      <c r="R452" s="1107"/>
      <c r="S452" s="1083"/>
      <c r="T452" s="1083"/>
      <c r="U452" s="1083"/>
      <c r="V452" s="1083">
        <f t="shared" si="80"/>
        <v>13979999.951999998</v>
      </c>
    </row>
    <row r="453" spans="1:22" s="1002" customFormat="1" hidden="1">
      <c r="A453" s="1000" t="s">
        <v>660</v>
      </c>
      <c r="B453" s="1028" t="s">
        <v>888</v>
      </c>
      <c r="C453" s="1066">
        <v>46063</v>
      </c>
      <c r="D453" s="1066"/>
      <c r="F453" s="1005"/>
      <c r="G453" s="1140"/>
      <c r="H453" s="1138"/>
      <c r="I453" s="1002" t="s">
        <v>889</v>
      </c>
      <c r="J453" s="1007" t="s">
        <v>77</v>
      </c>
      <c r="K453" s="1005" t="s">
        <v>428</v>
      </c>
      <c r="M453" s="1086">
        <v>52</v>
      </c>
      <c r="N453" s="1107">
        <v>324074.07</v>
      </c>
      <c r="O453" s="1107">
        <f t="shared" si="84"/>
        <v>16851851.640000001</v>
      </c>
      <c r="P453" s="1107">
        <f t="shared" si="85"/>
        <v>1348148.1312000002</v>
      </c>
      <c r="Q453" s="1107">
        <f t="shared" si="86"/>
        <v>18199999.771200001</v>
      </c>
      <c r="R453" s="1107"/>
      <c r="S453" s="1083"/>
      <c r="T453" s="1083"/>
      <c r="U453" s="1083"/>
      <c r="V453" s="1083">
        <f t="shared" si="80"/>
        <v>18199999.771200001</v>
      </c>
    </row>
    <row r="454" spans="1:22" s="1002" customFormat="1" hidden="1">
      <c r="A454" s="1000" t="s">
        <v>660</v>
      </c>
      <c r="B454" s="1028" t="s">
        <v>888</v>
      </c>
      <c r="C454" s="1066">
        <v>46063</v>
      </c>
      <c r="D454" s="1066"/>
      <c r="F454" s="1005"/>
      <c r="G454" s="1140"/>
      <c r="H454" s="1138"/>
      <c r="I454" s="1002" t="s">
        <v>889</v>
      </c>
      <c r="J454" s="1007" t="s">
        <v>206</v>
      </c>
      <c r="K454" s="1005" t="s">
        <v>369</v>
      </c>
      <c r="M454" s="1086">
        <v>30</v>
      </c>
      <c r="N454" s="1107">
        <v>483333.33</v>
      </c>
      <c r="O454" s="1107">
        <f t="shared" si="84"/>
        <v>14499999.9</v>
      </c>
      <c r="P454" s="1107">
        <f t="shared" si="85"/>
        <v>1159999.9920000001</v>
      </c>
      <c r="Q454" s="1107">
        <f t="shared" si="86"/>
        <v>15659999.892000001</v>
      </c>
      <c r="R454" s="1107"/>
      <c r="S454" s="1083"/>
      <c r="T454" s="1083"/>
      <c r="U454" s="1083"/>
      <c r="V454" s="1083">
        <f t="shared" si="80"/>
        <v>15659999.892000001</v>
      </c>
    </row>
    <row r="455" spans="1:22" s="1002" customFormat="1" hidden="1">
      <c r="A455" s="1000" t="s">
        <v>660</v>
      </c>
      <c r="B455" s="1028" t="s">
        <v>888</v>
      </c>
      <c r="C455" s="1066">
        <v>46063</v>
      </c>
      <c r="D455" s="1066"/>
      <c r="F455" s="1005"/>
      <c r="G455" s="1140"/>
      <c r="H455" s="1138"/>
      <c r="I455" s="1002" t="s">
        <v>889</v>
      </c>
      <c r="J455" s="1007" t="s">
        <v>386</v>
      </c>
      <c r="K455" s="1005" t="s">
        <v>387</v>
      </c>
      <c r="M455" s="1086">
        <v>40</v>
      </c>
      <c r="N455" s="1107">
        <v>847222.22</v>
      </c>
      <c r="O455" s="1107">
        <f t="shared" si="84"/>
        <v>33888888.799999997</v>
      </c>
      <c r="P455" s="1107">
        <f t="shared" si="85"/>
        <v>2711111.1039999998</v>
      </c>
      <c r="Q455" s="1107">
        <f t="shared" si="86"/>
        <v>36599999.903999999</v>
      </c>
      <c r="R455" s="1107"/>
      <c r="S455" s="1083"/>
      <c r="T455" s="1083"/>
      <c r="U455" s="1083"/>
      <c r="V455" s="1083">
        <f t="shared" si="80"/>
        <v>36599999.903999999</v>
      </c>
    </row>
    <row r="456" spans="1:22" s="1002" customFormat="1" ht="47.25" hidden="1">
      <c r="A456" s="1000" t="s">
        <v>660</v>
      </c>
      <c r="B456" s="1028" t="s">
        <v>888</v>
      </c>
      <c r="C456" s="1066">
        <v>46097</v>
      </c>
      <c r="D456" s="1066"/>
      <c r="F456" s="1005"/>
      <c r="G456" s="1140"/>
      <c r="H456" s="1138"/>
      <c r="I456" s="1002" t="s">
        <v>889</v>
      </c>
      <c r="J456" s="1007" t="s">
        <v>60</v>
      </c>
      <c r="K456" s="1007" t="s">
        <v>223</v>
      </c>
      <c r="M456" s="1086">
        <v>10</v>
      </c>
      <c r="N456" s="1107">
        <v>1138888.8899999999</v>
      </c>
      <c r="O456" s="1107">
        <f t="shared" si="84"/>
        <v>11388888.899999999</v>
      </c>
      <c r="P456" s="1107">
        <f t="shared" si="85"/>
        <v>911111.11199999985</v>
      </c>
      <c r="Q456" s="1107">
        <f t="shared" si="86"/>
        <v>12300000.011999998</v>
      </c>
      <c r="R456" s="1107"/>
      <c r="S456" s="1083"/>
      <c r="T456" s="1083"/>
      <c r="U456" s="1083"/>
      <c r="V456" s="1083">
        <f t="shared" si="80"/>
        <v>12300000.011999998</v>
      </c>
    </row>
    <row r="457" spans="1:22" s="1002" customFormat="1" ht="47.25" hidden="1">
      <c r="A457" s="1000" t="s">
        <v>660</v>
      </c>
      <c r="B457" s="1028" t="s">
        <v>888</v>
      </c>
      <c r="C457" s="1066">
        <v>46097</v>
      </c>
      <c r="D457" s="1066"/>
      <c r="F457" s="1141">
        <v>46167</v>
      </c>
      <c r="G457" s="1140"/>
      <c r="H457" s="1138" t="s">
        <v>417</v>
      </c>
      <c r="I457" s="1002" t="s">
        <v>889</v>
      </c>
      <c r="J457" s="1007" t="s">
        <v>83</v>
      </c>
      <c r="K457" s="1007" t="s">
        <v>240</v>
      </c>
      <c r="M457" s="1086">
        <v>30</v>
      </c>
      <c r="N457" s="1107">
        <v>1097222.22</v>
      </c>
      <c r="O457" s="1107">
        <f t="shared" si="84"/>
        <v>32916666.599999998</v>
      </c>
      <c r="P457" s="1107">
        <f t="shared" si="85"/>
        <v>2633333.3279999997</v>
      </c>
      <c r="Q457" s="1107">
        <f t="shared" si="86"/>
        <v>35549999.927999996</v>
      </c>
      <c r="R457" s="1107"/>
      <c r="S457" s="1083"/>
      <c r="T457" s="1083"/>
      <c r="U457" s="1083"/>
      <c r="V457" s="1083">
        <f t="shared" si="80"/>
        <v>35549999.927999996</v>
      </c>
    </row>
    <row r="458" spans="1:22" s="1002" customFormat="1" hidden="1">
      <c r="A458" s="1000" t="s">
        <v>660</v>
      </c>
      <c r="B458" s="1028" t="s">
        <v>888</v>
      </c>
      <c r="C458" s="1066">
        <v>46122</v>
      </c>
      <c r="D458" s="1066"/>
      <c r="F458" s="1005"/>
      <c r="G458" s="1031"/>
      <c r="H458" s="1005"/>
      <c r="I458" s="1002" t="s">
        <v>844</v>
      </c>
      <c r="J458" s="1007"/>
      <c r="K458" s="1007"/>
      <c r="M458" s="1086"/>
      <c r="N458" s="1107"/>
      <c r="O458" s="1107"/>
      <c r="P458" s="1107"/>
      <c r="Q458" s="1107"/>
      <c r="R458" s="1107">
        <v>48000000</v>
      </c>
      <c r="S458" s="1083"/>
      <c r="T458" s="1083"/>
      <c r="U458" s="1083"/>
      <c r="V458" s="1083">
        <f t="shared" si="80"/>
        <v>-48000000</v>
      </c>
    </row>
    <row r="459" spans="1:22" s="1002" customFormat="1" hidden="1">
      <c r="A459" s="1000" t="s">
        <v>660</v>
      </c>
      <c r="B459" s="1028" t="s">
        <v>888</v>
      </c>
      <c r="C459" s="1066">
        <v>46140</v>
      </c>
      <c r="D459" s="1066"/>
      <c r="F459" s="1141">
        <v>46153</v>
      </c>
      <c r="G459" s="1140"/>
      <c r="H459" s="1138" t="s">
        <v>431</v>
      </c>
      <c r="I459" s="1002" t="s">
        <v>889</v>
      </c>
      <c r="J459" s="1007" t="s">
        <v>80</v>
      </c>
      <c r="K459" s="1002" t="s">
        <v>81</v>
      </c>
      <c r="L459" s="1002" t="s">
        <v>18</v>
      </c>
      <c r="M459" s="1086">
        <v>16</v>
      </c>
      <c r="N459" s="1107">
        <v>824074.05</v>
      </c>
      <c r="O459" s="1107">
        <f t="shared" ref="O459:O470" si="87">N459*M459</f>
        <v>13185184.800000001</v>
      </c>
      <c r="P459" s="1107">
        <f t="shared" ref="P459:P479" si="88">O459*8%</f>
        <v>1054814.784</v>
      </c>
      <c r="Q459" s="1107">
        <f t="shared" ref="Q459:Q464" si="89">O459+P459</f>
        <v>14239999.584000001</v>
      </c>
      <c r="R459" s="1107"/>
      <c r="S459" s="1083"/>
      <c r="T459" s="1083"/>
      <c r="U459" s="1083"/>
      <c r="V459" s="1083">
        <f t="shared" ref="V459:V523" si="90">Q459-R459-S459-T459-U459</f>
        <v>14239999.584000001</v>
      </c>
    </row>
    <row r="460" spans="1:22" s="1002" customFormat="1" hidden="1">
      <c r="A460" s="1000" t="s">
        <v>660</v>
      </c>
      <c r="B460" s="1028" t="s">
        <v>888</v>
      </c>
      <c r="C460" s="1066">
        <v>46140</v>
      </c>
      <c r="D460" s="1066"/>
      <c r="F460" s="1141">
        <v>46153</v>
      </c>
      <c r="G460" s="1140"/>
      <c r="H460" s="1138" t="s">
        <v>431</v>
      </c>
      <c r="I460" s="1002" t="s">
        <v>889</v>
      </c>
      <c r="J460" s="1007" t="s">
        <v>21</v>
      </c>
      <c r="K460" s="1005" t="s">
        <v>22</v>
      </c>
      <c r="M460" s="1086">
        <v>16</v>
      </c>
      <c r="N460" s="1107">
        <v>937962.95</v>
      </c>
      <c r="O460" s="1107">
        <f t="shared" si="87"/>
        <v>15007407.199999999</v>
      </c>
      <c r="P460" s="1107">
        <f t="shared" si="88"/>
        <v>1200592.5759999999</v>
      </c>
      <c r="Q460" s="1107">
        <f t="shared" si="89"/>
        <v>16207999.775999999</v>
      </c>
      <c r="R460" s="1107"/>
      <c r="S460" s="1083"/>
      <c r="T460" s="1083"/>
      <c r="U460" s="1083"/>
      <c r="V460" s="1083">
        <f t="shared" si="90"/>
        <v>16207999.775999999</v>
      </c>
    </row>
    <row r="461" spans="1:22" s="1002" customFormat="1" hidden="1">
      <c r="A461" s="1000" t="s">
        <v>660</v>
      </c>
      <c r="B461" s="1028" t="s">
        <v>888</v>
      </c>
      <c r="C461" s="1066">
        <v>46140</v>
      </c>
      <c r="D461" s="1066"/>
      <c r="F461" s="1141">
        <v>46153</v>
      </c>
      <c r="G461" s="1140"/>
      <c r="H461" s="1138" t="s">
        <v>431</v>
      </c>
      <c r="I461" s="1002" t="s">
        <v>889</v>
      </c>
      <c r="J461" s="1007" t="s">
        <v>262</v>
      </c>
      <c r="K461" s="1007" t="s">
        <v>263</v>
      </c>
      <c r="M461" s="1086">
        <v>16</v>
      </c>
      <c r="N461" s="1107">
        <v>851851.85</v>
      </c>
      <c r="O461" s="1107">
        <f t="shared" si="87"/>
        <v>13629629.6</v>
      </c>
      <c r="P461" s="1107">
        <f t="shared" si="88"/>
        <v>1090370.368</v>
      </c>
      <c r="Q461" s="1107">
        <f t="shared" si="89"/>
        <v>14719999.968</v>
      </c>
      <c r="R461" s="1107"/>
      <c r="S461" s="1083"/>
      <c r="T461" s="1083"/>
      <c r="U461" s="1083"/>
      <c r="V461" s="1083">
        <f t="shared" si="90"/>
        <v>14719999.968</v>
      </c>
    </row>
    <row r="462" spans="1:22" s="1002" customFormat="1" hidden="1">
      <c r="A462" s="1000" t="s">
        <v>660</v>
      </c>
      <c r="B462" s="1028" t="s">
        <v>888</v>
      </c>
      <c r="C462" s="1066">
        <v>46162</v>
      </c>
      <c r="D462" s="1066"/>
      <c r="F462" s="1141"/>
      <c r="G462" s="1140"/>
      <c r="H462" s="1138"/>
      <c r="I462" s="1002" t="s">
        <v>889</v>
      </c>
      <c r="J462" s="1007" t="s">
        <v>424</v>
      </c>
      <c r="K462" s="1005" t="s">
        <v>425</v>
      </c>
      <c r="M462" s="1086">
        <v>-20</v>
      </c>
      <c r="N462" s="1107">
        <v>882407.4</v>
      </c>
      <c r="O462" s="1107">
        <f t="shared" si="87"/>
        <v>-17648148</v>
      </c>
      <c r="P462" s="1107">
        <f t="shared" si="88"/>
        <v>-1411851.84</v>
      </c>
      <c r="Q462" s="1107">
        <f t="shared" si="89"/>
        <v>-19059999.84</v>
      </c>
      <c r="R462" s="1107"/>
      <c r="S462" s="1083"/>
      <c r="T462" s="1083"/>
      <c r="U462" s="1083"/>
      <c r="V462" s="1083">
        <f t="shared" si="90"/>
        <v>-19059999.84</v>
      </c>
    </row>
    <row r="463" spans="1:22" s="1002" customFormat="1" hidden="1">
      <c r="A463" s="1000" t="s">
        <v>660</v>
      </c>
      <c r="B463" s="1028" t="s">
        <v>888</v>
      </c>
      <c r="C463" s="1066">
        <v>46162</v>
      </c>
      <c r="D463" s="1066"/>
      <c r="F463" s="1141"/>
      <c r="G463" s="1140"/>
      <c r="H463" s="1138"/>
      <c r="I463" s="1002" t="s">
        <v>889</v>
      </c>
      <c r="J463" s="1007" t="s">
        <v>386</v>
      </c>
      <c r="K463" s="1005" t="s">
        <v>387</v>
      </c>
      <c r="M463" s="1086">
        <v>-37</v>
      </c>
      <c r="N463" s="1107">
        <v>847222.22</v>
      </c>
      <c r="O463" s="1107">
        <f t="shared" si="87"/>
        <v>-31347222.140000001</v>
      </c>
      <c r="P463" s="1107">
        <f t="shared" si="88"/>
        <v>-2507777.7712000003</v>
      </c>
      <c r="Q463" s="1107">
        <f t="shared" si="89"/>
        <v>-33854999.911200002</v>
      </c>
      <c r="R463" s="1107"/>
      <c r="S463" s="1083"/>
      <c r="T463" s="1083"/>
      <c r="U463" s="1083"/>
      <c r="V463" s="1083">
        <f t="shared" si="90"/>
        <v>-33854999.911200002</v>
      </c>
    </row>
    <row r="464" spans="1:22" s="1002" customFormat="1" ht="47.25" hidden="1">
      <c r="A464" s="1000" t="s">
        <v>660</v>
      </c>
      <c r="B464" s="1028" t="s">
        <v>888</v>
      </c>
      <c r="C464" s="1066">
        <v>46162</v>
      </c>
      <c r="D464" s="1066"/>
      <c r="F464" s="1141">
        <v>46163</v>
      </c>
      <c r="G464" s="1140"/>
      <c r="H464" s="1138" t="s">
        <v>433</v>
      </c>
      <c r="I464" s="1002" t="s">
        <v>889</v>
      </c>
      <c r="J464" s="1007" t="s">
        <v>60</v>
      </c>
      <c r="K464" s="1007" t="s">
        <v>223</v>
      </c>
      <c r="M464" s="1086">
        <v>50</v>
      </c>
      <c r="N464" s="1107">
        <v>1138888.8799999999</v>
      </c>
      <c r="O464" s="1107">
        <f t="shared" si="87"/>
        <v>56944443.999999993</v>
      </c>
      <c r="P464" s="1107">
        <f t="shared" si="88"/>
        <v>4555555.5199999996</v>
      </c>
      <c r="Q464" s="1107">
        <f t="shared" si="89"/>
        <v>61499999.519999996</v>
      </c>
      <c r="R464" s="1107"/>
      <c r="S464" s="1083"/>
      <c r="T464" s="1083"/>
      <c r="U464" s="1083"/>
      <c r="V464" s="1083">
        <f t="shared" si="90"/>
        <v>61499999.519999996</v>
      </c>
    </row>
    <row r="465" spans="1:22" s="1002" customFormat="1" ht="47.25" hidden="1">
      <c r="A465" s="1000" t="s">
        <v>660</v>
      </c>
      <c r="B465" s="1028" t="s">
        <v>888</v>
      </c>
      <c r="C465" s="1066">
        <v>46162</v>
      </c>
      <c r="D465" s="1066"/>
      <c r="F465" s="1141">
        <v>46163</v>
      </c>
      <c r="G465" s="1140"/>
      <c r="H465" s="1138" t="s">
        <v>433</v>
      </c>
      <c r="I465" s="1002" t="s">
        <v>889</v>
      </c>
      <c r="J465" s="1007" t="s">
        <v>16</v>
      </c>
      <c r="K465" s="1007" t="s">
        <v>224</v>
      </c>
      <c r="M465" s="1086">
        <v>20</v>
      </c>
      <c r="N465" s="1107">
        <v>851851.85</v>
      </c>
      <c r="O465" s="1107">
        <f t="shared" si="87"/>
        <v>17037037</v>
      </c>
      <c r="P465" s="1107">
        <f t="shared" si="88"/>
        <v>1362962.96</v>
      </c>
      <c r="Q465" s="1107">
        <f>O465+P465</f>
        <v>18399999.960000001</v>
      </c>
      <c r="R465" s="1107"/>
      <c r="S465" s="1083"/>
      <c r="T465" s="1083"/>
      <c r="U465" s="1083"/>
      <c r="V465" s="1083">
        <f t="shared" si="90"/>
        <v>18399999.960000001</v>
      </c>
    </row>
    <row r="466" spans="1:22" s="1002" customFormat="1" hidden="1">
      <c r="A466" s="1000" t="s">
        <v>660</v>
      </c>
      <c r="B466" s="1028" t="s">
        <v>888</v>
      </c>
      <c r="C466" s="1066">
        <v>46162</v>
      </c>
      <c r="D466" s="1066"/>
      <c r="F466" s="1141">
        <v>46163</v>
      </c>
      <c r="G466" s="1140"/>
      <c r="H466" s="1138" t="s">
        <v>433</v>
      </c>
      <c r="I466" s="1002" t="s">
        <v>889</v>
      </c>
      <c r="J466" s="1007" t="s">
        <v>50</v>
      </c>
      <c r="K466" s="1005" t="s">
        <v>51</v>
      </c>
      <c r="M466" s="1086">
        <v>20</v>
      </c>
      <c r="N466" s="1107">
        <v>937962.96</v>
      </c>
      <c r="O466" s="1107">
        <f t="shared" si="87"/>
        <v>18759259.199999999</v>
      </c>
      <c r="P466" s="1107">
        <f t="shared" si="88"/>
        <v>1500740.736</v>
      </c>
      <c r="Q466" s="1107">
        <f t="shared" ref="Q466:Q474" si="91">O466+P466</f>
        <v>20259999.936000001</v>
      </c>
      <c r="R466" s="1107"/>
      <c r="S466" s="1083"/>
      <c r="T466" s="1083"/>
      <c r="U466" s="1083"/>
      <c r="V466" s="1083">
        <f t="shared" si="90"/>
        <v>20259999.936000001</v>
      </c>
    </row>
    <row r="467" spans="1:22" s="1002" customFormat="1" hidden="1">
      <c r="A467" s="1000" t="s">
        <v>660</v>
      </c>
      <c r="B467" s="1028" t="s">
        <v>888</v>
      </c>
      <c r="C467" s="1066">
        <v>46162</v>
      </c>
      <c r="D467" s="1066"/>
      <c r="F467" s="1141">
        <v>46163</v>
      </c>
      <c r="G467" s="1140"/>
      <c r="H467" s="1138" t="s">
        <v>433</v>
      </c>
      <c r="I467" s="1002" t="s">
        <v>889</v>
      </c>
      <c r="J467" s="1007" t="s">
        <v>52</v>
      </c>
      <c r="K467" s="1002" t="s">
        <v>53</v>
      </c>
      <c r="L467" s="1002" t="s">
        <v>18</v>
      </c>
      <c r="M467" s="1086">
        <v>20</v>
      </c>
      <c r="N467" s="1107">
        <v>1007407.4</v>
      </c>
      <c r="O467" s="1107">
        <f t="shared" si="87"/>
        <v>20148148</v>
      </c>
      <c r="P467" s="1107">
        <f t="shared" si="88"/>
        <v>1611851.84</v>
      </c>
      <c r="Q467" s="1107">
        <f t="shared" si="91"/>
        <v>21759999.84</v>
      </c>
      <c r="R467" s="1107"/>
      <c r="S467" s="1083"/>
      <c r="T467" s="1083"/>
      <c r="U467" s="1083"/>
      <c r="V467" s="1083">
        <f t="shared" si="90"/>
        <v>21759999.84</v>
      </c>
    </row>
    <row r="468" spans="1:22" s="1002" customFormat="1" hidden="1">
      <c r="A468" s="1000" t="s">
        <v>660</v>
      </c>
      <c r="B468" s="1028" t="s">
        <v>888</v>
      </c>
      <c r="C468" s="1066">
        <v>46162</v>
      </c>
      <c r="D468" s="1066"/>
      <c r="F468" s="1141">
        <v>46163</v>
      </c>
      <c r="G468" s="1140"/>
      <c r="H468" s="1138" t="s">
        <v>433</v>
      </c>
      <c r="I468" s="1002" t="s">
        <v>889</v>
      </c>
      <c r="J468" s="1007" t="s">
        <v>262</v>
      </c>
      <c r="K468" s="1005" t="s">
        <v>435</v>
      </c>
      <c r="M468" s="1086">
        <v>20</v>
      </c>
      <c r="N468" s="1107">
        <v>851851.85</v>
      </c>
      <c r="O468" s="1107">
        <f t="shared" si="87"/>
        <v>17037037</v>
      </c>
      <c r="P468" s="1107">
        <f t="shared" si="88"/>
        <v>1362962.96</v>
      </c>
      <c r="Q468" s="1107">
        <f t="shared" si="91"/>
        <v>18399999.960000001</v>
      </c>
      <c r="R468" s="1107"/>
      <c r="S468" s="1083"/>
      <c r="T468" s="1083"/>
      <c r="U468" s="1083"/>
      <c r="V468" s="1083">
        <f t="shared" si="90"/>
        <v>18399999.960000001</v>
      </c>
    </row>
    <row r="469" spans="1:22" s="1002" customFormat="1" hidden="1">
      <c r="A469" s="1000" t="s">
        <v>660</v>
      </c>
      <c r="B469" s="1028" t="s">
        <v>888</v>
      </c>
      <c r="C469" s="1066">
        <v>46162</v>
      </c>
      <c r="D469" s="1066"/>
      <c r="F469" s="1141">
        <v>46163</v>
      </c>
      <c r="G469" s="1140"/>
      <c r="H469" s="1138" t="s">
        <v>433</v>
      </c>
      <c r="I469" s="1002" t="s">
        <v>889</v>
      </c>
      <c r="J469" s="1007" t="s">
        <v>74</v>
      </c>
      <c r="K469" s="1005" t="s">
        <v>141</v>
      </c>
      <c r="M469" s="1086">
        <v>80</v>
      </c>
      <c r="N469" s="1107">
        <v>361111.11</v>
      </c>
      <c r="O469" s="1107">
        <f t="shared" si="87"/>
        <v>28888888.799999997</v>
      </c>
      <c r="P469" s="1107">
        <f t="shared" si="88"/>
        <v>2311111.1039999998</v>
      </c>
      <c r="Q469" s="1107">
        <f t="shared" si="91"/>
        <v>31199999.903999995</v>
      </c>
      <c r="R469" s="1107"/>
      <c r="S469" s="1083"/>
      <c r="T469" s="1083"/>
      <c r="U469" s="1083"/>
      <c r="V469" s="1083">
        <f t="shared" si="90"/>
        <v>31199999.903999995</v>
      </c>
    </row>
    <row r="470" spans="1:22" s="1002" customFormat="1" hidden="1">
      <c r="A470" s="1000" t="s">
        <v>660</v>
      </c>
      <c r="B470" s="1028" t="s">
        <v>888</v>
      </c>
      <c r="C470" s="1066">
        <v>46162</v>
      </c>
      <c r="D470" s="1066"/>
      <c r="F470" s="1141">
        <v>46163</v>
      </c>
      <c r="G470" s="1140"/>
      <c r="H470" s="1138" t="s">
        <v>433</v>
      </c>
      <c r="I470" s="1002" t="s">
        <v>889</v>
      </c>
      <c r="J470" s="1007" t="s">
        <v>62</v>
      </c>
      <c r="K470" s="1005" t="s">
        <v>63</v>
      </c>
      <c r="M470" s="1086">
        <v>40</v>
      </c>
      <c r="N470" s="1107">
        <v>0</v>
      </c>
      <c r="O470" s="1107">
        <f t="shared" si="87"/>
        <v>0</v>
      </c>
      <c r="P470" s="1107">
        <f t="shared" si="88"/>
        <v>0</v>
      </c>
      <c r="Q470" s="1107">
        <f t="shared" si="91"/>
        <v>0</v>
      </c>
      <c r="R470" s="1107"/>
      <c r="S470" s="1083"/>
      <c r="T470" s="1083"/>
      <c r="U470" s="1083"/>
      <c r="V470" s="1083">
        <f t="shared" si="90"/>
        <v>0</v>
      </c>
    </row>
    <row r="471" spans="1:22" s="1002" customFormat="1" hidden="1">
      <c r="A471" s="1000" t="s">
        <v>660</v>
      </c>
      <c r="B471" s="1028" t="s">
        <v>888</v>
      </c>
      <c r="C471" s="1066">
        <v>46162</v>
      </c>
      <c r="D471" s="1066"/>
      <c r="F471" s="1141">
        <v>46163</v>
      </c>
      <c r="G471" s="1140"/>
      <c r="H471" s="1138" t="s">
        <v>433</v>
      </c>
      <c r="I471" s="1002" t="s">
        <v>889</v>
      </c>
      <c r="J471" s="1007" t="s">
        <v>262</v>
      </c>
      <c r="K471" s="1005" t="s">
        <v>435</v>
      </c>
      <c r="M471" s="1086">
        <v>30</v>
      </c>
      <c r="N471" s="1107">
        <v>851851.85</v>
      </c>
      <c r="O471" s="1107">
        <f>N471*M471</f>
        <v>25555555.5</v>
      </c>
      <c r="P471" s="1107">
        <f t="shared" si="88"/>
        <v>2044444.44</v>
      </c>
      <c r="Q471" s="1107">
        <f t="shared" si="91"/>
        <v>27599999.940000001</v>
      </c>
      <c r="R471" s="1107"/>
      <c r="S471" s="1083"/>
      <c r="T471" s="1083"/>
      <c r="U471" s="1083"/>
      <c r="V471" s="1083">
        <f t="shared" si="90"/>
        <v>27599999.940000001</v>
      </c>
    </row>
    <row r="472" spans="1:22" s="1002" customFormat="1" hidden="1">
      <c r="A472" s="1000" t="s">
        <v>660</v>
      </c>
      <c r="B472" s="1028" t="s">
        <v>888</v>
      </c>
      <c r="C472" s="1066">
        <v>46176</v>
      </c>
      <c r="D472" s="1066"/>
      <c r="F472" s="1141"/>
      <c r="G472" s="1031"/>
      <c r="H472" s="1005"/>
      <c r="I472" s="1002" t="s">
        <v>844</v>
      </c>
      <c r="J472" s="1007"/>
      <c r="K472" s="1007"/>
      <c r="M472" s="1086"/>
      <c r="N472" s="1107"/>
      <c r="O472" s="1107"/>
      <c r="P472" s="1107"/>
      <c r="Q472" s="1107"/>
      <c r="R472" s="1107">
        <v>50000000</v>
      </c>
      <c r="S472" s="1083"/>
      <c r="T472" s="1083"/>
      <c r="U472" s="1083"/>
      <c r="V472" s="1083">
        <f t="shared" si="90"/>
        <v>-50000000</v>
      </c>
    </row>
    <row r="473" spans="1:22" s="1002" customFormat="1" hidden="1">
      <c r="A473" s="1000" t="s">
        <v>660</v>
      </c>
      <c r="B473" s="1028" t="s">
        <v>888</v>
      </c>
      <c r="C473" s="1066"/>
      <c r="D473" s="1066"/>
      <c r="F473" s="1141"/>
      <c r="G473" s="1031"/>
      <c r="H473" s="1005"/>
      <c r="I473" s="1002" t="s">
        <v>863</v>
      </c>
      <c r="J473" s="1007"/>
      <c r="K473" s="1007"/>
      <c r="M473" s="1086"/>
      <c r="N473" s="1107"/>
      <c r="O473" s="1107"/>
      <c r="P473" s="1107"/>
      <c r="Q473" s="1107"/>
      <c r="R473" s="1107"/>
      <c r="S473" s="1083">
        <f>1.5%*SUM(Q464:Q471)</f>
        <v>2986799.9858999993</v>
      </c>
      <c r="T473" s="1083"/>
      <c r="U473" s="1083"/>
      <c r="V473" s="1083">
        <f t="shared" si="90"/>
        <v>-2986799.9858999993</v>
      </c>
    </row>
    <row r="474" spans="1:22" s="1002" customFormat="1" hidden="1">
      <c r="A474" s="1000" t="s">
        <v>660</v>
      </c>
      <c r="B474" s="1028" t="s">
        <v>888</v>
      </c>
      <c r="C474" s="1066">
        <v>46179</v>
      </c>
      <c r="D474" s="1066"/>
      <c r="F474" s="1141"/>
      <c r="G474" s="1140"/>
      <c r="H474" s="1138"/>
      <c r="I474" s="1002" t="s">
        <v>889</v>
      </c>
      <c r="J474" s="1019" t="s">
        <v>85</v>
      </c>
      <c r="K474" s="1005" t="s">
        <v>86</v>
      </c>
      <c r="L474" s="1002" t="s">
        <v>113</v>
      </c>
      <c r="M474" s="1151">
        <v>131</v>
      </c>
      <c r="N474" s="1107">
        <v>509259.26</v>
      </c>
      <c r="O474" s="1107">
        <f t="shared" ref="O474" si="92">N474*M474</f>
        <v>66712963.060000002</v>
      </c>
      <c r="P474" s="1107">
        <f t="shared" si="88"/>
        <v>5337037.0448000003</v>
      </c>
      <c r="Q474" s="1107">
        <f t="shared" si="91"/>
        <v>72050000.104800001</v>
      </c>
      <c r="R474" s="1107"/>
      <c r="S474" s="1083"/>
      <c r="T474" s="1083"/>
      <c r="U474" s="1083"/>
      <c r="V474" s="1083">
        <f t="shared" si="90"/>
        <v>72050000.104800001</v>
      </c>
    </row>
    <row r="475" spans="1:22" s="1002" customFormat="1" hidden="1">
      <c r="A475" s="1000" t="s">
        <v>660</v>
      </c>
      <c r="B475" s="1028" t="s">
        <v>888</v>
      </c>
      <c r="C475" s="1076">
        <v>46190</v>
      </c>
      <c r="D475" s="1076"/>
      <c r="F475" s="1141">
        <v>46228</v>
      </c>
      <c r="G475" s="1140"/>
      <c r="H475" s="1140" t="s">
        <v>837</v>
      </c>
      <c r="I475" s="1008" t="s">
        <v>889</v>
      </c>
      <c r="J475" s="1007" t="s">
        <v>90</v>
      </c>
      <c r="K475" s="1024" t="s">
        <v>91</v>
      </c>
      <c r="M475" s="1093">
        <v>15</v>
      </c>
      <c r="N475" s="1081">
        <v>814814.81</v>
      </c>
      <c r="O475" s="1081">
        <f t="shared" ref="O475:O478" si="93">M475*N475</f>
        <v>12222222.15</v>
      </c>
      <c r="P475" s="1081">
        <f t="shared" si="88"/>
        <v>977777.772</v>
      </c>
      <c r="Q475" s="1081">
        <f>O475+P475</f>
        <v>13199999.922</v>
      </c>
      <c r="R475" s="1081"/>
      <c r="S475" s="1083"/>
      <c r="T475" s="1083"/>
      <c r="U475" s="1083"/>
      <c r="V475" s="1083">
        <f t="shared" si="90"/>
        <v>13199999.922</v>
      </c>
    </row>
    <row r="476" spans="1:22" s="1002" customFormat="1" hidden="1">
      <c r="A476" s="1000" t="s">
        <v>660</v>
      </c>
      <c r="B476" s="1028" t="s">
        <v>888</v>
      </c>
      <c r="C476" s="1076">
        <v>46190</v>
      </c>
      <c r="D476" s="1076"/>
      <c r="F476" s="1141">
        <v>46228</v>
      </c>
      <c r="G476" s="1140"/>
      <c r="H476" s="1140" t="s">
        <v>837</v>
      </c>
      <c r="I476" s="1008" t="s">
        <v>889</v>
      </c>
      <c r="J476" s="1007" t="s">
        <v>93</v>
      </c>
      <c r="K476" s="1024" t="s">
        <v>94</v>
      </c>
      <c r="M476" s="1093">
        <v>15</v>
      </c>
      <c r="N476" s="1081">
        <v>907407.41</v>
      </c>
      <c r="O476" s="1081">
        <f t="shared" si="93"/>
        <v>13611111.15</v>
      </c>
      <c r="P476" s="1081">
        <f t="shared" si="88"/>
        <v>1088888.892</v>
      </c>
      <c r="Q476" s="1081">
        <f t="shared" ref="Q476:Q479" si="94">O476+P476</f>
        <v>14700000.041999999</v>
      </c>
      <c r="R476" s="1081"/>
      <c r="S476" s="1083"/>
      <c r="T476" s="1083"/>
      <c r="U476" s="1083"/>
      <c r="V476" s="1083">
        <f t="shared" si="90"/>
        <v>14700000.041999999</v>
      </c>
    </row>
    <row r="477" spans="1:22" s="1002" customFormat="1" hidden="1">
      <c r="A477" s="1000" t="s">
        <v>660</v>
      </c>
      <c r="B477" s="1028" t="s">
        <v>888</v>
      </c>
      <c r="C477" s="1076">
        <v>46190</v>
      </c>
      <c r="D477" s="1076"/>
      <c r="F477" s="1141"/>
      <c r="G477" s="1140"/>
      <c r="H477" s="1140"/>
      <c r="I477" s="1008" t="s">
        <v>889</v>
      </c>
      <c r="J477" s="1007" t="s">
        <v>90</v>
      </c>
      <c r="K477" s="1024" t="s">
        <v>91</v>
      </c>
      <c r="M477" s="1093">
        <v>15</v>
      </c>
      <c r="N477" s="1081">
        <v>814814.81</v>
      </c>
      <c r="O477" s="1081">
        <f t="shared" si="93"/>
        <v>12222222.15</v>
      </c>
      <c r="P477" s="1081">
        <f t="shared" si="88"/>
        <v>977777.772</v>
      </c>
      <c r="Q477" s="1081">
        <f>O477+P477</f>
        <v>13199999.922</v>
      </c>
      <c r="R477" s="1081"/>
      <c r="S477" s="1083"/>
      <c r="T477" s="1083"/>
      <c r="U477" s="1083"/>
      <c r="V477" s="1083">
        <f t="shared" si="90"/>
        <v>13199999.922</v>
      </c>
    </row>
    <row r="478" spans="1:22" s="1002" customFormat="1" hidden="1">
      <c r="A478" s="1000" t="s">
        <v>660</v>
      </c>
      <c r="B478" s="1028" t="s">
        <v>888</v>
      </c>
      <c r="C478" s="1076">
        <v>46190</v>
      </c>
      <c r="D478" s="1076"/>
      <c r="F478" s="1141"/>
      <c r="G478" s="1140"/>
      <c r="H478" s="1140"/>
      <c r="I478" s="1008" t="s">
        <v>889</v>
      </c>
      <c r="J478" s="1007" t="s">
        <v>93</v>
      </c>
      <c r="K478" s="1024" t="s">
        <v>94</v>
      </c>
      <c r="M478" s="1093">
        <v>15</v>
      </c>
      <c r="N478" s="1081">
        <v>907407.41</v>
      </c>
      <c r="O478" s="1081">
        <f t="shared" si="93"/>
        <v>13611111.15</v>
      </c>
      <c r="P478" s="1081">
        <f t="shared" si="88"/>
        <v>1088888.892</v>
      </c>
      <c r="Q478" s="1081">
        <f t="shared" ref="Q478" si="95">O478+P478</f>
        <v>14700000.041999999</v>
      </c>
      <c r="R478" s="1081"/>
      <c r="S478" s="1083"/>
      <c r="T478" s="1083"/>
      <c r="U478" s="1083"/>
      <c r="V478" s="1083">
        <f t="shared" si="90"/>
        <v>14700000.041999999</v>
      </c>
    </row>
    <row r="479" spans="1:22" s="1002" customFormat="1" hidden="1">
      <c r="A479" s="1000" t="s">
        <v>660</v>
      </c>
      <c r="B479" s="1028" t="s">
        <v>888</v>
      </c>
      <c r="C479" s="1076">
        <v>46190</v>
      </c>
      <c r="D479" s="1076"/>
      <c r="F479" s="1003"/>
      <c r="G479" s="1140"/>
      <c r="H479" s="1140"/>
      <c r="I479" s="1008" t="s">
        <v>889</v>
      </c>
      <c r="J479" s="1007" t="s">
        <v>74</v>
      </c>
      <c r="K479" s="1003" t="s">
        <v>141</v>
      </c>
      <c r="M479" s="1093">
        <v>80</v>
      </c>
      <c r="N479" s="1081">
        <v>361111.11</v>
      </c>
      <c r="O479" s="1081">
        <f t="shared" ref="O479" si="96">N479*M479</f>
        <v>28888888.799999997</v>
      </c>
      <c r="P479" s="1081">
        <f t="shared" si="88"/>
        <v>2311111.1039999998</v>
      </c>
      <c r="Q479" s="1081">
        <f t="shared" si="94"/>
        <v>31199999.903999995</v>
      </c>
      <c r="R479" s="1081"/>
      <c r="S479" s="1083"/>
      <c r="T479" s="1083"/>
      <c r="U479" s="1083"/>
      <c r="V479" s="1083">
        <f t="shared" si="90"/>
        <v>31199999.903999995</v>
      </c>
    </row>
    <row r="480" spans="1:22" s="1002" customFormat="1" ht="31.5" hidden="1">
      <c r="A480" s="1000" t="s">
        <v>660</v>
      </c>
      <c r="B480" s="1028" t="s">
        <v>888</v>
      </c>
      <c r="C480" s="1076">
        <v>46196</v>
      </c>
      <c r="D480" s="1076"/>
      <c r="F480" s="1003"/>
      <c r="G480" s="1140"/>
      <c r="H480" s="1140"/>
      <c r="I480" s="1008" t="s">
        <v>889</v>
      </c>
      <c r="J480" s="1019" t="s">
        <v>96</v>
      </c>
      <c r="K480" s="1007" t="s">
        <v>97</v>
      </c>
      <c r="L480" s="1002" t="s">
        <v>113</v>
      </c>
      <c r="M480" s="1151">
        <v>20</v>
      </c>
      <c r="N480" s="1107">
        <v>574074.06999999995</v>
      </c>
      <c r="O480" s="1107">
        <f>M480*N480</f>
        <v>11481481.399999999</v>
      </c>
      <c r="P480" s="1107">
        <f>O480*8%</f>
        <v>918518.51199999987</v>
      </c>
      <c r="Q480" s="1107">
        <f>O480+P480</f>
        <v>12399999.911999999</v>
      </c>
      <c r="R480" s="1081"/>
      <c r="S480" s="1083"/>
      <c r="T480" s="1083"/>
      <c r="U480" s="1083"/>
      <c r="V480" s="1083">
        <f t="shared" si="90"/>
        <v>12399999.911999999</v>
      </c>
    </row>
    <row r="481" spans="1:22" s="1002" customFormat="1" hidden="1">
      <c r="A481" s="1000" t="s">
        <v>660</v>
      </c>
      <c r="B481" s="1028" t="s">
        <v>888</v>
      </c>
      <c r="C481" s="1076">
        <v>46196</v>
      </c>
      <c r="D481" s="1076"/>
      <c r="F481" s="1003"/>
      <c r="G481" s="1140"/>
      <c r="H481" s="1140"/>
      <c r="I481" s="1008" t="s">
        <v>889</v>
      </c>
      <c r="J481" s="1019" t="s">
        <v>98</v>
      </c>
      <c r="K481" s="1007" t="s">
        <v>251</v>
      </c>
      <c r="M481" s="1086">
        <v>50</v>
      </c>
      <c r="N481" s="1107">
        <v>694444.44</v>
      </c>
      <c r="O481" s="1107">
        <f>M481*N481</f>
        <v>34722222</v>
      </c>
      <c r="P481" s="1107">
        <f>O481*8%</f>
        <v>2777777.7600000002</v>
      </c>
      <c r="Q481" s="1107">
        <f>O481+P481</f>
        <v>37499999.759999998</v>
      </c>
      <c r="R481" s="1081"/>
      <c r="S481" s="1083"/>
      <c r="T481" s="1083"/>
      <c r="U481" s="1083"/>
      <c r="V481" s="1083">
        <f t="shared" si="90"/>
        <v>37499999.759999998</v>
      </c>
    </row>
    <row r="482" spans="1:22" s="1002" customFormat="1" hidden="1">
      <c r="A482" s="1000" t="s">
        <v>660</v>
      </c>
      <c r="B482" s="1028" t="s">
        <v>888</v>
      </c>
      <c r="C482" s="1076">
        <v>46200</v>
      </c>
      <c r="D482" s="1076"/>
      <c r="F482" s="1003"/>
      <c r="G482" s="1140"/>
      <c r="H482" s="1140"/>
      <c r="I482" s="1008" t="s">
        <v>889</v>
      </c>
      <c r="J482" s="1019" t="s">
        <v>161</v>
      </c>
      <c r="K482" s="1007" t="s">
        <v>438</v>
      </c>
      <c r="M482" s="1086">
        <v>36</v>
      </c>
      <c r="N482" s="1107">
        <v>231481.48</v>
      </c>
      <c r="O482" s="1107">
        <f>M482*N482</f>
        <v>8333333.2800000003</v>
      </c>
      <c r="P482" s="1107">
        <f>O482*8%</f>
        <v>666666.66240000003</v>
      </c>
      <c r="Q482" s="1107">
        <f>O482+P482</f>
        <v>8999999.942400001</v>
      </c>
      <c r="R482" s="1081"/>
      <c r="S482" s="1083"/>
      <c r="T482" s="1083"/>
      <c r="U482" s="1083"/>
      <c r="V482" s="1083">
        <f t="shared" si="90"/>
        <v>8999999.942400001</v>
      </c>
    </row>
    <row r="483" spans="1:22" s="1002" customFormat="1" ht="31.5" hidden="1">
      <c r="A483" s="1000" t="s">
        <v>660</v>
      </c>
      <c r="B483" s="1028" t="s">
        <v>888</v>
      </c>
      <c r="C483" s="1076">
        <v>46200</v>
      </c>
      <c r="D483" s="1076"/>
      <c r="F483" s="1003"/>
      <c r="G483" s="1140"/>
      <c r="H483" s="1140"/>
      <c r="I483" s="1008" t="s">
        <v>889</v>
      </c>
      <c r="J483" s="1019" t="s">
        <v>163</v>
      </c>
      <c r="K483" s="1007" t="s">
        <v>164</v>
      </c>
      <c r="M483" s="1086">
        <v>40</v>
      </c>
      <c r="N483" s="1107">
        <v>231481.5</v>
      </c>
      <c r="O483" s="1107">
        <f>M483*N483</f>
        <v>9259260</v>
      </c>
      <c r="P483" s="1107">
        <f>O483*8%</f>
        <v>740740.8</v>
      </c>
      <c r="Q483" s="1107">
        <f>O483+P483</f>
        <v>10000000.800000001</v>
      </c>
      <c r="R483" s="1081"/>
      <c r="S483" s="1083"/>
      <c r="T483" s="1083"/>
      <c r="U483" s="1083"/>
      <c r="V483" s="1083">
        <f t="shared" si="90"/>
        <v>10000000.800000001</v>
      </c>
    </row>
    <row r="484" spans="1:22" s="1002" customFormat="1" hidden="1">
      <c r="A484" s="1000" t="s">
        <v>660</v>
      </c>
      <c r="B484" s="1028" t="s">
        <v>888</v>
      </c>
      <c r="C484" s="1076">
        <v>46200</v>
      </c>
      <c r="D484" s="1076"/>
      <c r="F484" s="1003"/>
      <c r="G484" s="1140"/>
      <c r="H484" s="1140"/>
      <c r="I484" s="1008" t="s">
        <v>889</v>
      </c>
      <c r="J484" s="1019" t="s">
        <v>167</v>
      </c>
      <c r="K484" s="1007" t="s">
        <v>168</v>
      </c>
      <c r="M484" s="1086">
        <v>60</v>
      </c>
      <c r="N484" s="1107">
        <v>231481.48</v>
      </c>
      <c r="O484" s="1107">
        <f t="shared" ref="O484:O492" si="97">M484*N484</f>
        <v>13888888.800000001</v>
      </c>
      <c r="P484" s="1107">
        <f t="shared" ref="P484:P488" si="98">O484*8%</f>
        <v>1111111.1040000001</v>
      </c>
      <c r="Q484" s="1107">
        <f t="shared" ref="Q484:Q488" si="99">O484+P484</f>
        <v>14999999.904000001</v>
      </c>
      <c r="R484" s="1081"/>
      <c r="S484" s="1083"/>
      <c r="T484" s="1083"/>
      <c r="U484" s="1083"/>
      <c r="V484" s="1083">
        <f t="shared" si="90"/>
        <v>14999999.904000001</v>
      </c>
    </row>
    <row r="485" spans="1:22" s="1002" customFormat="1" hidden="1">
      <c r="A485" s="1000" t="s">
        <v>660</v>
      </c>
      <c r="B485" s="1028" t="s">
        <v>888</v>
      </c>
      <c r="C485" s="1076">
        <v>46200</v>
      </c>
      <c r="D485" s="1076"/>
      <c r="F485" s="1003"/>
      <c r="G485" s="1140"/>
      <c r="H485" s="1140"/>
      <c r="I485" s="1008" t="s">
        <v>889</v>
      </c>
      <c r="J485" s="1019" t="s">
        <v>169</v>
      </c>
      <c r="K485" s="1007" t="s">
        <v>170</v>
      </c>
      <c r="M485" s="1086">
        <v>40</v>
      </c>
      <c r="N485" s="1107">
        <v>425925.92</v>
      </c>
      <c r="O485" s="1107">
        <f t="shared" si="97"/>
        <v>17037036.800000001</v>
      </c>
      <c r="P485" s="1107">
        <f t="shared" si="98"/>
        <v>1362962.9440000001</v>
      </c>
      <c r="Q485" s="1107">
        <f t="shared" si="99"/>
        <v>18399999.744000003</v>
      </c>
      <c r="R485" s="1081"/>
      <c r="S485" s="1083"/>
      <c r="T485" s="1083"/>
      <c r="U485" s="1083"/>
      <c r="V485" s="1083">
        <f t="shared" si="90"/>
        <v>18399999.744000003</v>
      </c>
    </row>
    <row r="486" spans="1:22" s="1002" customFormat="1" ht="31.5" hidden="1">
      <c r="A486" s="1000" t="s">
        <v>660</v>
      </c>
      <c r="B486" s="1028" t="s">
        <v>888</v>
      </c>
      <c r="C486" s="1076">
        <v>46200</v>
      </c>
      <c r="D486" s="1076"/>
      <c r="F486" s="1003"/>
      <c r="G486" s="1140"/>
      <c r="H486" s="1140"/>
      <c r="I486" s="1008" t="s">
        <v>889</v>
      </c>
      <c r="J486" s="1019" t="s">
        <v>165</v>
      </c>
      <c r="K486" s="1007" t="s">
        <v>409</v>
      </c>
      <c r="M486" s="1086">
        <v>60</v>
      </c>
      <c r="N486" s="1107">
        <v>203703.7</v>
      </c>
      <c r="O486" s="1107">
        <f t="shared" si="97"/>
        <v>12222222</v>
      </c>
      <c r="P486" s="1107">
        <f t="shared" si="98"/>
        <v>977777.76</v>
      </c>
      <c r="Q486" s="1107">
        <f t="shared" si="99"/>
        <v>13199999.76</v>
      </c>
      <c r="R486" s="1081"/>
      <c r="S486" s="1083"/>
      <c r="T486" s="1083"/>
      <c r="U486" s="1083"/>
      <c r="V486" s="1083">
        <f t="shared" si="90"/>
        <v>13199999.76</v>
      </c>
    </row>
    <row r="487" spans="1:22" s="1002" customFormat="1" hidden="1">
      <c r="A487" s="1000" t="s">
        <v>660</v>
      </c>
      <c r="B487" s="1028" t="s">
        <v>888</v>
      </c>
      <c r="C487" s="1076">
        <v>46200</v>
      </c>
      <c r="D487" s="1076"/>
      <c r="F487" s="1003"/>
      <c r="G487" s="1140"/>
      <c r="H487" s="1140"/>
      <c r="I487" s="1008" t="s">
        <v>889</v>
      </c>
      <c r="J487" s="1019" t="s">
        <v>171</v>
      </c>
      <c r="K487" s="1007" t="s">
        <v>172</v>
      </c>
      <c r="M487" s="1086">
        <v>80</v>
      </c>
      <c r="N487" s="1107">
        <v>69444.44</v>
      </c>
      <c r="O487" s="1107">
        <f t="shared" si="97"/>
        <v>5555555.2000000002</v>
      </c>
      <c r="P487" s="1107">
        <f t="shared" si="98"/>
        <v>444444.41600000003</v>
      </c>
      <c r="Q487" s="1107">
        <f t="shared" si="99"/>
        <v>5999999.6160000004</v>
      </c>
      <c r="R487" s="1081"/>
      <c r="S487" s="1083"/>
      <c r="T487" s="1083"/>
      <c r="U487" s="1083"/>
      <c r="V487" s="1083">
        <f t="shared" si="90"/>
        <v>5999999.6160000004</v>
      </c>
    </row>
    <row r="488" spans="1:22" s="1002" customFormat="1" hidden="1">
      <c r="A488" s="1000" t="s">
        <v>660</v>
      </c>
      <c r="B488" s="1028" t="s">
        <v>888</v>
      </c>
      <c r="C488" s="1076">
        <v>46200</v>
      </c>
      <c r="D488" s="1076"/>
      <c r="F488" s="1003"/>
      <c r="G488" s="1140"/>
      <c r="H488" s="1140"/>
      <c r="I488" s="1008" t="s">
        <v>889</v>
      </c>
      <c r="J488" s="1019" t="s">
        <v>173</v>
      </c>
      <c r="K488" s="1007" t="s">
        <v>174</v>
      </c>
      <c r="M488" s="1086">
        <v>80</v>
      </c>
      <c r="N488" s="1107">
        <v>97222.22</v>
      </c>
      <c r="O488" s="1107">
        <f t="shared" si="97"/>
        <v>7777777.5999999996</v>
      </c>
      <c r="P488" s="1107">
        <f t="shared" si="98"/>
        <v>622222.20799999998</v>
      </c>
      <c r="Q488" s="1107">
        <f t="shared" si="99"/>
        <v>8399999.8080000002</v>
      </c>
      <c r="R488" s="1081"/>
      <c r="S488" s="1083"/>
      <c r="T488" s="1083"/>
      <c r="U488" s="1083"/>
      <c r="V488" s="1083">
        <f t="shared" si="90"/>
        <v>8399999.8080000002</v>
      </c>
    </row>
    <row r="489" spans="1:22" s="1002" customFormat="1" hidden="1">
      <c r="A489" s="1000" t="s">
        <v>660</v>
      </c>
      <c r="B489" s="1029" t="s">
        <v>888</v>
      </c>
      <c r="C489" s="1066">
        <v>46221</v>
      </c>
      <c r="D489" s="1066"/>
      <c r="F489" s="1005"/>
      <c r="G489" s="1031"/>
      <c r="H489" s="1005"/>
      <c r="I489" s="1002" t="s">
        <v>844</v>
      </c>
      <c r="J489" s="1007"/>
      <c r="K489" s="1007"/>
      <c r="M489" s="1086"/>
      <c r="N489" s="1107"/>
      <c r="O489" s="1107"/>
      <c r="P489" s="1107"/>
      <c r="Q489" s="1107"/>
      <c r="R489" s="1107">
        <v>50000000</v>
      </c>
      <c r="S489" s="1083"/>
      <c r="T489" s="1083"/>
      <c r="U489" s="1083"/>
      <c r="V489" s="1083">
        <f t="shared" si="90"/>
        <v>-50000000</v>
      </c>
    </row>
    <row r="490" spans="1:22" s="1002" customFormat="1" hidden="1">
      <c r="A490" s="1000" t="s">
        <v>660</v>
      </c>
      <c r="B490" s="1029" t="s">
        <v>888</v>
      </c>
      <c r="C490" s="1066">
        <v>46223</v>
      </c>
      <c r="D490" s="1066"/>
      <c r="F490" s="1005"/>
      <c r="I490" s="1002" t="s">
        <v>889</v>
      </c>
      <c r="J490" s="1007" t="s">
        <v>101</v>
      </c>
      <c r="K490" s="1007" t="s">
        <v>102</v>
      </c>
      <c r="M490" s="1086">
        <v>40</v>
      </c>
      <c r="N490" s="1107">
        <v>861111.11</v>
      </c>
      <c r="O490" s="1107">
        <f t="shared" si="97"/>
        <v>34444444.399999999</v>
      </c>
      <c r="P490" s="1107">
        <f t="shared" ref="P490:P492" si="100">O490*8%</f>
        <v>2755555.5520000001</v>
      </c>
      <c r="Q490" s="1107">
        <f t="shared" ref="Q490:Q492" si="101">O490+P490</f>
        <v>37199999.952</v>
      </c>
      <c r="R490" s="1107"/>
      <c r="S490" s="1083"/>
      <c r="T490" s="1083"/>
      <c r="U490" s="1083"/>
      <c r="V490" s="1083">
        <f t="shared" si="90"/>
        <v>37199999.952</v>
      </c>
    </row>
    <row r="491" spans="1:22" s="1002" customFormat="1" hidden="1">
      <c r="A491" s="1000" t="s">
        <v>660</v>
      </c>
      <c r="B491" s="1029" t="s">
        <v>888</v>
      </c>
      <c r="C491" s="1066">
        <v>46223</v>
      </c>
      <c r="D491" s="1066"/>
      <c r="F491" s="1005"/>
      <c r="H491" s="1085"/>
      <c r="I491" s="1002" t="s">
        <v>889</v>
      </c>
      <c r="J491" s="1007" t="s">
        <v>103</v>
      </c>
      <c r="K491" s="1007" t="s">
        <v>104</v>
      </c>
      <c r="M491" s="1086">
        <v>18</v>
      </c>
      <c r="N491" s="1107">
        <v>675925.93</v>
      </c>
      <c r="O491" s="1107">
        <f t="shared" si="97"/>
        <v>12166666.74</v>
      </c>
      <c r="P491" s="1107">
        <f t="shared" si="100"/>
        <v>973333.33920000005</v>
      </c>
      <c r="Q491" s="1107">
        <f t="shared" si="101"/>
        <v>13140000.0792</v>
      </c>
      <c r="R491" s="1107"/>
      <c r="S491" s="1083"/>
      <c r="T491" s="1083"/>
      <c r="U491" s="1083"/>
      <c r="V491" s="1083">
        <f t="shared" si="90"/>
        <v>13140000.0792</v>
      </c>
    </row>
    <row r="492" spans="1:22" s="1002" customFormat="1" hidden="1">
      <c r="A492" s="1000" t="s">
        <v>660</v>
      </c>
      <c r="B492" s="1029" t="s">
        <v>888</v>
      </c>
      <c r="C492" s="1066">
        <v>46223</v>
      </c>
      <c r="D492" s="1066"/>
      <c r="F492" s="1005"/>
      <c r="I492" s="1002" t="s">
        <v>862</v>
      </c>
      <c r="J492" s="1007" t="s">
        <v>62</v>
      </c>
      <c r="K492" s="1005" t="s">
        <v>63</v>
      </c>
      <c r="M492" s="1086">
        <v>18</v>
      </c>
      <c r="N492" s="1107">
        <v>0</v>
      </c>
      <c r="O492" s="1107">
        <f t="shared" si="97"/>
        <v>0</v>
      </c>
      <c r="P492" s="1107">
        <f t="shared" si="100"/>
        <v>0</v>
      </c>
      <c r="Q492" s="1107">
        <f t="shared" si="101"/>
        <v>0</v>
      </c>
      <c r="R492" s="1107"/>
      <c r="S492" s="1083"/>
      <c r="T492" s="1083"/>
      <c r="U492" s="1083"/>
      <c r="V492" s="1083">
        <f t="shared" si="90"/>
        <v>0</v>
      </c>
    </row>
    <row r="493" spans="1:22" s="1002" customFormat="1" hidden="1">
      <c r="A493" s="1000" t="s">
        <v>660</v>
      </c>
      <c r="B493" s="1029" t="s">
        <v>888</v>
      </c>
      <c r="C493" s="1066">
        <v>46234</v>
      </c>
      <c r="D493" s="1066"/>
      <c r="F493" s="1005"/>
      <c r="G493" s="1031"/>
      <c r="H493" s="1005"/>
      <c r="I493" s="1002" t="s">
        <v>844</v>
      </c>
      <c r="J493" s="1007"/>
      <c r="K493" s="1007"/>
      <c r="M493" s="1086"/>
      <c r="N493" s="1107"/>
      <c r="O493" s="1107"/>
      <c r="P493" s="1107"/>
      <c r="Q493" s="1107"/>
      <c r="R493" s="1107">
        <v>50000000</v>
      </c>
      <c r="S493" s="1083"/>
      <c r="T493" s="1083"/>
      <c r="U493" s="1083"/>
      <c r="V493" s="1083">
        <f t="shared" si="90"/>
        <v>-50000000</v>
      </c>
    </row>
    <row r="494" spans="1:22" s="1002" customFormat="1" ht="31.5" hidden="1">
      <c r="A494" s="1000" t="s">
        <v>752</v>
      </c>
      <c r="B494" s="1028" t="s">
        <v>1494</v>
      </c>
      <c r="C494" s="1066">
        <v>46055</v>
      </c>
      <c r="D494" s="1066"/>
      <c r="F494" s="1141">
        <v>46057</v>
      </c>
      <c r="H494" s="1138" t="s">
        <v>339</v>
      </c>
      <c r="I494" s="1002" t="s">
        <v>340</v>
      </c>
      <c r="J494" s="1007" t="s">
        <v>341</v>
      </c>
      <c r="K494" s="1023" t="s">
        <v>269</v>
      </c>
      <c r="M494" s="1086">
        <v>6</v>
      </c>
      <c r="N494" s="1107">
        <v>480555.56</v>
      </c>
      <c r="O494" s="1107">
        <f t="shared" ref="O494:O510" si="102">N494*M494</f>
        <v>2883333.36</v>
      </c>
      <c r="P494" s="1107">
        <f t="shared" ref="P494:P510" si="103">O494*8%</f>
        <v>230666.66879999998</v>
      </c>
      <c r="Q494" s="1107">
        <f t="shared" ref="Q494:Q510" si="104">O494+P494</f>
        <v>3114000.0288</v>
      </c>
      <c r="R494" s="1107"/>
      <c r="S494" s="1083"/>
      <c r="T494" s="1083"/>
      <c r="U494" s="1083"/>
      <c r="V494" s="1083">
        <f t="shared" si="90"/>
        <v>3114000.0288</v>
      </c>
    </row>
    <row r="495" spans="1:22" s="1002" customFormat="1" hidden="1">
      <c r="A495" s="1000" t="s">
        <v>752</v>
      </c>
      <c r="B495" s="1028" t="s">
        <v>1494</v>
      </c>
      <c r="C495" s="1066">
        <v>46055</v>
      </c>
      <c r="D495" s="1066"/>
      <c r="F495" s="1141">
        <v>46057</v>
      </c>
      <c r="H495" s="1138" t="s">
        <v>339</v>
      </c>
      <c r="I495" s="1002" t="s">
        <v>340</v>
      </c>
      <c r="J495" s="1007" t="s">
        <v>62</v>
      </c>
      <c r="K495" s="1007" t="s">
        <v>63</v>
      </c>
      <c r="M495" s="1086">
        <v>10</v>
      </c>
      <c r="N495" s="1107">
        <v>78703.7</v>
      </c>
      <c r="O495" s="1107">
        <f t="shared" si="102"/>
        <v>787037</v>
      </c>
      <c r="P495" s="1107">
        <f t="shared" si="103"/>
        <v>62962.96</v>
      </c>
      <c r="Q495" s="1107">
        <f t="shared" si="104"/>
        <v>849999.96</v>
      </c>
      <c r="R495" s="1107"/>
      <c r="S495" s="1083"/>
      <c r="T495" s="1083"/>
      <c r="U495" s="1083"/>
      <c r="V495" s="1083">
        <f t="shared" si="90"/>
        <v>849999.96</v>
      </c>
    </row>
    <row r="496" spans="1:22" s="1002" customFormat="1" hidden="1">
      <c r="A496" s="1000" t="s">
        <v>752</v>
      </c>
      <c r="B496" s="1028" t="s">
        <v>1494</v>
      </c>
      <c r="C496" s="1066">
        <v>46055</v>
      </c>
      <c r="D496" s="1066"/>
      <c r="F496" s="1141">
        <v>46057</v>
      </c>
      <c r="H496" s="1138" t="s">
        <v>339</v>
      </c>
      <c r="I496" s="1002" t="s">
        <v>340</v>
      </c>
      <c r="J496" s="1007" t="s">
        <v>80</v>
      </c>
      <c r="K496" s="1002" t="s">
        <v>81</v>
      </c>
      <c r="L496" s="1002" t="s">
        <v>18</v>
      </c>
      <c r="M496" s="1086">
        <v>2</v>
      </c>
      <c r="N496" s="1107">
        <v>824074.07</v>
      </c>
      <c r="O496" s="1107">
        <f t="shared" si="102"/>
        <v>1648148.14</v>
      </c>
      <c r="P496" s="1107">
        <f t="shared" si="103"/>
        <v>131851.8512</v>
      </c>
      <c r="Q496" s="1107">
        <f t="shared" si="104"/>
        <v>1779999.9911999998</v>
      </c>
      <c r="R496" s="1107"/>
      <c r="S496" s="1083"/>
      <c r="T496" s="1083"/>
      <c r="U496" s="1083"/>
      <c r="V496" s="1083">
        <f t="shared" si="90"/>
        <v>1779999.9911999998</v>
      </c>
    </row>
    <row r="497" spans="1:22" s="1002" customFormat="1" hidden="1">
      <c r="A497" s="1000" t="s">
        <v>752</v>
      </c>
      <c r="B497" s="1028" t="s">
        <v>1494</v>
      </c>
      <c r="C497" s="1066">
        <v>46055</v>
      </c>
      <c r="D497" s="1066"/>
      <c r="F497" s="1141">
        <v>46057</v>
      </c>
      <c r="H497" s="1138" t="s">
        <v>339</v>
      </c>
      <c r="I497" s="1002" t="s">
        <v>340</v>
      </c>
      <c r="J497" s="1007" t="s">
        <v>21</v>
      </c>
      <c r="K497" s="1005" t="s">
        <v>22</v>
      </c>
      <c r="M497" s="1086">
        <v>2</v>
      </c>
      <c r="N497" s="1107">
        <v>937962.96</v>
      </c>
      <c r="O497" s="1107">
        <f t="shared" si="102"/>
        <v>1875925.92</v>
      </c>
      <c r="P497" s="1107">
        <f t="shared" si="103"/>
        <v>150074.0736</v>
      </c>
      <c r="Q497" s="1107">
        <f t="shared" si="104"/>
        <v>2025999.9935999999</v>
      </c>
      <c r="R497" s="1107"/>
      <c r="S497" s="1083"/>
      <c r="T497" s="1083"/>
      <c r="U497" s="1083"/>
      <c r="V497" s="1083">
        <f t="shared" si="90"/>
        <v>2025999.9935999999</v>
      </c>
    </row>
    <row r="498" spans="1:22" s="1002" customFormat="1" hidden="1">
      <c r="A498" s="1000" t="s">
        <v>752</v>
      </c>
      <c r="B498" s="1028" t="s">
        <v>1494</v>
      </c>
      <c r="C498" s="1066">
        <v>46055</v>
      </c>
      <c r="D498" s="1066"/>
      <c r="F498" s="1141">
        <v>46057</v>
      </c>
      <c r="H498" s="1138" t="s">
        <v>339</v>
      </c>
      <c r="I498" s="1002" t="s">
        <v>340</v>
      </c>
      <c r="J498" s="1007" t="s">
        <v>68</v>
      </c>
      <c r="K498" s="1005" t="s">
        <v>69</v>
      </c>
      <c r="M498" s="1086">
        <v>4</v>
      </c>
      <c r="N498" s="1107">
        <v>111111.11</v>
      </c>
      <c r="O498" s="1107">
        <f t="shared" si="102"/>
        <v>444444.44</v>
      </c>
      <c r="P498" s="1107">
        <f t="shared" si="103"/>
        <v>35555.555200000003</v>
      </c>
      <c r="Q498" s="1107">
        <f t="shared" si="104"/>
        <v>479999.9952</v>
      </c>
      <c r="R498" s="1107"/>
      <c r="S498" s="1083"/>
      <c r="T498" s="1083"/>
      <c r="U498" s="1083"/>
      <c r="V498" s="1083">
        <f t="shared" si="90"/>
        <v>479999.9952</v>
      </c>
    </row>
    <row r="499" spans="1:22" s="1002" customFormat="1" hidden="1">
      <c r="A499" s="1000" t="s">
        <v>752</v>
      </c>
      <c r="B499" s="1028" t="s">
        <v>1494</v>
      </c>
      <c r="C499" s="1066">
        <v>46055</v>
      </c>
      <c r="D499" s="1066"/>
      <c r="F499" s="1141">
        <v>46057</v>
      </c>
      <c r="H499" s="1138" t="s">
        <v>339</v>
      </c>
      <c r="I499" s="1002" t="s">
        <v>340</v>
      </c>
      <c r="J499" s="1007" t="s">
        <v>70</v>
      </c>
      <c r="K499" s="1005" t="s">
        <v>71</v>
      </c>
      <c r="M499" s="1086">
        <v>4</v>
      </c>
      <c r="N499" s="1107">
        <v>120370.37</v>
      </c>
      <c r="O499" s="1107">
        <f t="shared" si="102"/>
        <v>481481.48</v>
      </c>
      <c r="P499" s="1107">
        <f t="shared" si="103"/>
        <v>38518.518400000001</v>
      </c>
      <c r="Q499" s="1107">
        <f t="shared" si="104"/>
        <v>519999.99839999998</v>
      </c>
      <c r="R499" s="1107"/>
      <c r="S499" s="1083"/>
      <c r="T499" s="1083"/>
      <c r="U499" s="1083"/>
      <c r="V499" s="1083">
        <f t="shared" si="90"/>
        <v>519999.99839999998</v>
      </c>
    </row>
    <row r="500" spans="1:22" s="1002" customFormat="1" hidden="1">
      <c r="A500" s="1000" t="s">
        <v>752</v>
      </c>
      <c r="B500" s="1028" t="s">
        <v>1494</v>
      </c>
      <c r="C500" s="1066">
        <v>46055</v>
      </c>
      <c r="D500" s="1066"/>
      <c r="F500" s="1141">
        <v>46057</v>
      </c>
      <c r="H500" s="1138" t="s">
        <v>339</v>
      </c>
      <c r="I500" s="1002" t="s">
        <v>340</v>
      </c>
      <c r="J500" s="1007" t="s">
        <v>72</v>
      </c>
      <c r="K500" s="1005" t="s">
        <v>73</v>
      </c>
      <c r="M500" s="1086">
        <v>4</v>
      </c>
      <c r="N500" s="1107">
        <v>129629.63</v>
      </c>
      <c r="O500" s="1107">
        <f t="shared" si="102"/>
        <v>518518.52</v>
      </c>
      <c r="P500" s="1107">
        <f t="shared" si="103"/>
        <v>41481.481599999999</v>
      </c>
      <c r="Q500" s="1107">
        <f t="shared" si="104"/>
        <v>560000.00160000008</v>
      </c>
      <c r="R500" s="1107"/>
      <c r="S500" s="1083"/>
      <c r="T500" s="1083"/>
      <c r="U500" s="1083"/>
      <c r="V500" s="1083">
        <f t="shared" si="90"/>
        <v>560000.00160000008</v>
      </c>
    </row>
    <row r="501" spans="1:22" s="1002" customFormat="1" ht="31.5" hidden="1">
      <c r="A501" s="1000" t="s">
        <v>752</v>
      </c>
      <c r="B501" s="1028" t="s">
        <v>1494</v>
      </c>
      <c r="C501" s="1066">
        <v>46055</v>
      </c>
      <c r="D501" s="1066"/>
      <c r="F501" s="1141">
        <v>46057</v>
      </c>
      <c r="H501" s="1138" t="s">
        <v>339</v>
      </c>
      <c r="I501" s="1002" t="s">
        <v>340</v>
      </c>
      <c r="J501" s="1007" t="s">
        <v>28</v>
      </c>
      <c r="K501" s="1007" t="s">
        <v>343</v>
      </c>
      <c r="M501" s="1086">
        <v>10</v>
      </c>
      <c r="N501" s="1107">
        <v>281481.48</v>
      </c>
      <c r="O501" s="1107">
        <f t="shared" si="102"/>
        <v>2814814.8</v>
      </c>
      <c r="P501" s="1107">
        <f t="shared" si="103"/>
        <v>225185.18399999998</v>
      </c>
      <c r="Q501" s="1107">
        <f t="shared" si="104"/>
        <v>3039999.9839999997</v>
      </c>
      <c r="R501" s="1107"/>
      <c r="S501" s="1083"/>
      <c r="T501" s="1083"/>
      <c r="U501" s="1083"/>
      <c r="V501" s="1083">
        <f t="shared" si="90"/>
        <v>3039999.9839999997</v>
      </c>
    </row>
    <row r="502" spans="1:22" s="1002" customFormat="1" ht="31.5" hidden="1">
      <c r="A502" s="1000" t="s">
        <v>752</v>
      </c>
      <c r="B502" s="1028" t="s">
        <v>1494</v>
      </c>
      <c r="C502" s="1066">
        <v>46055</v>
      </c>
      <c r="D502" s="1066"/>
      <c r="F502" s="1141">
        <v>46057</v>
      </c>
      <c r="H502" s="1138" t="s">
        <v>339</v>
      </c>
      <c r="I502" s="1002" t="s">
        <v>340</v>
      </c>
      <c r="J502" s="1007" t="s">
        <v>36</v>
      </c>
      <c r="K502" s="1007" t="s">
        <v>37</v>
      </c>
      <c r="M502" s="1086">
        <v>10</v>
      </c>
      <c r="N502" s="1107">
        <v>259259.26</v>
      </c>
      <c r="O502" s="1107">
        <f t="shared" si="102"/>
        <v>2592592.6</v>
      </c>
      <c r="P502" s="1107">
        <f t="shared" si="103"/>
        <v>207407.40800000002</v>
      </c>
      <c r="Q502" s="1107">
        <f t="shared" si="104"/>
        <v>2800000.0079999999</v>
      </c>
      <c r="R502" s="1107"/>
      <c r="S502" s="1083"/>
      <c r="T502" s="1083"/>
      <c r="U502" s="1083"/>
      <c r="V502" s="1083">
        <f t="shared" si="90"/>
        <v>2800000.0079999999</v>
      </c>
    </row>
    <row r="503" spans="1:22" s="1002" customFormat="1" ht="31.5" hidden="1">
      <c r="A503" s="1000" t="s">
        <v>752</v>
      </c>
      <c r="B503" s="1028" t="s">
        <v>1494</v>
      </c>
      <c r="C503" s="1066">
        <v>46055</v>
      </c>
      <c r="D503" s="1066"/>
      <c r="F503" s="1141">
        <v>46057</v>
      </c>
      <c r="H503" s="1138" t="s">
        <v>339</v>
      </c>
      <c r="I503" s="1002" t="s">
        <v>340</v>
      </c>
      <c r="J503" s="1007" t="s">
        <v>38</v>
      </c>
      <c r="K503" s="1007" t="s">
        <v>39</v>
      </c>
      <c r="M503" s="1086">
        <v>10</v>
      </c>
      <c r="N503" s="1107">
        <v>277777.78000000003</v>
      </c>
      <c r="O503" s="1107">
        <f t="shared" si="102"/>
        <v>2777777.8000000003</v>
      </c>
      <c r="P503" s="1107">
        <f t="shared" si="103"/>
        <v>222222.22400000002</v>
      </c>
      <c r="Q503" s="1107">
        <f t="shared" si="104"/>
        <v>3000000.0240000002</v>
      </c>
      <c r="R503" s="1107"/>
      <c r="S503" s="1083"/>
      <c r="T503" s="1083"/>
      <c r="U503" s="1083"/>
      <c r="V503" s="1083">
        <f t="shared" si="90"/>
        <v>3000000.0240000002</v>
      </c>
    </row>
    <row r="504" spans="1:22" s="1002" customFormat="1" hidden="1">
      <c r="A504" s="1000" t="s">
        <v>752</v>
      </c>
      <c r="B504" s="1028" t="s">
        <v>1494</v>
      </c>
      <c r="C504" s="1066">
        <v>46055</v>
      </c>
      <c r="D504" s="1066"/>
      <c r="F504" s="1141">
        <v>46057</v>
      </c>
      <c r="H504" s="1138" t="s">
        <v>339</v>
      </c>
      <c r="I504" s="1002" t="s">
        <v>340</v>
      </c>
      <c r="J504" s="1007" t="s">
        <v>40</v>
      </c>
      <c r="K504" s="1005" t="s">
        <v>41</v>
      </c>
      <c r="M504" s="1086">
        <v>4</v>
      </c>
      <c r="N504" s="1107">
        <v>844444.44</v>
      </c>
      <c r="O504" s="1107">
        <f t="shared" si="102"/>
        <v>3377777.76</v>
      </c>
      <c r="P504" s="1107">
        <f t="shared" si="103"/>
        <v>270222.22080000001</v>
      </c>
      <c r="Q504" s="1107">
        <f t="shared" si="104"/>
        <v>3647999.9808</v>
      </c>
      <c r="R504" s="1107"/>
      <c r="S504" s="1083"/>
      <c r="T504" s="1083"/>
      <c r="U504" s="1083"/>
      <c r="V504" s="1083">
        <f t="shared" si="90"/>
        <v>3647999.9808</v>
      </c>
    </row>
    <row r="505" spans="1:22" s="1002" customFormat="1" ht="31.5" hidden="1">
      <c r="A505" s="1000" t="s">
        <v>752</v>
      </c>
      <c r="B505" s="1028" t="s">
        <v>1494</v>
      </c>
      <c r="C505" s="1066">
        <v>46055</v>
      </c>
      <c r="D505" s="1066"/>
      <c r="F505" s="1141">
        <v>46062</v>
      </c>
      <c r="H505" s="1138" t="s">
        <v>344</v>
      </c>
      <c r="I505" s="1002" t="s">
        <v>340</v>
      </c>
      <c r="J505" s="1007" t="s">
        <v>60</v>
      </c>
      <c r="K505" s="1007" t="s">
        <v>61</v>
      </c>
      <c r="M505" s="1086">
        <v>4</v>
      </c>
      <c r="N505" s="1107">
        <v>1138888.8899999999</v>
      </c>
      <c r="O505" s="1107">
        <f t="shared" si="102"/>
        <v>4555555.5599999996</v>
      </c>
      <c r="P505" s="1107">
        <f t="shared" si="103"/>
        <v>364444.4448</v>
      </c>
      <c r="Q505" s="1107">
        <f t="shared" si="104"/>
        <v>4920000.0047999993</v>
      </c>
      <c r="R505" s="1107"/>
      <c r="S505" s="1083"/>
      <c r="T505" s="1083"/>
      <c r="U505" s="1083"/>
      <c r="V505" s="1083">
        <f t="shared" si="90"/>
        <v>4920000.0047999993</v>
      </c>
    </row>
    <row r="506" spans="1:22" s="1002" customFormat="1" ht="31.5" hidden="1">
      <c r="A506" s="1000" t="s">
        <v>752</v>
      </c>
      <c r="B506" s="1029" t="s">
        <v>1494</v>
      </c>
      <c r="C506" s="1066">
        <v>46055</v>
      </c>
      <c r="D506" s="1066"/>
      <c r="F506" s="1141"/>
      <c r="H506" s="1138"/>
      <c r="I506" s="1002" t="s">
        <v>340</v>
      </c>
      <c r="J506" s="1007" t="s">
        <v>83</v>
      </c>
      <c r="K506" s="1007" t="s">
        <v>84</v>
      </c>
      <c r="M506" s="1086">
        <v>4</v>
      </c>
      <c r="N506" s="1107">
        <v>1097222.22</v>
      </c>
      <c r="O506" s="1107">
        <f t="shared" si="102"/>
        <v>4388888.88</v>
      </c>
      <c r="P506" s="1107">
        <f t="shared" si="103"/>
        <v>351111.11040000001</v>
      </c>
      <c r="Q506" s="1107">
        <f t="shared" si="104"/>
        <v>4739999.9903999995</v>
      </c>
      <c r="R506" s="1107"/>
      <c r="S506" s="1083"/>
      <c r="T506" s="1083"/>
      <c r="U506" s="1083"/>
      <c r="V506" s="1083">
        <f t="shared" si="90"/>
        <v>4739999.9903999995</v>
      </c>
    </row>
    <row r="507" spans="1:22" s="1002" customFormat="1" ht="31.5" hidden="1">
      <c r="A507" s="1000" t="s">
        <v>752</v>
      </c>
      <c r="B507" s="1029" t="s">
        <v>1494</v>
      </c>
      <c r="C507" s="1066">
        <v>46055</v>
      </c>
      <c r="D507" s="1066"/>
      <c r="F507" s="1141">
        <v>46062</v>
      </c>
      <c r="H507" s="1138" t="s">
        <v>345</v>
      </c>
      <c r="I507" s="1002" t="s">
        <v>340</v>
      </c>
      <c r="J507" s="1007" t="s">
        <v>16</v>
      </c>
      <c r="K507" s="1007" t="s">
        <v>17</v>
      </c>
      <c r="M507" s="1086">
        <v>4</v>
      </c>
      <c r="N507" s="1107">
        <v>851851.85</v>
      </c>
      <c r="O507" s="1107">
        <f t="shared" si="102"/>
        <v>3407407.4</v>
      </c>
      <c r="P507" s="1107">
        <f t="shared" si="103"/>
        <v>272592.592</v>
      </c>
      <c r="Q507" s="1107">
        <f t="shared" si="104"/>
        <v>3679999.9920000001</v>
      </c>
      <c r="R507" s="1107"/>
      <c r="S507" s="1083"/>
      <c r="T507" s="1083"/>
      <c r="U507" s="1083"/>
      <c r="V507" s="1083">
        <f t="shared" si="90"/>
        <v>3679999.9920000001</v>
      </c>
    </row>
    <row r="508" spans="1:22" s="1002" customFormat="1" hidden="1">
      <c r="A508" s="1000" t="s">
        <v>752</v>
      </c>
      <c r="B508" s="1029" t="s">
        <v>1494</v>
      </c>
      <c r="C508" s="1066">
        <v>46055</v>
      </c>
      <c r="D508" s="1066"/>
      <c r="F508" s="1141">
        <v>46079</v>
      </c>
      <c r="H508" s="1138" t="s">
        <v>347</v>
      </c>
      <c r="I508" s="1002" t="s">
        <v>340</v>
      </c>
      <c r="J508" s="1007" t="s">
        <v>127</v>
      </c>
      <c r="K508" s="1007" t="s">
        <v>128</v>
      </c>
      <c r="M508" s="1086">
        <v>12</v>
      </c>
      <c r="N508" s="1107">
        <v>284259.26</v>
      </c>
      <c r="O508" s="1107">
        <f t="shared" si="102"/>
        <v>3411111.12</v>
      </c>
      <c r="P508" s="1107">
        <f t="shared" si="103"/>
        <v>272888.88959999999</v>
      </c>
      <c r="Q508" s="1107">
        <f t="shared" si="104"/>
        <v>3684000.0096</v>
      </c>
      <c r="R508" s="1107"/>
      <c r="S508" s="1083"/>
      <c r="T508" s="1083"/>
      <c r="U508" s="1083"/>
      <c r="V508" s="1083">
        <f t="shared" si="90"/>
        <v>3684000.0096</v>
      </c>
    </row>
    <row r="509" spans="1:22" s="1002" customFormat="1" ht="31.5" hidden="1">
      <c r="A509" s="1000" t="s">
        <v>752</v>
      </c>
      <c r="B509" s="1029" t="s">
        <v>1494</v>
      </c>
      <c r="C509" s="1066">
        <v>46055</v>
      </c>
      <c r="D509" s="1066"/>
      <c r="F509" s="1141">
        <v>46079</v>
      </c>
      <c r="H509" s="1138" t="s">
        <v>347</v>
      </c>
      <c r="I509" s="1002" t="s">
        <v>340</v>
      </c>
      <c r="J509" s="1007" t="s">
        <v>56</v>
      </c>
      <c r="K509" s="1007" t="s">
        <v>57</v>
      </c>
      <c r="M509" s="1086">
        <v>12</v>
      </c>
      <c r="N509" s="1107">
        <v>325925.93</v>
      </c>
      <c r="O509" s="1107">
        <f t="shared" si="102"/>
        <v>3911111.16</v>
      </c>
      <c r="P509" s="1107">
        <f t="shared" si="103"/>
        <v>312888.89280000003</v>
      </c>
      <c r="Q509" s="1107">
        <f t="shared" si="104"/>
        <v>4224000.0527999997</v>
      </c>
      <c r="R509" s="1107"/>
      <c r="S509" s="1083"/>
      <c r="T509" s="1083"/>
      <c r="U509" s="1083"/>
      <c r="V509" s="1083">
        <f t="shared" si="90"/>
        <v>4224000.0527999997</v>
      </c>
    </row>
    <row r="510" spans="1:22" s="1002" customFormat="1" hidden="1">
      <c r="A510" s="1000" t="s">
        <v>752</v>
      </c>
      <c r="B510" s="1029" t="s">
        <v>1494</v>
      </c>
      <c r="C510" s="1066">
        <v>46055</v>
      </c>
      <c r="D510" s="1066"/>
      <c r="F510" s="1141">
        <v>46085</v>
      </c>
      <c r="H510" s="1138" t="s">
        <v>348</v>
      </c>
      <c r="I510" s="1002" t="s">
        <v>340</v>
      </c>
      <c r="J510" s="1007" t="s">
        <v>48</v>
      </c>
      <c r="K510" s="1002" t="s">
        <v>49</v>
      </c>
      <c r="M510" s="1086">
        <v>6</v>
      </c>
      <c r="N510" s="1107">
        <v>601851.85</v>
      </c>
      <c r="O510" s="1107">
        <f t="shared" si="102"/>
        <v>3611111.0999999996</v>
      </c>
      <c r="P510" s="1107">
        <f t="shared" si="103"/>
        <v>288888.88799999998</v>
      </c>
      <c r="Q510" s="1107">
        <f t="shared" si="104"/>
        <v>3899999.9879999994</v>
      </c>
      <c r="R510" s="1107"/>
      <c r="S510" s="1083"/>
      <c r="T510" s="1083"/>
      <c r="U510" s="1083"/>
      <c r="V510" s="1083">
        <f t="shared" si="90"/>
        <v>3899999.9879999994</v>
      </c>
    </row>
    <row r="511" spans="1:22" s="1002" customFormat="1" hidden="1">
      <c r="A511" s="1000" t="s">
        <v>752</v>
      </c>
      <c r="B511" s="1029" t="s">
        <v>1494</v>
      </c>
      <c r="C511" s="1066">
        <v>46055</v>
      </c>
      <c r="D511" s="1066"/>
      <c r="F511" s="1005"/>
      <c r="H511" s="1005"/>
      <c r="I511" s="1002" t="s">
        <v>340</v>
      </c>
      <c r="J511" s="1007" t="s">
        <v>62</v>
      </c>
      <c r="K511" s="1005" t="s">
        <v>63</v>
      </c>
      <c r="M511" s="1086">
        <v>6</v>
      </c>
      <c r="N511" s="1107"/>
      <c r="O511" s="1107"/>
      <c r="P511" s="1107"/>
      <c r="Q511" s="1107"/>
      <c r="R511" s="1107"/>
      <c r="S511" s="1083"/>
      <c r="T511" s="1083"/>
      <c r="U511" s="1083"/>
      <c r="V511" s="1083">
        <f t="shared" si="90"/>
        <v>0</v>
      </c>
    </row>
    <row r="512" spans="1:22" s="1002" customFormat="1" hidden="1">
      <c r="A512" s="1000" t="s">
        <v>752</v>
      </c>
      <c r="B512" s="1029" t="s">
        <v>1494</v>
      </c>
      <c r="C512" s="1066">
        <v>46059</v>
      </c>
      <c r="D512" s="1066"/>
      <c r="F512" s="1005"/>
      <c r="H512" s="1005"/>
      <c r="I512" s="1002" t="s">
        <v>839</v>
      </c>
      <c r="J512" s="1007"/>
      <c r="K512" s="1005"/>
      <c r="M512" s="1086"/>
      <c r="N512" s="1107"/>
      <c r="O512" s="1107"/>
      <c r="P512" s="1107"/>
      <c r="Q512" s="1107"/>
      <c r="R512" s="1107">
        <v>25178000</v>
      </c>
      <c r="S512" s="1083"/>
      <c r="T512" s="1083"/>
      <c r="U512" s="1083"/>
      <c r="V512" s="1083">
        <f t="shared" si="90"/>
        <v>-25178000</v>
      </c>
    </row>
    <row r="513" spans="1:22" s="1002" customFormat="1" hidden="1">
      <c r="A513" s="1000" t="s">
        <v>752</v>
      </c>
      <c r="B513" s="1029" t="s">
        <v>1494</v>
      </c>
      <c r="C513" s="1066">
        <v>46062</v>
      </c>
      <c r="D513" s="1066"/>
      <c r="F513" s="1141">
        <v>46062</v>
      </c>
      <c r="H513" s="1138" t="s">
        <v>345</v>
      </c>
      <c r="I513" s="1002" t="s">
        <v>340</v>
      </c>
      <c r="J513" s="1007" t="s">
        <v>21</v>
      </c>
      <c r="K513" s="1005" t="s">
        <v>22</v>
      </c>
      <c r="M513" s="1086">
        <v>6</v>
      </c>
      <c r="N513" s="1107">
        <v>937962.96</v>
      </c>
      <c r="O513" s="1107">
        <f t="shared" ref="O513:O519" si="105">N513*M513</f>
        <v>5627777.7599999998</v>
      </c>
      <c r="P513" s="1107">
        <f t="shared" ref="P513:P519" si="106">O513*8%</f>
        <v>450222.22080000001</v>
      </c>
      <c r="Q513" s="1107">
        <f t="shared" ref="Q513:Q519" si="107">O513+P513</f>
        <v>6077999.9808</v>
      </c>
      <c r="R513" s="1107"/>
      <c r="S513" s="1083"/>
      <c r="T513" s="1083"/>
      <c r="U513" s="1083"/>
      <c r="V513" s="1083">
        <f t="shared" si="90"/>
        <v>6077999.9808</v>
      </c>
    </row>
    <row r="514" spans="1:22" s="1002" customFormat="1" hidden="1">
      <c r="A514" s="1000" t="s">
        <v>752</v>
      </c>
      <c r="B514" s="1029" t="s">
        <v>1494</v>
      </c>
      <c r="C514" s="1066">
        <v>46062</v>
      </c>
      <c r="D514" s="1066"/>
      <c r="F514" s="1141">
        <v>46062</v>
      </c>
      <c r="H514" s="1138" t="s">
        <v>345</v>
      </c>
      <c r="I514" s="1002" t="s">
        <v>340</v>
      </c>
      <c r="J514" s="1007" t="s">
        <v>68</v>
      </c>
      <c r="K514" s="1005" t="s">
        <v>69</v>
      </c>
      <c r="M514" s="1086">
        <v>12</v>
      </c>
      <c r="N514" s="1107">
        <v>111111.11</v>
      </c>
      <c r="O514" s="1107">
        <f t="shared" si="105"/>
        <v>1333333.32</v>
      </c>
      <c r="P514" s="1107">
        <f t="shared" si="106"/>
        <v>106666.66560000001</v>
      </c>
      <c r="Q514" s="1107">
        <f>O514+P514</f>
        <v>1439999.9856</v>
      </c>
      <c r="R514" s="1107"/>
      <c r="S514" s="1083"/>
      <c r="T514" s="1083"/>
      <c r="U514" s="1083"/>
      <c r="V514" s="1083">
        <f t="shared" si="90"/>
        <v>1439999.9856</v>
      </c>
    </row>
    <row r="515" spans="1:22" s="1002" customFormat="1" hidden="1">
      <c r="A515" s="1000" t="s">
        <v>752</v>
      </c>
      <c r="B515" s="1029" t="s">
        <v>1494</v>
      </c>
      <c r="C515" s="1066">
        <v>46062</v>
      </c>
      <c r="D515" s="1066"/>
      <c r="F515" s="1141">
        <v>46062</v>
      </c>
      <c r="H515" s="1138" t="s">
        <v>345</v>
      </c>
      <c r="I515" s="1002" t="s">
        <v>340</v>
      </c>
      <c r="J515" s="1007" t="s">
        <v>70</v>
      </c>
      <c r="K515" s="1005" t="s">
        <v>71</v>
      </c>
      <c r="M515" s="1086">
        <v>12</v>
      </c>
      <c r="N515" s="1107">
        <v>120370.37</v>
      </c>
      <c r="O515" s="1107">
        <f>N515*M515</f>
        <v>1444444.44</v>
      </c>
      <c r="P515" s="1107">
        <f>O515*8%</f>
        <v>115555.5552</v>
      </c>
      <c r="Q515" s="1107">
        <f>O515+P515</f>
        <v>1559999.9952</v>
      </c>
      <c r="R515" s="1107"/>
      <c r="S515" s="1083" t="s">
        <v>924</v>
      </c>
      <c r="T515" s="1083"/>
      <c r="U515" s="1083"/>
      <c r="V515" s="1083">
        <f>Q515</f>
        <v>1559999.9952</v>
      </c>
    </row>
    <row r="516" spans="1:22" s="1002" customFormat="1" hidden="1">
      <c r="A516" s="1000" t="s">
        <v>752</v>
      </c>
      <c r="B516" s="1029" t="s">
        <v>1494</v>
      </c>
      <c r="C516" s="1066">
        <v>46062</v>
      </c>
      <c r="D516" s="1066"/>
      <c r="F516" s="1141">
        <v>46062</v>
      </c>
      <c r="H516" s="1138" t="s">
        <v>345</v>
      </c>
      <c r="I516" s="1002" t="s">
        <v>340</v>
      </c>
      <c r="J516" s="1007" t="s">
        <v>72</v>
      </c>
      <c r="K516" s="1005" t="s">
        <v>73</v>
      </c>
      <c r="M516" s="1086">
        <v>12</v>
      </c>
      <c r="N516" s="1107">
        <v>129629.63</v>
      </c>
      <c r="O516" s="1107">
        <f t="shared" si="105"/>
        <v>1555555.56</v>
      </c>
      <c r="P516" s="1107">
        <f t="shared" si="106"/>
        <v>124444.44480000001</v>
      </c>
      <c r="Q516" s="1107">
        <f t="shared" si="107"/>
        <v>1680000.0048</v>
      </c>
      <c r="R516" s="1107"/>
      <c r="S516" s="1083"/>
      <c r="T516" s="1083"/>
      <c r="U516" s="1083"/>
      <c r="V516" s="1083">
        <f t="shared" si="90"/>
        <v>1680000.0048</v>
      </c>
    </row>
    <row r="517" spans="1:22" s="1002" customFormat="1" hidden="1">
      <c r="A517" s="1000" t="s">
        <v>752</v>
      </c>
      <c r="B517" s="1029" t="s">
        <v>1494</v>
      </c>
      <c r="C517" s="1066">
        <v>46062</v>
      </c>
      <c r="D517" s="1066"/>
      <c r="F517" s="1141">
        <v>46085</v>
      </c>
      <c r="H517" s="1138" t="s">
        <v>348</v>
      </c>
      <c r="I517" s="1002" t="s">
        <v>340</v>
      </c>
      <c r="J517" s="1007" t="s">
        <v>48</v>
      </c>
      <c r="K517" s="1002" t="s">
        <v>49</v>
      </c>
      <c r="M517" s="1086">
        <v>12</v>
      </c>
      <c r="N517" s="1107">
        <v>601851.85</v>
      </c>
      <c r="O517" s="1107">
        <f t="shared" si="105"/>
        <v>7222222.1999999993</v>
      </c>
      <c r="P517" s="1107">
        <f t="shared" si="106"/>
        <v>577777.77599999995</v>
      </c>
      <c r="Q517" s="1107">
        <f t="shared" si="107"/>
        <v>7799999.9759999989</v>
      </c>
      <c r="R517" s="1107"/>
      <c r="S517" s="1083"/>
      <c r="T517" s="1083"/>
      <c r="U517" s="1083"/>
      <c r="V517" s="1083">
        <f t="shared" si="90"/>
        <v>7799999.9759999989</v>
      </c>
    </row>
    <row r="518" spans="1:22" s="1002" customFormat="1" hidden="1">
      <c r="A518" s="1000" t="s">
        <v>752</v>
      </c>
      <c r="B518" s="1029" t="s">
        <v>1494</v>
      </c>
      <c r="C518" s="1066">
        <v>46062</v>
      </c>
      <c r="D518" s="1066"/>
      <c r="F518" s="1005"/>
      <c r="H518" s="1005" t="s">
        <v>335</v>
      </c>
      <c r="I518" s="1002" t="s">
        <v>340</v>
      </c>
      <c r="J518" s="1007" t="s">
        <v>62</v>
      </c>
      <c r="K518" s="1005" t="s">
        <v>63</v>
      </c>
      <c r="M518" s="1086">
        <v>20</v>
      </c>
      <c r="N518" s="1107">
        <v>78703.7</v>
      </c>
      <c r="O518" s="1107">
        <f t="shared" si="105"/>
        <v>1574074</v>
      </c>
      <c r="P518" s="1107">
        <f t="shared" si="106"/>
        <v>125925.92</v>
      </c>
      <c r="Q518" s="1107">
        <f t="shared" si="107"/>
        <v>1699999.92</v>
      </c>
      <c r="R518" s="1107"/>
      <c r="S518" s="1083"/>
      <c r="T518" s="1083"/>
      <c r="U518" s="1083"/>
      <c r="V518" s="1083">
        <f t="shared" si="90"/>
        <v>1699999.92</v>
      </c>
    </row>
    <row r="519" spans="1:22" s="1002" customFormat="1" hidden="1">
      <c r="A519" s="1000" t="s">
        <v>752</v>
      </c>
      <c r="B519" s="1029" t="s">
        <v>1494</v>
      </c>
      <c r="C519" s="1066">
        <v>46062</v>
      </c>
      <c r="D519" s="1066"/>
      <c r="F519" s="1141"/>
      <c r="H519" s="1005" t="s">
        <v>335</v>
      </c>
      <c r="I519" s="1002" t="s">
        <v>340</v>
      </c>
      <c r="J519" s="1007" t="s">
        <v>62</v>
      </c>
      <c r="K519" s="1005" t="s">
        <v>63</v>
      </c>
      <c r="M519" s="1086">
        <v>12</v>
      </c>
      <c r="N519" s="1107"/>
      <c r="O519" s="1107">
        <f t="shared" si="105"/>
        <v>0</v>
      </c>
      <c r="P519" s="1107">
        <f t="shared" si="106"/>
        <v>0</v>
      </c>
      <c r="Q519" s="1107">
        <f t="shared" si="107"/>
        <v>0</v>
      </c>
      <c r="R519" s="1107"/>
      <c r="S519" s="1083"/>
      <c r="T519" s="1083"/>
      <c r="U519" s="1083"/>
      <c r="V519" s="1083">
        <f t="shared" si="90"/>
        <v>0</v>
      </c>
    </row>
    <row r="520" spans="1:22" s="1002" customFormat="1" hidden="1">
      <c r="A520" s="1000" t="s">
        <v>752</v>
      </c>
      <c r="B520" s="1029" t="s">
        <v>1494</v>
      </c>
      <c r="C520" s="1066">
        <v>46063</v>
      </c>
      <c r="D520" s="1066"/>
      <c r="F520" s="1141"/>
      <c r="H520" s="1005"/>
      <c r="I520" s="1002" t="s">
        <v>844</v>
      </c>
      <c r="J520" s="1007"/>
      <c r="K520" s="1005"/>
      <c r="M520" s="1086"/>
      <c r="N520" s="1107"/>
      <c r="O520" s="1107"/>
      <c r="P520" s="1107"/>
      <c r="Q520" s="1107"/>
      <c r="R520" s="1107">
        <v>41176000</v>
      </c>
      <c r="S520" s="1083"/>
      <c r="T520" s="1083"/>
      <c r="U520" s="1083"/>
      <c r="V520" s="1083">
        <f t="shared" si="90"/>
        <v>-41176000</v>
      </c>
    </row>
    <row r="521" spans="1:22" s="1002" customFormat="1" hidden="1">
      <c r="A521" s="1000" t="s">
        <v>752</v>
      </c>
      <c r="B521" s="1029" t="s">
        <v>1494</v>
      </c>
      <c r="C521" s="1066">
        <v>46063</v>
      </c>
      <c r="D521" s="1066"/>
      <c r="F521" s="1141"/>
      <c r="H521" s="1005"/>
      <c r="I521" s="1002" t="s">
        <v>281</v>
      </c>
      <c r="J521" s="1007"/>
      <c r="K521" s="1005"/>
      <c r="M521" s="1086"/>
      <c r="N521" s="1107"/>
      <c r="O521" s="1107"/>
      <c r="P521" s="1107"/>
      <c r="Q521" s="1107"/>
      <c r="R521" s="1083"/>
      <c r="S521" s="1107">
        <v>600000</v>
      </c>
      <c r="T521" s="1083"/>
      <c r="U521" s="1083"/>
      <c r="V521" s="1083">
        <f t="shared" si="90"/>
        <v>-600000</v>
      </c>
    </row>
    <row r="522" spans="1:22" s="1002" customFormat="1" hidden="1">
      <c r="A522" s="1000" t="s">
        <v>752</v>
      </c>
      <c r="B522" s="1029" t="s">
        <v>1494</v>
      </c>
      <c r="C522" s="1066">
        <v>46063</v>
      </c>
      <c r="D522" s="1066"/>
      <c r="F522" s="1141"/>
      <c r="H522" s="1005"/>
      <c r="I522" s="1002" t="s">
        <v>702</v>
      </c>
      <c r="J522" s="1007"/>
      <c r="K522" s="1005"/>
      <c r="M522" s="1086"/>
      <c r="N522" s="1107"/>
      <c r="O522" s="1107"/>
      <c r="P522" s="1107"/>
      <c r="Q522" s="1107"/>
      <c r="R522" s="1107">
        <v>270000</v>
      </c>
      <c r="S522" s="1083"/>
      <c r="T522" s="1083"/>
      <c r="U522" s="1083"/>
      <c r="V522" s="1083">
        <f t="shared" si="90"/>
        <v>-270000</v>
      </c>
    </row>
    <row r="523" spans="1:22" s="1002" customFormat="1" hidden="1">
      <c r="A523" s="1000" t="s">
        <v>752</v>
      </c>
      <c r="B523" s="1029" t="s">
        <v>1494</v>
      </c>
      <c r="C523" s="1066">
        <v>46077</v>
      </c>
      <c r="D523" s="1066"/>
      <c r="F523" s="1141"/>
      <c r="H523" s="1005" t="s">
        <v>335</v>
      </c>
      <c r="I523" s="1002" t="s">
        <v>340</v>
      </c>
      <c r="J523" s="1007" t="s">
        <v>62</v>
      </c>
      <c r="K523" s="1005" t="s">
        <v>63</v>
      </c>
      <c r="M523" s="1086">
        <v>20</v>
      </c>
      <c r="N523" s="1107">
        <v>78703.7</v>
      </c>
      <c r="O523" s="1107">
        <f t="shared" ref="O523:O540" si="108">N523*M523</f>
        <v>1574074</v>
      </c>
      <c r="P523" s="1107">
        <f t="shared" ref="P523:P540" si="109">O523*8%</f>
        <v>125925.92</v>
      </c>
      <c r="Q523" s="1107">
        <f t="shared" ref="Q523:Q540" si="110">O523+P523</f>
        <v>1699999.92</v>
      </c>
      <c r="R523" s="1107"/>
      <c r="S523" s="1083"/>
      <c r="T523" s="1083"/>
      <c r="U523" s="1083"/>
      <c r="V523" s="1083">
        <f t="shared" si="90"/>
        <v>1699999.92</v>
      </c>
    </row>
    <row r="524" spans="1:22" s="1002" customFormat="1" ht="31.5" hidden="1">
      <c r="A524" s="1000" t="s">
        <v>752</v>
      </c>
      <c r="B524" s="1029" t="s">
        <v>1494</v>
      </c>
      <c r="C524" s="1066">
        <v>46077</v>
      </c>
      <c r="D524" s="1066"/>
      <c r="F524" s="1141">
        <v>46079</v>
      </c>
      <c r="H524" s="1138" t="s">
        <v>351</v>
      </c>
      <c r="I524" s="1002" t="s">
        <v>340</v>
      </c>
      <c r="J524" s="1007" t="s">
        <v>60</v>
      </c>
      <c r="K524" s="1007" t="s">
        <v>61</v>
      </c>
      <c r="M524" s="1086">
        <v>4</v>
      </c>
      <c r="N524" s="1107">
        <v>1138888.8899999999</v>
      </c>
      <c r="O524" s="1107">
        <f t="shared" si="108"/>
        <v>4555555.5599999996</v>
      </c>
      <c r="P524" s="1107">
        <f t="shared" si="109"/>
        <v>364444.4448</v>
      </c>
      <c r="Q524" s="1107">
        <f t="shared" si="110"/>
        <v>4920000.0047999993</v>
      </c>
      <c r="R524" s="1107"/>
      <c r="S524" s="1083"/>
      <c r="T524" s="1083"/>
      <c r="U524" s="1083"/>
      <c r="V524" s="1083">
        <f t="shared" ref="V524:V545" si="111">Q524-R524-S524-T524-U524</f>
        <v>4920000.0047999993</v>
      </c>
    </row>
    <row r="525" spans="1:22" s="1002" customFormat="1" ht="31.5" hidden="1">
      <c r="A525" s="1000" t="s">
        <v>752</v>
      </c>
      <c r="B525" s="1029" t="s">
        <v>1494</v>
      </c>
      <c r="C525" s="1066">
        <v>46077</v>
      </c>
      <c r="D525" s="1066"/>
      <c r="F525" s="1141">
        <v>46079</v>
      </c>
      <c r="H525" s="1138" t="s">
        <v>351</v>
      </c>
      <c r="I525" s="1002" t="s">
        <v>340</v>
      </c>
      <c r="J525" s="1007" t="s">
        <v>16</v>
      </c>
      <c r="K525" s="1007" t="s">
        <v>17</v>
      </c>
      <c r="M525" s="1086">
        <v>4</v>
      </c>
      <c r="N525" s="1107">
        <v>851851.85</v>
      </c>
      <c r="O525" s="1107">
        <f t="shared" si="108"/>
        <v>3407407.4</v>
      </c>
      <c r="P525" s="1107">
        <f t="shared" si="109"/>
        <v>272592.592</v>
      </c>
      <c r="Q525" s="1107">
        <f t="shared" si="110"/>
        <v>3679999.9920000001</v>
      </c>
      <c r="R525" s="1107"/>
      <c r="S525" s="1083"/>
      <c r="T525" s="1083"/>
      <c r="U525" s="1083"/>
      <c r="V525" s="1083">
        <f t="shared" si="111"/>
        <v>3679999.9920000001</v>
      </c>
    </row>
    <row r="526" spans="1:22" s="1002" customFormat="1" ht="31.5" hidden="1">
      <c r="A526" s="1000" t="s">
        <v>752</v>
      </c>
      <c r="B526" s="1029" t="s">
        <v>1494</v>
      </c>
      <c r="C526" s="1066">
        <v>46077</v>
      </c>
      <c r="D526" s="1066"/>
      <c r="F526" s="1141">
        <v>46079</v>
      </c>
      <c r="H526" s="1138" t="s">
        <v>351</v>
      </c>
      <c r="I526" s="1002" t="s">
        <v>340</v>
      </c>
      <c r="J526" s="1007" t="s">
        <v>184</v>
      </c>
      <c r="K526" s="1007" t="s">
        <v>272</v>
      </c>
      <c r="M526" s="1086">
        <v>10</v>
      </c>
      <c r="N526" s="1107">
        <v>240740.74</v>
      </c>
      <c r="O526" s="1107">
        <f t="shared" si="108"/>
        <v>2407407.4</v>
      </c>
      <c r="P526" s="1107">
        <f t="shared" si="109"/>
        <v>192592.592</v>
      </c>
      <c r="Q526" s="1107">
        <f t="shared" si="110"/>
        <v>2599999.9920000001</v>
      </c>
      <c r="R526" s="1107"/>
      <c r="S526" s="1083"/>
      <c r="T526" s="1083"/>
      <c r="U526" s="1083"/>
      <c r="V526" s="1083">
        <f t="shared" si="111"/>
        <v>2599999.9920000001</v>
      </c>
    </row>
    <row r="527" spans="1:22" s="1002" customFormat="1" ht="31.5" hidden="1">
      <c r="A527" s="1000" t="s">
        <v>752</v>
      </c>
      <c r="B527" s="1029" t="s">
        <v>1494</v>
      </c>
      <c r="C527" s="1066">
        <v>46077</v>
      </c>
      <c r="D527" s="1066"/>
      <c r="F527" s="1141">
        <v>46079</v>
      </c>
      <c r="H527" s="1138" t="s">
        <v>347</v>
      </c>
      <c r="I527" s="1002" t="s">
        <v>340</v>
      </c>
      <c r="J527" s="1007" t="s">
        <v>56</v>
      </c>
      <c r="K527" s="1007" t="s">
        <v>57</v>
      </c>
      <c r="M527" s="1086">
        <v>24</v>
      </c>
      <c r="N527" s="1107">
        <v>325925.93</v>
      </c>
      <c r="O527" s="1107">
        <f t="shared" si="108"/>
        <v>7822222.3200000003</v>
      </c>
      <c r="P527" s="1107">
        <f t="shared" si="109"/>
        <v>625777.78560000006</v>
      </c>
      <c r="Q527" s="1107">
        <f t="shared" si="110"/>
        <v>8448000.1055999994</v>
      </c>
      <c r="R527" s="1107"/>
      <c r="S527" s="1083"/>
      <c r="T527" s="1083"/>
      <c r="U527" s="1083"/>
      <c r="V527" s="1083">
        <f t="shared" si="111"/>
        <v>8448000.1055999994</v>
      </c>
    </row>
    <row r="528" spans="1:22" s="1002" customFormat="1" ht="31.5" hidden="1">
      <c r="A528" s="1000" t="s">
        <v>752</v>
      </c>
      <c r="B528" s="1029" t="s">
        <v>1494</v>
      </c>
      <c r="C528" s="1066">
        <v>46077</v>
      </c>
      <c r="D528" s="1066"/>
      <c r="F528" s="1141">
        <v>46085</v>
      </c>
      <c r="H528" s="1138" t="s">
        <v>348</v>
      </c>
      <c r="I528" s="1002" t="s">
        <v>340</v>
      </c>
      <c r="J528" s="1007" t="s">
        <v>56</v>
      </c>
      <c r="K528" s="1007" t="s">
        <v>57</v>
      </c>
      <c r="M528" s="1086">
        <v>20</v>
      </c>
      <c r="N528" s="1107">
        <f>N527</f>
        <v>325925.93</v>
      </c>
      <c r="O528" s="1107">
        <f t="shared" si="108"/>
        <v>6518518.5999999996</v>
      </c>
      <c r="P528" s="1107">
        <f t="shared" si="109"/>
        <v>521481.48799999995</v>
      </c>
      <c r="Q528" s="1107">
        <f t="shared" si="110"/>
        <v>7040000.0879999995</v>
      </c>
      <c r="R528" s="1107"/>
      <c r="S528" s="1083"/>
      <c r="T528" s="1083"/>
      <c r="U528" s="1083"/>
      <c r="V528" s="1083">
        <f t="shared" si="111"/>
        <v>7040000.0879999995</v>
      </c>
    </row>
    <row r="529" spans="1:22" s="1002" customFormat="1" hidden="1">
      <c r="A529" s="1000" t="s">
        <v>752</v>
      </c>
      <c r="B529" s="1029" t="s">
        <v>1494</v>
      </c>
      <c r="C529" s="1066">
        <v>46080</v>
      </c>
      <c r="D529" s="1066"/>
      <c r="F529" s="1141"/>
      <c r="H529" s="1005"/>
      <c r="I529" s="1002" t="s">
        <v>844</v>
      </c>
      <c r="J529" s="1007"/>
      <c r="K529" s="1007"/>
      <c r="M529" s="1086"/>
      <c r="N529" s="1107"/>
      <c r="O529" s="1107">
        <f t="shared" si="108"/>
        <v>0</v>
      </c>
      <c r="P529" s="1107">
        <f t="shared" si="109"/>
        <v>0</v>
      </c>
      <c r="Q529" s="1107">
        <f t="shared" si="110"/>
        <v>0</v>
      </c>
      <c r="R529" s="1107">
        <v>27556000</v>
      </c>
      <c r="S529" s="1083"/>
      <c r="T529" s="1083"/>
      <c r="U529" s="1083"/>
      <c r="V529" s="1083">
        <f t="shared" si="111"/>
        <v>-27556000</v>
      </c>
    </row>
    <row r="530" spans="1:22" s="1002" customFormat="1" hidden="1">
      <c r="A530" s="1000" t="s">
        <v>752</v>
      </c>
      <c r="B530" s="1029" t="s">
        <v>1494</v>
      </c>
      <c r="C530" s="1066">
        <v>46083</v>
      </c>
      <c r="D530" s="1066"/>
      <c r="F530" s="1141"/>
      <c r="H530" s="1005"/>
      <c r="I530" s="1002" t="s">
        <v>353</v>
      </c>
      <c r="J530" s="1007"/>
      <c r="K530" s="1007"/>
      <c r="M530" s="1086"/>
      <c r="N530" s="1107"/>
      <c r="O530" s="1107">
        <f t="shared" si="108"/>
        <v>0</v>
      </c>
      <c r="P530" s="1107">
        <f t="shared" si="109"/>
        <v>0</v>
      </c>
      <c r="Q530" s="1107">
        <f t="shared" si="110"/>
        <v>0</v>
      </c>
      <c r="R530" s="1083"/>
      <c r="S530" s="1107">
        <v>832000</v>
      </c>
      <c r="T530" s="1083"/>
      <c r="U530" s="1083"/>
      <c r="V530" s="1083">
        <f t="shared" si="111"/>
        <v>-832000</v>
      </c>
    </row>
    <row r="531" spans="1:22" s="1002" customFormat="1" ht="31.5" hidden="1">
      <c r="A531" s="1000" t="s">
        <v>752</v>
      </c>
      <c r="B531" s="1029" t="s">
        <v>1494</v>
      </c>
      <c r="C531" s="1066">
        <v>46117</v>
      </c>
      <c r="D531" s="1066"/>
      <c r="F531" s="1141">
        <v>46169</v>
      </c>
      <c r="H531" s="1138" t="s">
        <v>354</v>
      </c>
      <c r="I531" s="1002" t="s">
        <v>340</v>
      </c>
      <c r="J531" s="1007" t="s">
        <v>355</v>
      </c>
      <c r="K531" s="1007" t="s">
        <v>356</v>
      </c>
      <c r="M531" s="1086">
        <v>4</v>
      </c>
      <c r="N531" s="1107">
        <v>1043518.52</v>
      </c>
      <c r="O531" s="1107">
        <f t="shared" si="108"/>
        <v>4174074.08</v>
      </c>
      <c r="P531" s="1107">
        <f t="shared" si="109"/>
        <v>333925.9264</v>
      </c>
      <c r="Q531" s="1107">
        <f t="shared" si="110"/>
        <v>4508000.0064000003</v>
      </c>
      <c r="R531" s="1107"/>
      <c r="S531" s="1083"/>
      <c r="T531" s="1083"/>
      <c r="U531" s="1083"/>
      <c r="V531" s="1083">
        <f t="shared" si="111"/>
        <v>4508000.0064000003</v>
      </c>
    </row>
    <row r="532" spans="1:22" s="1002" customFormat="1" hidden="1">
      <c r="A532" s="1000" t="s">
        <v>752</v>
      </c>
      <c r="B532" s="1029" t="s">
        <v>1494</v>
      </c>
      <c r="C532" s="1066">
        <v>46117</v>
      </c>
      <c r="D532" s="1066"/>
      <c r="F532" s="1141">
        <v>46169</v>
      </c>
      <c r="H532" s="1138" t="s">
        <v>354</v>
      </c>
      <c r="I532" s="1002" t="s">
        <v>340</v>
      </c>
      <c r="J532" s="1007" t="s">
        <v>262</v>
      </c>
      <c r="K532" s="1007" t="s">
        <v>263</v>
      </c>
      <c r="M532" s="1086">
        <v>4</v>
      </c>
      <c r="N532" s="1107">
        <v>851851.85</v>
      </c>
      <c r="O532" s="1107">
        <f t="shared" si="108"/>
        <v>3407407.4</v>
      </c>
      <c r="P532" s="1107">
        <f t="shared" si="109"/>
        <v>272592.592</v>
      </c>
      <c r="Q532" s="1107">
        <f t="shared" si="110"/>
        <v>3679999.9920000001</v>
      </c>
      <c r="R532" s="1107"/>
      <c r="S532" s="1083"/>
      <c r="T532" s="1083"/>
      <c r="U532" s="1083"/>
      <c r="V532" s="1083">
        <f t="shared" si="111"/>
        <v>3679999.9920000001</v>
      </c>
    </row>
    <row r="533" spans="1:22" s="1002" customFormat="1" ht="31.5" hidden="1">
      <c r="A533" s="1000" t="s">
        <v>752</v>
      </c>
      <c r="B533" s="1029" t="s">
        <v>1494</v>
      </c>
      <c r="C533" s="1066">
        <v>46117</v>
      </c>
      <c r="D533" s="1066"/>
      <c r="F533" s="1141">
        <v>46169</v>
      </c>
      <c r="H533" s="1138" t="s">
        <v>354</v>
      </c>
      <c r="I533" s="1002" t="s">
        <v>340</v>
      </c>
      <c r="J533" s="1007" t="s">
        <v>28</v>
      </c>
      <c r="K533" s="1007" t="s">
        <v>29</v>
      </c>
      <c r="M533" s="1086">
        <v>10</v>
      </c>
      <c r="N533" s="1107">
        <v>281481.48</v>
      </c>
      <c r="O533" s="1107">
        <f t="shared" si="108"/>
        <v>2814814.8</v>
      </c>
      <c r="P533" s="1107">
        <f t="shared" si="109"/>
        <v>225185.18399999998</v>
      </c>
      <c r="Q533" s="1107">
        <f t="shared" si="110"/>
        <v>3039999.9839999997</v>
      </c>
      <c r="R533" s="1107"/>
      <c r="S533" s="1083"/>
      <c r="T533" s="1083"/>
      <c r="U533" s="1083"/>
      <c r="V533" s="1083">
        <f t="shared" si="111"/>
        <v>3039999.9839999997</v>
      </c>
    </row>
    <row r="534" spans="1:22" s="1002" customFormat="1" ht="31.5" hidden="1">
      <c r="A534" s="1000" t="s">
        <v>752</v>
      </c>
      <c r="B534" s="1029" t="s">
        <v>1494</v>
      </c>
      <c r="C534" s="1066">
        <v>46117</v>
      </c>
      <c r="D534" s="1066"/>
      <c r="F534" s="1141">
        <v>46169</v>
      </c>
      <c r="H534" s="1138" t="s">
        <v>354</v>
      </c>
      <c r="I534" s="1002" t="s">
        <v>340</v>
      </c>
      <c r="J534" s="1007" t="s">
        <v>243</v>
      </c>
      <c r="K534" s="1007" t="s">
        <v>357</v>
      </c>
      <c r="M534" s="1086">
        <v>10</v>
      </c>
      <c r="N534" s="1107">
        <v>298148.15000000002</v>
      </c>
      <c r="O534" s="1107">
        <f t="shared" si="108"/>
        <v>2981481.5</v>
      </c>
      <c r="P534" s="1107">
        <f t="shared" si="109"/>
        <v>238518.52000000002</v>
      </c>
      <c r="Q534" s="1107">
        <f t="shared" si="110"/>
        <v>3220000.02</v>
      </c>
      <c r="R534" s="1107"/>
      <c r="S534" s="1083"/>
      <c r="T534" s="1083"/>
      <c r="U534" s="1083"/>
      <c r="V534" s="1083">
        <f t="shared" si="111"/>
        <v>3220000.02</v>
      </c>
    </row>
    <row r="535" spans="1:22" s="1002" customFormat="1" ht="31.5" hidden="1">
      <c r="A535" s="1000" t="s">
        <v>752</v>
      </c>
      <c r="B535" s="1029" t="s">
        <v>1494</v>
      </c>
      <c r="C535" s="1066">
        <v>46117</v>
      </c>
      <c r="D535" s="1066"/>
      <c r="F535" s="1141">
        <v>46169</v>
      </c>
      <c r="H535" s="1138" t="s">
        <v>354</v>
      </c>
      <c r="I535" s="1002" t="s">
        <v>340</v>
      </c>
      <c r="J535" s="1007" t="s">
        <v>83</v>
      </c>
      <c r="K535" s="1007" t="s">
        <v>84</v>
      </c>
      <c r="M535" s="1086">
        <v>4</v>
      </c>
      <c r="N535" s="1107">
        <v>1097222.22</v>
      </c>
      <c r="O535" s="1107">
        <f t="shared" si="108"/>
        <v>4388888.88</v>
      </c>
      <c r="P535" s="1107">
        <f t="shared" si="109"/>
        <v>351111.11040000001</v>
      </c>
      <c r="Q535" s="1107">
        <f t="shared" si="110"/>
        <v>4739999.9903999995</v>
      </c>
      <c r="R535" s="1107"/>
      <c r="S535" s="1083"/>
      <c r="T535" s="1083"/>
      <c r="U535" s="1083"/>
      <c r="V535" s="1083">
        <f t="shared" si="111"/>
        <v>4739999.9903999995</v>
      </c>
    </row>
    <row r="536" spans="1:22" s="1006" customFormat="1" hidden="1">
      <c r="A536" s="1000" t="s">
        <v>752</v>
      </c>
      <c r="B536" s="1029" t="s">
        <v>1494</v>
      </c>
      <c r="C536" s="1152"/>
      <c r="D536" s="1152"/>
      <c r="F536" s="1141">
        <v>46169</v>
      </c>
      <c r="H536" s="1153"/>
      <c r="I536" s="1006" t="s">
        <v>840</v>
      </c>
      <c r="J536" s="1007"/>
      <c r="K536" s="1030"/>
      <c r="M536" s="1154"/>
      <c r="N536" s="1114"/>
      <c r="O536" s="1114"/>
      <c r="P536" s="1114"/>
      <c r="Q536" s="1114"/>
      <c r="R536" s="1114">
        <v>-18740000</v>
      </c>
      <c r="S536" s="1155"/>
      <c r="T536" s="1155"/>
      <c r="U536" s="1155"/>
      <c r="V536" s="1083">
        <f t="shared" si="111"/>
        <v>18740000</v>
      </c>
    </row>
    <row r="537" spans="1:22" s="1002" customFormat="1" hidden="1">
      <c r="A537" s="1000" t="s">
        <v>752</v>
      </c>
      <c r="B537" s="1029" t="s">
        <v>1494</v>
      </c>
      <c r="C537" s="1066">
        <v>46171</v>
      </c>
      <c r="D537" s="1066"/>
      <c r="F537" s="1141"/>
      <c r="H537" s="1005"/>
      <c r="I537" s="1002" t="s">
        <v>844</v>
      </c>
      <c r="J537" s="1007"/>
      <c r="K537" s="1007"/>
      <c r="M537" s="1086"/>
      <c r="N537" s="1107"/>
      <c r="O537" s="1107">
        <f t="shared" si="108"/>
        <v>0</v>
      </c>
      <c r="P537" s="1107">
        <f t="shared" si="109"/>
        <v>0</v>
      </c>
      <c r="Q537" s="1107">
        <f t="shared" si="110"/>
        <v>0</v>
      </c>
      <c r="R537" s="1107">
        <v>37928000</v>
      </c>
      <c r="S537" s="1083"/>
      <c r="T537" s="1083"/>
      <c r="U537" s="1083"/>
      <c r="V537" s="1083">
        <f t="shared" si="111"/>
        <v>-37928000</v>
      </c>
    </row>
    <row r="538" spans="1:22" s="1002" customFormat="1" ht="31.5" hidden="1">
      <c r="A538" s="1000" t="s">
        <v>752</v>
      </c>
      <c r="B538" s="1029" t="s">
        <v>1494</v>
      </c>
      <c r="C538" s="1066">
        <v>46210</v>
      </c>
      <c r="D538" s="1066"/>
      <c r="F538" s="1141">
        <v>46212</v>
      </c>
      <c r="H538" s="1138" t="s">
        <v>358</v>
      </c>
      <c r="I538" s="1002" t="s">
        <v>340</v>
      </c>
      <c r="J538" s="1007" t="s">
        <v>28</v>
      </c>
      <c r="K538" s="1007" t="s">
        <v>29</v>
      </c>
      <c r="M538" s="1086">
        <v>10</v>
      </c>
      <c r="N538" s="1107">
        <v>281481.48</v>
      </c>
      <c r="O538" s="1107">
        <f t="shared" si="108"/>
        <v>2814814.8</v>
      </c>
      <c r="P538" s="1107">
        <f t="shared" si="109"/>
        <v>225185.18399999998</v>
      </c>
      <c r="Q538" s="1107">
        <f t="shared" si="110"/>
        <v>3039999.9839999997</v>
      </c>
      <c r="R538" s="1107"/>
      <c r="S538" s="1083"/>
      <c r="T538" s="1083"/>
      <c r="U538" s="1083"/>
      <c r="V538" s="1083">
        <f t="shared" si="111"/>
        <v>3039999.9839999997</v>
      </c>
    </row>
    <row r="539" spans="1:22" s="1002" customFormat="1" ht="31.5" hidden="1">
      <c r="A539" s="1000" t="s">
        <v>752</v>
      </c>
      <c r="B539" s="1029" t="s">
        <v>1494</v>
      </c>
      <c r="C539" s="1066">
        <v>46210</v>
      </c>
      <c r="D539" s="1066"/>
      <c r="F539" s="1141">
        <v>46212</v>
      </c>
      <c r="H539" s="1138" t="s">
        <v>358</v>
      </c>
      <c r="I539" s="1002" t="s">
        <v>340</v>
      </c>
      <c r="J539" s="1007" t="s">
        <v>243</v>
      </c>
      <c r="K539" s="1007" t="s">
        <v>357</v>
      </c>
      <c r="M539" s="1086">
        <v>10</v>
      </c>
      <c r="N539" s="1107">
        <v>298148.15000000002</v>
      </c>
      <c r="O539" s="1107">
        <f t="shared" si="108"/>
        <v>2981481.5</v>
      </c>
      <c r="P539" s="1107">
        <f t="shared" si="109"/>
        <v>238518.52000000002</v>
      </c>
      <c r="Q539" s="1107">
        <f t="shared" si="110"/>
        <v>3220000.02</v>
      </c>
      <c r="R539" s="1107"/>
      <c r="S539" s="1083"/>
      <c r="T539" s="1083"/>
      <c r="U539" s="1083"/>
      <c r="V539" s="1083">
        <f t="shared" si="111"/>
        <v>3220000.02</v>
      </c>
    </row>
    <row r="540" spans="1:22" s="1002" customFormat="1" hidden="1">
      <c r="A540" s="1000" t="s">
        <v>752</v>
      </c>
      <c r="B540" s="1029" t="s">
        <v>1494</v>
      </c>
      <c r="C540" s="1066">
        <v>46210</v>
      </c>
      <c r="D540" s="1066"/>
      <c r="F540" s="1141">
        <v>46230</v>
      </c>
      <c r="H540" s="1138" t="s">
        <v>838</v>
      </c>
      <c r="I540" s="1002" t="s">
        <v>340</v>
      </c>
      <c r="J540" s="1007" t="s">
        <v>90</v>
      </c>
      <c r="K540" s="1007" t="s">
        <v>91</v>
      </c>
      <c r="M540" s="1086">
        <v>10</v>
      </c>
      <c r="N540" s="1107">
        <v>814814.81</v>
      </c>
      <c r="O540" s="1107">
        <f t="shared" si="108"/>
        <v>8148148.1000000006</v>
      </c>
      <c r="P540" s="1107">
        <f t="shared" si="109"/>
        <v>651851.84800000011</v>
      </c>
      <c r="Q540" s="1107">
        <f t="shared" si="110"/>
        <v>8799999.9480000008</v>
      </c>
      <c r="R540" s="1107"/>
      <c r="S540" s="1083"/>
      <c r="T540" s="1083"/>
      <c r="U540" s="1083"/>
      <c r="V540" s="1083">
        <f t="shared" si="111"/>
        <v>8799999.9480000008</v>
      </c>
    </row>
    <row r="541" spans="1:22" s="1002" customFormat="1" hidden="1">
      <c r="A541" s="1000" t="s">
        <v>752</v>
      </c>
      <c r="B541" s="1029" t="s">
        <v>1494</v>
      </c>
      <c r="C541" s="1066">
        <v>46241</v>
      </c>
      <c r="D541" s="1066"/>
      <c r="F541" s="1141"/>
      <c r="H541" s="1005"/>
      <c r="I541" s="1002" t="s">
        <v>281</v>
      </c>
      <c r="J541" s="1007"/>
      <c r="K541" s="1005"/>
      <c r="M541" s="1086"/>
      <c r="N541" s="1107"/>
      <c r="O541" s="1107"/>
      <c r="P541" s="1107"/>
      <c r="Q541" s="1107"/>
      <c r="R541" s="1083"/>
      <c r="S541" s="1107">
        <v>200000</v>
      </c>
      <c r="T541" s="1083"/>
      <c r="U541" s="1083"/>
      <c r="V541" s="1083">
        <f t="shared" si="111"/>
        <v>-200000</v>
      </c>
    </row>
    <row r="542" spans="1:22" s="1002" customFormat="1" hidden="1">
      <c r="A542" s="1000" t="s">
        <v>752</v>
      </c>
      <c r="B542" s="1029" t="s">
        <v>1494</v>
      </c>
      <c r="C542" s="1066">
        <v>46225</v>
      </c>
      <c r="D542" s="1066"/>
      <c r="F542" s="1141">
        <v>46227</v>
      </c>
      <c r="H542" s="1138" t="s">
        <v>360</v>
      </c>
      <c r="I542" s="1002" t="s">
        <v>340</v>
      </c>
      <c r="J542" s="1007" t="s">
        <v>301</v>
      </c>
      <c r="K542" s="1005" t="s">
        <v>361</v>
      </c>
      <c r="M542" s="1086">
        <v>10</v>
      </c>
      <c r="N542" s="1107">
        <v>277777.78000000003</v>
      </c>
      <c r="O542" s="1107">
        <f>M542*N542</f>
        <v>2777777.8000000003</v>
      </c>
      <c r="P542" s="1107">
        <f>O542*8%</f>
        <v>222222.22400000002</v>
      </c>
      <c r="Q542" s="1107">
        <f>O542+P542</f>
        <v>3000000.0240000002</v>
      </c>
      <c r="R542" s="1107"/>
      <c r="S542" s="1083"/>
      <c r="T542" s="1083"/>
      <c r="U542" s="1083"/>
      <c r="V542" s="1083">
        <f t="shared" si="111"/>
        <v>3000000.0240000002</v>
      </c>
    </row>
    <row r="543" spans="1:22" s="1002" customFormat="1" hidden="1">
      <c r="A543" s="1000" t="s">
        <v>752</v>
      </c>
      <c r="B543" s="1029" t="s">
        <v>1494</v>
      </c>
      <c r="C543" s="1066">
        <v>46225</v>
      </c>
      <c r="D543" s="1066"/>
      <c r="F543" s="1141">
        <v>46227</v>
      </c>
      <c r="H543" s="1138" t="s">
        <v>360</v>
      </c>
      <c r="I543" s="1002" t="s">
        <v>340</v>
      </c>
      <c r="J543" s="1007" t="s">
        <v>243</v>
      </c>
      <c r="K543" s="1005" t="s">
        <v>362</v>
      </c>
      <c r="M543" s="1086">
        <v>30</v>
      </c>
      <c r="N543" s="1107">
        <v>298148.15000000002</v>
      </c>
      <c r="O543" s="1107">
        <f t="shared" ref="O543:O544" si="112">M543*N543</f>
        <v>8944444.5</v>
      </c>
      <c r="P543" s="1107">
        <f t="shared" ref="P543:P544" si="113">O543*8%</f>
        <v>715555.56</v>
      </c>
      <c r="Q543" s="1107">
        <f t="shared" ref="Q543:Q544" si="114">O543+P543</f>
        <v>9660000.0600000005</v>
      </c>
      <c r="R543" s="1107"/>
      <c r="S543" s="1083"/>
      <c r="T543" s="1083"/>
      <c r="U543" s="1083"/>
      <c r="V543" s="1083">
        <f t="shared" si="111"/>
        <v>9660000.0600000005</v>
      </c>
    </row>
    <row r="544" spans="1:22" s="1002" customFormat="1" hidden="1">
      <c r="A544" s="1000" t="s">
        <v>752</v>
      </c>
      <c r="B544" s="1029" t="s">
        <v>1494</v>
      </c>
      <c r="C544" s="1066">
        <v>46225</v>
      </c>
      <c r="D544" s="1066"/>
      <c r="F544" s="1141">
        <v>46227</v>
      </c>
      <c r="H544" s="1138" t="s">
        <v>360</v>
      </c>
      <c r="I544" s="1002" t="s">
        <v>340</v>
      </c>
      <c r="J544" s="1007" t="s">
        <v>30</v>
      </c>
      <c r="K544" s="1005" t="s">
        <v>363</v>
      </c>
      <c r="M544" s="1086">
        <v>10</v>
      </c>
      <c r="N544" s="1107">
        <v>259259.26</v>
      </c>
      <c r="O544" s="1107">
        <f t="shared" si="112"/>
        <v>2592592.6</v>
      </c>
      <c r="P544" s="1107">
        <f t="shared" si="113"/>
        <v>207407.40800000002</v>
      </c>
      <c r="Q544" s="1107">
        <f t="shared" si="114"/>
        <v>2800000.0079999999</v>
      </c>
      <c r="R544" s="1107"/>
      <c r="S544" s="1083"/>
      <c r="T544" s="1083"/>
      <c r="U544" s="1083"/>
      <c r="V544" s="1083">
        <f t="shared" si="111"/>
        <v>2800000.0079999999</v>
      </c>
    </row>
    <row r="545" spans="1:22" s="1002" customFormat="1" hidden="1">
      <c r="A545" s="1000" t="s">
        <v>752</v>
      </c>
      <c r="B545" s="1029" t="s">
        <v>1494</v>
      </c>
      <c r="C545" s="1066">
        <v>46226</v>
      </c>
      <c r="D545" s="1066"/>
      <c r="F545" s="1141"/>
      <c r="H545" s="1005"/>
      <c r="I545" s="1002" t="s">
        <v>281</v>
      </c>
      <c r="J545" s="1007"/>
      <c r="K545" s="1005"/>
      <c r="M545" s="1086"/>
      <c r="N545" s="1107"/>
      <c r="O545" s="1107"/>
      <c r="P545" s="1107"/>
      <c r="Q545" s="1107"/>
      <c r="R545" s="1083"/>
      <c r="S545" s="1107">
        <v>150000</v>
      </c>
      <c r="T545" s="1083"/>
      <c r="U545" s="1083"/>
      <c r="V545" s="1083">
        <f t="shared" si="111"/>
        <v>-150000</v>
      </c>
    </row>
    <row r="546" spans="1:22" s="1002" customFormat="1" ht="31.5" hidden="1">
      <c r="A546" s="1000" t="s">
        <v>664</v>
      </c>
      <c r="B546" s="1028" t="s">
        <v>1495</v>
      </c>
      <c r="C546" s="1066">
        <v>46032</v>
      </c>
      <c r="D546" s="1066"/>
      <c r="F546" s="1066">
        <v>46032</v>
      </c>
      <c r="H546" s="1156" t="s">
        <v>490</v>
      </c>
      <c r="I546" s="1002" t="s">
        <v>858</v>
      </c>
      <c r="J546" s="1007" t="s">
        <v>308</v>
      </c>
      <c r="K546" s="1023" t="s">
        <v>210</v>
      </c>
      <c r="M546" s="1086">
        <v>12</v>
      </c>
      <c r="N546" s="1107">
        <v>314814.83</v>
      </c>
      <c r="O546" s="1107">
        <f t="shared" ref="O546:O566" si="115">N546*M546</f>
        <v>3777777.96</v>
      </c>
      <c r="P546" s="1107">
        <f t="shared" ref="P546:P566" si="116">O546*8%</f>
        <v>302222.23680000001</v>
      </c>
      <c r="Q546" s="1107">
        <f>O546+P546</f>
        <v>4080000.1968</v>
      </c>
      <c r="R546" s="1107"/>
      <c r="S546" s="1083"/>
      <c r="T546" s="1137"/>
      <c r="U546" s="1083"/>
      <c r="V546" s="1083">
        <f t="shared" ref="V546:V587" si="117">Q546-R546-S546-T546-U546</f>
        <v>4080000.1968</v>
      </c>
    </row>
    <row r="547" spans="1:22" s="1002" customFormat="1" ht="31.5" hidden="1">
      <c r="A547" s="1000" t="s">
        <v>664</v>
      </c>
      <c r="B547" s="1028" t="s">
        <v>1495</v>
      </c>
      <c r="C547" s="1066">
        <v>46032</v>
      </c>
      <c r="D547" s="1066"/>
      <c r="F547" s="1066">
        <v>46032</v>
      </c>
      <c r="H547" s="1156" t="s">
        <v>490</v>
      </c>
      <c r="I547" s="1002" t="s">
        <v>858</v>
      </c>
      <c r="J547" s="1007" t="s">
        <v>416</v>
      </c>
      <c r="K547" s="1007" t="s">
        <v>275</v>
      </c>
      <c r="M547" s="1086">
        <v>10</v>
      </c>
      <c r="N547" s="1107">
        <v>416666.7</v>
      </c>
      <c r="O547" s="1107">
        <f t="shared" si="115"/>
        <v>4166667</v>
      </c>
      <c r="P547" s="1107">
        <f t="shared" si="116"/>
        <v>333333.36</v>
      </c>
      <c r="Q547" s="1107">
        <f t="shared" ref="Q547:Q566" si="118">O547+P547</f>
        <v>4500000.3600000003</v>
      </c>
      <c r="R547" s="1107"/>
      <c r="S547" s="1083"/>
      <c r="T547" s="1137"/>
      <c r="U547" s="1083"/>
      <c r="V547" s="1083">
        <f t="shared" si="117"/>
        <v>4500000.3600000003</v>
      </c>
    </row>
    <row r="548" spans="1:22" s="1002" customFormat="1" hidden="1">
      <c r="A548" s="1000" t="s">
        <v>664</v>
      </c>
      <c r="B548" s="1028" t="s">
        <v>1495</v>
      </c>
      <c r="C548" s="1066">
        <v>46032</v>
      </c>
      <c r="D548" s="1066"/>
      <c r="F548" s="1066">
        <v>46032</v>
      </c>
      <c r="H548" s="1156" t="s">
        <v>490</v>
      </c>
      <c r="I548" s="1002" t="s">
        <v>858</v>
      </c>
      <c r="J548" s="1007" t="s">
        <v>80</v>
      </c>
      <c r="K548" s="1002" t="s">
        <v>81</v>
      </c>
      <c r="L548" s="1002" t="s">
        <v>18</v>
      </c>
      <c r="M548" s="1086">
        <v>8</v>
      </c>
      <c r="N548" s="1107">
        <v>824074.13</v>
      </c>
      <c r="O548" s="1107">
        <f t="shared" si="115"/>
        <v>6592593.04</v>
      </c>
      <c r="P548" s="1107">
        <f t="shared" si="116"/>
        <v>527407.44319999998</v>
      </c>
      <c r="Q548" s="1107">
        <f t="shared" si="118"/>
        <v>7120000.4831999997</v>
      </c>
      <c r="R548" s="1107"/>
      <c r="S548" s="1083"/>
      <c r="T548" s="1137"/>
      <c r="U548" s="1083"/>
      <c r="V548" s="1083">
        <f t="shared" si="117"/>
        <v>7120000.4831999997</v>
      </c>
    </row>
    <row r="549" spans="1:22" s="1002" customFormat="1" hidden="1">
      <c r="A549" s="1000" t="s">
        <v>664</v>
      </c>
      <c r="B549" s="1028" t="s">
        <v>1495</v>
      </c>
      <c r="C549" s="1066">
        <v>46032</v>
      </c>
      <c r="D549" s="1066"/>
      <c r="F549" s="1066">
        <v>46032</v>
      </c>
      <c r="H549" s="1156" t="s">
        <v>490</v>
      </c>
      <c r="I549" s="1002" t="s">
        <v>858</v>
      </c>
      <c r="J549" s="1007" t="s">
        <v>21</v>
      </c>
      <c r="K549" s="1005" t="s">
        <v>22</v>
      </c>
      <c r="M549" s="1086">
        <v>8</v>
      </c>
      <c r="N549" s="1107">
        <v>937963</v>
      </c>
      <c r="O549" s="1107">
        <f t="shared" si="115"/>
        <v>7503704</v>
      </c>
      <c r="P549" s="1107">
        <f t="shared" si="116"/>
        <v>600296.32000000007</v>
      </c>
      <c r="Q549" s="1107">
        <f t="shared" si="118"/>
        <v>8104000.3200000003</v>
      </c>
      <c r="R549" s="1107"/>
      <c r="S549" s="1083"/>
      <c r="T549" s="1137"/>
      <c r="U549" s="1083"/>
      <c r="V549" s="1083">
        <f t="shared" si="117"/>
        <v>8104000.3200000003</v>
      </c>
    </row>
    <row r="550" spans="1:22" s="1002" customFormat="1" hidden="1">
      <c r="A550" s="1000" t="s">
        <v>664</v>
      </c>
      <c r="B550" s="1028" t="s">
        <v>1495</v>
      </c>
      <c r="C550" s="1066">
        <v>46032</v>
      </c>
      <c r="D550" s="1066"/>
      <c r="F550" s="1066">
        <v>46032</v>
      </c>
      <c r="H550" s="1156" t="s">
        <v>490</v>
      </c>
      <c r="I550" s="1002" t="s">
        <v>858</v>
      </c>
      <c r="J550" s="1007" t="s">
        <v>68</v>
      </c>
      <c r="K550" s="1005" t="s">
        <v>69</v>
      </c>
      <c r="M550" s="1086">
        <v>24</v>
      </c>
      <c r="N550" s="1107">
        <v>111111.13</v>
      </c>
      <c r="O550" s="1107">
        <f t="shared" si="115"/>
        <v>2666667.12</v>
      </c>
      <c r="P550" s="1107">
        <f t="shared" si="116"/>
        <v>213333.36960000001</v>
      </c>
      <c r="Q550" s="1107">
        <f t="shared" si="118"/>
        <v>2880000.4896</v>
      </c>
      <c r="R550" s="1107"/>
      <c r="S550" s="1083"/>
      <c r="T550" s="1137"/>
      <c r="U550" s="1083"/>
      <c r="V550" s="1083">
        <f t="shared" si="117"/>
        <v>2880000.4896</v>
      </c>
    </row>
    <row r="551" spans="1:22" s="1002" customFormat="1" hidden="1">
      <c r="A551" s="1000" t="s">
        <v>664</v>
      </c>
      <c r="B551" s="1028" t="s">
        <v>1495</v>
      </c>
      <c r="C551" s="1066">
        <v>46032</v>
      </c>
      <c r="D551" s="1066"/>
      <c r="F551" s="1066">
        <v>46032</v>
      </c>
      <c r="H551" s="1156" t="s">
        <v>490</v>
      </c>
      <c r="I551" s="1002" t="s">
        <v>858</v>
      </c>
      <c r="J551" s="1007" t="s">
        <v>70</v>
      </c>
      <c r="K551" s="1005" t="s">
        <v>71</v>
      </c>
      <c r="M551" s="1086">
        <v>24</v>
      </c>
      <c r="N551" s="1107">
        <v>120370.38</v>
      </c>
      <c r="O551" s="1107">
        <f t="shared" si="115"/>
        <v>2888889.12</v>
      </c>
      <c r="P551" s="1107">
        <f t="shared" si="116"/>
        <v>231111.12960000001</v>
      </c>
      <c r="Q551" s="1107">
        <f t="shared" si="118"/>
        <v>3120000.2496000002</v>
      </c>
      <c r="R551" s="1107"/>
      <c r="S551" s="1083"/>
      <c r="T551" s="1137"/>
      <c r="U551" s="1083"/>
      <c r="V551" s="1083">
        <f t="shared" si="117"/>
        <v>3120000.2496000002</v>
      </c>
    </row>
    <row r="552" spans="1:22" s="1002" customFormat="1" hidden="1">
      <c r="A552" s="1000" t="s">
        <v>664</v>
      </c>
      <c r="B552" s="1028" t="s">
        <v>1495</v>
      </c>
      <c r="C552" s="1066">
        <v>46032</v>
      </c>
      <c r="D552" s="1066"/>
      <c r="F552" s="1066">
        <v>46032</v>
      </c>
      <c r="H552" s="1156" t="s">
        <v>490</v>
      </c>
      <c r="I552" s="1002" t="s">
        <v>858</v>
      </c>
      <c r="J552" s="1007" t="s">
        <v>72</v>
      </c>
      <c r="K552" s="1005" t="s">
        <v>73</v>
      </c>
      <c r="M552" s="1086">
        <v>24</v>
      </c>
      <c r="N552" s="1107">
        <v>129629.63</v>
      </c>
      <c r="O552" s="1107">
        <f t="shared" si="115"/>
        <v>3111111.12</v>
      </c>
      <c r="P552" s="1107">
        <f t="shared" si="116"/>
        <v>248888.88960000002</v>
      </c>
      <c r="Q552" s="1107">
        <f t="shared" si="118"/>
        <v>3360000.0096</v>
      </c>
      <c r="R552" s="1107"/>
      <c r="S552" s="1083"/>
      <c r="T552" s="1137"/>
      <c r="U552" s="1083"/>
      <c r="V552" s="1083">
        <f t="shared" si="117"/>
        <v>3360000.0096</v>
      </c>
    </row>
    <row r="553" spans="1:22" s="1002" customFormat="1" hidden="1">
      <c r="A553" s="1000" t="s">
        <v>664</v>
      </c>
      <c r="B553" s="1028" t="s">
        <v>1495</v>
      </c>
      <c r="C553" s="1066">
        <v>46032</v>
      </c>
      <c r="D553" s="1066"/>
      <c r="F553" s="1066">
        <v>46032</v>
      </c>
      <c r="H553" s="1156" t="s">
        <v>490</v>
      </c>
      <c r="I553" s="1002" t="s">
        <v>858</v>
      </c>
      <c r="J553" s="1007" t="s">
        <v>180</v>
      </c>
      <c r="K553" s="1005" t="s">
        <v>181</v>
      </c>
      <c r="M553" s="1086">
        <v>10</v>
      </c>
      <c r="N553" s="1107">
        <v>234259.3</v>
      </c>
      <c r="O553" s="1107">
        <f t="shared" si="115"/>
        <v>2342593</v>
      </c>
      <c r="P553" s="1107">
        <f t="shared" si="116"/>
        <v>187407.44</v>
      </c>
      <c r="Q553" s="1107">
        <f t="shared" si="118"/>
        <v>2530000.44</v>
      </c>
      <c r="R553" s="1107"/>
      <c r="S553" s="1083"/>
      <c r="T553" s="1137"/>
      <c r="U553" s="1083"/>
      <c r="V553" s="1083">
        <f t="shared" si="117"/>
        <v>2530000.44</v>
      </c>
    </row>
    <row r="554" spans="1:22" s="1002" customFormat="1" hidden="1">
      <c r="A554" s="1000" t="s">
        <v>664</v>
      </c>
      <c r="B554" s="1028" t="s">
        <v>1495</v>
      </c>
      <c r="C554" s="1066">
        <v>46032</v>
      </c>
      <c r="D554" s="1066"/>
      <c r="F554" s="1066">
        <v>46032</v>
      </c>
      <c r="H554" s="1156" t="s">
        <v>490</v>
      </c>
      <c r="I554" s="1002" t="s">
        <v>858</v>
      </c>
      <c r="J554" s="1007" t="s">
        <v>26</v>
      </c>
      <c r="K554" s="1005" t="s">
        <v>182</v>
      </c>
      <c r="M554" s="1086">
        <v>10</v>
      </c>
      <c r="N554" s="1107">
        <v>256481.5</v>
      </c>
      <c r="O554" s="1107">
        <f t="shared" si="115"/>
        <v>2564815</v>
      </c>
      <c r="P554" s="1107">
        <f t="shared" si="116"/>
        <v>205185.2</v>
      </c>
      <c r="Q554" s="1107">
        <f t="shared" si="118"/>
        <v>2770000.2</v>
      </c>
      <c r="R554" s="1107"/>
      <c r="S554" s="1083"/>
      <c r="T554" s="1137"/>
      <c r="U554" s="1083"/>
      <c r="V554" s="1083">
        <f t="shared" si="117"/>
        <v>2770000.2</v>
      </c>
    </row>
    <row r="555" spans="1:22" s="1002" customFormat="1" hidden="1">
      <c r="A555" s="1000" t="s">
        <v>664</v>
      </c>
      <c r="B555" s="1028" t="s">
        <v>1495</v>
      </c>
      <c r="C555" s="1066">
        <v>46032</v>
      </c>
      <c r="D555" s="1066"/>
      <c r="F555" s="1066">
        <v>46032</v>
      </c>
      <c r="H555" s="1156" t="s">
        <v>490</v>
      </c>
      <c r="I555" s="1002" t="s">
        <v>858</v>
      </c>
      <c r="J555" s="1007" t="s">
        <v>28</v>
      </c>
      <c r="K555" s="1005" t="s">
        <v>183</v>
      </c>
      <c r="M555" s="1086">
        <v>10</v>
      </c>
      <c r="N555" s="1107">
        <v>281481.5</v>
      </c>
      <c r="O555" s="1107">
        <f t="shared" si="115"/>
        <v>2814815</v>
      </c>
      <c r="P555" s="1107">
        <f t="shared" si="116"/>
        <v>225185.2</v>
      </c>
      <c r="Q555" s="1107">
        <f t="shared" si="118"/>
        <v>3040000.2</v>
      </c>
      <c r="R555" s="1107"/>
      <c r="S555" s="1083"/>
      <c r="T555" s="1137"/>
      <c r="U555" s="1083"/>
      <c r="V555" s="1083">
        <f t="shared" si="117"/>
        <v>3040000.2</v>
      </c>
    </row>
    <row r="556" spans="1:22" s="1002" customFormat="1" hidden="1">
      <c r="A556" s="1000" t="s">
        <v>664</v>
      </c>
      <c r="B556" s="1028" t="s">
        <v>1495</v>
      </c>
      <c r="C556" s="1066">
        <v>46032</v>
      </c>
      <c r="D556" s="1066"/>
      <c r="F556" s="1066">
        <v>46032</v>
      </c>
      <c r="H556" s="1156" t="s">
        <v>490</v>
      </c>
      <c r="I556" s="1002" t="s">
        <v>858</v>
      </c>
      <c r="J556" s="1007" t="s">
        <v>184</v>
      </c>
      <c r="K556" s="1005" t="s">
        <v>185</v>
      </c>
      <c r="M556" s="1086">
        <v>10</v>
      </c>
      <c r="N556" s="1107">
        <v>227777.8</v>
      </c>
      <c r="O556" s="1107">
        <f t="shared" si="115"/>
        <v>2277778</v>
      </c>
      <c r="P556" s="1107">
        <f t="shared" si="116"/>
        <v>182222.24</v>
      </c>
      <c r="Q556" s="1107">
        <f t="shared" si="118"/>
        <v>2460000.2400000002</v>
      </c>
      <c r="R556" s="1107"/>
      <c r="S556" s="1083"/>
      <c r="T556" s="1137"/>
      <c r="U556" s="1083"/>
      <c r="V556" s="1083">
        <f t="shared" si="117"/>
        <v>2460000.2400000002</v>
      </c>
    </row>
    <row r="557" spans="1:22" s="1002" customFormat="1" hidden="1">
      <c r="A557" s="1000" t="s">
        <v>664</v>
      </c>
      <c r="B557" s="1028" t="s">
        <v>1495</v>
      </c>
      <c r="C557" s="1066">
        <v>46032</v>
      </c>
      <c r="D557" s="1066"/>
      <c r="F557" s="1066">
        <v>46032</v>
      </c>
      <c r="H557" s="1156" t="s">
        <v>490</v>
      </c>
      <c r="I557" s="1002" t="s">
        <v>858</v>
      </c>
      <c r="J557" s="1007" t="s">
        <v>30</v>
      </c>
      <c r="K557" s="1005" t="s">
        <v>186</v>
      </c>
      <c r="M557" s="1086">
        <v>10</v>
      </c>
      <c r="N557" s="1107">
        <v>252777.8</v>
      </c>
      <c r="O557" s="1107">
        <f t="shared" si="115"/>
        <v>2527778</v>
      </c>
      <c r="P557" s="1107">
        <f t="shared" si="116"/>
        <v>202222.24</v>
      </c>
      <c r="Q557" s="1107">
        <f t="shared" si="118"/>
        <v>2730000.24</v>
      </c>
      <c r="R557" s="1107"/>
      <c r="S557" s="1083"/>
      <c r="T557" s="1137"/>
      <c r="U557" s="1083"/>
      <c r="V557" s="1083">
        <f t="shared" si="117"/>
        <v>2730000.24</v>
      </c>
    </row>
    <row r="558" spans="1:22" s="1002" customFormat="1" hidden="1">
      <c r="A558" s="1000" t="s">
        <v>664</v>
      </c>
      <c r="B558" s="1028" t="s">
        <v>1495</v>
      </c>
      <c r="C558" s="1066">
        <v>46032</v>
      </c>
      <c r="D558" s="1066"/>
      <c r="F558" s="1066">
        <v>46032</v>
      </c>
      <c r="H558" s="1156" t="s">
        <v>490</v>
      </c>
      <c r="I558" s="1002" t="s">
        <v>858</v>
      </c>
      <c r="J558" s="1007" t="s">
        <v>32</v>
      </c>
      <c r="K558" s="1005" t="s">
        <v>187</v>
      </c>
      <c r="M558" s="1086">
        <v>10</v>
      </c>
      <c r="N558" s="1107">
        <v>256481.5</v>
      </c>
      <c r="O558" s="1107">
        <f t="shared" si="115"/>
        <v>2564815</v>
      </c>
      <c r="P558" s="1107">
        <f t="shared" si="116"/>
        <v>205185.2</v>
      </c>
      <c r="Q558" s="1107">
        <f t="shared" si="118"/>
        <v>2770000.2</v>
      </c>
      <c r="R558" s="1107"/>
      <c r="S558" s="1083"/>
      <c r="T558" s="1137"/>
      <c r="U558" s="1083"/>
      <c r="V558" s="1083">
        <f t="shared" si="117"/>
        <v>2770000.2</v>
      </c>
    </row>
    <row r="559" spans="1:22" s="1002" customFormat="1" hidden="1">
      <c r="A559" s="1000" t="s">
        <v>664</v>
      </c>
      <c r="B559" s="1028" t="s">
        <v>1495</v>
      </c>
      <c r="C559" s="1066">
        <v>46032</v>
      </c>
      <c r="D559" s="1066"/>
      <c r="F559" s="1066">
        <v>46032</v>
      </c>
      <c r="H559" s="1156" t="s">
        <v>490</v>
      </c>
      <c r="I559" s="1002" t="s">
        <v>858</v>
      </c>
      <c r="J559" s="1007" t="s">
        <v>34</v>
      </c>
      <c r="K559" s="1005" t="s">
        <v>188</v>
      </c>
      <c r="M559" s="1086">
        <v>10</v>
      </c>
      <c r="N559" s="1107">
        <v>227777.8</v>
      </c>
      <c r="O559" s="1107">
        <f t="shared" si="115"/>
        <v>2277778</v>
      </c>
      <c r="P559" s="1107">
        <f t="shared" si="116"/>
        <v>182222.24</v>
      </c>
      <c r="Q559" s="1107">
        <f t="shared" si="118"/>
        <v>2460000.2400000002</v>
      </c>
      <c r="R559" s="1107"/>
      <c r="S559" s="1083"/>
      <c r="T559" s="1137"/>
      <c r="U559" s="1083"/>
      <c r="V559" s="1083">
        <f t="shared" si="117"/>
        <v>2460000.2400000002</v>
      </c>
    </row>
    <row r="560" spans="1:22" s="1002" customFormat="1" hidden="1">
      <c r="A560" s="1000" t="s">
        <v>664</v>
      </c>
      <c r="B560" s="1028" t="s">
        <v>1495</v>
      </c>
      <c r="C560" s="1066">
        <v>46032</v>
      </c>
      <c r="D560" s="1066"/>
      <c r="F560" s="1066">
        <v>46032</v>
      </c>
      <c r="H560" s="1156" t="s">
        <v>490</v>
      </c>
      <c r="I560" s="1002" t="s">
        <v>858</v>
      </c>
      <c r="J560" s="1007" t="s">
        <v>36</v>
      </c>
      <c r="K560" s="1005" t="s">
        <v>189</v>
      </c>
      <c r="M560" s="1086">
        <v>10</v>
      </c>
      <c r="N560" s="1107">
        <v>252777.8</v>
      </c>
      <c r="O560" s="1107">
        <f t="shared" si="115"/>
        <v>2527778</v>
      </c>
      <c r="P560" s="1107">
        <f t="shared" si="116"/>
        <v>202222.24</v>
      </c>
      <c r="Q560" s="1107">
        <f t="shared" si="118"/>
        <v>2730000.24</v>
      </c>
      <c r="R560" s="1107"/>
      <c r="S560" s="1083"/>
      <c r="T560" s="1137"/>
      <c r="U560" s="1083"/>
      <c r="V560" s="1083">
        <f t="shared" si="117"/>
        <v>2730000.24</v>
      </c>
    </row>
    <row r="561" spans="1:22" s="1002" customFormat="1" hidden="1">
      <c r="A561" s="1000" t="s">
        <v>664</v>
      </c>
      <c r="B561" s="1028" t="s">
        <v>1495</v>
      </c>
      <c r="C561" s="1066">
        <v>46032</v>
      </c>
      <c r="D561" s="1066"/>
      <c r="F561" s="1066">
        <v>46032</v>
      </c>
      <c r="H561" s="1156" t="s">
        <v>490</v>
      </c>
      <c r="I561" s="1002" t="s">
        <v>858</v>
      </c>
      <c r="J561" s="1007" t="s">
        <v>38</v>
      </c>
      <c r="K561" s="1005" t="s">
        <v>190</v>
      </c>
      <c r="M561" s="1086">
        <v>10</v>
      </c>
      <c r="N561" s="1107">
        <v>277777.8</v>
      </c>
      <c r="O561" s="1107">
        <f t="shared" si="115"/>
        <v>2777778</v>
      </c>
      <c r="P561" s="1107">
        <f t="shared" si="116"/>
        <v>222222.24</v>
      </c>
      <c r="Q561" s="1107">
        <f t="shared" si="118"/>
        <v>3000000.24</v>
      </c>
      <c r="R561" s="1107"/>
      <c r="S561" s="1083"/>
      <c r="T561" s="1137"/>
      <c r="U561" s="1083"/>
      <c r="V561" s="1083">
        <f t="shared" si="117"/>
        <v>3000000.24</v>
      </c>
    </row>
    <row r="562" spans="1:22" s="1002" customFormat="1" hidden="1">
      <c r="A562" s="1000" t="s">
        <v>664</v>
      </c>
      <c r="B562" s="1028" t="s">
        <v>1495</v>
      </c>
      <c r="C562" s="1066">
        <v>46032</v>
      </c>
      <c r="D562" s="1066"/>
      <c r="F562" s="1066">
        <v>46032</v>
      </c>
      <c r="H562" s="1156" t="s">
        <v>490</v>
      </c>
      <c r="I562" s="1002" t="s">
        <v>858</v>
      </c>
      <c r="J562" s="1007" t="s">
        <v>40</v>
      </c>
      <c r="K562" s="1005" t="s">
        <v>41</v>
      </c>
      <c r="M562" s="1086">
        <v>8</v>
      </c>
      <c r="N562" s="1107">
        <v>844444.5</v>
      </c>
      <c r="O562" s="1107">
        <f t="shared" si="115"/>
        <v>6755556</v>
      </c>
      <c r="P562" s="1107">
        <f t="shared" si="116"/>
        <v>540444.48</v>
      </c>
      <c r="Q562" s="1107">
        <f t="shared" si="118"/>
        <v>7296000.4800000004</v>
      </c>
      <c r="R562" s="1107"/>
      <c r="S562" s="1083"/>
      <c r="T562" s="1137"/>
      <c r="U562" s="1083"/>
      <c r="V562" s="1083">
        <f t="shared" si="117"/>
        <v>7296000.4800000004</v>
      </c>
    </row>
    <row r="563" spans="1:22" s="1002" customFormat="1" hidden="1">
      <c r="A563" s="1000" t="s">
        <v>664</v>
      </c>
      <c r="B563" s="1028" t="s">
        <v>1495</v>
      </c>
      <c r="C563" s="1066">
        <v>46032</v>
      </c>
      <c r="D563" s="1066"/>
      <c r="F563" s="1066">
        <v>46032</v>
      </c>
      <c r="H563" s="1156" t="s">
        <v>490</v>
      </c>
      <c r="I563" s="1002" t="s">
        <v>858</v>
      </c>
      <c r="J563" s="1007" t="s">
        <v>194</v>
      </c>
      <c r="K563" s="1002" t="s">
        <v>720</v>
      </c>
      <c r="M563" s="1086">
        <v>4</v>
      </c>
      <c r="N563" s="1107">
        <v>1203703.75</v>
      </c>
      <c r="O563" s="1107">
        <f t="shared" si="115"/>
        <v>4814815</v>
      </c>
      <c r="P563" s="1107">
        <f t="shared" si="116"/>
        <v>385185.2</v>
      </c>
      <c r="Q563" s="1107">
        <f t="shared" si="118"/>
        <v>5200000.2</v>
      </c>
      <c r="R563" s="1107"/>
      <c r="S563" s="1083"/>
      <c r="T563" s="1137"/>
      <c r="U563" s="1083"/>
      <c r="V563" s="1083">
        <f t="shared" si="117"/>
        <v>5200000.2</v>
      </c>
    </row>
    <row r="564" spans="1:22" s="1002" customFormat="1" hidden="1">
      <c r="A564" s="1000" t="s">
        <v>664</v>
      </c>
      <c r="B564" s="1028" t="s">
        <v>1495</v>
      </c>
      <c r="C564" s="1066">
        <v>46032</v>
      </c>
      <c r="D564" s="1066"/>
      <c r="F564" s="1066">
        <v>46032</v>
      </c>
      <c r="H564" s="1156" t="s">
        <v>490</v>
      </c>
      <c r="I564" s="1002" t="s">
        <v>858</v>
      </c>
      <c r="J564" s="1007" t="s">
        <v>58</v>
      </c>
      <c r="K564" s="1007" t="s">
        <v>59</v>
      </c>
      <c r="M564" s="1086">
        <v>4</v>
      </c>
      <c r="N564" s="1107">
        <v>1361111</v>
      </c>
      <c r="O564" s="1107">
        <f t="shared" si="115"/>
        <v>5444444</v>
      </c>
      <c r="P564" s="1107">
        <f t="shared" si="116"/>
        <v>435555.52</v>
      </c>
      <c r="Q564" s="1107">
        <f t="shared" si="118"/>
        <v>5879999.5199999996</v>
      </c>
      <c r="R564" s="1107"/>
      <c r="S564" s="1083"/>
      <c r="T564" s="1137"/>
      <c r="U564" s="1083"/>
      <c r="V564" s="1083">
        <f t="shared" si="117"/>
        <v>5879999.5199999996</v>
      </c>
    </row>
    <row r="565" spans="1:22" s="1002" customFormat="1" hidden="1">
      <c r="A565" s="1000" t="s">
        <v>664</v>
      </c>
      <c r="B565" s="1028" t="s">
        <v>1495</v>
      </c>
      <c r="C565" s="1066">
        <v>46032</v>
      </c>
      <c r="D565" s="1066"/>
      <c r="F565" s="1066">
        <v>46032</v>
      </c>
      <c r="H565" s="1156" t="s">
        <v>490</v>
      </c>
      <c r="I565" s="1002" t="s">
        <v>858</v>
      </c>
      <c r="J565" s="1007" t="s">
        <v>206</v>
      </c>
      <c r="K565" s="1005" t="s">
        <v>492</v>
      </c>
      <c r="M565" s="1086">
        <v>12</v>
      </c>
      <c r="N565" s="1107">
        <v>483333.33</v>
      </c>
      <c r="O565" s="1107">
        <f t="shared" si="115"/>
        <v>5799999.96</v>
      </c>
      <c r="P565" s="1107">
        <f t="shared" si="116"/>
        <v>463999.99680000002</v>
      </c>
      <c r="Q565" s="1107">
        <f t="shared" si="118"/>
        <v>6263999.9567999998</v>
      </c>
      <c r="R565" s="1107"/>
      <c r="S565" s="1083"/>
      <c r="T565" s="1137"/>
      <c r="U565" s="1083"/>
      <c r="V565" s="1083">
        <f t="shared" si="117"/>
        <v>6263999.9567999998</v>
      </c>
    </row>
    <row r="566" spans="1:22" s="1002" customFormat="1" hidden="1">
      <c r="A566" s="1000" t="s">
        <v>664</v>
      </c>
      <c r="B566" s="1028" t="s">
        <v>1495</v>
      </c>
      <c r="C566" s="1066">
        <v>46032</v>
      </c>
      <c r="D566" s="1066"/>
      <c r="F566" s="1066">
        <v>46032</v>
      </c>
      <c r="H566" s="1156" t="s">
        <v>490</v>
      </c>
      <c r="I566" s="1002" t="s">
        <v>858</v>
      </c>
      <c r="J566" s="1007" t="s">
        <v>208</v>
      </c>
      <c r="K566" s="1005" t="s">
        <v>209</v>
      </c>
      <c r="M566" s="1086">
        <v>10</v>
      </c>
      <c r="N566" s="1107">
        <v>647222.22</v>
      </c>
      <c r="O566" s="1107">
        <f t="shared" si="115"/>
        <v>6472222.1999999993</v>
      </c>
      <c r="P566" s="1107">
        <f t="shared" si="116"/>
        <v>517777.77599999995</v>
      </c>
      <c r="Q566" s="1107">
        <f t="shared" si="118"/>
        <v>6989999.9759999989</v>
      </c>
      <c r="R566" s="1107"/>
      <c r="S566" s="1083"/>
      <c r="T566" s="1137"/>
      <c r="U566" s="1083"/>
      <c r="V566" s="1083">
        <f t="shared" si="117"/>
        <v>6989999.9759999989</v>
      </c>
    </row>
    <row r="567" spans="1:22" s="1002" customFormat="1" hidden="1">
      <c r="A567" s="1000" t="s">
        <v>664</v>
      </c>
      <c r="B567" s="1028" t="s">
        <v>1495</v>
      </c>
      <c r="C567" s="1066">
        <v>46032</v>
      </c>
      <c r="D567" s="1066"/>
      <c r="F567" s="1157"/>
      <c r="H567" s="1158" t="s">
        <v>493</v>
      </c>
      <c r="I567" s="1002" t="s">
        <v>844</v>
      </c>
      <c r="J567" s="1007"/>
      <c r="K567" s="1031"/>
      <c r="M567" s="1135"/>
      <c r="N567" s="1137"/>
      <c r="O567" s="1137"/>
      <c r="P567" s="1137"/>
      <c r="Q567" s="1137"/>
      <c r="R567" s="1137">
        <v>50000000</v>
      </c>
      <c r="S567" s="1083"/>
      <c r="T567" s="1137"/>
      <c r="U567" s="1083"/>
      <c r="V567" s="1083">
        <f t="shared" si="117"/>
        <v>-50000000</v>
      </c>
    </row>
    <row r="568" spans="1:22" s="1002" customFormat="1" hidden="1">
      <c r="A568" s="1000" t="s">
        <v>664</v>
      </c>
      <c r="B568" s="1028" t="s">
        <v>1495</v>
      </c>
      <c r="C568" s="1066">
        <v>46032</v>
      </c>
      <c r="D568" s="1066"/>
      <c r="F568" s="1141">
        <v>46079</v>
      </c>
      <c r="H568" s="1138" t="s">
        <v>495</v>
      </c>
      <c r="I568" s="1002" t="s">
        <v>858</v>
      </c>
      <c r="J568" s="1007" t="s">
        <v>56</v>
      </c>
      <c r="K568" s="1005" t="s">
        <v>57</v>
      </c>
      <c r="M568" s="1086">
        <v>12</v>
      </c>
      <c r="N568" s="1107">
        <v>325925.92</v>
      </c>
      <c r="O568" s="1107">
        <f t="shared" ref="O568:O601" si="119">N568*M568</f>
        <v>3911111.04</v>
      </c>
      <c r="P568" s="1107">
        <f t="shared" ref="P568:P575" si="120">O568*8%</f>
        <v>312888.88319999998</v>
      </c>
      <c r="Q568" s="1107">
        <f t="shared" ref="Q568:Q601" si="121">O568+P568</f>
        <v>4223999.9232000001</v>
      </c>
      <c r="R568" s="1107"/>
      <c r="S568" s="1083"/>
      <c r="T568" s="1137"/>
      <c r="U568" s="1083"/>
      <c r="V568" s="1083">
        <f t="shared" si="117"/>
        <v>4223999.9232000001</v>
      </c>
    </row>
    <row r="569" spans="1:22" s="1002" customFormat="1" hidden="1">
      <c r="A569" s="1000" t="s">
        <v>664</v>
      </c>
      <c r="B569" s="1028" t="s">
        <v>1495</v>
      </c>
      <c r="C569" s="1066">
        <v>46032</v>
      </c>
      <c r="D569" s="1066"/>
      <c r="F569" s="1141">
        <v>46079</v>
      </c>
      <c r="H569" s="1138" t="s">
        <v>495</v>
      </c>
      <c r="I569" s="1002" t="s">
        <v>858</v>
      </c>
      <c r="J569" s="1007" t="s">
        <v>127</v>
      </c>
      <c r="K569" s="1005" t="s">
        <v>128</v>
      </c>
      <c r="M569" s="1086">
        <v>12</v>
      </c>
      <c r="N569" s="1107">
        <v>284259.25</v>
      </c>
      <c r="O569" s="1107">
        <f t="shared" si="119"/>
        <v>3411111</v>
      </c>
      <c r="P569" s="1107">
        <f t="shared" si="120"/>
        <v>272888.88</v>
      </c>
      <c r="Q569" s="1107">
        <f t="shared" si="121"/>
        <v>3683999.88</v>
      </c>
      <c r="R569" s="1107"/>
      <c r="S569" s="1083"/>
      <c r="T569" s="1137"/>
      <c r="U569" s="1083"/>
      <c r="V569" s="1083">
        <f t="shared" si="117"/>
        <v>3683999.88</v>
      </c>
    </row>
    <row r="570" spans="1:22" s="1002" customFormat="1" hidden="1">
      <c r="A570" s="1000" t="s">
        <v>664</v>
      </c>
      <c r="B570" s="1028" t="s">
        <v>1495</v>
      </c>
      <c r="C570" s="1066">
        <v>46032</v>
      </c>
      <c r="D570" s="1066"/>
      <c r="F570" s="1141">
        <v>46079</v>
      </c>
      <c r="H570" s="1140" t="s">
        <v>495</v>
      </c>
      <c r="I570" s="1002" t="s">
        <v>858</v>
      </c>
      <c r="J570" s="1007" t="s">
        <v>219</v>
      </c>
      <c r="K570" s="1003" t="s">
        <v>483</v>
      </c>
      <c r="M570" s="1093">
        <v>12</v>
      </c>
      <c r="N570" s="1081">
        <v>263888.92</v>
      </c>
      <c r="O570" s="1107">
        <f t="shared" si="119"/>
        <v>3166667.04</v>
      </c>
      <c r="P570" s="1081">
        <f t="shared" si="120"/>
        <v>253333.36320000002</v>
      </c>
      <c r="Q570" s="1107">
        <f t="shared" si="121"/>
        <v>3420000.4032000001</v>
      </c>
      <c r="R570" s="1081"/>
      <c r="S570" s="1083"/>
      <c r="T570" s="1137"/>
      <c r="U570" s="1083"/>
      <c r="V570" s="1083">
        <f t="shared" si="117"/>
        <v>3420000.4032000001</v>
      </c>
    </row>
    <row r="571" spans="1:22" s="1002" customFormat="1" hidden="1">
      <c r="A571" s="1000" t="s">
        <v>664</v>
      </c>
      <c r="B571" s="1028" t="s">
        <v>1495</v>
      </c>
      <c r="C571" s="1076">
        <v>46046</v>
      </c>
      <c r="D571" s="1076"/>
      <c r="F571" s="1139">
        <v>46148</v>
      </c>
      <c r="H571" s="1140" t="s">
        <v>497</v>
      </c>
      <c r="I571" s="1002" t="s">
        <v>858</v>
      </c>
      <c r="J571" s="1007" t="s">
        <v>279</v>
      </c>
      <c r="K571" s="1003" t="s">
        <v>280</v>
      </c>
      <c r="M571" s="1093">
        <v>8</v>
      </c>
      <c r="N571" s="1081">
        <v>387962.96</v>
      </c>
      <c r="O571" s="1107">
        <f t="shared" si="119"/>
        <v>3103703.68</v>
      </c>
      <c r="P571" s="1081">
        <f t="shared" si="120"/>
        <v>248296.29440000001</v>
      </c>
      <c r="Q571" s="1107">
        <f t="shared" si="121"/>
        <v>3351999.9744000002</v>
      </c>
      <c r="R571" s="1081"/>
      <c r="S571" s="1083"/>
      <c r="T571" s="1137"/>
      <c r="U571" s="1083"/>
      <c r="V571" s="1083">
        <f t="shared" si="117"/>
        <v>3351999.9744000002</v>
      </c>
    </row>
    <row r="572" spans="1:22" s="1002" customFormat="1" hidden="1">
      <c r="A572" s="1000" t="s">
        <v>664</v>
      </c>
      <c r="B572" s="1028" t="s">
        <v>1495</v>
      </c>
      <c r="C572" s="1076">
        <v>46046</v>
      </c>
      <c r="D572" s="1076"/>
      <c r="F572" s="1139">
        <v>46148</v>
      </c>
      <c r="H572" s="1140" t="s">
        <v>497</v>
      </c>
      <c r="I572" s="1002" t="s">
        <v>858</v>
      </c>
      <c r="J572" s="1007" t="s">
        <v>258</v>
      </c>
      <c r="K572" s="1003" t="s">
        <v>259</v>
      </c>
      <c r="M572" s="1093">
        <v>8</v>
      </c>
      <c r="N572" s="1081">
        <v>472222.22</v>
      </c>
      <c r="O572" s="1107">
        <f t="shared" si="119"/>
        <v>3777777.76</v>
      </c>
      <c r="P572" s="1081">
        <f t="shared" si="120"/>
        <v>302222.22080000001</v>
      </c>
      <c r="Q572" s="1107">
        <f t="shared" si="121"/>
        <v>4079999.9808</v>
      </c>
      <c r="R572" s="1081"/>
      <c r="S572" s="1083"/>
      <c r="T572" s="1137"/>
      <c r="U572" s="1083"/>
      <c r="V572" s="1083">
        <f t="shared" si="117"/>
        <v>4079999.9808</v>
      </c>
    </row>
    <row r="573" spans="1:22" s="1002" customFormat="1" hidden="1">
      <c r="A573" s="1000" t="s">
        <v>664</v>
      </c>
      <c r="B573" s="1028" t="s">
        <v>1495</v>
      </c>
      <c r="C573" s="1076">
        <v>46046</v>
      </c>
      <c r="D573" s="1076"/>
      <c r="F573" s="1139">
        <v>46148</v>
      </c>
      <c r="H573" s="1140" t="s">
        <v>497</v>
      </c>
      <c r="I573" s="1002" t="s">
        <v>858</v>
      </c>
      <c r="J573" s="1007" t="s">
        <v>260</v>
      </c>
      <c r="K573" s="1003" t="s">
        <v>261</v>
      </c>
      <c r="M573" s="1093">
        <v>8</v>
      </c>
      <c r="N573" s="1081">
        <v>492592.59</v>
      </c>
      <c r="O573" s="1107">
        <f t="shared" si="119"/>
        <v>3940740.72</v>
      </c>
      <c r="P573" s="1081">
        <f t="shared" si="120"/>
        <v>315259.25760000001</v>
      </c>
      <c r="Q573" s="1107">
        <f t="shared" si="121"/>
        <v>4255999.9775999999</v>
      </c>
      <c r="R573" s="1081"/>
      <c r="S573" s="1083"/>
      <c r="T573" s="1137"/>
      <c r="U573" s="1083"/>
      <c r="V573" s="1083">
        <f t="shared" si="117"/>
        <v>4255999.9775999999</v>
      </c>
    </row>
    <row r="574" spans="1:22" s="1002" customFormat="1" hidden="1">
      <c r="A574" s="1000" t="s">
        <v>664</v>
      </c>
      <c r="B574" s="1028" t="s">
        <v>1495</v>
      </c>
      <c r="C574" s="1076">
        <v>46046</v>
      </c>
      <c r="D574" s="1076"/>
      <c r="F574" s="1139">
        <v>46115</v>
      </c>
      <c r="H574" s="1140" t="s">
        <v>498</v>
      </c>
      <c r="I574" s="1002" t="s">
        <v>858</v>
      </c>
      <c r="J574" s="1007" t="s">
        <v>52</v>
      </c>
      <c r="K574" s="1002" t="s">
        <v>53</v>
      </c>
      <c r="L574" s="1008" t="s">
        <v>18</v>
      </c>
      <c r="M574" s="1093">
        <v>6</v>
      </c>
      <c r="N574" s="1081">
        <v>1007407.41</v>
      </c>
      <c r="O574" s="1107">
        <f t="shared" si="119"/>
        <v>6044444.46</v>
      </c>
      <c r="P574" s="1081">
        <f t="shared" si="120"/>
        <v>483555.55680000002</v>
      </c>
      <c r="Q574" s="1107">
        <f t="shared" si="121"/>
        <v>6528000.0168000003</v>
      </c>
      <c r="R574" s="1081"/>
      <c r="S574" s="1083"/>
      <c r="T574" s="1137"/>
      <c r="U574" s="1083"/>
      <c r="V574" s="1083">
        <f t="shared" si="117"/>
        <v>6528000.0168000003</v>
      </c>
    </row>
    <row r="575" spans="1:22" s="1002" customFormat="1" hidden="1">
      <c r="A575" s="1000" t="s">
        <v>664</v>
      </c>
      <c r="B575" s="1028" t="s">
        <v>1495</v>
      </c>
      <c r="C575" s="1076">
        <v>46046</v>
      </c>
      <c r="D575" s="1076"/>
      <c r="F575" s="1139">
        <v>46079</v>
      </c>
      <c r="H575" s="1140" t="s">
        <v>495</v>
      </c>
      <c r="I575" s="1002" t="s">
        <v>858</v>
      </c>
      <c r="J575" s="1007" t="s">
        <v>219</v>
      </c>
      <c r="K575" s="1003" t="s">
        <v>483</v>
      </c>
      <c r="M575" s="1093">
        <v>12</v>
      </c>
      <c r="N575" s="1081">
        <v>263888.89</v>
      </c>
      <c r="O575" s="1107">
        <f t="shared" si="119"/>
        <v>3166666.68</v>
      </c>
      <c r="P575" s="1081">
        <f t="shared" si="120"/>
        <v>253333.33440000002</v>
      </c>
      <c r="Q575" s="1107">
        <f t="shared" si="121"/>
        <v>3420000.0144000002</v>
      </c>
      <c r="R575" s="1081"/>
      <c r="S575" s="1083"/>
      <c r="T575" s="1137"/>
      <c r="U575" s="1083"/>
      <c r="V575" s="1083">
        <f t="shared" si="117"/>
        <v>3420000.0144000002</v>
      </c>
    </row>
    <row r="576" spans="1:22" s="1002" customFormat="1" hidden="1">
      <c r="A576" s="1000" t="s">
        <v>664</v>
      </c>
      <c r="B576" s="1028" t="s">
        <v>1495</v>
      </c>
      <c r="C576" s="1076">
        <v>46046</v>
      </c>
      <c r="D576" s="1076"/>
      <c r="F576" s="1139">
        <v>46148</v>
      </c>
      <c r="H576" s="1140" t="s">
        <v>497</v>
      </c>
      <c r="I576" s="1002" t="s">
        <v>858</v>
      </c>
      <c r="J576" s="1007" t="s">
        <v>62</v>
      </c>
      <c r="K576" s="1003" t="s">
        <v>63</v>
      </c>
      <c r="M576" s="1093">
        <v>6</v>
      </c>
      <c r="N576" s="1081"/>
      <c r="O576" s="1107">
        <f t="shared" si="119"/>
        <v>0</v>
      </c>
      <c r="P576" s="1081"/>
      <c r="Q576" s="1107">
        <f t="shared" si="121"/>
        <v>0</v>
      </c>
      <c r="R576" s="1081"/>
      <c r="S576" s="1083"/>
      <c r="T576" s="1137"/>
      <c r="U576" s="1083"/>
      <c r="V576" s="1083">
        <f t="shared" si="117"/>
        <v>0</v>
      </c>
    </row>
    <row r="577" spans="1:22" s="1002" customFormat="1" hidden="1">
      <c r="A577" s="1000" t="s">
        <v>664</v>
      </c>
      <c r="B577" s="1028" t="s">
        <v>1495</v>
      </c>
      <c r="C577" s="1076">
        <v>46046</v>
      </c>
      <c r="D577" s="1076"/>
      <c r="F577" s="1141">
        <v>46064</v>
      </c>
      <c r="H577" s="1138" t="s">
        <v>500</v>
      </c>
      <c r="I577" s="1002" t="s">
        <v>858</v>
      </c>
      <c r="J577" s="1007" t="s">
        <v>40</v>
      </c>
      <c r="K577" s="1005" t="s">
        <v>41</v>
      </c>
      <c r="M577" s="1086">
        <v>8</v>
      </c>
      <c r="N577" s="1107">
        <v>844444.44</v>
      </c>
      <c r="O577" s="1107">
        <f t="shared" si="119"/>
        <v>6755555.5199999996</v>
      </c>
      <c r="P577" s="1107">
        <f t="shared" ref="P577:P601" si="122">O577*8%</f>
        <v>540444.44160000002</v>
      </c>
      <c r="Q577" s="1107">
        <f t="shared" si="121"/>
        <v>7295999.9616</v>
      </c>
      <c r="R577" s="1107"/>
      <c r="S577" s="1083"/>
      <c r="T577" s="1137"/>
      <c r="U577" s="1083"/>
      <c r="V577" s="1083">
        <f t="shared" si="117"/>
        <v>7295999.9616</v>
      </c>
    </row>
    <row r="578" spans="1:22" s="1002" customFormat="1" hidden="1">
      <c r="A578" s="1000" t="s">
        <v>664</v>
      </c>
      <c r="B578" s="1028" t="s">
        <v>1495</v>
      </c>
      <c r="C578" s="1076">
        <v>46046</v>
      </c>
      <c r="D578" s="1076"/>
      <c r="F578" s="1141">
        <v>46064</v>
      </c>
      <c r="H578" s="1138" t="s">
        <v>500</v>
      </c>
      <c r="I578" s="1002" t="s">
        <v>858</v>
      </c>
      <c r="J578" s="1007" t="s">
        <v>77</v>
      </c>
      <c r="K578" s="1005" t="s">
        <v>501</v>
      </c>
      <c r="M578" s="1086">
        <v>16</v>
      </c>
      <c r="N578" s="1107">
        <v>324074.07</v>
      </c>
      <c r="O578" s="1107">
        <f t="shared" si="119"/>
        <v>5185185.12</v>
      </c>
      <c r="P578" s="1107">
        <f t="shared" si="122"/>
        <v>414814.80960000004</v>
      </c>
      <c r="Q578" s="1107">
        <f t="shared" si="121"/>
        <v>5599999.9296000004</v>
      </c>
      <c r="R578" s="1107"/>
      <c r="S578" s="1083"/>
      <c r="T578" s="1137"/>
      <c r="U578" s="1083"/>
      <c r="V578" s="1083">
        <f t="shared" si="117"/>
        <v>5599999.9296000004</v>
      </c>
    </row>
    <row r="579" spans="1:22" s="1002" customFormat="1" hidden="1">
      <c r="A579" s="1000" t="s">
        <v>664</v>
      </c>
      <c r="B579" s="1028" t="s">
        <v>1495</v>
      </c>
      <c r="C579" s="1066">
        <v>46046</v>
      </c>
      <c r="D579" s="1066"/>
      <c r="F579" s="1141">
        <v>46064</v>
      </c>
      <c r="H579" s="1138" t="s">
        <v>500</v>
      </c>
      <c r="I579" s="1002" t="s">
        <v>858</v>
      </c>
      <c r="J579" s="1007" t="s">
        <v>262</v>
      </c>
      <c r="K579" s="1005" t="s">
        <v>435</v>
      </c>
      <c r="M579" s="1086">
        <v>4</v>
      </c>
      <c r="N579" s="1107">
        <v>851851.85</v>
      </c>
      <c r="O579" s="1107">
        <f t="shared" si="119"/>
        <v>3407407.4</v>
      </c>
      <c r="P579" s="1107">
        <f t="shared" si="122"/>
        <v>272592.592</v>
      </c>
      <c r="Q579" s="1107">
        <f t="shared" si="121"/>
        <v>3679999.9920000001</v>
      </c>
      <c r="R579" s="1107"/>
      <c r="S579" s="1083"/>
      <c r="T579" s="1137"/>
      <c r="U579" s="1083"/>
      <c r="V579" s="1083">
        <f t="shared" si="117"/>
        <v>3679999.9920000001</v>
      </c>
    </row>
    <row r="580" spans="1:22" s="1002" customFormat="1" hidden="1">
      <c r="A580" s="1000" t="s">
        <v>664</v>
      </c>
      <c r="B580" s="1028" t="s">
        <v>1495</v>
      </c>
      <c r="C580" s="1066">
        <v>46046</v>
      </c>
      <c r="D580" s="1066"/>
      <c r="F580" s="1141">
        <v>46064</v>
      </c>
      <c r="H580" s="1138" t="s">
        <v>500</v>
      </c>
      <c r="I580" s="1002" t="s">
        <v>858</v>
      </c>
      <c r="J580" s="1007" t="s">
        <v>23</v>
      </c>
      <c r="K580" s="1005" t="s">
        <v>82</v>
      </c>
      <c r="M580" s="1086">
        <v>4</v>
      </c>
      <c r="N580" s="1107">
        <v>1185185.19</v>
      </c>
      <c r="O580" s="1107">
        <f t="shared" si="119"/>
        <v>4740740.76</v>
      </c>
      <c r="P580" s="1107">
        <f t="shared" si="122"/>
        <v>379259.26079999999</v>
      </c>
      <c r="Q580" s="1107">
        <f t="shared" si="121"/>
        <v>5120000.0208000001</v>
      </c>
      <c r="R580" s="1107"/>
      <c r="S580" s="1083"/>
      <c r="T580" s="1137"/>
      <c r="U580" s="1083"/>
      <c r="V580" s="1083">
        <f t="shared" si="117"/>
        <v>5120000.0208000001</v>
      </c>
    </row>
    <row r="581" spans="1:22" s="1002" customFormat="1" hidden="1">
      <c r="A581" s="1000" t="s">
        <v>664</v>
      </c>
      <c r="B581" s="1028" t="s">
        <v>1495</v>
      </c>
      <c r="C581" s="1066">
        <v>46046</v>
      </c>
      <c r="D581" s="1066"/>
      <c r="F581" s="1141">
        <v>46064</v>
      </c>
      <c r="H581" s="1138" t="s">
        <v>500</v>
      </c>
      <c r="I581" s="1002" t="s">
        <v>858</v>
      </c>
      <c r="J581" s="1007" t="s">
        <v>274</v>
      </c>
      <c r="K581" s="1005" t="s">
        <v>297</v>
      </c>
      <c r="M581" s="1086">
        <v>6</v>
      </c>
      <c r="N581" s="1107">
        <v>416666.67</v>
      </c>
      <c r="O581" s="1107">
        <f t="shared" si="119"/>
        <v>2500000.02</v>
      </c>
      <c r="P581" s="1107">
        <f t="shared" si="122"/>
        <v>200000.00160000002</v>
      </c>
      <c r="Q581" s="1107">
        <f t="shared" si="121"/>
        <v>2700000.0216000001</v>
      </c>
      <c r="R581" s="1107"/>
      <c r="S581" s="1083"/>
      <c r="T581" s="1137"/>
      <c r="U581" s="1083"/>
      <c r="V581" s="1083">
        <f t="shared" si="117"/>
        <v>2700000.0216000001</v>
      </c>
    </row>
    <row r="582" spans="1:22" s="1002" customFormat="1" ht="31.5" hidden="1">
      <c r="A582" s="1000" t="s">
        <v>664</v>
      </c>
      <c r="B582" s="1028" t="s">
        <v>1495</v>
      </c>
      <c r="C582" s="1066">
        <v>46046</v>
      </c>
      <c r="D582" s="1066"/>
      <c r="F582" s="1141">
        <v>46064</v>
      </c>
      <c r="H582" s="1138" t="s">
        <v>500</v>
      </c>
      <c r="I582" s="1002" t="s">
        <v>858</v>
      </c>
      <c r="J582" s="1007" t="s">
        <v>424</v>
      </c>
      <c r="K582" s="1007" t="s">
        <v>425</v>
      </c>
      <c r="M582" s="1086">
        <v>2</v>
      </c>
      <c r="N582" s="1107">
        <v>882407.5</v>
      </c>
      <c r="O582" s="1107">
        <f t="shared" si="119"/>
        <v>1764815</v>
      </c>
      <c r="P582" s="1107">
        <f t="shared" si="122"/>
        <v>141185.20000000001</v>
      </c>
      <c r="Q582" s="1107">
        <f t="shared" si="121"/>
        <v>1906000.2</v>
      </c>
      <c r="R582" s="1107"/>
      <c r="S582" s="1083"/>
      <c r="T582" s="1137"/>
      <c r="U582" s="1083"/>
      <c r="V582" s="1083">
        <f t="shared" si="117"/>
        <v>1906000.2</v>
      </c>
    </row>
    <row r="583" spans="1:22" s="1002" customFormat="1" hidden="1">
      <c r="A583" s="1000" t="s">
        <v>664</v>
      </c>
      <c r="B583" s="1028" t="s">
        <v>1495</v>
      </c>
      <c r="C583" s="1066">
        <v>46046</v>
      </c>
      <c r="D583" s="1066"/>
      <c r="F583" s="1141">
        <v>46064</v>
      </c>
      <c r="H583" s="1138" t="s">
        <v>500</v>
      </c>
      <c r="I583" s="1002" t="s">
        <v>858</v>
      </c>
      <c r="J583" s="1007" t="s">
        <v>444</v>
      </c>
      <c r="K583" s="1007" t="s">
        <v>445</v>
      </c>
      <c r="M583" s="1086">
        <v>4</v>
      </c>
      <c r="N583" s="1107">
        <v>601852.18999999994</v>
      </c>
      <c r="O583" s="1107">
        <f t="shared" si="119"/>
        <v>2407408.7599999998</v>
      </c>
      <c r="P583" s="1107">
        <f t="shared" si="122"/>
        <v>192592.70079999999</v>
      </c>
      <c r="Q583" s="1107">
        <f t="shared" si="121"/>
        <v>2600001.4607999995</v>
      </c>
      <c r="R583" s="1107"/>
      <c r="S583" s="1083"/>
      <c r="T583" s="1137"/>
      <c r="U583" s="1083"/>
      <c r="V583" s="1083">
        <f t="shared" si="117"/>
        <v>2600001.4607999995</v>
      </c>
    </row>
    <row r="584" spans="1:22" s="1002" customFormat="1" ht="31.5" hidden="1">
      <c r="A584" s="1000" t="s">
        <v>664</v>
      </c>
      <c r="B584" s="1028" t="s">
        <v>1495</v>
      </c>
      <c r="C584" s="1066">
        <v>46055</v>
      </c>
      <c r="D584" s="1066"/>
      <c r="F584" s="1141">
        <v>46056</v>
      </c>
      <c r="H584" s="1156" t="s">
        <v>502</v>
      </c>
      <c r="I584" s="1002" t="s">
        <v>858</v>
      </c>
      <c r="J584" s="1007" t="s">
        <v>260</v>
      </c>
      <c r="K584" s="1007" t="s">
        <v>503</v>
      </c>
      <c r="M584" s="1086">
        <v>8</v>
      </c>
      <c r="N584" s="1107">
        <v>492592.59</v>
      </c>
      <c r="O584" s="1107">
        <f t="shared" si="119"/>
        <v>3940740.72</v>
      </c>
      <c r="P584" s="1107">
        <f t="shared" si="122"/>
        <v>315259.25760000001</v>
      </c>
      <c r="Q584" s="1107">
        <f t="shared" si="121"/>
        <v>4255999.9775999999</v>
      </c>
      <c r="R584" s="1107"/>
      <c r="S584" s="1083"/>
      <c r="T584" s="1137"/>
      <c r="U584" s="1083"/>
      <c r="V584" s="1083">
        <f t="shared" si="117"/>
        <v>4255999.9775999999</v>
      </c>
    </row>
    <row r="585" spans="1:22" s="1002" customFormat="1" hidden="1">
      <c r="A585" s="1000" t="s">
        <v>664</v>
      </c>
      <c r="B585" s="1028" t="s">
        <v>1495</v>
      </c>
      <c r="C585" s="1066">
        <v>46055</v>
      </c>
      <c r="D585" s="1066"/>
      <c r="F585" s="1141">
        <v>46056</v>
      </c>
      <c r="H585" s="1156" t="s">
        <v>502</v>
      </c>
      <c r="I585" s="1002" t="s">
        <v>858</v>
      </c>
      <c r="J585" s="1007" t="s">
        <v>80</v>
      </c>
      <c r="K585" s="1002" t="s">
        <v>81</v>
      </c>
      <c r="L585" s="1002" t="s">
        <v>18</v>
      </c>
      <c r="M585" s="1086">
        <v>4</v>
      </c>
      <c r="N585" s="1107">
        <v>824074.07</v>
      </c>
      <c r="O585" s="1107">
        <f t="shared" si="119"/>
        <v>3296296.28</v>
      </c>
      <c r="P585" s="1107">
        <f t="shared" si="122"/>
        <v>263703.70240000001</v>
      </c>
      <c r="Q585" s="1107">
        <f t="shared" si="121"/>
        <v>3559999.9823999996</v>
      </c>
      <c r="R585" s="1107"/>
      <c r="S585" s="1083"/>
      <c r="T585" s="1137"/>
      <c r="U585" s="1083"/>
      <c r="V585" s="1083">
        <f t="shared" si="117"/>
        <v>3559999.9823999996</v>
      </c>
    </row>
    <row r="586" spans="1:22" s="1002" customFormat="1" ht="31.5" hidden="1">
      <c r="A586" s="1000" t="s">
        <v>664</v>
      </c>
      <c r="B586" s="1028" t="s">
        <v>1495</v>
      </c>
      <c r="C586" s="1066">
        <v>46055</v>
      </c>
      <c r="D586" s="1066"/>
      <c r="F586" s="1141">
        <v>46056</v>
      </c>
      <c r="H586" s="1156" t="s">
        <v>502</v>
      </c>
      <c r="I586" s="1002" t="s">
        <v>858</v>
      </c>
      <c r="J586" s="1007" t="s">
        <v>21</v>
      </c>
      <c r="K586" s="1007" t="s">
        <v>338</v>
      </c>
      <c r="M586" s="1086">
        <v>8</v>
      </c>
      <c r="N586" s="1107">
        <v>937962.96</v>
      </c>
      <c r="O586" s="1107">
        <f t="shared" si="119"/>
        <v>7503703.6799999997</v>
      </c>
      <c r="P586" s="1107">
        <f t="shared" si="122"/>
        <v>600296.29440000001</v>
      </c>
      <c r="Q586" s="1107">
        <f t="shared" si="121"/>
        <v>8103999.9743999997</v>
      </c>
      <c r="R586" s="1107"/>
      <c r="S586" s="1083"/>
      <c r="T586" s="1137"/>
      <c r="U586" s="1083"/>
      <c r="V586" s="1083">
        <f t="shared" si="117"/>
        <v>8103999.9743999997</v>
      </c>
    </row>
    <row r="587" spans="1:22" s="1002" customFormat="1" ht="47.25" hidden="1">
      <c r="A587" s="1000" t="s">
        <v>664</v>
      </c>
      <c r="B587" s="1028" t="s">
        <v>1495</v>
      </c>
      <c r="C587" s="1066">
        <v>46055</v>
      </c>
      <c r="D587" s="1066"/>
      <c r="F587" s="1141">
        <v>46056</v>
      </c>
      <c r="H587" s="1156" t="s">
        <v>502</v>
      </c>
      <c r="I587" s="1002" t="s">
        <v>858</v>
      </c>
      <c r="J587" s="1007" t="s">
        <v>38</v>
      </c>
      <c r="K587" s="1007" t="s">
        <v>504</v>
      </c>
      <c r="M587" s="1086">
        <v>10</v>
      </c>
      <c r="N587" s="1107">
        <v>277777.78000000003</v>
      </c>
      <c r="O587" s="1107">
        <f t="shared" si="119"/>
        <v>2777777.8000000003</v>
      </c>
      <c r="P587" s="1107">
        <f t="shared" si="122"/>
        <v>222222.22400000002</v>
      </c>
      <c r="Q587" s="1107">
        <f t="shared" si="121"/>
        <v>3000000.0240000002</v>
      </c>
      <c r="R587" s="1107"/>
      <c r="S587" s="1083"/>
      <c r="T587" s="1148"/>
      <c r="U587" s="1083"/>
      <c r="V587" s="1083">
        <f t="shared" si="117"/>
        <v>3000000.0240000002</v>
      </c>
    </row>
    <row r="588" spans="1:22" s="1002" customFormat="1" ht="47.25" hidden="1">
      <c r="A588" s="1000" t="s">
        <v>664</v>
      </c>
      <c r="B588" s="1028" t="s">
        <v>1495</v>
      </c>
      <c r="C588" s="1066">
        <v>46055</v>
      </c>
      <c r="D588" s="1066"/>
      <c r="F588" s="1141">
        <v>46056</v>
      </c>
      <c r="H588" s="1156" t="s">
        <v>502</v>
      </c>
      <c r="I588" s="1002" t="s">
        <v>858</v>
      </c>
      <c r="J588" s="1007" t="s">
        <v>40</v>
      </c>
      <c r="K588" s="1007" t="s">
        <v>505</v>
      </c>
      <c r="M588" s="1086">
        <v>2</v>
      </c>
      <c r="N588" s="1107">
        <v>844444.44</v>
      </c>
      <c r="O588" s="1107">
        <f t="shared" si="119"/>
        <v>1688888.88</v>
      </c>
      <c r="P588" s="1107">
        <f t="shared" si="122"/>
        <v>135111.11040000001</v>
      </c>
      <c r="Q588" s="1107">
        <f t="shared" si="121"/>
        <v>1823999.9904</v>
      </c>
      <c r="R588" s="1107"/>
      <c r="S588" s="1083"/>
      <c r="T588" s="1148"/>
      <c r="U588" s="1083"/>
      <c r="V588" s="1083">
        <f t="shared" ref="V588:V651" si="123">Q588-R588-S588-T588-U588</f>
        <v>1823999.9904</v>
      </c>
    </row>
    <row r="589" spans="1:22" s="1002" customFormat="1" hidden="1">
      <c r="A589" s="1000" t="s">
        <v>664</v>
      </c>
      <c r="B589" s="1028" t="s">
        <v>1495</v>
      </c>
      <c r="C589" s="1066">
        <v>46055</v>
      </c>
      <c r="D589" s="1066"/>
      <c r="F589" s="1141">
        <v>46056</v>
      </c>
      <c r="H589" s="1156" t="s">
        <v>502</v>
      </c>
      <c r="I589" s="1002" t="s">
        <v>858</v>
      </c>
      <c r="J589" s="1007" t="s">
        <v>274</v>
      </c>
      <c r="K589" s="1005" t="s">
        <v>297</v>
      </c>
      <c r="M589" s="1086">
        <v>20</v>
      </c>
      <c r="N589" s="1107">
        <v>416666.67</v>
      </c>
      <c r="O589" s="1107">
        <f t="shared" si="119"/>
        <v>8333333.3999999994</v>
      </c>
      <c r="P589" s="1107">
        <f t="shared" si="122"/>
        <v>666666.67200000002</v>
      </c>
      <c r="Q589" s="1107">
        <f t="shared" si="121"/>
        <v>9000000.0719999988</v>
      </c>
      <c r="R589" s="1107"/>
      <c r="S589" s="1083"/>
      <c r="T589" s="1148"/>
      <c r="U589" s="1083"/>
      <c r="V589" s="1083">
        <f t="shared" si="123"/>
        <v>9000000.0719999988</v>
      </c>
    </row>
    <row r="590" spans="1:22" s="1002" customFormat="1" hidden="1">
      <c r="A590" s="1000" t="s">
        <v>664</v>
      </c>
      <c r="B590" s="1028" t="s">
        <v>1495</v>
      </c>
      <c r="C590" s="1066">
        <v>46059</v>
      </c>
      <c r="D590" s="1066"/>
      <c r="F590" s="1141">
        <v>46062</v>
      </c>
      <c r="H590" s="1156" t="s">
        <v>506</v>
      </c>
      <c r="I590" s="1002" t="s">
        <v>858</v>
      </c>
      <c r="J590" s="1007" t="s">
        <v>204</v>
      </c>
      <c r="K590" s="1005" t="s">
        <v>269</v>
      </c>
      <c r="M590" s="1086">
        <v>4</v>
      </c>
      <c r="N590" s="1107">
        <v>480555.55</v>
      </c>
      <c r="O590" s="1107">
        <f t="shared" si="119"/>
        <v>1922222.2</v>
      </c>
      <c r="P590" s="1107">
        <f t="shared" si="122"/>
        <v>153777.77600000001</v>
      </c>
      <c r="Q590" s="1107">
        <f t="shared" si="121"/>
        <v>2075999.976</v>
      </c>
      <c r="R590" s="1107"/>
      <c r="S590" s="1083"/>
      <c r="T590" s="1148"/>
      <c r="U590" s="1083"/>
      <c r="V590" s="1083">
        <f t="shared" si="123"/>
        <v>2075999.976</v>
      </c>
    </row>
    <row r="591" spans="1:22" s="1002" customFormat="1" hidden="1">
      <c r="A591" s="1000" t="s">
        <v>664</v>
      </c>
      <c r="B591" s="1028" t="s">
        <v>1495</v>
      </c>
      <c r="C591" s="1066">
        <v>46059</v>
      </c>
      <c r="D591" s="1066"/>
      <c r="F591" s="1141">
        <v>46062</v>
      </c>
      <c r="H591" s="1156" t="s">
        <v>506</v>
      </c>
      <c r="I591" s="1002" t="s">
        <v>858</v>
      </c>
      <c r="J591" s="1007" t="s">
        <v>507</v>
      </c>
      <c r="K591" s="1005" t="s">
        <v>320</v>
      </c>
      <c r="M591" s="1086">
        <v>8</v>
      </c>
      <c r="N591" s="1107">
        <v>324074.07</v>
      </c>
      <c r="O591" s="1107">
        <f t="shared" si="119"/>
        <v>2592592.56</v>
      </c>
      <c r="P591" s="1107">
        <f t="shared" si="122"/>
        <v>207407.40480000002</v>
      </c>
      <c r="Q591" s="1107">
        <f t="shared" si="121"/>
        <v>2799999.9648000002</v>
      </c>
      <c r="R591" s="1107"/>
      <c r="S591" s="1083"/>
      <c r="T591" s="1148"/>
      <c r="U591" s="1083"/>
      <c r="V591" s="1083">
        <f t="shared" si="123"/>
        <v>2799999.9648000002</v>
      </c>
    </row>
    <row r="592" spans="1:22" s="1002" customFormat="1" ht="31.5" hidden="1">
      <c r="A592" s="1000" t="s">
        <v>664</v>
      </c>
      <c r="B592" s="1028" t="s">
        <v>1495</v>
      </c>
      <c r="C592" s="1066">
        <v>46059</v>
      </c>
      <c r="D592" s="1066"/>
      <c r="F592" s="1141">
        <v>46062</v>
      </c>
      <c r="H592" s="1156" t="s">
        <v>506</v>
      </c>
      <c r="I592" s="1002" t="s">
        <v>858</v>
      </c>
      <c r="J592" s="1007" t="s">
        <v>180</v>
      </c>
      <c r="K592" s="1007" t="s">
        <v>181</v>
      </c>
      <c r="M592" s="1086">
        <v>10</v>
      </c>
      <c r="N592" s="1107">
        <v>234259.3</v>
      </c>
      <c r="O592" s="1107">
        <f t="shared" si="119"/>
        <v>2342593</v>
      </c>
      <c r="P592" s="1107">
        <f t="shared" si="122"/>
        <v>187407.44</v>
      </c>
      <c r="Q592" s="1107">
        <f t="shared" si="121"/>
        <v>2530000.44</v>
      </c>
      <c r="R592" s="1107"/>
      <c r="S592" s="1083"/>
      <c r="T592" s="1148"/>
      <c r="U592" s="1083"/>
      <c r="V592" s="1083">
        <f t="shared" si="123"/>
        <v>2530000.44</v>
      </c>
    </row>
    <row r="593" spans="1:22" s="1002" customFormat="1" hidden="1">
      <c r="A593" s="1000" t="s">
        <v>664</v>
      </c>
      <c r="B593" s="1028" t="s">
        <v>1495</v>
      </c>
      <c r="C593" s="1066">
        <v>46059</v>
      </c>
      <c r="D593" s="1066"/>
      <c r="F593" s="1141">
        <v>46062</v>
      </c>
      <c r="H593" s="1156" t="s">
        <v>506</v>
      </c>
      <c r="I593" s="1002" t="s">
        <v>858</v>
      </c>
      <c r="J593" s="1007" t="s">
        <v>26</v>
      </c>
      <c r="K593" s="1005" t="s">
        <v>27</v>
      </c>
      <c r="M593" s="1086">
        <v>10</v>
      </c>
      <c r="N593" s="1107">
        <v>256481.5</v>
      </c>
      <c r="O593" s="1107">
        <f t="shared" si="119"/>
        <v>2564815</v>
      </c>
      <c r="P593" s="1107">
        <f t="shared" si="122"/>
        <v>205185.2</v>
      </c>
      <c r="Q593" s="1107">
        <f t="shared" si="121"/>
        <v>2770000.2</v>
      </c>
      <c r="R593" s="1107"/>
      <c r="S593" s="1083"/>
      <c r="T593" s="1148"/>
      <c r="U593" s="1083"/>
      <c r="V593" s="1083">
        <f t="shared" si="123"/>
        <v>2770000.2</v>
      </c>
    </row>
    <row r="594" spans="1:22" s="1002" customFormat="1" hidden="1">
      <c r="A594" s="1000" t="s">
        <v>664</v>
      </c>
      <c r="B594" s="1028" t="s">
        <v>1495</v>
      </c>
      <c r="C594" s="1066">
        <v>46059</v>
      </c>
      <c r="D594" s="1066"/>
      <c r="F594" s="1141">
        <v>46062</v>
      </c>
      <c r="H594" s="1156" t="s">
        <v>506</v>
      </c>
      <c r="I594" s="1002" t="s">
        <v>858</v>
      </c>
      <c r="J594" s="1007" t="s">
        <v>28</v>
      </c>
      <c r="K594" s="1005" t="s">
        <v>29</v>
      </c>
      <c r="M594" s="1086">
        <v>10</v>
      </c>
      <c r="N594" s="1107">
        <v>281481.5</v>
      </c>
      <c r="O594" s="1107">
        <f t="shared" si="119"/>
        <v>2814815</v>
      </c>
      <c r="P594" s="1107">
        <f t="shared" si="122"/>
        <v>225185.2</v>
      </c>
      <c r="Q594" s="1107">
        <f t="shared" si="121"/>
        <v>3040000.2</v>
      </c>
      <c r="R594" s="1107"/>
      <c r="S594" s="1083"/>
      <c r="T594" s="1148"/>
      <c r="U594" s="1083"/>
      <c r="V594" s="1083">
        <f t="shared" si="123"/>
        <v>3040000.2</v>
      </c>
    </row>
    <row r="595" spans="1:22" s="1002" customFormat="1" ht="47.25" hidden="1">
      <c r="A595" s="1000" t="s">
        <v>664</v>
      </c>
      <c r="B595" s="1028" t="s">
        <v>1495</v>
      </c>
      <c r="C595" s="1066">
        <v>46059</v>
      </c>
      <c r="D595" s="1066"/>
      <c r="F595" s="1141">
        <v>46062</v>
      </c>
      <c r="H595" s="1156" t="s">
        <v>506</v>
      </c>
      <c r="I595" s="1002" t="s">
        <v>858</v>
      </c>
      <c r="J595" s="1007" t="s">
        <v>184</v>
      </c>
      <c r="K595" s="1007" t="s">
        <v>508</v>
      </c>
      <c r="M595" s="1086">
        <v>10</v>
      </c>
      <c r="N595" s="1107">
        <v>240740.74</v>
      </c>
      <c r="O595" s="1107">
        <f t="shared" si="119"/>
        <v>2407407.4</v>
      </c>
      <c r="P595" s="1107">
        <f t="shared" si="122"/>
        <v>192592.592</v>
      </c>
      <c r="Q595" s="1107">
        <f t="shared" si="121"/>
        <v>2599999.9920000001</v>
      </c>
      <c r="R595" s="1107"/>
      <c r="S595" s="1083"/>
      <c r="T595" s="1148"/>
      <c r="U595" s="1083"/>
      <c r="V595" s="1083">
        <f t="shared" si="123"/>
        <v>2599999.9920000001</v>
      </c>
    </row>
    <row r="596" spans="1:22" s="1002" customFormat="1" hidden="1">
      <c r="A596" s="1000" t="s">
        <v>664</v>
      </c>
      <c r="B596" s="1028" t="s">
        <v>1495</v>
      </c>
      <c r="C596" s="1066">
        <v>46059</v>
      </c>
      <c r="D596" s="1066"/>
      <c r="F596" s="1141">
        <v>46062</v>
      </c>
      <c r="H596" s="1156" t="s">
        <v>506</v>
      </c>
      <c r="I596" s="1002" t="s">
        <v>858</v>
      </c>
      <c r="J596" s="1007" t="s">
        <v>30</v>
      </c>
      <c r="K596" s="1005" t="s">
        <v>31</v>
      </c>
      <c r="M596" s="1086">
        <v>10</v>
      </c>
      <c r="N596" s="1107">
        <v>259259.25</v>
      </c>
      <c r="O596" s="1107">
        <f t="shared" si="119"/>
        <v>2592592.5</v>
      </c>
      <c r="P596" s="1107">
        <f t="shared" si="122"/>
        <v>207407.4</v>
      </c>
      <c r="Q596" s="1107">
        <f t="shared" si="121"/>
        <v>2799999.9</v>
      </c>
      <c r="R596" s="1107"/>
      <c r="S596" s="1083"/>
      <c r="T596" s="1148"/>
      <c r="U596" s="1083"/>
      <c r="V596" s="1083">
        <f t="shared" si="123"/>
        <v>2799999.9</v>
      </c>
    </row>
    <row r="597" spans="1:22" s="1002" customFormat="1" hidden="1">
      <c r="A597" s="1000" t="s">
        <v>664</v>
      </c>
      <c r="B597" s="1028" t="s">
        <v>1495</v>
      </c>
      <c r="C597" s="1066">
        <v>46059</v>
      </c>
      <c r="D597" s="1066"/>
      <c r="F597" s="1141">
        <v>46062</v>
      </c>
      <c r="H597" s="1156" t="s">
        <v>506</v>
      </c>
      <c r="I597" s="1002" t="s">
        <v>858</v>
      </c>
      <c r="J597" s="1007" t="s">
        <v>32</v>
      </c>
      <c r="K597" s="1005" t="s">
        <v>33</v>
      </c>
      <c r="M597" s="1086">
        <v>10</v>
      </c>
      <c r="N597" s="1107">
        <v>226851.85</v>
      </c>
      <c r="O597" s="1107">
        <f t="shared" si="119"/>
        <v>2268518.5</v>
      </c>
      <c r="P597" s="1107">
        <f t="shared" si="122"/>
        <v>181481.48</v>
      </c>
      <c r="Q597" s="1107">
        <f t="shared" si="121"/>
        <v>2449999.98</v>
      </c>
      <c r="R597" s="1107"/>
      <c r="S597" s="1083"/>
      <c r="T597" s="1148"/>
      <c r="U597" s="1083"/>
      <c r="V597" s="1083">
        <f t="shared" si="123"/>
        <v>2449999.98</v>
      </c>
    </row>
    <row r="598" spans="1:22" s="1002" customFormat="1" hidden="1">
      <c r="A598" s="1000" t="s">
        <v>664</v>
      </c>
      <c r="B598" s="1028" t="s">
        <v>1495</v>
      </c>
      <c r="C598" s="1066">
        <v>46059</v>
      </c>
      <c r="D598" s="1066"/>
      <c r="F598" s="1141">
        <v>46062</v>
      </c>
      <c r="H598" s="1156" t="s">
        <v>506</v>
      </c>
      <c r="I598" s="1002" t="s">
        <v>858</v>
      </c>
      <c r="J598" s="1007" t="s">
        <v>34</v>
      </c>
      <c r="K598" s="1005" t="s">
        <v>35</v>
      </c>
      <c r="M598" s="1086">
        <v>10</v>
      </c>
      <c r="N598" s="1107">
        <v>240740.74</v>
      </c>
      <c r="O598" s="1107">
        <f t="shared" si="119"/>
        <v>2407407.4</v>
      </c>
      <c r="P598" s="1107">
        <f t="shared" si="122"/>
        <v>192592.592</v>
      </c>
      <c r="Q598" s="1107">
        <f t="shared" si="121"/>
        <v>2599999.9920000001</v>
      </c>
      <c r="R598" s="1107"/>
      <c r="S598" s="1083"/>
      <c r="T598" s="1148"/>
      <c r="U598" s="1083"/>
      <c r="V598" s="1083">
        <f t="shared" si="123"/>
        <v>2599999.9920000001</v>
      </c>
    </row>
    <row r="599" spans="1:22" s="1002" customFormat="1" hidden="1">
      <c r="A599" s="1000" t="s">
        <v>664</v>
      </c>
      <c r="B599" s="1028" t="s">
        <v>1495</v>
      </c>
      <c r="C599" s="1066">
        <v>46059</v>
      </c>
      <c r="D599" s="1066"/>
      <c r="F599" s="1141">
        <v>46062</v>
      </c>
      <c r="H599" s="1156" t="s">
        <v>506</v>
      </c>
      <c r="I599" s="1002" t="s">
        <v>858</v>
      </c>
      <c r="J599" s="1007" t="s">
        <v>36</v>
      </c>
      <c r="K599" s="1005" t="s">
        <v>37</v>
      </c>
      <c r="M599" s="1086">
        <v>10</v>
      </c>
      <c r="N599" s="1107">
        <v>259259.25</v>
      </c>
      <c r="O599" s="1107">
        <f t="shared" si="119"/>
        <v>2592592.5</v>
      </c>
      <c r="P599" s="1107">
        <f t="shared" si="122"/>
        <v>207407.4</v>
      </c>
      <c r="Q599" s="1107">
        <f t="shared" si="121"/>
        <v>2799999.9</v>
      </c>
      <c r="R599" s="1107"/>
      <c r="S599" s="1083"/>
      <c r="T599" s="1148"/>
      <c r="U599" s="1083"/>
      <c r="V599" s="1083">
        <f t="shared" si="123"/>
        <v>2799999.9</v>
      </c>
    </row>
    <row r="600" spans="1:22" s="1002" customFormat="1" hidden="1">
      <c r="A600" s="1000" t="s">
        <v>664</v>
      </c>
      <c r="B600" s="1028" t="s">
        <v>1495</v>
      </c>
      <c r="C600" s="1066">
        <v>46059</v>
      </c>
      <c r="D600" s="1066"/>
      <c r="F600" s="1141">
        <v>46062</v>
      </c>
      <c r="H600" s="1156" t="s">
        <v>506</v>
      </c>
      <c r="I600" s="1002" t="s">
        <v>858</v>
      </c>
      <c r="J600" s="1007" t="s">
        <v>38</v>
      </c>
      <c r="K600" s="1005" t="s">
        <v>39</v>
      </c>
      <c r="M600" s="1086">
        <v>10</v>
      </c>
      <c r="N600" s="1107">
        <v>277277.77</v>
      </c>
      <c r="O600" s="1107">
        <f t="shared" si="119"/>
        <v>2772777.7</v>
      </c>
      <c r="P600" s="1107">
        <f t="shared" si="122"/>
        <v>221822.21600000001</v>
      </c>
      <c r="Q600" s="1107">
        <f t="shared" si="121"/>
        <v>2994599.9160000002</v>
      </c>
      <c r="R600" s="1107"/>
      <c r="S600" s="1083"/>
      <c r="T600" s="1148"/>
      <c r="U600" s="1083"/>
      <c r="V600" s="1083">
        <f t="shared" si="123"/>
        <v>2994599.9160000002</v>
      </c>
    </row>
    <row r="601" spans="1:22" s="1002" customFormat="1" ht="47.25" hidden="1">
      <c r="A601" s="1000" t="s">
        <v>664</v>
      </c>
      <c r="B601" s="1028" t="s">
        <v>1495</v>
      </c>
      <c r="C601" s="1066">
        <v>46059</v>
      </c>
      <c r="D601" s="1066"/>
      <c r="F601" s="1141">
        <v>46062</v>
      </c>
      <c r="H601" s="1156" t="s">
        <v>506</v>
      </c>
      <c r="I601" s="1002" t="s">
        <v>858</v>
      </c>
      <c r="J601" s="1007" t="s">
        <v>40</v>
      </c>
      <c r="K601" s="1007" t="s">
        <v>505</v>
      </c>
      <c r="M601" s="1086">
        <v>4</v>
      </c>
      <c r="N601" s="1107">
        <v>844444.44</v>
      </c>
      <c r="O601" s="1107">
        <f t="shared" si="119"/>
        <v>3377777.76</v>
      </c>
      <c r="P601" s="1107">
        <f t="shared" si="122"/>
        <v>270222.22080000001</v>
      </c>
      <c r="Q601" s="1107">
        <f t="shared" si="121"/>
        <v>3647999.9808</v>
      </c>
      <c r="R601" s="1107"/>
      <c r="S601" s="1083"/>
      <c r="T601" s="1148"/>
      <c r="U601" s="1083"/>
      <c r="V601" s="1083">
        <f t="shared" si="123"/>
        <v>3647999.9808</v>
      </c>
    </row>
    <row r="602" spans="1:22" s="1002" customFormat="1" hidden="1">
      <c r="A602" s="1000" t="s">
        <v>664</v>
      </c>
      <c r="B602" s="1029" t="s">
        <v>1495</v>
      </c>
      <c r="C602" s="1066">
        <v>46060</v>
      </c>
      <c r="D602" s="1066"/>
      <c r="F602" s="1141"/>
      <c r="H602" s="1039" t="s">
        <v>509</v>
      </c>
      <c r="I602" s="1002" t="s">
        <v>844</v>
      </c>
      <c r="J602" s="1007"/>
      <c r="K602" s="1032"/>
      <c r="M602" s="1159"/>
      <c r="N602" s="1160"/>
      <c r="O602" s="1160"/>
      <c r="P602" s="1160"/>
      <c r="Q602" s="1160"/>
      <c r="R602" s="1107">
        <v>50612004</v>
      </c>
      <c r="S602" s="1083"/>
      <c r="T602" s="1107"/>
      <c r="U602" s="1083"/>
      <c r="V602" s="1083">
        <f t="shared" si="123"/>
        <v>-50612004</v>
      </c>
    </row>
    <row r="603" spans="1:22" s="1002" customFormat="1" hidden="1">
      <c r="A603" s="1000" t="s">
        <v>664</v>
      </c>
      <c r="B603" s="1028" t="s">
        <v>1495</v>
      </c>
      <c r="C603" s="1076">
        <v>46094</v>
      </c>
      <c r="D603" s="1076"/>
      <c r="F603" s="1139">
        <v>46106</v>
      </c>
      <c r="H603" s="1161" t="s">
        <v>511</v>
      </c>
      <c r="I603" s="1002" t="s">
        <v>858</v>
      </c>
      <c r="J603" s="1007" t="s">
        <v>60</v>
      </c>
      <c r="K603" s="1003" t="s">
        <v>61</v>
      </c>
      <c r="M603" s="1093">
        <v>8</v>
      </c>
      <c r="N603" s="1081">
        <v>1138888.8799999999</v>
      </c>
      <c r="O603" s="1081">
        <f t="shared" ref="O603:O612" si="124">N603*M603</f>
        <v>9111111.0399999991</v>
      </c>
      <c r="P603" s="1081">
        <f t="shared" ref="P603:P612" si="125">O603*8%</f>
        <v>728888.88319999992</v>
      </c>
      <c r="Q603" s="1081">
        <f t="shared" ref="Q603:Q612" si="126">O603+P603</f>
        <v>9839999.9231999982</v>
      </c>
      <c r="R603" s="1081"/>
      <c r="S603" s="1083"/>
      <c r="T603" s="1148"/>
      <c r="U603" s="1083"/>
      <c r="V603" s="1083">
        <f t="shared" si="123"/>
        <v>9839999.9231999982</v>
      </c>
    </row>
    <row r="604" spans="1:22" s="1002" customFormat="1" ht="31.5" hidden="1">
      <c r="A604" s="1000" t="s">
        <v>664</v>
      </c>
      <c r="B604" s="1028" t="s">
        <v>1495</v>
      </c>
      <c r="C604" s="1076">
        <v>46094</v>
      </c>
      <c r="D604" s="1076"/>
      <c r="F604" s="1139">
        <v>46106</v>
      </c>
      <c r="H604" s="1161" t="s">
        <v>511</v>
      </c>
      <c r="I604" s="1002" t="s">
        <v>858</v>
      </c>
      <c r="J604" s="1007" t="s">
        <v>16</v>
      </c>
      <c r="K604" s="1024" t="s">
        <v>17</v>
      </c>
      <c r="M604" s="1093">
        <v>8</v>
      </c>
      <c r="N604" s="1081">
        <v>851851.85</v>
      </c>
      <c r="O604" s="1081">
        <f t="shared" si="124"/>
        <v>6814814.7999999998</v>
      </c>
      <c r="P604" s="1081">
        <f t="shared" si="125"/>
        <v>545185.18400000001</v>
      </c>
      <c r="Q604" s="1081">
        <f t="shared" si="126"/>
        <v>7359999.9840000002</v>
      </c>
      <c r="R604" s="1081"/>
      <c r="S604" s="1083"/>
      <c r="T604" s="1148"/>
      <c r="U604" s="1083"/>
      <c r="V604" s="1083">
        <f t="shared" si="123"/>
        <v>7359999.9840000002</v>
      </c>
    </row>
    <row r="605" spans="1:22" s="1002" customFormat="1" ht="31.5" hidden="1">
      <c r="A605" s="1000" t="s">
        <v>664</v>
      </c>
      <c r="B605" s="1028" t="s">
        <v>1495</v>
      </c>
      <c r="C605" s="1076">
        <v>46094</v>
      </c>
      <c r="D605" s="1076"/>
      <c r="F605" s="1139">
        <v>46106</v>
      </c>
      <c r="H605" s="1161" t="s">
        <v>511</v>
      </c>
      <c r="I605" s="1002" t="s">
        <v>858</v>
      </c>
      <c r="J605" s="1007" t="s">
        <v>54</v>
      </c>
      <c r="K605" s="1024" t="s">
        <v>329</v>
      </c>
      <c r="M605" s="1093">
        <v>12</v>
      </c>
      <c r="N605" s="1081">
        <v>324074.07</v>
      </c>
      <c r="O605" s="1081">
        <f t="shared" si="124"/>
        <v>3888888.84</v>
      </c>
      <c r="P605" s="1081">
        <f t="shared" si="125"/>
        <v>311111.10719999997</v>
      </c>
      <c r="Q605" s="1081">
        <f t="shared" si="126"/>
        <v>4199999.9472000003</v>
      </c>
      <c r="R605" s="1081"/>
      <c r="S605" s="1083"/>
      <c r="T605" s="1148"/>
      <c r="U605" s="1083"/>
      <c r="V605" s="1083">
        <f t="shared" si="123"/>
        <v>4199999.9472000003</v>
      </c>
    </row>
    <row r="606" spans="1:22" s="1002" customFormat="1" ht="47.25" hidden="1">
      <c r="A606" s="1000" t="s">
        <v>664</v>
      </c>
      <c r="B606" s="1028" t="s">
        <v>1495</v>
      </c>
      <c r="C606" s="1076">
        <v>46094</v>
      </c>
      <c r="D606" s="1076"/>
      <c r="F606" s="1139">
        <v>46106</v>
      </c>
      <c r="H606" s="1161" t="s">
        <v>511</v>
      </c>
      <c r="I606" s="1002" t="s">
        <v>858</v>
      </c>
      <c r="J606" s="1007" t="s">
        <v>56</v>
      </c>
      <c r="K606" s="1024" t="s">
        <v>512</v>
      </c>
      <c r="M606" s="1093">
        <v>12</v>
      </c>
      <c r="N606" s="1081">
        <v>325925.92</v>
      </c>
      <c r="O606" s="1081">
        <f t="shared" si="124"/>
        <v>3911111.04</v>
      </c>
      <c r="P606" s="1081">
        <f t="shared" si="125"/>
        <v>312888.88319999998</v>
      </c>
      <c r="Q606" s="1081">
        <f t="shared" si="126"/>
        <v>4223999.9232000001</v>
      </c>
      <c r="R606" s="1081"/>
      <c r="S606" s="1083"/>
      <c r="T606" s="1148"/>
      <c r="U606" s="1083"/>
      <c r="V606" s="1083">
        <f t="shared" si="123"/>
        <v>4223999.9232000001</v>
      </c>
    </row>
    <row r="607" spans="1:22" s="1002" customFormat="1" hidden="1">
      <c r="A607" s="1000" t="s">
        <v>664</v>
      </c>
      <c r="B607" s="1028" t="s">
        <v>1495</v>
      </c>
      <c r="C607" s="1076">
        <v>46094</v>
      </c>
      <c r="D607" s="1076"/>
      <c r="F607" s="1139">
        <v>46106</v>
      </c>
      <c r="H607" s="1161" t="s">
        <v>511</v>
      </c>
      <c r="I607" s="1002" t="s">
        <v>858</v>
      </c>
      <c r="J607" s="1007" t="s">
        <v>107</v>
      </c>
      <c r="K607" s="1024" t="s">
        <v>108</v>
      </c>
      <c r="M607" s="1093">
        <v>12</v>
      </c>
      <c r="N607" s="1081">
        <v>349074.07</v>
      </c>
      <c r="O607" s="1081">
        <f t="shared" si="124"/>
        <v>4188888.84</v>
      </c>
      <c r="P607" s="1081">
        <f t="shared" si="125"/>
        <v>335111.10719999997</v>
      </c>
      <c r="Q607" s="1081">
        <f t="shared" si="126"/>
        <v>4523999.9472000003</v>
      </c>
      <c r="R607" s="1081"/>
      <c r="S607" s="1083"/>
      <c r="T607" s="1148"/>
      <c r="U607" s="1083"/>
      <c r="V607" s="1083">
        <f t="shared" si="123"/>
        <v>4523999.9472000003</v>
      </c>
    </row>
    <row r="608" spans="1:22" s="1002" customFormat="1" hidden="1">
      <c r="A608" s="1000" t="s">
        <v>664</v>
      </c>
      <c r="B608" s="1028" t="s">
        <v>1495</v>
      </c>
      <c r="C608" s="1076">
        <v>46094</v>
      </c>
      <c r="D608" s="1076"/>
      <c r="F608" s="1139">
        <v>46106</v>
      </c>
      <c r="H608" s="1161" t="s">
        <v>511</v>
      </c>
      <c r="I608" s="1002" t="s">
        <v>858</v>
      </c>
      <c r="J608" s="1007" t="s">
        <v>127</v>
      </c>
      <c r="K608" s="1024" t="s">
        <v>128</v>
      </c>
      <c r="M608" s="1093">
        <v>12</v>
      </c>
      <c r="N608" s="1081">
        <v>284259.25</v>
      </c>
      <c r="O608" s="1081">
        <f t="shared" si="124"/>
        <v>3411111</v>
      </c>
      <c r="P608" s="1081">
        <f t="shared" si="125"/>
        <v>272888.88</v>
      </c>
      <c r="Q608" s="1081">
        <f t="shared" si="126"/>
        <v>3683999.88</v>
      </c>
      <c r="R608" s="1081"/>
      <c r="S608" s="1083"/>
      <c r="T608" s="1148"/>
      <c r="U608" s="1083"/>
      <c r="V608" s="1083">
        <f t="shared" si="123"/>
        <v>3683999.88</v>
      </c>
    </row>
    <row r="609" spans="1:22" s="1002" customFormat="1" hidden="1">
      <c r="A609" s="1000" t="s">
        <v>664</v>
      </c>
      <c r="B609" s="1028" t="s">
        <v>1495</v>
      </c>
      <c r="C609" s="1076">
        <v>46094</v>
      </c>
      <c r="D609" s="1076"/>
      <c r="F609" s="1139">
        <v>46106</v>
      </c>
      <c r="H609" s="1161" t="s">
        <v>511</v>
      </c>
      <c r="I609" s="1002" t="s">
        <v>858</v>
      </c>
      <c r="J609" s="1007" t="s">
        <v>219</v>
      </c>
      <c r="K609" s="1024" t="s">
        <v>483</v>
      </c>
      <c r="M609" s="1093">
        <v>12</v>
      </c>
      <c r="N609" s="1081">
        <v>263888.89</v>
      </c>
      <c r="O609" s="1081">
        <f t="shared" si="124"/>
        <v>3166666.68</v>
      </c>
      <c r="P609" s="1081">
        <f t="shared" si="125"/>
        <v>253333.33440000002</v>
      </c>
      <c r="Q609" s="1081">
        <f t="shared" si="126"/>
        <v>3420000.0144000002</v>
      </c>
      <c r="R609" s="1081"/>
      <c r="S609" s="1083"/>
      <c r="T609" s="1148"/>
      <c r="U609" s="1083"/>
      <c r="V609" s="1083">
        <f t="shared" si="123"/>
        <v>3420000.0144000002</v>
      </c>
    </row>
    <row r="610" spans="1:22" s="1002" customFormat="1" hidden="1">
      <c r="A610" s="1000" t="s">
        <v>664</v>
      </c>
      <c r="B610" s="1028" t="s">
        <v>1495</v>
      </c>
      <c r="C610" s="1076">
        <v>46094</v>
      </c>
      <c r="D610" s="1076"/>
      <c r="F610" s="1139">
        <v>46106</v>
      </c>
      <c r="H610" s="1161" t="s">
        <v>511</v>
      </c>
      <c r="I610" s="1002" t="s">
        <v>858</v>
      </c>
      <c r="J610" s="1007" t="s">
        <v>130</v>
      </c>
      <c r="K610" s="1024" t="s">
        <v>131</v>
      </c>
      <c r="M610" s="1093">
        <v>12</v>
      </c>
      <c r="N610" s="1081">
        <v>280555.55</v>
      </c>
      <c r="O610" s="1081">
        <f t="shared" si="124"/>
        <v>3366666.5999999996</v>
      </c>
      <c r="P610" s="1081">
        <f>O610*8%</f>
        <v>269333.32799999998</v>
      </c>
      <c r="Q610" s="1081">
        <f t="shared" si="126"/>
        <v>3635999.9279999994</v>
      </c>
      <c r="R610" s="1081"/>
      <c r="S610" s="1083"/>
      <c r="T610" s="1148"/>
      <c r="U610" s="1083"/>
      <c r="V610" s="1083">
        <f t="shared" si="123"/>
        <v>3635999.9279999994</v>
      </c>
    </row>
    <row r="611" spans="1:22" s="1002" customFormat="1" ht="31.5" hidden="1">
      <c r="A611" s="1000" t="s">
        <v>664</v>
      </c>
      <c r="B611" s="1028" t="s">
        <v>1495</v>
      </c>
      <c r="C611" s="1076">
        <v>46094</v>
      </c>
      <c r="D611" s="1076"/>
      <c r="F611" s="1139">
        <v>46148</v>
      </c>
      <c r="H611" s="1140" t="s">
        <v>497</v>
      </c>
      <c r="I611" s="1002" t="s">
        <v>858</v>
      </c>
      <c r="J611" s="1007" t="s">
        <v>83</v>
      </c>
      <c r="K611" s="1024" t="s">
        <v>84</v>
      </c>
      <c r="M611" s="1093">
        <v>8</v>
      </c>
      <c r="N611" s="1081">
        <v>1097222.22</v>
      </c>
      <c r="O611" s="1081">
        <f t="shared" si="124"/>
        <v>8777777.7599999998</v>
      </c>
      <c r="P611" s="1081">
        <f t="shared" si="125"/>
        <v>702222.22080000001</v>
      </c>
      <c r="Q611" s="1081">
        <f t="shared" si="126"/>
        <v>9479999.9807999991</v>
      </c>
      <c r="R611" s="1081"/>
      <c r="S611" s="1083"/>
      <c r="T611" s="1148"/>
      <c r="U611" s="1083"/>
      <c r="V611" s="1083">
        <f t="shared" si="123"/>
        <v>9479999.9807999991</v>
      </c>
    </row>
    <row r="612" spans="1:22" s="1002" customFormat="1" hidden="1">
      <c r="A612" s="1000" t="s">
        <v>664</v>
      </c>
      <c r="B612" s="1028" t="s">
        <v>1495</v>
      </c>
      <c r="C612" s="1076">
        <v>46094</v>
      </c>
      <c r="D612" s="1076"/>
      <c r="F612" s="1139">
        <v>46148</v>
      </c>
      <c r="H612" s="1140" t="s">
        <v>497</v>
      </c>
      <c r="I612" s="1002" t="s">
        <v>858</v>
      </c>
      <c r="J612" s="1007" t="s">
        <v>74</v>
      </c>
      <c r="K612" s="1024" t="s">
        <v>141</v>
      </c>
      <c r="M612" s="1093">
        <v>16</v>
      </c>
      <c r="N612" s="1081">
        <v>361111.11</v>
      </c>
      <c r="O612" s="1081">
        <f t="shared" si="124"/>
        <v>5777777.7599999998</v>
      </c>
      <c r="P612" s="1081">
        <f t="shared" si="125"/>
        <v>462222.22080000001</v>
      </c>
      <c r="Q612" s="1081">
        <f t="shared" si="126"/>
        <v>6239999.9808</v>
      </c>
      <c r="R612" s="1081"/>
      <c r="S612" s="1083"/>
      <c r="T612" s="1148"/>
      <c r="U612" s="1083"/>
      <c r="V612" s="1083">
        <f t="shared" si="123"/>
        <v>6239999.9808</v>
      </c>
    </row>
    <row r="613" spans="1:22" s="1002" customFormat="1" hidden="1">
      <c r="A613" s="1000" t="s">
        <v>664</v>
      </c>
      <c r="B613" s="1028" t="s">
        <v>1495</v>
      </c>
      <c r="C613" s="1088">
        <v>46123</v>
      </c>
      <c r="D613" s="1088"/>
      <c r="F613" s="1157"/>
      <c r="H613" s="1031"/>
      <c r="I613" s="1002" t="s">
        <v>844</v>
      </c>
      <c r="J613" s="1007"/>
      <c r="K613" s="1033"/>
      <c r="M613" s="1135"/>
      <c r="N613" s="1137"/>
      <c r="O613" s="1137"/>
      <c r="P613" s="1137"/>
      <c r="Q613" s="1137"/>
      <c r="R613" s="1137">
        <v>40000008</v>
      </c>
      <c r="S613" s="1083"/>
      <c r="T613" s="1148"/>
      <c r="U613" s="1083"/>
      <c r="V613" s="1083">
        <f t="shared" si="123"/>
        <v>-40000008</v>
      </c>
    </row>
    <row r="614" spans="1:22" s="1002" customFormat="1" hidden="1">
      <c r="A614" s="1000" t="s">
        <v>664</v>
      </c>
      <c r="B614" s="1028" t="s">
        <v>1495</v>
      </c>
      <c r="C614" s="1076">
        <v>46125</v>
      </c>
      <c r="D614" s="1076"/>
      <c r="F614" s="1139">
        <v>46148</v>
      </c>
      <c r="H614" s="1140" t="s">
        <v>497</v>
      </c>
      <c r="I614" s="1002" t="s">
        <v>858</v>
      </c>
      <c r="J614" s="1007" t="s">
        <v>204</v>
      </c>
      <c r="K614" s="1024" t="s">
        <v>269</v>
      </c>
      <c r="M614" s="1093">
        <v>10</v>
      </c>
      <c r="N614" s="1081">
        <v>480555.55</v>
      </c>
      <c r="O614" s="1081">
        <f t="shared" ref="O614:O629" si="127">N614*M614</f>
        <v>4805555.5</v>
      </c>
      <c r="P614" s="1081">
        <f t="shared" ref="P614:P629" si="128">O614*8%</f>
        <v>384444.44</v>
      </c>
      <c r="Q614" s="1081">
        <f t="shared" ref="Q614:Q629" si="129">O614+P614</f>
        <v>5189999.9400000004</v>
      </c>
      <c r="R614" s="1081"/>
      <c r="S614" s="1083"/>
      <c r="T614" s="1148"/>
      <c r="U614" s="1083"/>
      <c r="V614" s="1083">
        <f t="shared" si="123"/>
        <v>5189999.9400000004</v>
      </c>
    </row>
    <row r="615" spans="1:22" s="1002" customFormat="1" ht="31.5" hidden="1">
      <c r="A615" s="1000" t="s">
        <v>664</v>
      </c>
      <c r="B615" s="1028" t="s">
        <v>1495</v>
      </c>
      <c r="C615" s="1076">
        <v>46125</v>
      </c>
      <c r="D615" s="1076"/>
      <c r="F615" s="1139">
        <v>46148</v>
      </c>
      <c r="H615" s="1140" t="s">
        <v>497</v>
      </c>
      <c r="I615" s="1002" t="s">
        <v>858</v>
      </c>
      <c r="J615" s="1007" t="s">
        <v>36</v>
      </c>
      <c r="K615" s="1024" t="s">
        <v>37</v>
      </c>
      <c r="M615" s="1093">
        <v>10</v>
      </c>
      <c r="N615" s="1081">
        <v>259259.26</v>
      </c>
      <c r="O615" s="1081">
        <f t="shared" si="127"/>
        <v>2592592.6</v>
      </c>
      <c r="P615" s="1081">
        <f t="shared" si="128"/>
        <v>207407.40800000002</v>
      </c>
      <c r="Q615" s="1081">
        <f t="shared" si="129"/>
        <v>2800000.0079999999</v>
      </c>
      <c r="R615" s="1081"/>
      <c r="S615" s="1083"/>
      <c r="T615" s="1148"/>
      <c r="U615" s="1083"/>
      <c r="V615" s="1083">
        <f t="shared" si="123"/>
        <v>2800000.0079999999</v>
      </c>
    </row>
    <row r="616" spans="1:22" s="1002" customFormat="1" ht="31.5" hidden="1">
      <c r="A616" s="1000" t="s">
        <v>664</v>
      </c>
      <c r="B616" s="1028" t="s">
        <v>1495</v>
      </c>
      <c r="C616" s="1076">
        <v>46125</v>
      </c>
      <c r="D616" s="1076"/>
      <c r="F616" s="1139">
        <v>46148</v>
      </c>
      <c r="H616" s="1140" t="s">
        <v>497</v>
      </c>
      <c r="I616" s="1002" t="s">
        <v>858</v>
      </c>
      <c r="J616" s="1007" t="s">
        <v>34</v>
      </c>
      <c r="K616" s="1024" t="s">
        <v>35</v>
      </c>
      <c r="M616" s="1093">
        <v>10</v>
      </c>
      <c r="N616" s="1081">
        <v>240740.74</v>
      </c>
      <c r="O616" s="1081">
        <f t="shared" si="127"/>
        <v>2407407.4</v>
      </c>
      <c r="P616" s="1081">
        <f t="shared" si="128"/>
        <v>192592.592</v>
      </c>
      <c r="Q616" s="1081">
        <f t="shared" si="129"/>
        <v>2599999.9920000001</v>
      </c>
      <c r="R616" s="1081"/>
      <c r="S616" s="1083"/>
      <c r="T616" s="1148"/>
      <c r="U616" s="1083"/>
      <c r="V616" s="1083">
        <f t="shared" si="123"/>
        <v>2599999.9920000001</v>
      </c>
    </row>
    <row r="617" spans="1:22" s="1002" customFormat="1" hidden="1">
      <c r="A617" s="1000" t="s">
        <v>664</v>
      </c>
      <c r="B617" s="1028" t="s">
        <v>1495</v>
      </c>
      <c r="C617" s="1076">
        <v>46125</v>
      </c>
      <c r="D617" s="1076"/>
      <c r="F617" s="1139">
        <v>46148</v>
      </c>
      <c r="H617" s="1140" t="s">
        <v>497</v>
      </c>
      <c r="I617" s="1002" t="s">
        <v>858</v>
      </c>
      <c r="J617" s="1007" t="s">
        <v>74</v>
      </c>
      <c r="K617" s="1024" t="s">
        <v>141</v>
      </c>
      <c r="M617" s="1093">
        <v>8</v>
      </c>
      <c r="N617" s="1081">
        <v>361111.11</v>
      </c>
      <c r="O617" s="1081">
        <f t="shared" si="127"/>
        <v>2888888.88</v>
      </c>
      <c r="P617" s="1081">
        <f t="shared" si="128"/>
        <v>231111.11040000001</v>
      </c>
      <c r="Q617" s="1081">
        <f t="shared" si="129"/>
        <v>3119999.9904</v>
      </c>
      <c r="R617" s="1081"/>
      <c r="S617" s="1083"/>
      <c r="T617" s="1148"/>
      <c r="U617" s="1083"/>
      <c r="V617" s="1083">
        <f t="shared" si="123"/>
        <v>3119999.9904</v>
      </c>
    </row>
    <row r="618" spans="1:22" s="1002" customFormat="1" hidden="1">
      <c r="A618" s="1000" t="s">
        <v>664</v>
      </c>
      <c r="B618" s="1028" t="s">
        <v>1495</v>
      </c>
      <c r="C618" s="1076">
        <v>46125</v>
      </c>
      <c r="D618" s="1076"/>
      <c r="F618" s="1139">
        <v>46148</v>
      </c>
      <c r="H618" s="1140" t="s">
        <v>497</v>
      </c>
      <c r="I618" s="1002" t="s">
        <v>858</v>
      </c>
      <c r="J618" s="1007" t="s">
        <v>60</v>
      </c>
      <c r="K618" s="1003" t="s">
        <v>61</v>
      </c>
      <c r="M618" s="1093">
        <v>8</v>
      </c>
      <c r="N618" s="1081">
        <v>1138888.8799999999</v>
      </c>
      <c r="O618" s="1081">
        <f t="shared" si="127"/>
        <v>9111111.0399999991</v>
      </c>
      <c r="P618" s="1081">
        <f t="shared" si="128"/>
        <v>728888.88319999992</v>
      </c>
      <c r="Q618" s="1081">
        <f t="shared" si="129"/>
        <v>9839999.9231999982</v>
      </c>
      <c r="R618" s="1081"/>
      <c r="S618" s="1083"/>
      <c r="T618" s="1148"/>
      <c r="U618" s="1083"/>
      <c r="V618" s="1083">
        <f t="shared" si="123"/>
        <v>9839999.9231999982</v>
      </c>
    </row>
    <row r="619" spans="1:22" s="1002" customFormat="1" hidden="1">
      <c r="A619" s="1000" t="s">
        <v>664</v>
      </c>
      <c r="B619" s="1028" t="s">
        <v>1495</v>
      </c>
      <c r="C619" s="1076">
        <v>46125</v>
      </c>
      <c r="D619" s="1076"/>
      <c r="F619" s="1139">
        <v>46148</v>
      </c>
      <c r="H619" s="1140" t="s">
        <v>497</v>
      </c>
      <c r="I619" s="1002" t="s">
        <v>858</v>
      </c>
      <c r="J619" s="1007" t="s">
        <v>83</v>
      </c>
      <c r="K619" s="1003" t="s">
        <v>84</v>
      </c>
      <c r="M619" s="1093">
        <v>8</v>
      </c>
      <c r="N619" s="1081">
        <v>1097222.22</v>
      </c>
      <c r="O619" s="1081">
        <f t="shared" si="127"/>
        <v>8777777.7599999998</v>
      </c>
      <c r="P619" s="1081">
        <f t="shared" si="128"/>
        <v>702222.22080000001</v>
      </c>
      <c r="Q619" s="1081">
        <f t="shared" si="129"/>
        <v>9479999.9807999991</v>
      </c>
      <c r="R619" s="1081"/>
      <c r="S619" s="1083"/>
      <c r="T619" s="1148"/>
      <c r="U619" s="1083"/>
      <c r="V619" s="1083">
        <f t="shared" si="123"/>
        <v>9479999.9807999991</v>
      </c>
    </row>
    <row r="620" spans="1:22" s="1002" customFormat="1" ht="31.5" hidden="1">
      <c r="A620" s="1000" t="s">
        <v>664</v>
      </c>
      <c r="B620" s="1028" t="s">
        <v>1495</v>
      </c>
      <c r="C620" s="1076">
        <v>46125</v>
      </c>
      <c r="D620" s="1076"/>
      <c r="F620" s="1139">
        <v>46148</v>
      </c>
      <c r="H620" s="1140" t="s">
        <v>497</v>
      </c>
      <c r="I620" s="1002" t="s">
        <v>858</v>
      </c>
      <c r="J620" s="1007" t="s">
        <v>16</v>
      </c>
      <c r="K620" s="1024" t="s">
        <v>17</v>
      </c>
      <c r="M620" s="1093">
        <v>8</v>
      </c>
      <c r="N620" s="1081">
        <v>851851.85</v>
      </c>
      <c r="O620" s="1081">
        <f t="shared" si="127"/>
        <v>6814814.7999999998</v>
      </c>
      <c r="P620" s="1081">
        <f t="shared" si="128"/>
        <v>545185.18400000001</v>
      </c>
      <c r="Q620" s="1081">
        <f t="shared" si="129"/>
        <v>7359999.9840000002</v>
      </c>
      <c r="R620" s="1081"/>
      <c r="S620" s="1083"/>
      <c r="T620" s="1148"/>
      <c r="U620" s="1083"/>
      <c r="V620" s="1083">
        <f t="shared" si="123"/>
        <v>7359999.9840000002</v>
      </c>
    </row>
    <row r="621" spans="1:22" s="1002" customFormat="1" hidden="1">
      <c r="A621" s="1000" t="s">
        <v>664</v>
      </c>
      <c r="B621" s="1028" t="s">
        <v>1495</v>
      </c>
      <c r="C621" s="1076">
        <v>46128</v>
      </c>
      <c r="D621" s="1076"/>
      <c r="F621" s="1139">
        <v>46128</v>
      </c>
      <c r="H621" s="1140" t="s">
        <v>515</v>
      </c>
      <c r="I621" s="1018" t="s">
        <v>516</v>
      </c>
      <c r="J621" s="1007" t="s">
        <v>208</v>
      </c>
      <c r="K621" s="1034" t="s">
        <v>209</v>
      </c>
      <c r="M621" s="1093">
        <v>-6</v>
      </c>
      <c r="N621" s="1081">
        <v>647222.22</v>
      </c>
      <c r="O621" s="1081">
        <f t="shared" si="127"/>
        <v>-3883333.32</v>
      </c>
      <c r="P621" s="1081">
        <f t="shared" si="128"/>
        <v>-310666.66560000001</v>
      </c>
      <c r="Q621" s="1081">
        <f>O621+P621</f>
        <v>-4193999.9855999998</v>
      </c>
      <c r="R621" s="1081"/>
      <c r="S621" s="1083"/>
      <c r="T621" s="1148"/>
      <c r="U621" s="1083"/>
      <c r="V621" s="1083">
        <f t="shared" si="123"/>
        <v>-4193999.9855999998</v>
      </c>
    </row>
    <row r="622" spans="1:22" s="1002" customFormat="1" hidden="1">
      <c r="A622" s="1000" t="s">
        <v>664</v>
      </c>
      <c r="B622" s="1028" t="s">
        <v>1495</v>
      </c>
      <c r="C622" s="1076">
        <v>46128</v>
      </c>
      <c r="D622" s="1076"/>
      <c r="F622" s="1139">
        <v>46128</v>
      </c>
      <c r="H622" s="1140" t="s">
        <v>517</v>
      </c>
      <c r="I622" s="1018" t="s">
        <v>516</v>
      </c>
      <c r="J622" s="1007" t="s">
        <v>444</v>
      </c>
      <c r="K622" s="1035" t="s">
        <v>445</v>
      </c>
      <c r="M622" s="1093">
        <v>-4</v>
      </c>
      <c r="N622" s="1081">
        <v>601852.18999999994</v>
      </c>
      <c r="O622" s="1081">
        <f t="shared" si="127"/>
        <v>-2407408.7599999998</v>
      </c>
      <c r="P622" s="1081">
        <f>O622*8%</f>
        <v>-192592.70079999999</v>
      </c>
      <c r="Q622" s="1081">
        <f>O622+P622</f>
        <v>-2600001.4607999995</v>
      </c>
      <c r="R622" s="1081"/>
      <c r="S622" s="1083"/>
      <c r="T622" s="1148"/>
      <c r="U622" s="1083"/>
      <c r="V622" s="1083">
        <f t="shared" si="123"/>
        <v>-2600001.4607999995</v>
      </c>
    </row>
    <row r="623" spans="1:22" s="1002" customFormat="1" hidden="1">
      <c r="A623" s="1000" t="s">
        <v>664</v>
      </c>
      <c r="B623" s="1028" t="s">
        <v>1495</v>
      </c>
      <c r="C623" s="1076">
        <v>46128</v>
      </c>
      <c r="D623" s="1076"/>
      <c r="F623" s="1139">
        <v>46128</v>
      </c>
      <c r="H623" s="1140" t="s">
        <v>518</v>
      </c>
      <c r="I623" s="1018" t="s">
        <v>516</v>
      </c>
      <c r="J623" s="1007" t="s">
        <v>130</v>
      </c>
      <c r="K623" s="1035" t="s">
        <v>131</v>
      </c>
      <c r="M623" s="1093">
        <v>-12</v>
      </c>
      <c r="N623" s="1081">
        <v>280555.55</v>
      </c>
      <c r="O623" s="1081">
        <f t="shared" si="127"/>
        <v>-3366666.5999999996</v>
      </c>
      <c r="P623" s="1081">
        <f>O623*8%</f>
        <v>-269333.32799999998</v>
      </c>
      <c r="Q623" s="1081">
        <f>O623+P623</f>
        <v>-3635999.9279999994</v>
      </c>
      <c r="R623" s="1081"/>
      <c r="S623" s="1083"/>
      <c r="T623" s="1148"/>
      <c r="U623" s="1083"/>
      <c r="V623" s="1083">
        <f t="shared" si="123"/>
        <v>-3635999.9279999994</v>
      </c>
    </row>
    <row r="624" spans="1:22" s="1002" customFormat="1" hidden="1">
      <c r="A624" s="1000" t="s">
        <v>664</v>
      </c>
      <c r="B624" s="1028" t="s">
        <v>1495</v>
      </c>
      <c r="C624" s="1076">
        <v>46147</v>
      </c>
      <c r="D624" s="1076"/>
      <c r="F624" s="1139">
        <v>46153</v>
      </c>
      <c r="H624" s="1140" t="s">
        <v>519</v>
      </c>
      <c r="I624" s="1002" t="s">
        <v>858</v>
      </c>
      <c r="J624" s="1007" t="s">
        <v>77</v>
      </c>
      <c r="K624" s="1003" t="s">
        <v>78</v>
      </c>
      <c r="M624" s="1093">
        <v>20</v>
      </c>
      <c r="N624" s="1081">
        <v>324074.07</v>
      </c>
      <c r="O624" s="1081">
        <f t="shared" si="127"/>
        <v>6481481.4000000004</v>
      </c>
      <c r="P624" s="1081">
        <f t="shared" si="128"/>
        <v>518518.51200000005</v>
      </c>
      <c r="Q624" s="1081">
        <f t="shared" si="129"/>
        <v>6999999.9120000005</v>
      </c>
      <c r="R624" s="1081"/>
      <c r="S624" s="1083"/>
      <c r="T624" s="1148"/>
      <c r="U624" s="1083"/>
      <c r="V624" s="1083">
        <f t="shared" si="123"/>
        <v>6999999.9120000005</v>
      </c>
    </row>
    <row r="625" spans="1:22" s="1002" customFormat="1" hidden="1">
      <c r="A625" s="1000" t="s">
        <v>664</v>
      </c>
      <c r="B625" s="1028" t="s">
        <v>1495</v>
      </c>
      <c r="C625" s="1076">
        <v>46147</v>
      </c>
      <c r="D625" s="1076"/>
      <c r="F625" s="1139">
        <v>46153</v>
      </c>
      <c r="H625" s="1140" t="s">
        <v>519</v>
      </c>
      <c r="I625" s="1002" t="s">
        <v>858</v>
      </c>
      <c r="J625" s="1007" t="s">
        <v>50</v>
      </c>
      <c r="K625" s="1003" t="s">
        <v>51</v>
      </c>
      <c r="M625" s="1093">
        <v>12</v>
      </c>
      <c r="N625" s="1081">
        <v>937962.96</v>
      </c>
      <c r="O625" s="1081">
        <f t="shared" si="127"/>
        <v>11255555.52</v>
      </c>
      <c r="P625" s="1081">
        <f t="shared" si="128"/>
        <v>900444.44160000002</v>
      </c>
      <c r="Q625" s="1081">
        <f t="shared" si="129"/>
        <v>12155999.9616</v>
      </c>
      <c r="R625" s="1081"/>
      <c r="S625" s="1083"/>
      <c r="T625" s="1148"/>
      <c r="U625" s="1083"/>
      <c r="V625" s="1083">
        <f t="shared" si="123"/>
        <v>12155999.9616</v>
      </c>
    </row>
    <row r="626" spans="1:22" s="1002" customFormat="1" hidden="1">
      <c r="A626" s="1000" t="s">
        <v>664</v>
      </c>
      <c r="B626" s="1028" t="s">
        <v>1495</v>
      </c>
      <c r="C626" s="1076">
        <v>46147</v>
      </c>
      <c r="D626" s="1076"/>
      <c r="F626" s="1139">
        <v>46153</v>
      </c>
      <c r="H626" s="1140" t="s">
        <v>519</v>
      </c>
      <c r="I626" s="1002" t="s">
        <v>858</v>
      </c>
      <c r="J626" s="1007" t="s">
        <v>262</v>
      </c>
      <c r="K626" s="1003" t="s">
        <v>263</v>
      </c>
      <c r="M626" s="1093">
        <v>4</v>
      </c>
      <c r="N626" s="1081">
        <v>851851.85</v>
      </c>
      <c r="O626" s="1081">
        <f t="shared" si="127"/>
        <v>3407407.4</v>
      </c>
      <c r="P626" s="1081">
        <f t="shared" si="128"/>
        <v>272592.592</v>
      </c>
      <c r="Q626" s="1081">
        <f t="shared" si="129"/>
        <v>3679999.9920000001</v>
      </c>
      <c r="R626" s="1081"/>
      <c r="S626" s="1083"/>
      <c r="T626" s="1148"/>
      <c r="U626" s="1083"/>
      <c r="V626" s="1083">
        <f t="shared" si="123"/>
        <v>3679999.9920000001</v>
      </c>
    </row>
    <row r="627" spans="1:22" s="1002" customFormat="1" hidden="1">
      <c r="A627" s="1000" t="s">
        <v>664</v>
      </c>
      <c r="B627" s="1028" t="s">
        <v>1495</v>
      </c>
      <c r="C627" s="1076">
        <v>46147</v>
      </c>
      <c r="D627" s="1076"/>
      <c r="F627" s="1139">
        <v>46153</v>
      </c>
      <c r="H627" s="1140" t="s">
        <v>519</v>
      </c>
      <c r="I627" s="1002" t="s">
        <v>858</v>
      </c>
      <c r="J627" s="1007" t="s">
        <v>52</v>
      </c>
      <c r="K627" s="1002" t="s">
        <v>53</v>
      </c>
      <c r="L627" s="1008" t="s">
        <v>18</v>
      </c>
      <c r="M627" s="1093">
        <v>12</v>
      </c>
      <c r="N627" s="1081">
        <v>1007407.41</v>
      </c>
      <c r="O627" s="1081">
        <f t="shared" si="127"/>
        <v>12088888.92</v>
      </c>
      <c r="P627" s="1081">
        <f t="shared" si="128"/>
        <v>967111.11360000004</v>
      </c>
      <c r="Q627" s="1081">
        <f t="shared" si="129"/>
        <v>13056000.033600001</v>
      </c>
      <c r="R627" s="1081"/>
      <c r="S627" s="1083"/>
      <c r="T627" s="1148"/>
      <c r="U627" s="1083"/>
      <c r="V627" s="1083">
        <f t="shared" si="123"/>
        <v>13056000.033600001</v>
      </c>
    </row>
    <row r="628" spans="1:22" s="1002" customFormat="1" hidden="1">
      <c r="A628" s="1000" t="s">
        <v>664</v>
      </c>
      <c r="B628" s="1028" t="s">
        <v>1495</v>
      </c>
      <c r="C628" s="1076">
        <v>46147</v>
      </c>
      <c r="D628" s="1076"/>
      <c r="F628" s="1139">
        <v>46153</v>
      </c>
      <c r="H628" s="1140" t="s">
        <v>519</v>
      </c>
      <c r="I628" s="1002" t="s">
        <v>858</v>
      </c>
      <c r="J628" s="1007" t="s">
        <v>23</v>
      </c>
      <c r="K628" s="1003" t="s">
        <v>82</v>
      </c>
      <c r="M628" s="1093">
        <v>4</v>
      </c>
      <c r="N628" s="1081">
        <v>1185185.19</v>
      </c>
      <c r="O628" s="1081">
        <f t="shared" si="127"/>
        <v>4740740.76</v>
      </c>
      <c r="P628" s="1081">
        <f t="shared" si="128"/>
        <v>379259.26079999999</v>
      </c>
      <c r="Q628" s="1081">
        <f t="shared" si="129"/>
        <v>5120000.0208000001</v>
      </c>
      <c r="R628" s="1081"/>
      <c r="S628" s="1083"/>
      <c r="T628" s="1148"/>
      <c r="U628" s="1083"/>
      <c r="V628" s="1083">
        <f t="shared" si="123"/>
        <v>5120000.0208000001</v>
      </c>
    </row>
    <row r="629" spans="1:22" s="1002" customFormat="1" hidden="1">
      <c r="A629" s="1000" t="s">
        <v>664</v>
      </c>
      <c r="B629" s="1028" t="s">
        <v>1495</v>
      </c>
      <c r="C629" s="1076">
        <v>46147</v>
      </c>
      <c r="D629" s="1076"/>
      <c r="F629" s="1139">
        <v>46153</v>
      </c>
      <c r="H629" s="1140" t="s">
        <v>519</v>
      </c>
      <c r="I629" s="1002" t="s">
        <v>858</v>
      </c>
      <c r="J629" s="1007" t="s">
        <v>62</v>
      </c>
      <c r="K629" s="1003" t="s">
        <v>63</v>
      </c>
      <c r="M629" s="1093">
        <v>24</v>
      </c>
      <c r="N629" s="1081">
        <v>0</v>
      </c>
      <c r="O629" s="1081">
        <f t="shared" si="127"/>
        <v>0</v>
      </c>
      <c r="P629" s="1081">
        <f t="shared" si="128"/>
        <v>0</v>
      </c>
      <c r="Q629" s="1081">
        <f t="shared" si="129"/>
        <v>0</v>
      </c>
      <c r="R629" s="1081"/>
      <c r="S629" s="1083"/>
      <c r="T629" s="1148"/>
      <c r="U629" s="1083"/>
      <c r="V629" s="1083">
        <f t="shared" si="123"/>
        <v>0</v>
      </c>
    </row>
    <row r="630" spans="1:22" s="1002" customFormat="1" hidden="1">
      <c r="A630" s="1000" t="s">
        <v>664</v>
      </c>
      <c r="B630" s="1028" t="s">
        <v>1495</v>
      </c>
      <c r="C630" s="1088">
        <v>46165</v>
      </c>
      <c r="D630" s="1088"/>
      <c r="F630" s="1157"/>
      <c r="H630" s="1031"/>
      <c r="I630" s="1002" t="s">
        <v>844</v>
      </c>
      <c r="J630" s="1007"/>
      <c r="K630" s="1033"/>
      <c r="M630" s="1135"/>
      <c r="N630" s="1137"/>
      <c r="O630" s="1137"/>
      <c r="P630" s="1137"/>
      <c r="Q630" s="1137"/>
      <c r="R630" s="1137">
        <v>40000000</v>
      </c>
      <c r="S630" s="1083"/>
      <c r="T630" s="1148"/>
      <c r="U630" s="1083"/>
      <c r="V630" s="1083">
        <f t="shared" si="123"/>
        <v>-40000000</v>
      </c>
    </row>
    <row r="631" spans="1:22" s="1002" customFormat="1" hidden="1">
      <c r="A631" s="1000" t="s">
        <v>664</v>
      </c>
      <c r="B631" s="1028" t="s">
        <v>1495</v>
      </c>
      <c r="C631" s="1076">
        <v>46182</v>
      </c>
      <c r="D631" s="1076"/>
      <c r="F631" s="1139">
        <v>46153</v>
      </c>
      <c r="H631" s="1140" t="s">
        <v>521</v>
      </c>
      <c r="I631" s="1002" t="s">
        <v>858</v>
      </c>
      <c r="J631" s="1007" t="s">
        <v>204</v>
      </c>
      <c r="K631" s="1005" t="s">
        <v>269</v>
      </c>
      <c r="M631" s="1086">
        <v>10</v>
      </c>
      <c r="N631" s="1107">
        <v>480555.56</v>
      </c>
      <c r="O631" s="1107">
        <f t="shared" ref="O631:O639" si="130">N631*M631</f>
        <v>4805555.5999999996</v>
      </c>
      <c r="P631" s="1107">
        <f t="shared" ref="P631:P643" si="131">O631*8%</f>
        <v>384444.44799999997</v>
      </c>
      <c r="Q631" s="1107">
        <f t="shared" ref="Q631:Q643" si="132">O631+P631</f>
        <v>5190000.0479999995</v>
      </c>
      <c r="R631" s="1081"/>
      <c r="S631" s="1083"/>
      <c r="T631" s="1148"/>
      <c r="U631" s="1083"/>
      <c r="V631" s="1083">
        <f t="shared" si="123"/>
        <v>5190000.0479999995</v>
      </c>
    </row>
    <row r="632" spans="1:22" s="1002" customFormat="1" hidden="1">
      <c r="A632" s="1000" t="s">
        <v>664</v>
      </c>
      <c r="B632" s="1028" t="s">
        <v>1495</v>
      </c>
      <c r="C632" s="1076">
        <v>46182</v>
      </c>
      <c r="D632" s="1076"/>
      <c r="F632" s="1139">
        <v>46153</v>
      </c>
      <c r="H632" s="1140" t="s">
        <v>521</v>
      </c>
      <c r="I632" s="1002" t="s">
        <v>858</v>
      </c>
      <c r="J632" s="1007" t="s">
        <v>507</v>
      </c>
      <c r="K632" s="1005" t="s">
        <v>320</v>
      </c>
      <c r="M632" s="1086">
        <v>40</v>
      </c>
      <c r="N632" s="1107">
        <v>324074.07</v>
      </c>
      <c r="O632" s="1107">
        <f t="shared" si="130"/>
        <v>12962962.800000001</v>
      </c>
      <c r="P632" s="1107">
        <f t="shared" si="131"/>
        <v>1037037.0240000001</v>
      </c>
      <c r="Q632" s="1107">
        <f t="shared" si="132"/>
        <v>13999999.824000001</v>
      </c>
      <c r="R632" s="1081"/>
      <c r="S632" s="1083"/>
      <c r="T632" s="1148"/>
      <c r="U632" s="1083"/>
      <c r="V632" s="1083">
        <f t="shared" si="123"/>
        <v>13999999.824000001</v>
      </c>
    </row>
    <row r="633" spans="1:22" s="1002" customFormat="1" hidden="1">
      <c r="A633" s="1000" t="s">
        <v>664</v>
      </c>
      <c r="B633" s="1028" t="s">
        <v>1495</v>
      </c>
      <c r="C633" s="1076">
        <v>46182</v>
      </c>
      <c r="D633" s="1076"/>
      <c r="F633" s="1139">
        <v>46153</v>
      </c>
      <c r="H633" s="1140" t="s">
        <v>521</v>
      </c>
      <c r="I633" s="1002" t="s">
        <v>858</v>
      </c>
      <c r="J633" s="1007" t="s">
        <v>355</v>
      </c>
      <c r="K633" s="1003" t="s">
        <v>522</v>
      </c>
      <c r="M633" s="1093">
        <v>4</v>
      </c>
      <c r="N633" s="1081">
        <v>1043518.52</v>
      </c>
      <c r="O633" s="1107">
        <f t="shared" si="130"/>
        <v>4174074.08</v>
      </c>
      <c r="P633" s="1107">
        <f t="shared" si="131"/>
        <v>333925.9264</v>
      </c>
      <c r="Q633" s="1107">
        <f t="shared" si="132"/>
        <v>4508000.0064000003</v>
      </c>
      <c r="R633" s="1081"/>
      <c r="S633" s="1083"/>
      <c r="T633" s="1148"/>
      <c r="U633" s="1083"/>
      <c r="V633" s="1083">
        <f t="shared" si="123"/>
        <v>4508000.0064000003</v>
      </c>
    </row>
    <row r="634" spans="1:22" s="1002" customFormat="1" hidden="1">
      <c r="A634" s="1000" t="s">
        <v>664</v>
      </c>
      <c r="B634" s="1028" t="s">
        <v>1495</v>
      </c>
      <c r="C634" s="1076">
        <v>46182</v>
      </c>
      <c r="D634" s="1076"/>
      <c r="F634" s="1139">
        <v>46153</v>
      </c>
      <c r="H634" s="1140" t="s">
        <v>521</v>
      </c>
      <c r="I634" s="1002" t="s">
        <v>858</v>
      </c>
      <c r="J634" s="1007" t="s">
        <v>262</v>
      </c>
      <c r="K634" s="1003" t="s">
        <v>263</v>
      </c>
      <c r="M634" s="1093">
        <v>10</v>
      </c>
      <c r="N634" s="1081">
        <v>851851.85</v>
      </c>
      <c r="O634" s="1107">
        <f t="shared" si="130"/>
        <v>8518518.5</v>
      </c>
      <c r="P634" s="1107">
        <f t="shared" si="131"/>
        <v>681481.48</v>
      </c>
      <c r="Q634" s="1107">
        <f t="shared" si="132"/>
        <v>9199999.9800000004</v>
      </c>
      <c r="R634" s="1081"/>
      <c r="S634" s="1083"/>
      <c r="T634" s="1148"/>
      <c r="U634" s="1083"/>
      <c r="V634" s="1083">
        <f t="shared" si="123"/>
        <v>9199999.9800000004</v>
      </c>
    </row>
    <row r="635" spans="1:22" s="1002" customFormat="1" hidden="1">
      <c r="A635" s="1000" t="s">
        <v>664</v>
      </c>
      <c r="B635" s="1028" t="s">
        <v>1495</v>
      </c>
      <c r="C635" s="1076">
        <v>46182</v>
      </c>
      <c r="D635" s="1076"/>
      <c r="F635" s="1139">
        <v>46153</v>
      </c>
      <c r="H635" s="1140" t="s">
        <v>521</v>
      </c>
      <c r="I635" s="1002" t="s">
        <v>858</v>
      </c>
      <c r="J635" s="1007" t="s">
        <v>26</v>
      </c>
      <c r="K635" s="1005" t="s">
        <v>27</v>
      </c>
      <c r="M635" s="1093">
        <v>10</v>
      </c>
      <c r="N635" s="1081">
        <v>256481.48</v>
      </c>
      <c r="O635" s="1107">
        <f t="shared" si="130"/>
        <v>2564814.8000000003</v>
      </c>
      <c r="P635" s="1107">
        <f t="shared" si="131"/>
        <v>205185.18400000004</v>
      </c>
      <c r="Q635" s="1107">
        <f t="shared" si="132"/>
        <v>2769999.9840000002</v>
      </c>
      <c r="R635" s="1081"/>
      <c r="S635" s="1083"/>
      <c r="T635" s="1148"/>
      <c r="U635" s="1083"/>
      <c r="V635" s="1083">
        <f t="shared" si="123"/>
        <v>2769999.9840000002</v>
      </c>
    </row>
    <row r="636" spans="1:22" s="1002" customFormat="1" hidden="1">
      <c r="A636" s="1000" t="s">
        <v>664</v>
      </c>
      <c r="B636" s="1028" t="s">
        <v>1495</v>
      </c>
      <c r="C636" s="1076">
        <v>46182</v>
      </c>
      <c r="D636" s="1076"/>
      <c r="F636" s="1139">
        <v>46153</v>
      </c>
      <c r="H636" s="1140" t="s">
        <v>521</v>
      </c>
      <c r="I636" s="1002" t="s">
        <v>858</v>
      </c>
      <c r="J636" s="1007" t="s">
        <v>28</v>
      </c>
      <c r="K636" s="1005" t="s">
        <v>29</v>
      </c>
      <c r="M636" s="1093">
        <v>10</v>
      </c>
      <c r="N636" s="1081">
        <v>281481.48</v>
      </c>
      <c r="O636" s="1107">
        <f t="shared" si="130"/>
        <v>2814814.8</v>
      </c>
      <c r="P636" s="1107">
        <f t="shared" si="131"/>
        <v>225185.18399999998</v>
      </c>
      <c r="Q636" s="1107">
        <f t="shared" si="132"/>
        <v>3039999.9839999997</v>
      </c>
      <c r="R636" s="1081"/>
      <c r="S636" s="1083"/>
      <c r="T636" s="1148"/>
      <c r="U636" s="1083"/>
      <c r="V636" s="1083">
        <f t="shared" si="123"/>
        <v>3039999.9839999997</v>
      </c>
    </row>
    <row r="637" spans="1:22" s="1002" customFormat="1" hidden="1">
      <c r="A637" s="1000" t="s">
        <v>664</v>
      </c>
      <c r="B637" s="1028" t="s">
        <v>1495</v>
      </c>
      <c r="C637" s="1076">
        <v>46182</v>
      </c>
      <c r="D637" s="1076"/>
      <c r="F637" s="1139">
        <v>46153</v>
      </c>
      <c r="H637" s="1140" t="s">
        <v>521</v>
      </c>
      <c r="I637" s="1002" t="s">
        <v>858</v>
      </c>
      <c r="J637" s="1007" t="s">
        <v>243</v>
      </c>
      <c r="K637" s="1005" t="s">
        <v>357</v>
      </c>
      <c r="M637" s="1093">
        <v>10</v>
      </c>
      <c r="N637" s="1081">
        <v>298148.15000000002</v>
      </c>
      <c r="O637" s="1107">
        <f t="shared" si="130"/>
        <v>2981481.5</v>
      </c>
      <c r="P637" s="1107">
        <f t="shared" si="131"/>
        <v>238518.52000000002</v>
      </c>
      <c r="Q637" s="1107">
        <f t="shared" si="132"/>
        <v>3220000.02</v>
      </c>
      <c r="R637" s="1081"/>
      <c r="S637" s="1083"/>
      <c r="T637" s="1148"/>
      <c r="U637" s="1083"/>
      <c r="V637" s="1083">
        <f t="shared" si="123"/>
        <v>3220000.02</v>
      </c>
    </row>
    <row r="638" spans="1:22" s="1002" customFormat="1" hidden="1">
      <c r="A638" s="1000" t="s">
        <v>664</v>
      </c>
      <c r="B638" s="1028" t="s">
        <v>1495</v>
      </c>
      <c r="C638" s="1076">
        <v>46182</v>
      </c>
      <c r="D638" s="1076"/>
      <c r="F638" s="1139">
        <v>46153</v>
      </c>
      <c r="H638" s="1140" t="s">
        <v>521</v>
      </c>
      <c r="I638" s="1002" t="s">
        <v>858</v>
      </c>
      <c r="J638" s="1007" t="s">
        <v>74</v>
      </c>
      <c r="K638" s="1024" t="s">
        <v>141</v>
      </c>
      <c r="M638" s="1093">
        <v>24</v>
      </c>
      <c r="N638" s="1081">
        <v>361111.11</v>
      </c>
      <c r="O638" s="1107">
        <f t="shared" si="130"/>
        <v>8666666.6400000006</v>
      </c>
      <c r="P638" s="1107">
        <f t="shared" si="131"/>
        <v>693333.33120000002</v>
      </c>
      <c r="Q638" s="1107">
        <f t="shared" si="132"/>
        <v>9359999.9712000005</v>
      </c>
      <c r="R638" s="1081"/>
      <c r="S638" s="1083"/>
      <c r="T638" s="1148"/>
      <c r="U638" s="1083"/>
      <c r="V638" s="1083">
        <f t="shared" si="123"/>
        <v>9359999.9712000005</v>
      </c>
    </row>
    <row r="639" spans="1:22" s="1002" customFormat="1" hidden="1">
      <c r="A639" s="1000" t="s">
        <v>664</v>
      </c>
      <c r="B639" s="1028" t="s">
        <v>1495</v>
      </c>
      <c r="C639" s="1076">
        <v>46182</v>
      </c>
      <c r="D639" s="1076"/>
      <c r="F639" s="1139"/>
      <c r="H639" s="1162" t="s">
        <v>335</v>
      </c>
      <c r="I639" s="1002" t="s">
        <v>858</v>
      </c>
      <c r="J639" s="1007" t="s">
        <v>85</v>
      </c>
      <c r="K639" s="1019" t="s">
        <v>86</v>
      </c>
      <c r="M639" s="1093">
        <v>100</v>
      </c>
      <c r="N639" s="1081">
        <v>509259.26</v>
      </c>
      <c r="O639" s="1081">
        <f t="shared" si="130"/>
        <v>50925926</v>
      </c>
      <c r="P639" s="1081">
        <f t="shared" si="131"/>
        <v>4074074.08</v>
      </c>
      <c r="Q639" s="1081">
        <f t="shared" si="132"/>
        <v>55000000.079999998</v>
      </c>
      <c r="R639" s="1081"/>
      <c r="S639" s="1083"/>
      <c r="T639" s="1148"/>
      <c r="U639" s="1083"/>
      <c r="V639" s="1083">
        <f t="shared" si="123"/>
        <v>55000000.079999998</v>
      </c>
    </row>
    <row r="640" spans="1:22" s="1002" customFormat="1" hidden="1">
      <c r="A640" s="1000" t="s">
        <v>664</v>
      </c>
      <c r="B640" s="1028" t="s">
        <v>1495</v>
      </c>
      <c r="C640" s="1076">
        <v>46190</v>
      </c>
      <c r="D640" s="1076"/>
      <c r="F640" s="1139">
        <v>46228</v>
      </c>
      <c r="H640" s="1140" t="s">
        <v>841</v>
      </c>
      <c r="I640" s="1002" t="s">
        <v>858</v>
      </c>
      <c r="J640" s="1007" t="s">
        <v>90</v>
      </c>
      <c r="K640" s="1024" t="s">
        <v>91</v>
      </c>
      <c r="M640" s="1093">
        <v>10</v>
      </c>
      <c r="N640" s="1081">
        <v>814814.81</v>
      </c>
      <c r="O640" s="1081">
        <f>M640*N640</f>
        <v>8148148.1000000006</v>
      </c>
      <c r="P640" s="1081">
        <f t="shared" si="131"/>
        <v>651851.84800000011</v>
      </c>
      <c r="Q640" s="1081">
        <f>O640+P640</f>
        <v>8799999.9480000008</v>
      </c>
      <c r="R640" s="1081"/>
      <c r="S640" s="1083"/>
      <c r="T640" s="1148"/>
      <c r="U640" s="1083"/>
      <c r="V640" s="1083">
        <f t="shared" si="123"/>
        <v>8799999.9480000008</v>
      </c>
    </row>
    <row r="641" spans="1:22" s="1002" customFormat="1" hidden="1">
      <c r="A641" s="1000" t="s">
        <v>664</v>
      </c>
      <c r="B641" s="1028" t="s">
        <v>1495</v>
      </c>
      <c r="C641" s="1076">
        <v>46190</v>
      </c>
      <c r="D641" s="1076"/>
      <c r="F641" s="1139">
        <v>46228</v>
      </c>
      <c r="H641" s="1140" t="s">
        <v>841</v>
      </c>
      <c r="I641" s="1002" t="s">
        <v>858</v>
      </c>
      <c r="J641" s="1007" t="s">
        <v>93</v>
      </c>
      <c r="K641" s="1024" t="s">
        <v>94</v>
      </c>
      <c r="M641" s="1093">
        <v>10</v>
      </c>
      <c r="N641" s="1081">
        <v>907407.41</v>
      </c>
      <c r="O641" s="1081">
        <f>M641*N641</f>
        <v>9074074.0999999996</v>
      </c>
      <c r="P641" s="1081">
        <f t="shared" si="131"/>
        <v>725925.92799999996</v>
      </c>
      <c r="Q641" s="1081">
        <f>O641+P641</f>
        <v>9800000.027999999</v>
      </c>
      <c r="R641" s="1081"/>
      <c r="S641" s="1083"/>
      <c r="T641" s="1148"/>
      <c r="U641" s="1083"/>
      <c r="V641" s="1083">
        <f t="shared" si="123"/>
        <v>9800000.027999999</v>
      </c>
    </row>
    <row r="642" spans="1:22" s="1002" customFormat="1" ht="31.5" hidden="1">
      <c r="A642" s="1000" t="s">
        <v>664</v>
      </c>
      <c r="B642" s="1028" t="s">
        <v>1495</v>
      </c>
      <c r="C642" s="1076">
        <v>46196</v>
      </c>
      <c r="D642" s="1076"/>
      <c r="F642" s="1139"/>
      <c r="H642" s="1162" t="s">
        <v>335</v>
      </c>
      <c r="I642" s="1002" t="s">
        <v>858</v>
      </c>
      <c r="J642" s="1007" t="s">
        <v>96</v>
      </c>
      <c r="K642" s="1019" t="s">
        <v>97</v>
      </c>
      <c r="M642" s="1093">
        <v>10</v>
      </c>
      <c r="N642" s="1081">
        <v>574074.06999999995</v>
      </c>
      <c r="O642" s="1081">
        <f>M642*N642</f>
        <v>5740740.6999999993</v>
      </c>
      <c r="P642" s="1081">
        <f t="shared" si="131"/>
        <v>459259.25599999994</v>
      </c>
      <c r="Q642" s="1081">
        <f t="shared" si="132"/>
        <v>6199999.9559999993</v>
      </c>
      <c r="R642" s="1081"/>
      <c r="S642" s="1083"/>
      <c r="T642" s="1148"/>
      <c r="U642" s="1083"/>
      <c r="V642" s="1083">
        <f t="shared" si="123"/>
        <v>6199999.9559999993</v>
      </c>
    </row>
    <row r="643" spans="1:22" s="1002" customFormat="1" hidden="1">
      <c r="A643" s="1000" t="s">
        <v>664</v>
      </c>
      <c r="B643" s="1028" t="s">
        <v>1495</v>
      </c>
      <c r="C643" s="1076">
        <v>46196</v>
      </c>
      <c r="D643" s="1076"/>
      <c r="F643" s="1139">
        <v>46228</v>
      </c>
      <c r="H643" s="1140" t="s">
        <v>841</v>
      </c>
      <c r="I643" s="1002" t="s">
        <v>858</v>
      </c>
      <c r="J643" s="1007" t="s">
        <v>90</v>
      </c>
      <c r="K643" s="1024" t="s">
        <v>91</v>
      </c>
      <c r="M643" s="1093">
        <v>20</v>
      </c>
      <c r="N643" s="1081">
        <v>814814.81</v>
      </c>
      <c r="O643" s="1081">
        <f>M643*N643</f>
        <v>16296296.200000001</v>
      </c>
      <c r="P643" s="1081">
        <f t="shared" si="131"/>
        <v>1303703.6960000002</v>
      </c>
      <c r="Q643" s="1081">
        <f t="shared" si="132"/>
        <v>17599999.896000002</v>
      </c>
      <c r="R643" s="1081"/>
      <c r="S643" s="1083"/>
      <c r="T643" s="1148"/>
      <c r="U643" s="1083"/>
      <c r="V643" s="1083">
        <f t="shared" si="123"/>
        <v>17599999.896000002</v>
      </c>
    </row>
    <row r="644" spans="1:22" s="1002" customFormat="1" hidden="1">
      <c r="A644" s="1000" t="s">
        <v>664</v>
      </c>
      <c r="B644" s="1028" t="s">
        <v>1495</v>
      </c>
      <c r="C644" s="1076">
        <v>46196</v>
      </c>
      <c r="D644" s="1076"/>
      <c r="F644" s="1139">
        <v>46204</v>
      </c>
      <c r="H644" s="1140" t="s">
        <v>523</v>
      </c>
      <c r="I644" s="1002" t="s">
        <v>858</v>
      </c>
      <c r="J644" s="1007" t="s">
        <v>98</v>
      </c>
      <c r="K644" s="1019" t="s">
        <v>251</v>
      </c>
      <c r="M644" s="1093">
        <v>30</v>
      </c>
      <c r="N644" s="1081">
        <v>694444.44</v>
      </c>
      <c r="O644" s="1081">
        <f>M644*N644</f>
        <v>20833333.199999999</v>
      </c>
      <c r="P644" s="1081">
        <f>O644*8%</f>
        <v>1666666.656</v>
      </c>
      <c r="Q644" s="1081">
        <f>O644+P644</f>
        <v>22499999.855999999</v>
      </c>
      <c r="R644" s="1081"/>
      <c r="S644" s="1083"/>
      <c r="T644" s="1148"/>
      <c r="U644" s="1083"/>
      <c r="V644" s="1083">
        <f t="shared" si="123"/>
        <v>22499999.855999999</v>
      </c>
    </row>
    <row r="645" spans="1:22" s="1002" customFormat="1" hidden="1">
      <c r="A645" s="1000" t="s">
        <v>664</v>
      </c>
      <c r="B645" s="1028" t="s">
        <v>1495</v>
      </c>
      <c r="C645" s="1076">
        <v>46196</v>
      </c>
      <c r="D645" s="1076"/>
      <c r="F645" s="1157"/>
      <c r="H645" s="1031"/>
      <c r="I645" s="1002" t="s">
        <v>844</v>
      </c>
      <c r="J645" s="1007"/>
      <c r="K645" s="1033"/>
      <c r="M645" s="1135"/>
      <c r="N645" s="1137"/>
      <c r="O645" s="1137"/>
      <c r="P645" s="1137"/>
      <c r="Q645" s="1137"/>
      <c r="R645" s="1137">
        <v>50000000</v>
      </c>
      <c r="S645" s="1083"/>
      <c r="T645" s="1148"/>
      <c r="U645" s="1083"/>
      <c r="V645" s="1083">
        <f t="shared" si="123"/>
        <v>-50000000</v>
      </c>
    </row>
    <row r="646" spans="1:22" s="1002" customFormat="1" hidden="1">
      <c r="A646" s="1000" t="s">
        <v>664</v>
      </c>
      <c r="B646" s="1028" t="s">
        <v>1495</v>
      </c>
      <c r="C646" s="1076">
        <v>46200</v>
      </c>
      <c r="D646" s="1076"/>
      <c r="F646" s="1139">
        <v>46204</v>
      </c>
      <c r="H646" s="1140" t="s">
        <v>523</v>
      </c>
      <c r="I646" s="1002" t="s">
        <v>858</v>
      </c>
      <c r="J646" s="1007" t="s">
        <v>161</v>
      </c>
      <c r="K646" s="1019" t="s">
        <v>162</v>
      </c>
      <c r="M646" s="1093">
        <v>18</v>
      </c>
      <c r="N646" s="1081">
        <v>231481.48</v>
      </c>
      <c r="O646" s="1081">
        <f>M646*N646</f>
        <v>4166666.64</v>
      </c>
      <c r="P646" s="1081">
        <f t="shared" ref="P646:P667" si="133">O646*8%</f>
        <v>333333.33120000002</v>
      </c>
      <c r="Q646" s="1081">
        <f t="shared" ref="Q646:Q677" si="134">O646+P646</f>
        <v>4499999.9712000005</v>
      </c>
      <c r="R646" s="1081"/>
      <c r="S646" s="1083"/>
      <c r="T646" s="1148"/>
      <c r="U646" s="1083"/>
      <c r="V646" s="1083">
        <f t="shared" si="123"/>
        <v>4499999.9712000005</v>
      </c>
    </row>
    <row r="647" spans="1:22" s="1002" customFormat="1" ht="31.5" hidden="1">
      <c r="A647" s="1000" t="s">
        <v>664</v>
      </c>
      <c r="B647" s="1028" t="s">
        <v>1495</v>
      </c>
      <c r="C647" s="1076">
        <v>46200</v>
      </c>
      <c r="D647" s="1076"/>
      <c r="F647" s="1139">
        <v>46204</v>
      </c>
      <c r="H647" s="1140" t="s">
        <v>523</v>
      </c>
      <c r="I647" s="1002" t="s">
        <v>858</v>
      </c>
      <c r="J647" s="1007" t="s">
        <v>165</v>
      </c>
      <c r="K647" s="1019" t="s">
        <v>409</v>
      </c>
      <c r="M647" s="1093">
        <v>60</v>
      </c>
      <c r="N647" s="1081">
        <v>203703.7</v>
      </c>
      <c r="O647" s="1081">
        <f>M647*N647</f>
        <v>12222222</v>
      </c>
      <c r="P647" s="1081">
        <f>O647*8%</f>
        <v>977777.76</v>
      </c>
      <c r="Q647" s="1081">
        <f>O647+P647</f>
        <v>13199999.76</v>
      </c>
      <c r="R647" s="1081"/>
      <c r="S647" s="1083"/>
      <c r="T647" s="1148"/>
      <c r="U647" s="1083"/>
      <c r="V647" s="1083">
        <f t="shared" si="123"/>
        <v>13199999.76</v>
      </c>
    </row>
    <row r="648" spans="1:22" s="1002" customFormat="1" ht="31.5" hidden="1">
      <c r="A648" s="1000" t="s">
        <v>664</v>
      </c>
      <c r="B648" s="1028" t="s">
        <v>1495</v>
      </c>
      <c r="C648" s="1076">
        <v>46200</v>
      </c>
      <c r="D648" s="1076"/>
      <c r="F648" s="1139">
        <v>46204</v>
      </c>
      <c r="H648" s="1140" t="s">
        <v>523</v>
      </c>
      <c r="I648" s="1002" t="s">
        <v>858</v>
      </c>
      <c r="J648" s="1007" t="s">
        <v>167</v>
      </c>
      <c r="K648" s="1019" t="s">
        <v>410</v>
      </c>
      <c r="M648" s="1093">
        <v>30</v>
      </c>
      <c r="N648" s="1081">
        <v>231481.48</v>
      </c>
      <c r="O648" s="1081">
        <f>M648*N648</f>
        <v>6944444.4000000004</v>
      </c>
      <c r="P648" s="1081">
        <f>O648*8%</f>
        <v>555555.55200000003</v>
      </c>
      <c r="Q648" s="1081">
        <f>O648+P648</f>
        <v>7499999.9520000005</v>
      </c>
      <c r="R648" s="1081"/>
      <c r="S648" s="1083"/>
      <c r="T648" s="1148"/>
      <c r="U648" s="1083"/>
      <c r="V648" s="1083">
        <f t="shared" si="123"/>
        <v>7499999.9520000005</v>
      </c>
    </row>
    <row r="649" spans="1:22" s="1002" customFormat="1" ht="31.5" hidden="1">
      <c r="A649" s="1000" t="s">
        <v>664</v>
      </c>
      <c r="B649" s="1028" t="s">
        <v>1495</v>
      </c>
      <c r="C649" s="1076">
        <v>46200</v>
      </c>
      <c r="D649" s="1076"/>
      <c r="F649" s="1139"/>
      <c r="H649" s="1162" t="s">
        <v>335</v>
      </c>
      <c r="I649" s="1002" t="s">
        <v>858</v>
      </c>
      <c r="J649" s="1007" t="s">
        <v>163</v>
      </c>
      <c r="K649" s="1019" t="s">
        <v>164</v>
      </c>
      <c r="M649" s="1093">
        <v>20</v>
      </c>
      <c r="N649" s="1081">
        <v>231481.48</v>
      </c>
      <c r="O649" s="1081">
        <f>M649*N649</f>
        <v>4629629.6000000006</v>
      </c>
      <c r="P649" s="1081">
        <f t="shared" si="133"/>
        <v>370370.36800000007</v>
      </c>
      <c r="Q649" s="1081">
        <f t="shared" si="134"/>
        <v>4999999.9680000003</v>
      </c>
      <c r="R649" s="1081"/>
      <c r="S649" s="1083"/>
      <c r="T649" s="1148"/>
      <c r="U649" s="1083"/>
      <c r="V649" s="1083">
        <f t="shared" si="123"/>
        <v>4999999.9680000003</v>
      </c>
    </row>
    <row r="650" spans="1:22" s="1002" customFormat="1" hidden="1">
      <c r="A650" s="1000" t="s">
        <v>664</v>
      </c>
      <c r="B650" s="1028" t="s">
        <v>1495</v>
      </c>
      <c r="C650" s="1076">
        <v>46200</v>
      </c>
      <c r="D650" s="1076"/>
      <c r="F650" s="1139"/>
      <c r="H650" s="1162" t="s">
        <v>335</v>
      </c>
      <c r="I650" s="1002" t="s">
        <v>858</v>
      </c>
      <c r="J650" s="1007" t="s">
        <v>169</v>
      </c>
      <c r="K650" s="1019" t="s">
        <v>170</v>
      </c>
      <c r="M650" s="1093">
        <v>20</v>
      </c>
      <c r="N650" s="1081">
        <v>425925.93</v>
      </c>
      <c r="O650" s="1081">
        <f>M650*N650</f>
        <v>8518518.5999999996</v>
      </c>
      <c r="P650" s="1081">
        <f t="shared" si="133"/>
        <v>681481.48800000001</v>
      </c>
      <c r="Q650" s="1081">
        <f>O650+P650</f>
        <v>9200000.0879999995</v>
      </c>
      <c r="R650" s="1081"/>
      <c r="S650" s="1083"/>
      <c r="T650" s="1148"/>
      <c r="U650" s="1083"/>
      <c r="V650" s="1083">
        <f t="shared" si="123"/>
        <v>9200000.0879999995</v>
      </c>
    </row>
    <row r="651" spans="1:22" s="1002" customFormat="1" hidden="1">
      <c r="A651" s="1000" t="s">
        <v>664</v>
      </c>
      <c r="B651" s="1028" t="s">
        <v>1495</v>
      </c>
      <c r="C651" s="1076">
        <v>46202</v>
      </c>
      <c r="D651" s="1076"/>
      <c r="F651" s="1139">
        <v>46204</v>
      </c>
      <c r="H651" s="1140" t="s">
        <v>523</v>
      </c>
      <c r="I651" s="1002" t="s">
        <v>858</v>
      </c>
      <c r="J651" s="1007" t="s">
        <v>258</v>
      </c>
      <c r="K651" s="1003" t="s">
        <v>259</v>
      </c>
      <c r="M651" s="1093">
        <v>8</v>
      </c>
      <c r="N651" s="1081">
        <v>472222.22</v>
      </c>
      <c r="O651" s="1081">
        <f t="shared" ref="O651:O677" si="135">N651*M651</f>
        <v>3777777.76</v>
      </c>
      <c r="P651" s="1081">
        <f t="shared" si="133"/>
        <v>302222.22080000001</v>
      </c>
      <c r="Q651" s="1081">
        <f t="shared" si="134"/>
        <v>4079999.9808</v>
      </c>
      <c r="R651" s="1081"/>
      <c r="S651" s="1083"/>
      <c r="T651" s="1148"/>
      <c r="U651" s="1083"/>
      <c r="V651" s="1083">
        <f t="shared" si="123"/>
        <v>4079999.9808</v>
      </c>
    </row>
    <row r="652" spans="1:22" s="1002" customFormat="1" hidden="1">
      <c r="A652" s="1000" t="s">
        <v>664</v>
      </c>
      <c r="B652" s="1028" t="s">
        <v>1495</v>
      </c>
      <c r="C652" s="1076">
        <v>46202</v>
      </c>
      <c r="D652" s="1076"/>
      <c r="F652" s="1139">
        <v>46204</v>
      </c>
      <c r="H652" s="1140" t="s">
        <v>523</v>
      </c>
      <c r="I652" s="1002" t="s">
        <v>858</v>
      </c>
      <c r="J652" s="1007" t="s">
        <v>260</v>
      </c>
      <c r="K652" s="1003" t="s">
        <v>261</v>
      </c>
      <c r="M652" s="1093">
        <v>8</v>
      </c>
      <c r="N652" s="1081">
        <v>492592.59</v>
      </c>
      <c r="O652" s="1081">
        <f t="shared" si="135"/>
        <v>3940740.72</v>
      </c>
      <c r="P652" s="1081">
        <f t="shared" si="133"/>
        <v>315259.25760000001</v>
      </c>
      <c r="Q652" s="1081">
        <f t="shared" si="134"/>
        <v>4255999.9775999999</v>
      </c>
      <c r="R652" s="1081"/>
      <c r="S652" s="1083"/>
      <c r="T652" s="1148"/>
      <c r="U652" s="1083"/>
      <c r="V652" s="1083">
        <f t="shared" ref="V652:V715" si="136">Q652-R652-S652-T652-U652</f>
        <v>4255999.9775999999</v>
      </c>
    </row>
    <row r="653" spans="1:22" s="1002" customFormat="1" hidden="1">
      <c r="A653" s="1000" t="s">
        <v>664</v>
      </c>
      <c r="B653" s="1028" t="s">
        <v>1495</v>
      </c>
      <c r="C653" s="1076">
        <v>46202</v>
      </c>
      <c r="D653" s="1076"/>
      <c r="F653" s="1139">
        <v>46204</v>
      </c>
      <c r="H653" s="1140" t="s">
        <v>523</v>
      </c>
      <c r="I653" s="1002" t="s">
        <v>858</v>
      </c>
      <c r="J653" s="1007" t="s">
        <v>80</v>
      </c>
      <c r="K653" s="1002" t="s">
        <v>81</v>
      </c>
      <c r="L653" s="1002" t="s">
        <v>18</v>
      </c>
      <c r="M653" s="1093">
        <v>12</v>
      </c>
      <c r="N653" s="1081">
        <v>824074.07</v>
      </c>
      <c r="O653" s="1081">
        <f t="shared" si="135"/>
        <v>9888888.8399999999</v>
      </c>
      <c r="P653" s="1081">
        <f t="shared" si="133"/>
        <v>791111.10719999997</v>
      </c>
      <c r="Q653" s="1081">
        <f t="shared" si="134"/>
        <v>10679999.9472</v>
      </c>
      <c r="R653" s="1081"/>
      <c r="S653" s="1083"/>
      <c r="T653" s="1148"/>
      <c r="U653" s="1083"/>
      <c r="V653" s="1083">
        <f t="shared" si="136"/>
        <v>10679999.9472</v>
      </c>
    </row>
    <row r="654" spans="1:22" s="1002" customFormat="1" ht="31.5" hidden="1">
      <c r="A654" s="1000" t="s">
        <v>664</v>
      </c>
      <c r="B654" s="1028" t="s">
        <v>1495</v>
      </c>
      <c r="C654" s="1076">
        <v>46202</v>
      </c>
      <c r="D654" s="1076"/>
      <c r="F654" s="1139">
        <v>46204</v>
      </c>
      <c r="H654" s="1140" t="s">
        <v>523</v>
      </c>
      <c r="I654" s="1002" t="s">
        <v>858</v>
      </c>
      <c r="J654" s="1007" t="s">
        <v>21</v>
      </c>
      <c r="K654" s="1024" t="s">
        <v>338</v>
      </c>
      <c r="M654" s="1093">
        <v>12</v>
      </c>
      <c r="N654" s="1081">
        <v>937962.96</v>
      </c>
      <c r="O654" s="1081">
        <f t="shared" si="135"/>
        <v>11255555.52</v>
      </c>
      <c r="P654" s="1081">
        <f t="shared" si="133"/>
        <v>900444.44160000002</v>
      </c>
      <c r="Q654" s="1081">
        <f t="shared" si="134"/>
        <v>12155999.9616</v>
      </c>
      <c r="R654" s="1081"/>
      <c r="S654" s="1083"/>
      <c r="T654" s="1148"/>
      <c r="U654" s="1083"/>
      <c r="V654" s="1083">
        <f t="shared" si="136"/>
        <v>12155999.9616</v>
      </c>
    </row>
    <row r="655" spans="1:22" s="1002" customFormat="1" hidden="1">
      <c r="A655" s="1000" t="s">
        <v>664</v>
      </c>
      <c r="B655" s="1028" t="s">
        <v>1495</v>
      </c>
      <c r="C655" s="1076">
        <v>46202</v>
      </c>
      <c r="D655" s="1076"/>
      <c r="F655" s="1139">
        <v>46204</v>
      </c>
      <c r="H655" s="1140" t="s">
        <v>523</v>
      </c>
      <c r="I655" s="1002" t="s">
        <v>858</v>
      </c>
      <c r="J655" s="1007" t="s">
        <v>355</v>
      </c>
      <c r="K655" s="1003" t="s">
        <v>522</v>
      </c>
      <c r="M655" s="1093">
        <v>10</v>
      </c>
      <c r="N655" s="1081">
        <v>1043518.52</v>
      </c>
      <c r="O655" s="1081">
        <f t="shared" si="135"/>
        <v>10435185.199999999</v>
      </c>
      <c r="P655" s="1081">
        <f t="shared" si="133"/>
        <v>834814.81599999999</v>
      </c>
      <c r="Q655" s="1081">
        <f t="shared" si="134"/>
        <v>11270000.015999999</v>
      </c>
      <c r="R655" s="1081"/>
      <c r="S655" s="1083"/>
      <c r="T655" s="1148"/>
      <c r="U655" s="1083"/>
      <c r="V655" s="1083">
        <f t="shared" si="136"/>
        <v>11270000.015999999</v>
      </c>
    </row>
    <row r="656" spans="1:22" s="1002" customFormat="1" hidden="1">
      <c r="A656" s="1000" t="s">
        <v>664</v>
      </c>
      <c r="B656" s="1028" t="s">
        <v>1495</v>
      </c>
      <c r="C656" s="1076">
        <v>46202</v>
      </c>
      <c r="D656" s="1076"/>
      <c r="F656" s="1139">
        <v>46204</v>
      </c>
      <c r="H656" s="1140" t="s">
        <v>523</v>
      </c>
      <c r="I656" s="1002" t="s">
        <v>858</v>
      </c>
      <c r="J656" s="1007" t="s">
        <v>262</v>
      </c>
      <c r="K656" s="1003" t="s">
        <v>263</v>
      </c>
      <c r="M656" s="1093">
        <v>20</v>
      </c>
      <c r="N656" s="1081">
        <v>851851.85</v>
      </c>
      <c r="O656" s="1081">
        <f t="shared" si="135"/>
        <v>17037037</v>
      </c>
      <c r="P656" s="1081">
        <f t="shared" si="133"/>
        <v>1362962.96</v>
      </c>
      <c r="Q656" s="1081">
        <f t="shared" si="134"/>
        <v>18399999.960000001</v>
      </c>
      <c r="R656" s="1081"/>
      <c r="S656" s="1083"/>
      <c r="T656" s="1148"/>
      <c r="U656" s="1083"/>
      <c r="V656" s="1083">
        <f t="shared" si="136"/>
        <v>18399999.960000001</v>
      </c>
    </row>
    <row r="657" spans="1:22" s="1002" customFormat="1" ht="31.5" hidden="1">
      <c r="A657" s="1000" t="s">
        <v>664</v>
      </c>
      <c r="B657" s="1028" t="s">
        <v>1495</v>
      </c>
      <c r="C657" s="1076">
        <v>46202</v>
      </c>
      <c r="D657" s="1076"/>
      <c r="F657" s="1139">
        <v>46204</v>
      </c>
      <c r="H657" s="1140" t="s">
        <v>523</v>
      </c>
      <c r="I657" s="1002" t="s">
        <v>858</v>
      </c>
      <c r="J657" s="1007" t="s">
        <v>180</v>
      </c>
      <c r="K657" s="1024" t="s">
        <v>181</v>
      </c>
      <c r="M657" s="1093">
        <v>10</v>
      </c>
      <c r="N657" s="1081">
        <v>234259.3</v>
      </c>
      <c r="O657" s="1081">
        <f t="shared" si="135"/>
        <v>2342593</v>
      </c>
      <c r="P657" s="1081">
        <f t="shared" si="133"/>
        <v>187407.44</v>
      </c>
      <c r="Q657" s="1081">
        <f t="shared" si="134"/>
        <v>2530000.44</v>
      </c>
      <c r="R657" s="1081"/>
      <c r="S657" s="1083"/>
      <c r="T657" s="1148"/>
      <c r="U657" s="1083"/>
      <c r="V657" s="1083">
        <f t="shared" si="136"/>
        <v>2530000.44</v>
      </c>
    </row>
    <row r="658" spans="1:22" s="1002" customFormat="1" ht="47.25" hidden="1">
      <c r="A658" s="1000" t="s">
        <v>664</v>
      </c>
      <c r="B658" s="1028" t="s">
        <v>1495</v>
      </c>
      <c r="C658" s="1076">
        <v>46202</v>
      </c>
      <c r="D658" s="1076"/>
      <c r="F658" s="1139">
        <v>46204</v>
      </c>
      <c r="H658" s="1140" t="s">
        <v>523</v>
      </c>
      <c r="I658" s="1002" t="s">
        <v>858</v>
      </c>
      <c r="J658" s="1007" t="s">
        <v>184</v>
      </c>
      <c r="K658" s="1024" t="s">
        <v>508</v>
      </c>
      <c r="M658" s="1093">
        <v>20</v>
      </c>
      <c r="N658" s="1081">
        <v>227777.78</v>
      </c>
      <c r="O658" s="1081">
        <f t="shared" si="135"/>
        <v>4555555.5999999996</v>
      </c>
      <c r="P658" s="1081">
        <f t="shared" si="133"/>
        <v>364444.44799999997</v>
      </c>
      <c r="Q658" s="1081">
        <f t="shared" si="134"/>
        <v>4920000.0479999995</v>
      </c>
      <c r="R658" s="1081"/>
      <c r="S658" s="1083"/>
      <c r="T658" s="1148"/>
      <c r="U658" s="1083"/>
      <c r="V658" s="1083">
        <f t="shared" si="136"/>
        <v>4920000.0479999995</v>
      </c>
    </row>
    <row r="659" spans="1:22" s="1002" customFormat="1" hidden="1">
      <c r="A659" s="1000" t="s">
        <v>664</v>
      </c>
      <c r="B659" s="1028" t="s">
        <v>1495</v>
      </c>
      <c r="C659" s="1076">
        <v>46202</v>
      </c>
      <c r="D659" s="1076"/>
      <c r="F659" s="1139">
        <v>46204</v>
      </c>
      <c r="H659" s="1140" t="s">
        <v>523</v>
      </c>
      <c r="I659" s="1002" t="s">
        <v>858</v>
      </c>
      <c r="J659" s="1007" t="s">
        <v>30</v>
      </c>
      <c r="K659" s="1003" t="s">
        <v>31</v>
      </c>
      <c r="M659" s="1093">
        <v>20</v>
      </c>
      <c r="N659" s="1081">
        <v>252777.78</v>
      </c>
      <c r="O659" s="1081">
        <f t="shared" si="135"/>
        <v>5055555.5999999996</v>
      </c>
      <c r="P659" s="1081">
        <f t="shared" si="133"/>
        <v>404444.44799999997</v>
      </c>
      <c r="Q659" s="1081">
        <f t="shared" si="134"/>
        <v>5460000.0479999995</v>
      </c>
      <c r="R659" s="1081"/>
      <c r="S659" s="1083"/>
      <c r="T659" s="1148"/>
      <c r="U659" s="1083"/>
      <c r="V659" s="1083">
        <f t="shared" si="136"/>
        <v>5460000.0479999995</v>
      </c>
    </row>
    <row r="660" spans="1:22" s="1002" customFormat="1" hidden="1">
      <c r="A660" s="1000" t="s">
        <v>664</v>
      </c>
      <c r="B660" s="1028" t="s">
        <v>1495</v>
      </c>
      <c r="C660" s="1076">
        <v>46202</v>
      </c>
      <c r="D660" s="1076"/>
      <c r="F660" s="1139">
        <v>46204</v>
      </c>
      <c r="H660" s="1140" t="s">
        <v>523</v>
      </c>
      <c r="I660" s="1002" t="s">
        <v>858</v>
      </c>
      <c r="J660" s="1007" t="s">
        <v>40</v>
      </c>
      <c r="K660" s="1003" t="s">
        <v>41</v>
      </c>
      <c r="M660" s="1093">
        <v>8</v>
      </c>
      <c r="N660" s="1081">
        <v>844444.44</v>
      </c>
      <c r="O660" s="1081">
        <f t="shared" si="135"/>
        <v>6755555.5199999996</v>
      </c>
      <c r="P660" s="1081">
        <f t="shared" si="133"/>
        <v>540444.44160000002</v>
      </c>
      <c r="Q660" s="1081">
        <f t="shared" si="134"/>
        <v>7295999.9616</v>
      </c>
      <c r="R660" s="1081"/>
      <c r="S660" s="1083"/>
      <c r="T660" s="1148"/>
      <c r="U660" s="1083"/>
      <c r="V660" s="1083">
        <f t="shared" si="136"/>
        <v>7295999.9616</v>
      </c>
    </row>
    <row r="661" spans="1:22" s="1002" customFormat="1" hidden="1">
      <c r="A661" s="1000" t="s">
        <v>664</v>
      </c>
      <c r="B661" s="1028" t="s">
        <v>1495</v>
      </c>
      <c r="C661" s="1076">
        <v>46202</v>
      </c>
      <c r="D661" s="1076"/>
      <c r="F661" s="1139">
        <v>46204</v>
      </c>
      <c r="H661" s="1140" t="s">
        <v>523</v>
      </c>
      <c r="I661" s="1002" t="s">
        <v>858</v>
      </c>
      <c r="J661" s="1007" t="s">
        <v>107</v>
      </c>
      <c r="K661" s="1024" t="s">
        <v>108</v>
      </c>
      <c r="M661" s="1093">
        <v>4</v>
      </c>
      <c r="N661" s="1081">
        <v>0</v>
      </c>
      <c r="O661" s="1081">
        <f t="shared" si="135"/>
        <v>0</v>
      </c>
      <c r="P661" s="1081">
        <f t="shared" si="133"/>
        <v>0</v>
      </c>
      <c r="Q661" s="1081">
        <f t="shared" si="134"/>
        <v>0</v>
      </c>
      <c r="R661" s="1081"/>
      <c r="S661" s="1083"/>
      <c r="T661" s="1148"/>
      <c r="U661" s="1083"/>
      <c r="V661" s="1083">
        <f t="shared" si="136"/>
        <v>0</v>
      </c>
    </row>
    <row r="662" spans="1:22" s="1002" customFormat="1" hidden="1">
      <c r="A662" s="1000" t="s">
        <v>664</v>
      </c>
      <c r="B662" s="1028" t="s">
        <v>1495</v>
      </c>
      <c r="C662" s="1076">
        <v>46202</v>
      </c>
      <c r="D662" s="1076"/>
      <c r="F662" s="1139">
        <v>46204</v>
      </c>
      <c r="H662" s="1140" t="s">
        <v>523</v>
      </c>
      <c r="I662" s="1002" t="s">
        <v>858</v>
      </c>
      <c r="J662" s="1007" t="s">
        <v>98</v>
      </c>
      <c r="K662" s="1019" t="s">
        <v>251</v>
      </c>
      <c r="M662" s="1093">
        <v>20</v>
      </c>
      <c r="N662" s="1081">
        <v>694444.44</v>
      </c>
      <c r="O662" s="1081">
        <f t="shared" si="135"/>
        <v>13888888.799999999</v>
      </c>
      <c r="P662" s="1081">
        <f t="shared" si="133"/>
        <v>1111111.1039999998</v>
      </c>
      <c r="Q662" s="1081">
        <f t="shared" si="134"/>
        <v>14999999.903999999</v>
      </c>
      <c r="R662" s="1081"/>
      <c r="S662" s="1083"/>
      <c r="T662" s="1148"/>
      <c r="U662" s="1083"/>
      <c r="V662" s="1083">
        <f t="shared" si="136"/>
        <v>14999999.903999999</v>
      </c>
    </row>
    <row r="663" spans="1:22" s="1002" customFormat="1" hidden="1">
      <c r="A663" s="1000" t="s">
        <v>664</v>
      </c>
      <c r="B663" s="1028" t="s">
        <v>1495</v>
      </c>
      <c r="C663" s="1076">
        <v>46216</v>
      </c>
      <c r="D663" s="1076"/>
      <c r="F663" s="1139">
        <v>46220</v>
      </c>
      <c r="H663" s="1140" t="s">
        <v>526</v>
      </c>
      <c r="I663" s="1002" t="s">
        <v>858</v>
      </c>
      <c r="J663" s="1007" t="s">
        <v>32</v>
      </c>
      <c r="K663" s="1003" t="s">
        <v>33</v>
      </c>
      <c r="M663" s="1093">
        <v>10</v>
      </c>
      <c r="N663" s="1081">
        <v>226851.85</v>
      </c>
      <c r="O663" s="1081">
        <f t="shared" si="135"/>
        <v>2268518.5</v>
      </c>
      <c r="P663" s="1081">
        <f t="shared" si="133"/>
        <v>181481.48</v>
      </c>
      <c r="Q663" s="1081">
        <f t="shared" si="134"/>
        <v>2449999.98</v>
      </c>
      <c r="R663" s="1081"/>
      <c r="S663" s="1083"/>
      <c r="T663" s="1148"/>
      <c r="U663" s="1083"/>
      <c r="V663" s="1083">
        <f t="shared" si="136"/>
        <v>2449999.98</v>
      </c>
    </row>
    <row r="664" spans="1:22" s="1002" customFormat="1" hidden="1">
      <c r="A664" s="1000" t="s">
        <v>664</v>
      </c>
      <c r="B664" s="1028" t="s">
        <v>1495</v>
      </c>
      <c r="C664" s="1076">
        <v>46216</v>
      </c>
      <c r="D664" s="1076"/>
      <c r="F664" s="1139">
        <v>46220</v>
      </c>
      <c r="H664" s="1140" t="s">
        <v>526</v>
      </c>
      <c r="I664" s="1002" t="s">
        <v>858</v>
      </c>
      <c r="J664" s="1007" t="s">
        <v>34</v>
      </c>
      <c r="K664" s="1003" t="s">
        <v>35</v>
      </c>
      <c r="M664" s="1093">
        <v>10</v>
      </c>
      <c r="N664" s="1081">
        <v>240740.74</v>
      </c>
      <c r="O664" s="1081">
        <f t="shared" si="135"/>
        <v>2407407.4</v>
      </c>
      <c r="P664" s="1081">
        <f t="shared" si="133"/>
        <v>192592.592</v>
      </c>
      <c r="Q664" s="1081">
        <f t="shared" si="134"/>
        <v>2599999.9920000001</v>
      </c>
      <c r="R664" s="1081"/>
      <c r="S664" s="1083"/>
      <c r="T664" s="1148"/>
      <c r="U664" s="1083"/>
      <c r="V664" s="1083">
        <f t="shared" si="136"/>
        <v>2599999.9920000001</v>
      </c>
    </row>
    <row r="665" spans="1:22" s="1002" customFormat="1" hidden="1">
      <c r="A665" s="1000" t="s">
        <v>664</v>
      </c>
      <c r="B665" s="1028" t="s">
        <v>1495</v>
      </c>
      <c r="C665" s="1076">
        <v>46216</v>
      </c>
      <c r="D665" s="1076"/>
      <c r="F665" s="1139">
        <v>46220</v>
      </c>
      <c r="H665" s="1140" t="s">
        <v>526</v>
      </c>
      <c r="I665" s="1002" t="s">
        <v>858</v>
      </c>
      <c r="J665" s="1007" t="s">
        <v>36</v>
      </c>
      <c r="K665" s="1003" t="s">
        <v>37</v>
      </c>
      <c r="M665" s="1093">
        <v>10</v>
      </c>
      <c r="N665" s="1081">
        <v>259259.25</v>
      </c>
      <c r="O665" s="1081">
        <f t="shared" si="135"/>
        <v>2592592.5</v>
      </c>
      <c r="P665" s="1081">
        <f t="shared" si="133"/>
        <v>207407.4</v>
      </c>
      <c r="Q665" s="1081">
        <f t="shared" si="134"/>
        <v>2799999.9</v>
      </c>
      <c r="R665" s="1081"/>
      <c r="S665" s="1083"/>
      <c r="T665" s="1148"/>
      <c r="U665" s="1083"/>
      <c r="V665" s="1083">
        <f t="shared" si="136"/>
        <v>2799999.9</v>
      </c>
    </row>
    <row r="666" spans="1:22" s="1002" customFormat="1" hidden="1">
      <c r="A666" s="1000" t="s">
        <v>664</v>
      </c>
      <c r="B666" s="1028" t="s">
        <v>1495</v>
      </c>
      <c r="C666" s="1076">
        <v>46216</v>
      </c>
      <c r="D666" s="1076"/>
      <c r="F666" s="1139">
        <v>46220</v>
      </c>
      <c r="H666" s="1140" t="s">
        <v>526</v>
      </c>
      <c r="I666" s="1002" t="s">
        <v>858</v>
      </c>
      <c r="J666" s="1007" t="s">
        <v>38</v>
      </c>
      <c r="K666" s="1003" t="s">
        <v>39</v>
      </c>
      <c r="M666" s="1093">
        <v>10</v>
      </c>
      <c r="N666" s="1081">
        <v>277277.77</v>
      </c>
      <c r="O666" s="1081">
        <f t="shared" si="135"/>
        <v>2772777.7</v>
      </c>
      <c r="P666" s="1081">
        <f t="shared" si="133"/>
        <v>221822.21600000001</v>
      </c>
      <c r="Q666" s="1081">
        <f t="shared" si="134"/>
        <v>2994599.9160000002</v>
      </c>
      <c r="R666" s="1081"/>
      <c r="S666" s="1083"/>
      <c r="T666" s="1148"/>
      <c r="U666" s="1083"/>
      <c r="V666" s="1083">
        <f t="shared" si="136"/>
        <v>2994599.9160000002</v>
      </c>
    </row>
    <row r="667" spans="1:22" s="1002" customFormat="1" hidden="1">
      <c r="A667" s="1000" t="s">
        <v>664</v>
      </c>
      <c r="B667" s="1028" t="s">
        <v>1495</v>
      </c>
      <c r="C667" s="1076">
        <v>46216</v>
      </c>
      <c r="D667" s="1076"/>
      <c r="F667" s="1139">
        <v>46220</v>
      </c>
      <c r="H667" s="1140" t="s">
        <v>526</v>
      </c>
      <c r="I667" s="1002" t="s">
        <v>858</v>
      </c>
      <c r="J667" s="1007" t="s">
        <v>262</v>
      </c>
      <c r="K667" s="1003" t="s">
        <v>263</v>
      </c>
      <c r="M667" s="1093">
        <v>10</v>
      </c>
      <c r="N667" s="1081">
        <v>851851.85</v>
      </c>
      <c r="O667" s="1081">
        <f t="shared" si="135"/>
        <v>8518518.5</v>
      </c>
      <c r="P667" s="1081">
        <f t="shared" si="133"/>
        <v>681481.48</v>
      </c>
      <c r="Q667" s="1081">
        <f t="shared" si="134"/>
        <v>9199999.9800000004</v>
      </c>
      <c r="R667" s="1081"/>
      <c r="S667" s="1083"/>
      <c r="T667" s="1148"/>
      <c r="U667" s="1083"/>
      <c r="V667" s="1083">
        <f t="shared" si="136"/>
        <v>9199999.9800000004</v>
      </c>
    </row>
    <row r="668" spans="1:22" s="1002" customFormat="1" hidden="1">
      <c r="A668" s="1000" t="s">
        <v>664</v>
      </c>
      <c r="B668" s="1028" t="s">
        <v>1495</v>
      </c>
      <c r="C668" s="1076">
        <v>46216</v>
      </c>
      <c r="D668" s="1076"/>
      <c r="F668" s="1139">
        <v>46220</v>
      </c>
      <c r="H668" s="1140" t="s">
        <v>526</v>
      </c>
      <c r="I668" s="1002" t="s">
        <v>858</v>
      </c>
      <c r="J668" s="1007" t="s">
        <v>204</v>
      </c>
      <c r="K668" s="1003" t="s">
        <v>269</v>
      </c>
      <c r="M668" s="1093">
        <v>10</v>
      </c>
      <c r="N668" s="1081">
        <v>480555.56</v>
      </c>
      <c r="O668" s="1081">
        <f t="shared" si="135"/>
        <v>4805555.5999999996</v>
      </c>
      <c r="P668" s="1081">
        <f>O668*8%</f>
        <v>384444.44799999997</v>
      </c>
      <c r="Q668" s="1081">
        <f t="shared" si="134"/>
        <v>5190000.0479999995</v>
      </c>
      <c r="R668" s="1081"/>
      <c r="S668" s="1083"/>
      <c r="T668" s="1148"/>
      <c r="U668" s="1083"/>
      <c r="V668" s="1083">
        <f t="shared" si="136"/>
        <v>5190000.0479999995</v>
      </c>
    </row>
    <row r="669" spans="1:22" s="1002" customFormat="1" hidden="1">
      <c r="A669" s="1000" t="s">
        <v>664</v>
      </c>
      <c r="B669" s="1028" t="s">
        <v>1495</v>
      </c>
      <c r="C669" s="1076">
        <v>46216</v>
      </c>
      <c r="D669" s="1076"/>
      <c r="F669" s="1139">
        <v>46220</v>
      </c>
      <c r="H669" s="1140" t="s">
        <v>526</v>
      </c>
      <c r="I669" s="1002" t="s">
        <v>858</v>
      </c>
      <c r="J669" s="1007" t="s">
        <v>119</v>
      </c>
      <c r="K669" s="1024" t="s">
        <v>527</v>
      </c>
      <c r="M669" s="1093">
        <v>1</v>
      </c>
      <c r="N669" s="1081">
        <v>659259.26</v>
      </c>
      <c r="O669" s="1081">
        <f t="shared" si="135"/>
        <v>659259.26</v>
      </c>
      <c r="P669" s="1081">
        <f t="shared" ref="P669:P676" si="137">O669*8%</f>
        <v>52740.7408</v>
      </c>
      <c r="Q669" s="1081">
        <f t="shared" si="134"/>
        <v>712000.00080000004</v>
      </c>
      <c r="R669" s="1081"/>
      <c r="S669" s="1083"/>
      <c r="T669" s="1148"/>
      <c r="U669" s="1083"/>
      <c r="V669" s="1083">
        <f t="shared" si="136"/>
        <v>712000.00080000004</v>
      </c>
    </row>
    <row r="670" spans="1:22" s="1002" customFormat="1" hidden="1">
      <c r="A670" s="1000" t="s">
        <v>664</v>
      </c>
      <c r="B670" s="1028" t="s">
        <v>1495</v>
      </c>
      <c r="C670" s="1076">
        <v>46216</v>
      </c>
      <c r="D670" s="1076"/>
      <c r="F670" s="1139">
        <v>46220</v>
      </c>
      <c r="H670" s="1140" t="s">
        <v>526</v>
      </c>
      <c r="I670" s="1002" t="s">
        <v>858</v>
      </c>
      <c r="J670" s="1007" t="s">
        <v>42</v>
      </c>
      <c r="K670" s="1024" t="s">
        <v>528</v>
      </c>
      <c r="M670" s="1093">
        <v>1</v>
      </c>
      <c r="N670" s="1081">
        <v>569444.43999999994</v>
      </c>
      <c r="O670" s="1081">
        <f t="shared" si="135"/>
        <v>569444.43999999994</v>
      </c>
      <c r="P670" s="1081">
        <f t="shared" si="137"/>
        <v>45555.555199999995</v>
      </c>
      <c r="Q670" s="1081">
        <f t="shared" si="134"/>
        <v>614999.99519999989</v>
      </c>
      <c r="R670" s="1081"/>
      <c r="S670" s="1083"/>
      <c r="T670" s="1148"/>
      <c r="U670" s="1083"/>
      <c r="V670" s="1083">
        <f t="shared" si="136"/>
        <v>614999.99519999989</v>
      </c>
    </row>
    <row r="671" spans="1:22" s="1002" customFormat="1" hidden="1">
      <c r="A671" s="1000" t="s">
        <v>664</v>
      </c>
      <c r="B671" s="1028" t="s">
        <v>1495</v>
      </c>
      <c r="C671" s="1076">
        <v>46216</v>
      </c>
      <c r="D671" s="1076"/>
      <c r="F671" s="1139">
        <v>46220</v>
      </c>
      <c r="H671" s="1140" t="s">
        <v>526</v>
      </c>
      <c r="I671" s="1002" t="s">
        <v>858</v>
      </c>
      <c r="J671" s="1007" t="s">
        <v>44</v>
      </c>
      <c r="K671" s="1024" t="s">
        <v>529</v>
      </c>
      <c r="M671" s="1093">
        <v>1</v>
      </c>
      <c r="N671" s="1081">
        <v>564814.81000000006</v>
      </c>
      <c r="O671" s="1081">
        <f t="shared" si="135"/>
        <v>564814.81000000006</v>
      </c>
      <c r="P671" s="1081">
        <f t="shared" si="137"/>
        <v>45185.184800000003</v>
      </c>
      <c r="Q671" s="1081">
        <f t="shared" si="134"/>
        <v>609999.9948000001</v>
      </c>
      <c r="R671" s="1081"/>
      <c r="S671" s="1083"/>
      <c r="T671" s="1148"/>
      <c r="U671" s="1083"/>
      <c r="V671" s="1083">
        <f t="shared" si="136"/>
        <v>609999.9948000001</v>
      </c>
    </row>
    <row r="672" spans="1:22" s="1002" customFormat="1" hidden="1">
      <c r="A672" s="1000" t="s">
        <v>664</v>
      </c>
      <c r="B672" s="1028" t="s">
        <v>1495</v>
      </c>
      <c r="C672" s="1076">
        <v>46216</v>
      </c>
      <c r="D672" s="1076"/>
      <c r="F672" s="1139">
        <v>46220</v>
      </c>
      <c r="H672" s="1140" t="s">
        <v>526</v>
      </c>
      <c r="I672" s="1002" t="s">
        <v>858</v>
      </c>
      <c r="J672" s="1007" t="s">
        <v>46</v>
      </c>
      <c r="K672" s="1024" t="s">
        <v>530</v>
      </c>
      <c r="M672" s="1093">
        <v>3</v>
      </c>
      <c r="N672" s="1081">
        <v>194444.44</v>
      </c>
      <c r="O672" s="1081">
        <f t="shared" si="135"/>
        <v>583333.32000000007</v>
      </c>
      <c r="P672" s="1081">
        <f t="shared" si="137"/>
        <v>46666.665600000008</v>
      </c>
      <c r="Q672" s="1081">
        <f t="shared" si="134"/>
        <v>629999.98560000001</v>
      </c>
      <c r="R672" s="1081"/>
      <c r="S672" s="1083"/>
      <c r="T672" s="1148"/>
      <c r="U672" s="1083"/>
      <c r="V672" s="1083">
        <f t="shared" si="136"/>
        <v>629999.98560000001</v>
      </c>
    </row>
    <row r="673" spans="1:22" s="1002" customFormat="1" hidden="1">
      <c r="A673" s="1000" t="s">
        <v>664</v>
      </c>
      <c r="B673" s="1029" t="s">
        <v>1495</v>
      </c>
      <c r="C673" s="1076">
        <v>46216</v>
      </c>
      <c r="D673" s="1076"/>
      <c r="F673" s="1141">
        <v>46287</v>
      </c>
      <c r="G673" s="1002" t="s">
        <v>1313</v>
      </c>
      <c r="H673" s="1138" t="s">
        <v>1312</v>
      </c>
      <c r="I673" s="1002" t="s">
        <v>858</v>
      </c>
      <c r="J673" s="1007" t="s">
        <v>101</v>
      </c>
      <c r="K673" s="1007" t="s">
        <v>102</v>
      </c>
      <c r="M673" s="1086">
        <v>8</v>
      </c>
      <c r="N673" s="1107">
        <v>861111.11</v>
      </c>
      <c r="O673" s="1107">
        <f t="shared" si="135"/>
        <v>6888888.8799999999</v>
      </c>
      <c r="P673" s="1107">
        <f t="shared" si="137"/>
        <v>551111.11040000001</v>
      </c>
      <c r="Q673" s="1107">
        <f t="shared" si="134"/>
        <v>7439999.9903999995</v>
      </c>
      <c r="R673" s="1107"/>
      <c r="S673" s="1083"/>
      <c r="T673" s="1107"/>
      <c r="U673" s="1083"/>
      <c r="V673" s="1083">
        <f t="shared" si="136"/>
        <v>7439999.9903999995</v>
      </c>
    </row>
    <row r="674" spans="1:22" s="1002" customFormat="1" hidden="1">
      <c r="A674" s="1000" t="s">
        <v>664</v>
      </c>
      <c r="B674" s="1028" t="s">
        <v>1495</v>
      </c>
      <c r="C674" s="1076">
        <v>46216</v>
      </c>
      <c r="D674" s="1076"/>
      <c r="F674" s="1139">
        <v>46228</v>
      </c>
      <c r="H674" s="1140" t="s">
        <v>841</v>
      </c>
      <c r="I674" s="1002" t="s">
        <v>858</v>
      </c>
      <c r="J674" s="1007" t="s">
        <v>90</v>
      </c>
      <c r="K674" s="1024" t="s">
        <v>91</v>
      </c>
      <c r="M674" s="1093">
        <v>20</v>
      </c>
      <c r="N674" s="1081">
        <v>814814.81</v>
      </c>
      <c r="O674" s="1081">
        <f t="shared" si="135"/>
        <v>16296296.200000001</v>
      </c>
      <c r="P674" s="1081">
        <f>O674*8%</f>
        <v>1303703.6960000002</v>
      </c>
      <c r="Q674" s="1081">
        <f t="shared" si="134"/>
        <v>17599999.896000002</v>
      </c>
      <c r="R674" s="1081"/>
      <c r="S674" s="1083"/>
      <c r="T674" s="1148"/>
      <c r="U674" s="1083"/>
      <c r="V674" s="1083">
        <f t="shared" si="136"/>
        <v>17599999.896000002</v>
      </c>
    </row>
    <row r="675" spans="1:22" s="1002" customFormat="1" hidden="1">
      <c r="A675" s="1000" t="s">
        <v>664</v>
      </c>
      <c r="B675" s="1028" t="s">
        <v>1495</v>
      </c>
      <c r="C675" s="1076">
        <v>46216</v>
      </c>
      <c r="D675" s="1076"/>
      <c r="F675" s="1139"/>
      <c r="H675" s="1085"/>
      <c r="I675" s="1002" t="s">
        <v>858</v>
      </c>
      <c r="J675" s="1007" t="s">
        <v>103</v>
      </c>
      <c r="K675" s="1024" t="s">
        <v>104</v>
      </c>
      <c r="M675" s="1093">
        <v>12</v>
      </c>
      <c r="N675" s="1081">
        <v>675925.93</v>
      </c>
      <c r="O675" s="1081">
        <f t="shared" si="135"/>
        <v>8111111.1600000001</v>
      </c>
      <c r="P675" s="1081">
        <f t="shared" si="137"/>
        <v>648888.89280000003</v>
      </c>
      <c r="Q675" s="1081">
        <f t="shared" si="134"/>
        <v>8760000.0527999997</v>
      </c>
      <c r="R675" s="1081"/>
      <c r="S675" s="1083"/>
      <c r="T675" s="1148"/>
      <c r="U675" s="1083"/>
      <c r="V675" s="1083">
        <f t="shared" si="136"/>
        <v>8760000.0527999997</v>
      </c>
    </row>
    <row r="676" spans="1:22" s="1002" customFormat="1" hidden="1">
      <c r="A676" s="1000" t="s">
        <v>664</v>
      </c>
      <c r="B676" s="1028" t="s">
        <v>1495</v>
      </c>
      <c r="C676" s="1076">
        <v>46216</v>
      </c>
      <c r="D676" s="1076"/>
      <c r="F676" s="1139"/>
      <c r="H676" s="1138"/>
      <c r="I676" s="1002" t="s">
        <v>858</v>
      </c>
      <c r="J676" s="1007" t="s">
        <v>62</v>
      </c>
      <c r="K676" s="1024" t="s">
        <v>63</v>
      </c>
      <c r="M676" s="1093">
        <v>12</v>
      </c>
      <c r="N676" s="1081">
        <v>0</v>
      </c>
      <c r="O676" s="1081">
        <f t="shared" si="135"/>
        <v>0</v>
      </c>
      <c r="P676" s="1081">
        <f t="shared" si="137"/>
        <v>0</v>
      </c>
      <c r="Q676" s="1081">
        <f t="shared" si="134"/>
        <v>0</v>
      </c>
      <c r="R676" s="1081"/>
      <c r="S676" s="1083"/>
      <c r="T676" s="1148"/>
      <c r="U676" s="1083"/>
      <c r="V676" s="1083">
        <f t="shared" si="136"/>
        <v>0</v>
      </c>
    </row>
    <row r="677" spans="1:22" s="1002" customFormat="1" hidden="1">
      <c r="A677" s="1000" t="s">
        <v>664</v>
      </c>
      <c r="B677" s="1029" t="s">
        <v>1495</v>
      </c>
      <c r="C677" s="1066">
        <v>46223</v>
      </c>
      <c r="D677" s="1066"/>
      <c r="F677" s="1141">
        <v>46287</v>
      </c>
      <c r="G677" s="1002" t="s">
        <v>1313</v>
      </c>
      <c r="H677" s="1138" t="s">
        <v>1312</v>
      </c>
      <c r="I677" s="1002" t="s">
        <v>858</v>
      </c>
      <c r="J677" s="1007" t="s">
        <v>101</v>
      </c>
      <c r="K677" s="1007" t="s">
        <v>102</v>
      </c>
      <c r="M677" s="1086">
        <v>20</v>
      </c>
      <c r="N677" s="1107">
        <v>861111.11</v>
      </c>
      <c r="O677" s="1107">
        <f t="shared" si="135"/>
        <v>17222222.199999999</v>
      </c>
      <c r="P677" s="1107">
        <f>O677*8%</f>
        <v>1377777.7760000001</v>
      </c>
      <c r="Q677" s="1107">
        <f t="shared" si="134"/>
        <v>18599999.976</v>
      </c>
      <c r="R677" s="1107"/>
      <c r="S677" s="1083"/>
      <c r="T677" s="1107"/>
      <c r="U677" s="1083"/>
      <c r="V677" s="1083">
        <f t="shared" si="136"/>
        <v>18599999.976</v>
      </c>
    </row>
    <row r="678" spans="1:22" s="1002" customFormat="1" hidden="1">
      <c r="A678" s="1000" t="s">
        <v>664</v>
      </c>
      <c r="B678" s="1029" t="s">
        <v>1495</v>
      </c>
      <c r="C678" s="1066">
        <v>46228</v>
      </c>
      <c r="D678" s="1066"/>
      <c r="F678" s="1141"/>
      <c r="H678" s="1005"/>
      <c r="I678" s="1002" t="s">
        <v>844</v>
      </c>
      <c r="J678" s="1007"/>
      <c r="K678" s="1007"/>
      <c r="M678" s="1086"/>
      <c r="N678" s="1107"/>
      <c r="O678" s="1107"/>
      <c r="P678" s="1107"/>
      <c r="Q678" s="1107"/>
      <c r="R678" s="1107">
        <v>45000000</v>
      </c>
      <c r="S678" s="1083"/>
      <c r="T678" s="1107"/>
      <c r="U678" s="1083"/>
      <c r="V678" s="1083">
        <f t="shared" si="136"/>
        <v>-45000000</v>
      </c>
    </row>
    <row r="679" spans="1:22" s="1002" customFormat="1" hidden="1">
      <c r="A679" s="1000" t="s">
        <v>664</v>
      </c>
      <c r="B679" s="1028" t="s">
        <v>1495</v>
      </c>
      <c r="C679" s="1087">
        <v>46232</v>
      </c>
      <c r="D679" s="1087"/>
      <c r="F679" s="1111"/>
      <c r="H679" s="1138"/>
      <c r="I679" s="1002" t="s">
        <v>858</v>
      </c>
      <c r="J679" s="1007" t="s">
        <v>639</v>
      </c>
      <c r="K679" s="1024" t="s">
        <v>640</v>
      </c>
      <c r="M679" s="1093">
        <v>15</v>
      </c>
      <c r="N679" s="1081">
        <v>542592.59</v>
      </c>
      <c r="O679" s="1081">
        <f t="shared" ref="O679:O696" si="138">M679*N679</f>
        <v>8138888.8499999996</v>
      </c>
      <c r="P679" s="1081">
        <f t="shared" ref="P679:P696" si="139">O679*8%</f>
        <v>651111.10800000001</v>
      </c>
      <c r="Q679" s="1081">
        <f t="shared" ref="Q679:Q696" si="140">O679+P679</f>
        <v>8789999.9580000006</v>
      </c>
      <c r="R679" s="1081"/>
      <c r="S679" s="1083"/>
      <c r="T679" s="1148"/>
      <c r="U679" s="1083"/>
      <c r="V679" s="1083">
        <f t="shared" si="136"/>
        <v>8789999.9580000006</v>
      </c>
    </row>
    <row r="680" spans="1:22" s="1002" customFormat="1" hidden="1">
      <c r="A680" s="1000" t="s">
        <v>664</v>
      </c>
      <c r="B680" s="1028" t="s">
        <v>1495</v>
      </c>
      <c r="C680" s="1087">
        <v>46232</v>
      </c>
      <c r="D680" s="1087"/>
      <c r="F680" s="1111"/>
      <c r="H680" s="1138"/>
      <c r="I680" s="1002" t="s">
        <v>858</v>
      </c>
      <c r="J680" s="1007" t="s">
        <v>641</v>
      </c>
      <c r="K680" s="1024" t="s">
        <v>657</v>
      </c>
      <c r="M680" s="1093">
        <v>15</v>
      </c>
      <c r="N680" s="1081">
        <v>644444.43999999994</v>
      </c>
      <c r="O680" s="1081">
        <f t="shared" si="138"/>
        <v>9666666.5999999996</v>
      </c>
      <c r="P680" s="1081">
        <f t="shared" si="139"/>
        <v>773333.32799999998</v>
      </c>
      <c r="Q680" s="1081">
        <f t="shared" si="140"/>
        <v>10439999.927999999</v>
      </c>
      <c r="R680" s="1081"/>
      <c r="S680" s="1083"/>
      <c r="T680" s="1148"/>
      <c r="U680" s="1083"/>
      <c r="V680" s="1083">
        <f t="shared" si="136"/>
        <v>10439999.927999999</v>
      </c>
    </row>
    <row r="681" spans="1:22" s="1002" customFormat="1" hidden="1">
      <c r="A681" s="1000" t="s">
        <v>664</v>
      </c>
      <c r="B681" s="1028" t="s">
        <v>1495</v>
      </c>
      <c r="C681" s="1087">
        <v>46232</v>
      </c>
      <c r="D681" s="1087"/>
      <c r="F681" s="1111"/>
      <c r="H681" s="1138"/>
      <c r="I681" s="1002" t="s">
        <v>858</v>
      </c>
      <c r="J681" s="1007" t="s">
        <v>643</v>
      </c>
      <c r="K681" s="1024" t="s">
        <v>644</v>
      </c>
      <c r="M681" s="1093">
        <v>45</v>
      </c>
      <c r="N681" s="1081">
        <v>527777.78</v>
      </c>
      <c r="O681" s="1081">
        <f t="shared" si="138"/>
        <v>23750000.100000001</v>
      </c>
      <c r="P681" s="1081">
        <f t="shared" si="139"/>
        <v>1900000.0080000001</v>
      </c>
      <c r="Q681" s="1081">
        <f t="shared" si="140"/>
        <v>25650000.108000003</v>
      </c>
      <c r="R681" s="1081"/>
      <c r="S681" s="1083"/>
      <c r="T681" s="1148"/>
      <c r="U681" s="1083"/>
      <c r="V681" s="1083">
        <f t="shared" si="136"/>
        <v>25650000.108000003</v>
      </c>
    </row>
    <row r="682" spans="1:22" s="1002" customFormat="1" hidden="1">
      <c r="A682" s="1000" t="s">
        <v>664</v>
      </c>
      <c r="B682" s="1028" t="s">
        <v>1495</v>
      </c>
      <c r="C682" s="1087">
        <v>46232</v>
      </c>
      <c r="D682" s="1087"/>
      <c r="F682" s="1111"/>
      <c r="H682" s="1138"/>
      <c r="I682" s="1002" t="s">
        <v>858</v>
      </c>
      <c r="J682" s="1007" t="s">
        <v>645</v>
      </c>
      <c r="K682" s="1024" t="s">
        <v>646</v>
      </c>
      <c r="M682" s="1093">
        <v>45</v>
      </c>
      <c r="N682" s="1081">
        <v>629629.63</v>
      </c>
      <c r="O682" s="1081">
        <f t="shared" si="138"/>
        <v>28333333.350000001</v>
      </c>
      <c r="P682" s="1081">
        <f t="shared" si="139"/>
        <v>2266666.6680000001</v>
      </c>
      <c r="Q682" s="1081">
        <f t="shared" si="140"/>
        <v>30600000.018000003</v>
      </c>
      <c r="R682" s="1081"/>
      <c r="S682" s="1083"/>
      <c r="T682" s="1148"/>
      <c r="U682" s="1083"/>
      <c r="V682" s="1083">
        <f t="shared" si="136"/>
        <v>30600000.018000003</v>
      </c>
    </row>
    <row r="683" spans="1:22" s="1002" customFormat="1" hidden="1">
      <c r="A683" s="1000" t="s">
        <v>664</v>
      </c>
      <c r="B683" s="1028" t="s">
        <v>1495</v>
      </c>
      <c r="C683" s="1087">
        <v>46232</v>
      </c>
      <c r="D683" s="1087"/>
      <c r="F683" s="1111"/>
      <c r="H683" s="1138"/>
      <c r="I683" s="1002" t="s">
        <v>858</v>
      </c>
      <c r="J683" s="1007" t="s">
        <v>649</v>
      </c>
      <c r="K683" s="1008" t="s">
        <v>650</v>
      </c>
      <c r="M683" s="1093">
        <v>15</v>
      </c>
      <c r="N683" s="1081">
        <v>574074.06999999995</v>
      </c>
      <c r="O683" s="1081">
        <f t="shared" si="138"/>
        <v>8611111.0499999989</v>
      </c>
      <c r="P683" s="1081">
        <f t="shared" si="139"/>
        <v>688888.88399999996</v>
      </c>
      <c r="Q683" s="1081">
        <f t="shared" si="140"/>
        <v>9299999.9339999985</v>
      </c>
      <c r="R683" s="1081"/>
      <c r="S683" s="1083"/>
      <c r="T683" s="1148"/>
      <c r="U683" s="1083"/>
      <c r="V683" s="1083">
        <f t="shared" si="136"/>
        <v>9299999.9339999985</v>
      </c>
    </row>
    <row r="684" spans="1:22" s="1002" customFormat="1" hidden="1">
      <c r="A684" s="1000" t="s">
        <v>664</v>
      </c>
      <c r="B684" s="1028" t="s">
        <v>1495</v>
      </c>
      <c r="C684" s="1087">
        <v>46232</v>
      </c>
      <c r="D684" s="1087"/>
      <c r="F684" s="1111"/>
      <c r="H684" s="1138"/>
      <c r="I684" s="1002" t="s">
        <v>858</v>
      </c>
      <c r="J684" s="1007" t="s">
        <v>651</v>
      </c>
      <c r="K684" s="1024" t="s">
        <v>652</v>
      </c>
      <c r="M684" s="1093">
        <v>15</v>
      </c>
      <c r="N684" s="1081">
        <v>694444.44</v>
      </c>
      <c r="O684" s="1081">
        <f t="shared" si="138"/>
        <v>10416666.6</v>
      </c>
      <c r="P684" s="1081">
        <f t="shared" si="139"/>
        <v>833333.32799999998</v>
      </c>
      <c r="Q684" s="1081">
        <f t="shared" si="140"/>
        <v>11249999.927999999</v>
      </c>
      <c r="R684" s="1081"/>
      <c r="S684" s="1083"/>
      <c r="T684" s="1148"/>
      <c r="U684" s="1083"/>
      <c r="V684" s="1083">
        <f t="shared" si="136"/>
        <v>11249999.927999999</v>
      </c>
    </row>
    <row r="685" spans="1:22" s="1002" customFormat="1" hidden="1">
      <c r="A685" s="1000" t="s">
        <v>664</v>
      </c>
      <c r="B685" s="1028" t="s">
        <v>1495</v>
      </c>
      <c r="C685" s="1087">
        <v>46232</v>
      </c>
      <c r="D685" s="1087"/>
      <c r="F685" s="1111"/>
      <c r="H685" s="1138"/>
      <c r="I685" s="1002" t="s">
        <v>858</v>
      </c>
      <c r="J685" s="1007" t="s">
        <v>653</v>
      </c>
      <c r="K685" s="1024" t="s">
        <v>654</v>
      </c>
      <c r="M685" s="1093">
        <v>15</v>
      </c>
      <c r="N685" s="1081">
        <v>481481.48</v>
      </c>
      <c r="O685" s="1081">
        <f t="shared" si="138"/>
        <v>7222222.1999999993</v>
      </c>
      <c r="P685" s="1081">
        <f t="shared" si="139"/>
        <v>577777.77599999995</v>
      </c>
      <c r="Q685" s="1081">
        <f t="shared" si="140"/>
        <v>7799999.9759999989</v>
      </c>
      <c r="R685" s="1081"/>
      <c r="S685" s="1083"/>
      <c r="T685" s="1148"/>
      <c r="U685" s="1083"/>
      <c r="V685" s="1083">
        <f t="shared" si="136"/>
        <v>7799999.9759999989</v>
      </c>
    </row>
    <row r="686" spans="1:22" s="1002" customFormat="1" hidden="1">
      <c r="A686" s="1000" t="s">
        <v>664</v>
      </c>
      <c r="B686" s="1028" t="s">
        <v>1495</v>
      </c>
      <c r="C686" s="1087">
        <v>46232</v>
      </c>
      <c r="D686" s="1087"/>
      <c r="F686" s="1111"/>
      <c r="H686" s="1138"/>
      <c r="I686" s="1002" t="s">
        <v>858</v>
      </c>
      <c r="J686" s="1007" t="s">
        <v>655</v>
      </c>
      <c r="K686" s="1024" t="s">
        <v>656</v>
      </c>
      <c r="M686" s="1093">
        <v>15</v>
      </c>
      <c r="N686" s="1081">
        <v>574074.06999999995</v>
      </c>
      <c r="O686" s="1081">
        <f t="shared" si="138"/>
        <v>8611111.0499999989</v>
      </c>
      <c r="P686" s="1081">
        <f t="shared" si="139"/>
        <v>688888.88399999996</v>
      </c>
      <c r="Q686" s="1081">
        <f t="shared" si="140"/>
        <v>9299999.9339999985</v>
      </c>
      <c r="R686" s="1081"/>
      <c r="S686" s="1083"/>
      <c r="T686" s="1148"/>
      <c r="U686" s="1083"/>
      <c r="V686" s="1083">
        <f t="shared" si="136"/>
        <v>9299999.9339999985</v>
      </c>
    </row>
    <row r="687" spans="1:22" s="1002" customFormat="1" hidden="1">
      <c r="A687" s="1000" t="s">
        <v>664</v>
      </c>
      <c r="B687" s="1028" t="s">
        <v>1495</v>
      </c>
      <c r="C687" s="1087">
        <v>46232</v>
      </c>
      <c r="D687" s="1087"/>
      <c r="F687" s="1111"/>
      <c r="H687" s="1138"/>
      <c r="I687" s="1002" t="s">
        <v>858</v>
      </c>
      <c r="J687" s="1007" t="s">
        <v>647</v>
      </c>
      <c r="K687" s="1024" t="s">
        <v>648</v>
      </c>
      <c r="M687" s="1093">
        <v>4</v>
      </c>
      <c r="N687" s="1081">
        <v>601851.85</v>
      </c>
      <c r="O687" s="1081">
        <f t="shared" si="138"/>
        <v>2407407.4</v>
      </c>
      <c r="P687" s="1081">
        <f t="shared" si="139"/>
        <v>192592.592</v>
      </c>
      <c r="Q687" s="1081">
        <f t="shared" si="140"/>
        <v>2599999.9920000001</v>
      </c>
      <c r="R687" s="1081"/>
      <c r="S687" s="1083"/>
      <c r="T687" s="1148"/>
      <c r="U687" s="1083"/>
      <c r="V687" s="1083">
        <f t="shared" si="136"/>
        <v>2599999.9920000001</v>
      </c>
    </row>
    <row r="688" spans="1:22" s="1002" customFormat="1" hidden="1">
      <c r="A688" s="1000" t="s">
        <v>664</v>
      </c>
      <c r="B688" s="1028" t="s">
        <v>1495</v>
      </c>
      <c r="C688" s="1087">
        <v>46232</v>
      </c>
      <c r="D688" s="1087"/>
      <c r="F688" s="1111"/>
      <c r="H688" s="1138"/>
      <c r="I688" s="1002" t="s">
        <v>892</v>
      </c>
      <c r="J688" s="1007" t="s">
        <v>639</v>
      </c>
      <c r="K688" s="1024" t="s">
        <v>640</v>
      </c>
      <c r="M688" s="1093">
        <v>1</v>
      </c>
      <c r="N688" s="1081">
        <v>0</v>
      </c>
      <c r="O688" s="1081">
        <f t="shared" si="138"/>
        <v>0</v>
      </c>
      <c r="P688" s="1081">
        <f t="shared" si="139"/>
        <v>0</v>
      </c>
      <c r="Q688" s="1081">
        <f t="shared" si="140"/>
        <v>0</v>
      </c>
      <c r="R688" s="1081"/>
      <c r="S688" s="1083"/>
      <c r="T688" s="1148"/>
      <c r="U688" s="1083"/>
      <c r="V688" s="1083">
        <f t="shared" si="136"/>
        <v>0</v>
      </c>
    </row>
    <row r="689" spans="1:22" s="1002" customFormat="1" hidden="1">
      <c r="A689" s="1000" t="s">
        <v>664</v>
      </c>
      <c r="B689" s="1028" t="s">
        <v>1495</v>
      </c>
      <c r="C689" s="1087">
        <v>46232</v>
      </c>
      <c r="D689" s="1087"/>
      <c r="F689" s="1111"/>
      <c r="H689" s="1138"/>
      <c r="I689" s="1002" t="s">
        <v>892</v>
      </c>
      <c r="J689" s="1007" t="s">
        <v>641</v>
      </c>
      <c r="K689" s="1024" t="s">
        <v>657</v>
      </c>
      <c r="M689" s="1093">
        <v>1</v>
      </c>
      <c r="N689" s="1081">
        <v>0</v>
      </c>
      <c r="O689" s="1081">
        <f t="shared" si="138"/>
        <v>0</v>
      </c>
      <c r="P689" s="1081">
        <f t="shared" si="139"/>
        <v>0</v>
      </c>
      <c r="Q689" s="1081">
        <f t="shared" si="140"/>
        <v>0</v>
      </c>
      <c r="R689" s="1081"/>
      <c r="S689" s="1083"/>
      <c r="T689" s="1148"/>
      <c r="U689" s="1083"/>
      <c r="V689" s="1083">
        <f t="shared" si="136"/>
        <v>0</v>
      </c>
    </row>
    <row r="690" spans="1:22" s="1002" customFormat="1" hidden="1">
      <c r="A690" s="1000" t="s">
        <v>664</v>
      </c>
      <c r="B690" s="1028" t="s">
        <v>1495</v>
      </c>
      <c r="C690" s="1087">
        <v>46232</v>
      </c>
      <c r="D690" s="1087"/>
      <c r="F690" s="1111"/>
      <c r="H690" s="1138"/>
      <c r="I690" s="1002" t="s">
        <v>892</v>
      </c>
      <c r="J690" s="1007" t="s">
        <v>643</v>
      </c>
      <c r="K690" s="1024" t="s">
        <v>644</v>
      </c>
      <c r="M690" s="1093">
        <v>3</v>
      </c>
      <c r="N690" s="1081">
        <v>0</v>
      </c>
      <c r="O690" s="1081">
        <f t="shared" si="138"/>
        <v>0</v>
      </c>
      <c r="P690" s="1081">
        <f t="shared" si="139"/>
        <v>0</v>
      </c>
      <c r="Q690" s="1081">
        <f t="shared" si="140"/>
        <v>0</v>
      </c>
      <c r="R690" s="1081"/>
      <c r="S690" s="1083"/>
      <c r="T690" s="1148"/>
      <c r="U690" s="1083"/>
      <c r="V690" s="1083">
        <f t="shared" si="136"/>
        <v>0</v>
      </c>
    </row>
    <row r="691" spans="1:22" s="1002" customFormat="1" hidden="1">
      <c r="A691" s="1000" t="s">
        <v>664</v>
      </c>
      <c r="B691" s="1028" t="s">
        <v>1495</v>
      </c>
      <c r="C691" s="1087">
        <v>46232</v>
      </c>
      <c r="D691" s="1087"/>
      <c r="F691" s="1111"/>
      <c r="H691" s="1138"/>
      <c r="I691" s="1002" t="s">
        <v>892</v>
      </c>
      <c r="J691" s="1007" t="s">
        <v>645</v>
      </c>
      <c r="K691" s="1024" t="s">
        <v>646</v>
      </c>
      <c r="M691" s="1093">
        <v>3</v>
      </c>
      <c r="N691" s="1081">
        <v>0</v>
      </c>
      <c r="O691" s="1081">
        <f t="shared" si="138"/>
        <v>0</v>
      </c>
      <c r="P691" s="1081">
        <f t="shared" si="139"/>
        <v>0</v>
      </c>
      <c r="Q691" s="1081">
        <f t="shared" si="140"/>
        <v>0</v>
      </c>
      <c r="R691" s="1081"/>
      <c r="S691" s="1083"/>
      <c r="T691" s="1148"/>
      <c r="U691" s="1083"/>
      <c r="V691" s="1083">
        <f t="shared" si="136"/>
        <v>0</v>
      </c>
    </row>
    <row r="692" spans="1:22" s="1002" customFormat="1" hidden="1">
      <c r="A692" s="1000" t="s">
        <v>664</v>
      </c>
      <c r="B692" s="1028" t="s">
        <v>1495</v>
      </c>
      <c r="C692" s="1087">
        <v>46232</v>
      </c>
      <c r="D692" s="1087"/>
      <c r="F692" s="1111"/>
      <c r="H692" s="1138"/>
      <c r="I692" s="1002" t="s">
        <v>892</v>
      </c>
      <c r="J692" s="1007" t="s">
        <v>649</v>
      </c>
      <c r="K692" s="1008" t="s">
        <v>650</v>
      </c>
      <c r="M692" s="1093">
        <v>1</v>
      </c>
      <c r="N692" s="1081">
        <v>0</v>
      </c>
      <c r="O692" s="1081">
        <f t="shared" si="138"/>
        <v>0</v>
      </c>
      <c r="P692" s="1081">
        <f t="shared" si="139"/>
        <v>0</v>
      </c>
      <c r="Q692" s="1081">
        <f t="shared" si="140"/>
        <v>0</v>
      </c>
      <c r="R692" s="1081"/>
      <c r="S692" s="1083"/>
      <c r="T692" s="1148"/>
      <c r="U692" s="1083"/>
      <c r="V692" s="1083">
        <f t="shared" si="136"/>
        <v>0</v>
      </c>
    </row>
    <row r="693" spans="1:22" s="1002" customFormat="1" hidden="1">
      <c r="A693" s="1000" t="s">
        <v>664</v>
      </c>
      <c r="B693" s="1028" t="s">
        <v>1495</v>
      </c>
      <c r="C693" s="1087">
        <v>46232</v>
      </c>
      <c r="D693" s="1087"/>
      <c r="F693" s="1111"/>
      <c r="H693" s="1138"/>
      <c r="I693" s="1002" t="s">
        <v>892</v>
      </c>
      <c r="J693" s="1007" t="s">
        <v>651</v>
      </c>
      <c r="K693" s="1024" t="s">
        <v>652</v>
      </c>
      <c r="M693" s="1093">
        <v>1</v>
      </c>
      <c r="N693" s="1081">
        <v>0</v>
      </c>
      <c r="O693" s="1081">
        <f t="shared" si="138"/>
        <v>0</v>
      </c>
      <c r="P693" s="1081">
        <f t="shared" si="139"/>
        <v>0</v>
      </c>
      <c r="Q693" s="1081">
        <f t="shared" si="140"/>
        <v>0</v>
      </c>
      <c r="R693" s="1081"/>
      <c r="S693" s="1083"/>
      <c r="T693" s="1148"/>
      <c r="U693" s="1083"/>
      <c r="V693" s="1083">
        <f t="shared" si="136"/>
        <v>0</v>
      </c>
    </row>
    <row r="694" spans="1:22" s="1002" customFormat="1" hidden="1">
      <c r="A694" s="1000" t="s">
        <v>664</v>
      </c>
      <c r="B694" s="1028" t="s">
        <v>1495</v>
      </c>
      <c r="C694" s="1087">
        <v>46232</v>
      </c>
      <c r="D694" s="1087"/>
      <c r="F694" s="1111"/>
      <c r="H694" s="1138"/>
      <c r="I694" s="1002" t="s">
        <v>892</v>
      </c>
      <c r="J694" s="1007" t="s">
        <v>653</v>
      </c>
      <c r="K694" s="1024" t="s">
        <v>654</v>
      </c>
      <c r="M694" s="1093">
        <v>1</v>
      </c>
      <c r="N694" s="1081">
        <v>0</v>
      </c>
      <c r="O694" s="1081">
        <f t="shared" si="138"/>
        <v>0</v>
      </c>
      <c r="P694" s="1081">
        <f t="shared" si="139"/>
        <v>0</v>
      </c>
      <c r="Q694" s="1081">
        <f t="shared" si="140"/>
        <v>0</v>
      </c>
      <c r="R694" s="1081"/>
      <c r="S694" s="1083"/>
      <c r="T694" s="1148"/>
      <c r="U694" s="1083"/>
      <c r="V694" s="1083">
        <f t="shared" si="136"/>
        <v>0</v>
      </c>
    </row>
    <row r="695" spans="1:22" s="1002" customFormat="1" hidden="1">
      <c r="A695" s="1000" t="s">
        <v>664</v>
      </c>
      <c r="B695" s="1028" t="s">
        <v>1495</v>
      </c>
      <c r="C695" s="1087">
        <v>46232</v>
      </c>
      <c r="D695" s="1087"/>
      <c r="F695" s="1111"/>
      <c r="H695" s="1138"/>
      <c r="I695" s="1002" t="s">
        <v>892</v>
      </c>
      <c r="J695" s="1007" t="s">
        <v>655</v>
      </c>
      <c r="K695" s="1024" t="s">
        <v>656</v>
      </c>
      <c r="M695" s="1093">
        <v>1</v>
      </c>
      <c r="N695" s="1081">
        <v>0</v>
      </c>
      <c r="O695" s="1081">
        <f t="shared" si="138"/>
        <v>0</v>
      </c>
      <c r="P695" s="1081">
        <f t="shared" si="139"/>
        <v>0</v>
      </c>
      <c r="Q695" s="1081">
        <f t="shared" si="140"/>
        <v>0</v>
      </c>
      <c r="R695" s="1081"/>
      <c r="S695" s="1083"/>
      <c r="T695" s="1148"/>
      <c r="U695" s="1083"/>
      <c r="V695" s="1083">
        <f t="shared" si="136"/>
        <v>0</v>
      </c>
    </row>
    <row r="696" spans="1:22" s="1002" customFormat="1" hidden="1">
      <c r="A696" s="1000" t="s">
        <v>664</v>
      </c>
      <c r="B696" s="1028" t="s">
        <v>1495</v>
      </c>
      <c r="C696" s="1087">
        <v>46233</v>
      </c>
      <c r="D696" s="1087"/>
      <c r="F696" s="1087">
        <v>46233</v>
      </c>
      <c r="H696" s="1140" t="s">
        <v>842</v>
      </c>
      <c r="I696" s="1008" t="s">
        <v>843</v>
      </c>
      <c r="J696" s="1007" t="s">
        <v>161</v>
      </c>
      <c r="K696" s="1019" t="s">
        <v>162</v>
      </c>
      <c r="M696" s="1093">
        <v>-14</v>
      </c>
      <c r="N696" s="1081">
        <v>231481.48</v>
      </c>
      <c r="O696" s="1081">
        <f t="shared" si="138"/>
        <v>-3240740.72</v>
      </c>
      <c r="P696" s="1081">
        <f t="shared" si="139"/>
        <v>-259259.25760000001</v>
      </c>
      <c r="Q696" s="1081">
        <f t="shared" si="140"/>
        <v>-3499999.9776000003</v>
      </c>
      <c r="R696" s="1081"/>
      <c r="S696" s="1083"/>
      <c r="T696" s="1148"/>
      <c r="U696" s="1083"/>
      <c r="V696" s="1083">
        <f t="shared" si="136"/>
        <v>-3499999.9776000003</v>
      </c>
    </row>
    <row r="697" spans="1:22" s="1002" customFormat="1" ht="31.5" hidden="1">
      <c r="A697" s="1000" t="s">
        <v>664</v>
      </c>
      <c r="B697" s="1028" t="s">
        <v>1495</v>
      </c>
      <c r="C697" s="1087">
        <v>46233</v>
      </c>
      <c r="D697" s="1087"/>
      <c r="F697" s="1087">
        <v>46233</v>
      </c>
      <c r="H697" s="1140" t="s">
        <v>842</v>
      </c>
      <c r="I697" s="1008" t="s">
        <v>843</v>
      </c>
      <c r="J697" s="1007" t="s">
        <v>165</v>
      </c>
      <c r="K697" s="1019" t="s">
        <v>409</v>
      </c>
      <c r="M697" s="1093">
        <v>-57</v>
      </c>
      <c r="N697" s="1081">
        <v>203703.7</v>
      </c>
      <c r="O697" s="1081">
        <f>M697*N697</f>
        <v>-11611110.9</v>
      </c>
      <c r="P697" s="1081">
        <f>O697*8%</f>
        <v>-928888.87200000009</v>
      </c>
      <c r="Q697" s="1081">
        <f>O697+P697</f>
        <v>-12539999.772</v>
      </c>
      <c r="R697" s="1081"/>
      <c r="S697" s="1083"/>
      <c r="T697" s="1148"/>
      <c r="U697" s="1083"/>
      <c r="V697" s="1083">
        <f t="shared" si="136"/>
        <v>-12539999.772</v>
      </c>
    </row>
    <row r="698" spans="1:22" s="1002" customFormat="1" ht="31.5" hidden="1">
      <c r="A698" s="1000" t="s">
        <v>664</v>
      </c>
      <c r="B698" s="1028" t="s">
        <v>1495</v>
      </c>
      <c r="C698" s="1087">
        <v>46233</v>
      </c>
      <c r="D698" s="1087"/>
      <c r="F698" s="1087">
        <v>46233</v>
      </c>
      <c r="H698" s="1140" t="s">
        <v>842</v>
      </c>
      <c r="I698" s="1008" t="s">
        <v>843</v>
      </c>
      <c r="J698" s="1007" t="s">
        <v>167</v>
      </c>
      <c r="K698" s="1019" t="s">
        <v>410</v>
      </c>
      <c r="M698" s="1093">
        <v>-25</v>
      </c>
      <c r="N698" s="1081">
        <v>231481.48</v>
      </c>
      <c r="O698" s="1081">
        <f>M698*N698</f>
        <v>-5787037</v>
      </c>
      <c r="P698" s="1081">
        <f>O698*8%</f>
        <v>-462962.96</v>
      </c>
      <c r="Q698" s="1081">
        <f>O698+P698</f>
        <v>-6249999.96</v>
      </c>
      <c r="R698" s="1081"/>
      <c r="S698" s="1083"/>
      <c r="T698" s="1148"/>
      <c r="U698" s="1083"/>
      <c r="V698" s="1083">
        <f t="shared" si="136"/>
        <v>-6249999.96</v>
      </c>
    </row>
    <row r="699" spans="1:22" s="1002" customFormat="1" ht="31.5" hidden="1">
      <c r="A699" s="1000" t="s">
        <v>664</v>
      </c>
      <c r="B699" s="1028" t="s">
        <v>1495</v>
      </c>
      <c r="C699" s="1087">
        <v>46233</v>
      </c>
      <c r="D699" s="1087"/>
      <c r="F699" s="1111"/>
      <c r="H699" s="1140"/>
      <c r="I699" s="1008" t="s">
        <v>516</v>
      </c>
      <c r="J699" s="1007" t="s">
        <v>163</v>
      </c>
      <c r="K699" s="1019" t="s">
        <v>164</v>
      </c>
      <c r="M699" s="1093">
        <v>-19</v>
      </c>
      <c r="N699" s="1081">
        <v>231481.48</v>
      </c>
      <c r="O699" s="1081">
        <f>M699*N699</f>
        <v>-4398148.12</v>
      </c>
      <c r="P699" s="1081">
        <f>O699*8%</f>
        <v>-351851.84960000002</v>
      </c>
      <c r="Q699" s="1081">
        <f>O699+P699</f>
        <v>-4749999.9696000004</v>
      </c>
      <c r="R699" s="1081"/>
      <c r="S699" s="1083"/>
      <c r="T699" s="1148"/>
      <c r="U699" s="1083"/>
      <c r="V699" s="1083">
        <f t="shared" si="136"/>
        <v>-4749999.9696000004</v>
      </c>
    </row>
    <row r="700" spans="1:22" s="1002" customFormat="1" hidden="1">
      <c r="A700" s="1000" t="s">
        <v>664</v>
      </c>
      <c r="B700" s="1028" t="s">
        <v>1495</v>
      </c>
      <c r="C700" s="1087">
        <v>46233</v>
      </c>
      <c r="D700" s="1087"/>
      <c r="F700" s="1111"/>
      <c r="H700" s="1140"/>
      <c r="I700" s="1008" t="s">
        <v>516</v>
      </c>
      <c r="J700" s="1007" t="s">
        <v>169</v>
      </c>
      <c r="K700" s="1019" t="s">
        <v>170</v>
      </c>
      <c r="M700" s="1093">
        <v>-20</v>
      </c>
      <c r="N700" s="1081">
        <v>425925.93</v>
      </c>
      <c r="O700" s="1081">
        <f>M700*N700</f>
        <v>-8518518.5999999996</v>
      </c>
      <c r="P700" s="1081">
        <f>O700*8%</f>
        <v>-681481.48800000001</v>
      </c>
      <c r="Q700" s="1081">
        <f>O700+P700</f>
        <v>-9200000.0879999995</v>
      </c>
      <c r="R700" s="1081"/>
      <c r="S700" s="1083"/>
      <c r="T700" s="1148"/>
      <c r="U700" s="1083"/>
      <c r="V700" s="1083">
        <f t="shared" si="136"/>
        <v>-9200000.0879999995</v>
      </c>
    </row>
    <row r="701" spans="1:22" s="1002" customFormat="1" hidden="1">
      <c r="A701" s="1000" t="s">
        <v>761</v>
      </c>
      <c r="B701" s="1028" t="s">
        <v>1496</v>
      </c>
      <c r="C701" s="1066" t="s">
        <v>176</v>
      </c>
      <c r="D701" s="1066"/>
      <c r="F701" s="1141" t="s">
        <v>176</v>
      </c>
      <c r="H701" s="1138" t="s">
        <v>177</v>
      </c>
      <c r="I701" s="1002" t="s">
        <v>1497</v>
      </c>
      <c r="J701" s="1007" t="s">
        <v>80</v>
      </c>
      <c r="K701" s="1002" t="s">
        <v>81</v>
      </c>
      <c r="L701" s="1002" t="s">
        <v>18</v>
      </c>
      <c r="M701" s="1086">
        <v>20</v>
      </c>
      <c r="N701" s="1081">
        <v>824074.05</v>
      </c>
      <c r="O701" s="1107">
        <f t="shared" ref="O701:O715" si="141">N701*M701</f>
        <v>16481481</v>
      </c>
      <c r="P701" s="1107">
        <v>1318522</v>
      </c>
      <c r="Q701" s="1107">
        <f t="shared" ref="Q701:Q715" si="142">O701+P701</f>
        <v>17800003</v>
      </c>
      <c r="R701" s="1107"/>
      <c r="S701" s="1083"/>
      <c r="T701" s="1083"/>
      <c r="U701" s="1083"/>
      <c r="V701" s="1083">
        <f t="shared" si="136"/>
        <v>17800003</v>
      </c>
    </row>
    <row r="702" spans="1:22" s="1002" customFormat="1" hidden="1">
      <c r="A702" s="1000" t="s">
        <v>761</v>
      </c>
      <c r="B702" s="1028" t="s">
        <v>1496</v>
      </c>
      <c r="C702" s="1066" t="s">
        <v>176</v>
      </c>
      <c r="D702" s="1066"/>
      <c r="F702" s="1141" t="s">
        <v>176</v>
      </c>
      <c r="H702" s="1138" t="s">
        <v>177</v>
      </c>
      <c r="I702" s="1002" t="s">
        <v>1497</v>
      </c>
      <c r="J702" s="1007" t="s">
        <v>21</v>
      </c>
      <c r="K702" s="1005" t="s">
        <v>22</v>
      </c>
      <c r="M702" s="1086">
        <v>20</v>
      </c>
      <c r="N702" s="1081">
        <v>937962.95</v>
      </c>
      <c r="O702" s="1107">
        <f t="shared" si="141"/>
        <v>18759259</v>
      </c>
      <c r="P702" s="1107">
        <f t="shared" ref="P702:P715" si="143">O702*8%</f>
        <v>1500740.72</v>
      </c>
      <c r="Q702" s="1107">
        <f t="shared" si="142"/>
        <v>20259999.719999999</v>
      </c>
      <c r="R702" s="1107"/>
      <c r="S702" s="1083"/>
      <c r="T702" s="1083"/>
      <c r="U702" s="1083"/>
      <c r="V702" s="1083">
        <f t="shared" si="136"/>
        <v>20259999.719999999</v>
      </c>
    </row>
    <row r="703" spans="1:22" s="1002" customFormat="1" hidden="1">
      <c r="A703" s="1000" t="s">
        <v>761</v>
      </c>
      <c r="B703" s="1028" t="s">
        <v>1496</v>
      </c>
      <c r="C703" s="1066" t="s">
        <v>176</v>
      </c>
      <c r="D703" s="1066"/>
      <c r="F703" s="1141" t="s">
        <v>176</v>
      </c>
      <c r="H703" s="1138" t="s">
        <v>177</v>
      </c>
      <c r="I703" s="1002" t="s">
        <v>1497</v>
      </c>
      <c r="J703" s="1007" t="s">
        <v>68</v>
      </c>
      <c r="K703" s="1005" t="s">
        <v>69</v>
      </c>
      <c r="M703" s="1086">
        <v>60</v>
      </c>
      <c r="N703" s="1081">
        <v>111111.11</v>
      </c>
      <c r="O703" s="1107">
        <f t="shared" si="141"/>
        <v>6666666.5999999996</v>
      </c>
      <c r="P703" s="1107">
        <f t="shared" si="143"/>
        <v>533333.32799999998</v>
      </c>
      <c r="Q703" s="1107">
        <f t="shared" si="142"/>
        <v>7199999.9279999994</v>
      </c>
      <c r="R703" s="1107"/>
      <c r="S703" s="1083"/>
      <c r="T703" s="1083"/>
      <c r="U703" s="1083"/>
      <c r="V703" s="1083">
        <f t="shared" si="136"/>
        <v>7199999.9279999994</v>
      </c>
    </row>
    <row r="704" spans="1:22" s="1002" customFormat="1" hidden="1">
      <c r="A704" s="1000" t="s">
        <v>761</v>
      </c>
      <c r="B704" s="1028" t="s">
        <v>1496</v>
      </c>
      <c r="C704" s="1066" t="s">
        <v>176</v>
      </c>
      <c r="D704" s="1066"/>
      <c r="F704" s="1141" t="s">
        <v>176</v>
      </c>
      <c r="H704" s="1138" t="s">
        <v>177</v>
      </c>
      <c r="I704" s="1002" t="s">
        <v>1497</v>
      </c>
      <c r="J704" s="1007" t="s">
        <v>70</v>
      </c>
      <c r="K704" s="1005" t="s">
        <v>179</v>
      </c>
      <c r="M704" s="1086">
        <v>60</v>
      </c>
      <c r="N704" s="1081">
        <v>120370.37</v>
      </c>
      <c r="O704" s="1107">
        <f t="shared" si="141"/>
        <v>7222222.1999999993</v>
      </c>
      <c r="P704" s="1107">
        <f t="shared" si="143"/>
        <v>577777.77599999995</v>
      </c>
      <c r="Q704" s="1107">
        <f t="shared" si="142"/>
        <v>7799999.9759999989</v>
      </c>
      <c r="R704" s="1107"/>
      <c r="S704" s="1083"/>
      <c r="T704" s="1083"/>
      <c r="U704" s="1083"/>
      <c r="V704" s="1083">
        <f t="shared" si="136"/>
        <v>7799999.9759999989</v>
      </c>
    </row>
    <row r="705" spans="1:22" s="1002" customFormat="1" hidden="1">
      <c r="A705" s="1000" t="s">
        <v>761</v>
      </c>
      <c r="B705" s="1028" t="s">
        <v>1496</v>
      </c>
      <c r="C705" s="1066" t="s">
        <v>176</v>
      </c>
      <c r="D705" s="1066"/>
      <c r="F705" s="1141" t="s">
        <v>176</v>
      </c>
      <c r="H705" s="1138" t="s">
        <v>177</v>
      </c>
      <c r="I705" s="1002" t="s">
        <v>1497</v>
      </c>
      <c r="J705" s="1007" t="s">
        <v>72</v>
      </c>
      <c r="K705" s="1005" t="s">
        <v>73</v>
      </c>
      <c r="M705" s="1086">
        <v>60</v>
      </c>
      <c r="N705" s="1081">
        <v>129629.63</v>
      </c>
      <c r="O705" s="1107">
        <f t="shared" si="141"/>
        <v>7777777.8000000007</v>
      </c>
      <c r="P705" s="1107">
        <f t="shared" si="143"/>
        <v>622222.22400000005</v>
      </c>
      <c r="Q705" s="1107">
        <f t="shared" si="142"/>
        <v>8400000.0240000002</v>
      </c>
      <c r="R705" s="1107"/>
      <c r="S705" s="1083"/>
      <c r="T705" s="1083"/>
      <c r="U705" s="1083"/>
      <c r="V705" s="1083">
        <f t="shared" si="136"/>
        <v>8400000.0240000002</v>
      </c>
    </row>
    <row r="706" spans="1:22" s="1002" customFormat="1" hidden="1">
      <c r="A706" s="1000" t="s">
        <v>761</v>
      </c>
      <c r="B706" s="1028" t="s">
        <v>1496</v>
      </c>
      <c r="C706" s="1066" t="s">
        <v>176</v>
      </c>
      <c r="D706" s="1066"/>
      <c r="F706" s="1141" t="s">
        <v>176</v>
      </c>
      <c r="H706" s="1138" t="s">
        <v>177</v>
      </c>
      <c r="I706" s="1002" t="s">
        <v>1497</v>
      </c>
      <c r="J706" s="1007" t="s">
        <v>180</v>
      </c>
      <c r="K706" s="1005" t="s">
        <v>181</v>
      </c>
      <c r="M706" s="1086">
        <v>20</v>
      </c>
      <c r="N706" s="1081">
        <v>234259.26</v>
      </c>
      <c r="O706" s="1107">
        <f t="shared" si="141"/>
        <v>4685185.2</v>
      </c>
      <c r="P706" s="1107">
        <f t="shared" si="143"/>
        <v>374814.81600000005</v>
      </c>
      <c r="Q706" s="1107">
        <f t="shared" si="142"/>
        <v>5060000.0159999998</v>
      </c>
      <c r="R706" s="1107"/>
      <c r="S706" s="1083"/>
      <c r="T706" s="1083"/>
      <c r="U706" s="1083"/>
      <c r="V706" s="1083">
        <f t="shared" si="136"/>
        <v>5060000.0159999998</v>
      </c>
    </row>
    <row r="707" spans="1:22" s="1002" customFormat="1" hidden="1">
      <c r="A707" s="1000" t="s">
        <v>761</v>
      </c>
      <c r="B707" s="1028" t="s">
        <v>1496</v>
      </c>
      <c r="C707" s="1066" t="s">
        <v>176</v>
      </c>
      <c r="D707" s="1066"/>
      <c r="F707" s="1141" t="s">
        <v>176</v>
      </c>
      <c r="H707" s="1138" t="s">
        <v>177</v>
      </c>
      <c r="I707" s="1002" t="s">
        <v>1497</v>
      </c>
      <c r="J707" s="1007" t="s">
        <v>26</v>
      </c>
      <c r="K707" s="1005" t="s">
        <v>182</v>
      </c>
      <c r="M707" s="1086">
        <v>20</v>
      </c>
      <c r="N707" s="1081">
        <v>256481.48</v>
      </c>
      <c r="O707" s="1107">
        <f t="shared" si="141"/>
        <v>5129629.6000000006</v>
      </c>
      <c r="P707" s="1107">
        <f t="shared" si="143"/>
        <v>410370.36800000007</v>
      </c>
      <c r="Q707" s="1107">
        <f t="shared" si="142"/>
        <v>5539999.9680000003</v>
      </c>
      <c r="R707" s="1107"/>
      <c r="S707" s="1083"/>
      <c r="T707" s="1083"/>
      <c r="U707" s="1083"/>
      <c r="V707" s="1083">
        <f t="shared" si="136"/>
        <v>5539999.9680000003</v>
      </c>
    </row>
    <row r="708" spans="1:22" s="1002" customFormat="1" hidden="1">
      <c r="A708" s="1000" t="s">
        <v>761</v>
      </c>
      <c r="B708" s="1028" t="s">
        <v>1496</v>
      </c>
      <c r="C708" s="1066" t="s">
        <v>176</v>
      </c>
      <c r="D708" s="1066"/>
      <c r="F708" s="1141" t="s">
        <v>176</v>
      </c>
      <c r="H708" s="1138" t="s">
        <v>177</v>
      </c>
      <c r="I708" s="1002" t="s">
        <v>1497</v>
      </c>
      <c r="J708" s="1007" t="s">
        <v>28</v>
      </c>
      <c r="K708" s="1005" t="s">
        <v>183</v>
      </c>
      <c r="M708" s="1086">
        <v>20</v>
      </c>
      <c r="N708" s="1081">
        <v>281481.48</v>
      </c>
      <c r="O708" s="1107">
        <f t="shared" si="141"/>
        <v>5629629.5999999996</v>
      </c>
      <c r="P708" s="1107">
        <f t="shared" si="143"/>
        <v>450370.36799999996</v>
      </c>
      <c r="Q708" s="1107">
        <f t="shared" si="142"/>
        <v>6079999.9679999994</v>
      </c>
      <c r="R708" s="1107"/>
      <c r="S708" s="1083"/>
      <c r="T708" s="1083"/>
      <c r="U708" s="1083"/>
      <c r="V708" s="1083">
        <f t="shared" si="136"/>
        <v>6079999.9679999994</v>
      </c>
    </row>
    <row r="709" spans="1:22" s="1002" customFormat="1" hidden="1">
      <c r="A709" s="1000" t="s">
        <v>761</v>
      </c>
      <c r="B709" s="1028" t="s">
        <v>1496</v>
      </c>
      <c r="C709" s="1066" t="s">
        <v>176</v>
      </c>
      <c r="D709" s="1066"/>
      <c r="F709" s="1141" t="s">
        <v>176</v>
      </c>
      <c r="H709" s="1138" t="s">
        <v>177</v>
      </c>
      <c r="I709" s="1002" t="s">
        <v>1497</v>
      </c>
      <c r="J709" s="1007" t="s">
        <v>184</v>
      </c>
      <c r="K709" s="1005" t="s">
        <v>185</v>
      </c>
      <c r="M709" s="1086">
        <v>20</v>
      </c>
      <c r="N709" s="1081">
        <v>227777.78</v>
      </c>
      <c r="O709" s="1107">
        <f t="shared" si="141"/>
        <v>4555555.5999999996</v>
      </c>
      <c r="P709" s="1107">
        <f t="shared" si="143"/>
        <v>364444.44799999997</v>
      </c>
      <c r="Q709" s="1107">
        <f t="shared" si="142"/>
        <v>4920000.0479999995</v>
      </c>
      <c r="R709" s="1107"/>
      <c r="S709" s="1083"/>
      <c r="T709" s="1083"/>
      <c r="U709" s="1083"/>
      <c r="V709" s="1083">
        <f t="shared" si="136"/>
        <v>4920000.0479999995</v>
      </c>
    </row>
    <row r="710" spans="1:22" s="1002" customFormat="1" ht="31.5" hidden="1">
      <c r="A710" s="1000" t="s">
        <v>761</v>
      </c>
      <c r="B710" s="1028" t="s">
        <v>1496</v>
      </c>
      <c r="C710" s="1066" t="s">
        <v>176</v>
      </c>
      <c r="D710" s="1066"/>
      <c r="F710" s="1141" t="s">
        <v>176</v>
      </c>
      <c r="H710" s="1138" t="s">
        <v>177</v>
      </c>
      <c r="I710" s="1002" t="s">
        <v>1497</v>
      </c>
      <c r="J710" s="1007" t="s">
        <v>30</v>
      </c>
      <c r="K710" s="1007" t="s">
        <v>186</v>
      </c>
      <c r="M710" s="1086">
        <v>20</v>
      </c>
      <c r="N710" s="1081">
        <v>252777.78</v>
      </c>
      <c r="O710" s="1107">
        <f t="shared" si="141"/>
        <v>5055555.5999999996</v>
      </c>
      <c r="P710" s="1107">
        <f t="shared" si="143"/>
        <v>404444.44799999997</v>
      </c>
      <c r="Q710" s="1107">
        <f t="shared" si="142"/>
        <v>5460000.0479999995</v>
      </c>
      <c r="R710" s="1107"/>
      <c r="S710" s="1083"/>
      <c r="T710" s="1083"/>
      <c r="U710" s="1083"/>
      <c r="V710" s="1083">
        <f t="shared" si="136"/>
        <v>5460000.0479999995</v>
      </c>
    </row>
    <row r="711" spans="1:22" s="1002" customFormat="1" hidden="1">
      <c r="A711" s="1000" t="s">
        <v>761</v>
      </c>
      <c r="B711" s="1028" t="s">
        <v>1496</v>
      </c>
      <c r="C711" s="1066" t="s">
        <v>176</v>
      </c>
      <c r="D711" s="1066"/>
      <c r="F711" s="1141" t="s">
        <v>176</v>
      </c>
      <c r="H711" s="1138" t="s">
        <v>177</v>
      </c>
      <c r="I711" s="1002" t="s">
        <v>1497</v>
      </c>
      <c r="J711" s="1007" t="s">
        <v>32</v>
      </c>
      <c r="K711" s="1005" t="s">
        <v>187</v>
      </c>
      <c r="M711" s="1086">
        <v>20</v>
      </c>
      <c r="N711" s="1081">
        <v>256481.48</v>
      </c>
      <c r="O711" s="1107">
        <f t="shared" si="141"/>
        <v>5129629.6000000006</v>
      </c>
      <c r="P711" s="1107">
        <f t="shared" si="143"/>
        <v>410370.36800000007</v>
      </c>
      <c r="Q711" s="1107">
        <f t="shared" si="142"/>
        <v>5539999.9680000003</v>
      </c>
      <c r="R711" s="1107"/>
      <c r="S711" s="1083"/>
      <c r="T711" s="1083"/>
      <c r="U711" s="1083"/>
      <c r="V711" s="1083">
        <f t="shared" si="136"/>
        <v>5539999.9680000003</v>
      </c>
    </row>
    <row r="712" spans="1:22" s="1002" customFormat="1" hidden="1">
      <c r="A712" s="1000" t="s">
        <v>761</v>
      </c>
      <c r="B712" s="1028" t="s">
        <v>1496</v>
      </c>
      <c r="C712" s="1066" t="s">
        <v>176</v>
      </c>
      <c r="D712" s="1066"/>
      <c r="F712" s="1141" t="s">
        <v>176</v>
      </c>
      <c r="H712" s="1138" t="s">
        <v>177</v>
      </c>
      <c r="I712" s="1002" t="s">
        <v>1497</v>
      </c>
      <c r="J712" s="1007" t="s">
        <v>34</v>
      </c>
      <c r="K712" s="1005" t="s">
        <v>188</v>
      </c>
      <c r="M712" s="1086">
        <v>20</v>
      </c>
      <c r="N712" s="1081">
        <v>227777.78</v>
      </c>
      <c r="O712" s="1107">
        <f t="shared" si="141"/>
        <v>4555555.5999999996</v>
      </c>
      <c r="P712" s="1107">
        <f t="shared" si="143"/>
        <v>364444.44799999997</v>
      </c>
      <c r="Q712" s="1107">
        <f t="shared" si="142"/>
        <v>4920000.0479999995</v>
      </c>
      <c r="R712" s="1107"/>
      <c r="S712" s="1083"/>
      <c r="T712" s="1083"/>
      <c r="U712" s="1083"/>
      <c r="V712" s="1083">
        <f t="shared" si="136"/>
        <v>4920000.0479999995</v>
      </c>
    </row>
    <row r="713" spans="1:22" s="1002" customFormat="1" hidden="1">
      <c r="A713" s="1000" t="s">
        <v>761</v>
      </c>
      <c r="B713" s="1028" t="s">
        <v>1496</v>
      </c>
      <c r="C713" s="1066" t="s">
        <v>176</v>
      </c>
      <c r="D713" s="1066"/>
      <c r="F713" s="1141" t="s">
        <v>176</v>
      </c>
      <c r="H713" s="1138" t="s">
        <v>177</v>
      </c>
      <c r="I713" s="1002" t="s">
        <v>1497</v>
      </c>
      <c r="J713" s="1007" t="s">
        <v>36</v>
      </c>
      <c r="K713" s="1005" t="s">
        <v>189</v>
      </c>
      <c r="M713" s="1086">
        <v>20</v>
      </c>
      <c r="N713" s="1081">
        <v>252777.78</v>
      </c>
      <c r="O713" s="1107">
        <f t="shared" si="141"/>
        <v>5055555.5999999996</v>
      </c>
      <c r="P713" s="1107">
        <f t="shared" si="143"/>
        <v>404444.44799999997</v>
      </c>
      <c r="Q713" s="1107">
        <f t="shared" si="142"/>
        <v>5460000.0479999995</v>
      </c>
      <c r="R713" s="1107"/>
      <c r="S713" s="1083"/>
      <c r="T713" s="1083"/>
      <c r="U713" s="1083"/>
      <c r="V713" s="1083">
        <f t="shared" si="136"/>
        <v>5460000.0479999995</v>
      </c>
    </row>
    <row r="714" spans="1:22" s="1002" customFormat="1" hidden="1">
      <c r="A714" s="1000" t="s">
        <v>761</v>
      </c>
      <c r="B714" s="1028" t="s">
        <v>1496</v>
      </c>
      <c r="C714" s="1066" t="s">
        <v>176</v>
      </c>
      <c r="D714" s="1066"/>
      <c r="F714" s="1141" t="s">
        <v>176</v>
      </c>
      <c r="H714" s="1138" t="s">
        <v>177</v>
      </c>
      <c r="I714" s="1002" t="s">
        <v>1497</v>
      </c>
      <c r="J714" s="1007" t="s">
        <v>38</v>
      </c>
      <c r="K714" s="1005" t="s">
        <v>190</v>
      </c>
      <c r="M714" s="1086">
        <v>20</v>
      </c>
      <c r="N714" s="1081">
        <v>277777.78000000003</v>
      </c>
      <c r="O714" s="1107">
        <f t="shared" si="141"/>
        <v>5555555.6000000006</v>
      </c>
      <c r="P714" s="1107">
        <f t="shared" si="143"/>
        <v>444444.44800000003</v>
      </c>
      <c r="Q714" s="1107">
        <f t="shared" si="142"/>
        <v>6000000.0480000004</v>
      </c>
      <c r="R714" s="1107"/>
      <c r="S714" s="1083"/>
      <c r="T714" s="1083"/>
      <c r="U714" s="1083"/>
      <c r="V714" s="1083">
        <f t="shared" si="136"/>
        <v>6000000.0480000004</v>
      </c>
    </row>
    <row r="715" spans="1:22" s="1002" customFormat="1" hidden="1">
      <c r="A715" s="1000" t="s">
        <v>761</v>
      </c>
      <c r="B715" s="1028" t="s">
        <v>1496</v>
      </c>
      <c r="C715" s="1066" t="s">
        <v>176</v>
      </c>
      <c r="D715" s="1066"/>
      <c r="F715" s="1141" t="s">
        <v>176</v>
      </c>
      <c r="H715" s="1138" t="s">
        <v>177</v>
      </c>
      <c r="I715" s="1002" t="s">
        <v>1497</v>
      </c>
      <c r="J715" s="1007" t="s">
        <v>40</v>
      </c>
      <c r="K715" s="1005" t="s">
        <v>41</v>
      </c>
      <c r="M715" s="1086">
        <v>20</v>
      </c>
      <c r="N715" s="1081">
        <v>844444.44</v>
      </c>
      <c r="O715" s="1107">
        <f t="shared" si="141"/>
        <v>16888888.799999997</v>
      </c>
      <c r="P715" s="1107">
        <f t="shared" si="143"/>
        <v>1351111.1039999998</v>
      </c>
      <c r="Q715" s="1107">
        <f t="shared" si="142"/>
        <v>18239999.903999995</v>
      </c>
      <c r="R715" s="1107"/>
      <c r="S715" s="1083"/>
      <c r="T715" s="1083"/>
      <c r="U715" s="1083"/>
      <c r="V715" s="1083">
        <f t="shared" si="136"/>
        <v>18239999.903999995</v>
      </c>
    </row>
    <row r="716" spans="1:22" s="1002" customFormat="1" hidden="1">
      <c r="A716" s="1000" t="s">
        <v>761</v>
      </c>
      <c r="B716" s="1028" t="s">
        <v>1496</v>
      </c>
      <c r="C716" s="1066" t="s">
        <v>176</v>
      </c>
      <c r="D716" s="1066"/>
      <c r="F716" s="1141" t="s">
        <v>176</v>
      </c>
      <c r="H716" s="1138" t="s">
        <v>177</v>
      </c>
      <c r="I716" s="1002" t="s">
        <v>1497</v>
      </c>
      <c r="J716" s="1007" t="s">
        <v>119</v>
      </c>
      <c r="K716" s="1005" t="s">
        <v>191</v>
      </c>
      <c r="M716" s="1086">
        <v>6</v>
      </c>
      <c r="N716" s="1081">
        <v>659259.26</v>
      </c>
      <c r="O716" s="1107">
        <v>3955555.56</v>
      </c>
      <c r="P716" s="1107">
        <v>316444.44</v>
      </c>
      <c r="Q716" s="1107">
        <v>4272000</v>
      </c>
      <c r="R716" s="1107"/>
      <c r="S716" s="1083"/>
      <c r="T716" s="1083"/>
      <c r="U716" s="1083"/>
      <c r="V716" s="1083">
        <f t="shared" ref="V716:V779" si="144">Q716-R716-S716-T716-U716</f>
        <v>4272000</v>
      </c>
    </row>
    <row r="717" spans="1:22" s="1002" customFormat="1" hidden="1">
      <c r="A717" s="1000" t="s">
        <v>761</v>
      </c>
      <c r="B717" s="1028" t="s">
        <v>1496</v>
      </c>
      <c r="C717" s="1066" t="s">
        <v>176</v>
      </c>
      <c r="D717" s="1066"/>
      <c r="F717" s="1141" t="s">
        <v>176</v>
      </c>
      <c r="H717" s="1138" t="s">
        <v>177</v>
      </c>
      <c r="I717" s="1002" t="s">
        <v>1497</v>
      </c>
      <c r="J717" s="1007" t="s">
        <v>42</v>
      </c>
      <c r="K717" s="1005" t="s">
        <v>43</v>
      </c>
      <c r="M717" s="1086">
        <v>6</v>
      </c>
      <c r="N717" s="1081">
        <v>569444.43999999994</v>
      </c>
      <c r="O717" s="1107">
        <f>M717*N717</f>
        <v>3416666.6399999997</v>
      </c>
      <c r="P717" s="1107">
        <f t="shared" ref="P717:P724" si="145">O717*8%</f>
        <v>273333.33119999996</v>
      </c>
      <c r="Q717" s="1107">
        <f t="shared" ref="Q717:Q724" si="146">O717+P717</f>
        <v>3689999.9711999996</v>
      </c>
      <c r="R717" s="1107"/>
      <c r="S717" s="1083"/>
      <c r="T717" s="1083"/>
      <c r="U717" s="1083"/>
      <c r="V717" s="1083">
        <f t="shared" si="144"/>
        <v>3689999.9711999996</v>
      </c>
    </row>
    <row r="718" spans="1:22" s="1002" customFormat="1" hidden="1">
      <c r="A718" s="1000" t="s">
        <v>761</v>
      </c>
      <c r="B718" s="1028" t="s">
        <v>1496</v>
      </c>
      <c r="C718" s="1066" t="s">
        <v>176</v>
      </c>
      <c r="D718" s="1066"/>
      <c r="F718" s="1141" t="s">
        <v>176</v>
      </c>
      <c r="H718" s="1138" t="s">
        <v>177</v>
      </c>
      <c r="I718" s="1002" t="s">
        <v>1497</v>
      </c>
      <c r="J718" s="1007" t="s">
        <v>44</v>
      </c>
      <c r="K718" s="1005" t="s">
        <v>45</v>
      </c>
      <c r="M718" s="1086">
        <v>20</v>
      </c>
      <c r="N718" s="1081">
        <v>564814.81000000006</v>
      </c>
      <c r="O718" s="1107">
        <f>M718*N718</f>
        <v>11296296.200000001</v>
      </c>
      <c r="P718" s="1107">
        <f t="shared" si="145"/>
        <v>903703.69600000011</v>
      </c>
      <c r="Q718" s="1107">
        <f t="shared" si="146"/>
        <v>12199999.896000002</v>
      </c>
      <c r="R718" s="1107"/>
      <c r="S718" s="1083"/>
      <c r="T718" s="1083"/>
      <c r="U718" s="1083"/>
      <c r="V718" s="1083">
        <f t="shared" si="144"/>
        <v>12199999.896000002</v>
      </c>
    </row>
    <row r="719" spans="1:22" s="1002" customFormat="1" hidden="1">
      <c r="A719" s="1000" t="s">
        <v>761</v>
      </c>
      <c r="B719" s="1028" t="s">
        <v>1496</v>
      </c>
      <c r="C719" s="1066" t="s">
        <v>176</v>
      </c>
      <c r="D719" s="1066"/>
      <c r="F719" s="1141" t="s">
        <v>176</v>
      </c>
      <c r="H719" s="1138" t="s">
        <v>177</v>
      </c>
      <c r="I719" s="1002" t="s">
        <v>1497</v>
      </c>
      <c r="J719" s="1007" t="s">
        <v>148</v>
      </c>
      <c r="K719" s="1005" t="s">
        <v>149</v>
      </c>
      <c r="M719" s="1086">
        <v>20</v>
      </c>
      <c r="N719" s="1081">
        <v>358333.33</v>
      </c>
      <c r="O719" s="1107">
        <f>M719*N719</f>
        <v>7166666.6000000006</v>
      </c>
      <c r="P719" s="1107">
        <f t="shared" si="145"/>
        <v>573333.3280000001</v>
      </c>
      <c r="Q719" s="1107">
        <f t="shared" si="146"/>
        <v>7739999.9280000003</v>
      </c>
      <c r="R719" s="1107"/>
      <c r="S719" s="1083"/>
      <c r="T719" s="1083"/>
      <c r="U719" s="1083"/>
      <c r="V719" s="1083">
        <f t="shared" si="144"/>
        <v>7739999.9280000003</v>
      </c>
    </row>
    <row r="720" spans="1:22" s="1002" customFormat="1" hidden="1">
      <c r="A720" s="1000" t="s">
        <v>761</v>
      </c>
      <c r="B720" s="1028" t="s">
        <v>1496</v>
      </c>
      <c r="C720" s="1066" t="s">
        <v>176</v>
      </c>
      <c r="D720" s="1066"/>
      <c r="F720" s="1141" t="s">
        <v>176</v>
      </c>
      <c r="H720" s="1138" t="s">
        <v>177</v>
      </c>
      <c r="I720" s="1002" t="s">
        <v>1497</v>
      </c>
      <c r="J720" s="1007" t="s">
        <v>192</v>
      </c>
      <c r="K720" s="1005" t="s">
        <v>193</v>
      </c>
      <c r="M720" s="1086">
        <v>20</v>
      </c>
      <c r="N720" s="1081">
        <v>398148.15</v>
      </c>
      <c r="O720" s="1107">
        <f>N720*M720</f>
        <v>7962963</v>
      </c>
      <c r="P720" s="1107">
        <f t="shared" si="145"/>
        <v>637037.04</v>
      </c>
      <c r="Q720" s="1107">
        <f t="shared" si="146"/>
        <v>8600000.0399999991</v>
      </c>
      <c r="R720" s="1107"/>
      <c r="S720" s="1083"/>
      <c r="T720" s="1083"/>
      <c r="U720" s="1083"/>
      <c r="V720" s="1083">
        <f t="shared" si="144"/>
        <v>8600000.0399999991</v>
      </c>
    </row>
    <row r="721" spans="1:22" s="1002" customFormat="1" hidden="1">
      <c r="A721" s="1000" t="s">
        <v>761</v>
      </c>
      <c r="B721" s="1028" t="s">
        <v>1496</v>
      </c>
      <c r="C721" s="1066" t="s">
        <v>176</v>
      </c>
      <c r="D721" s="1066"/>
      <c r="F721" s="1141" t="s">
        <v>176</v>
      </c>
      <c r="H721" s="1138" t="s">
        <v>177</v>
      </c>
      <c r="I721" s="1002" t="s">
        <v>1497</v>
      </c>
      <c r="J721" s="1007" t="s">
        <v>46</v>
      </c>
      <c r="K721" s="1005" t="s">
        <v>47</v>
      </c>
      <c r="M721" s="1086">
        <v>30</v>
      </c>
      <c r="N721" s="1081">
        <v>194444.44</v>
      </c>
      <c r="O721" s="1107">
        <f>N721*M721</f>
        <v>5833333.2000000002</v>
      </c>
      <c r="P721" s="1107">
        <f t="shared" si="145"/>
        <v>466666.65600000002</v>
      </c>
      <c r="Q721" s="1107">
        <f t="shared" si="146"/>
        <v>6299999.8560000006</v>
      </c>
      <c r="R721" s="1107"/>
      <c r="S721" s="1083"/>
      <c r="T721" s="1083"/>
      <c r="U721" s="1083"/>
      <c r="V721" s="1083">
        <f t="shared" si="144"/>
        <v>6299999.8560000006</v>
      </c>
    </row>
    <row r="722" spans="1:22" s="1002" customFormat="1" hidden="1">
      <c r="A722" s="1000" t="s">
        <v>761</v>
      </c>
      <c r="B722" s="1028" t="s">
        <v>1496</v>
      </c>
      <c r="C722" s="1066" t="s">
        <v>176</v>
      </c>
      <c r="D722" s="1066"/>
      <c r="F722" s="1141" t="s">
        <v>176</v>
      </c>
      <c r="H722" s="1138" t="s">
        <v>177</v>
      </c>
      <c r="I722" s="1002" t="s">
        <v>1497</v>
      </c>
      <c r="J722" s="1007" t="s">
        <v>194</v>
      </c>
      <c r="K722" s="1002" t="s">
        <v>720</v>
      </c>
      <c r="M722" s="1086">
        <v>10</v>
      </c>
      <c r="N722" s="1081">
        <v>1203703.7</v>
      </c>
      <c r="O722" s="1107">
        <f>N722*M722</f>
        <v>12037037</v>
      </c>
      <c r="P722" s="1107">
        <f t="shared" si="145"/>
        <v>962962.96</v>
      </c>
      <c r="Q722" s="1107">
        <f t="shared" si="146"/>
        <v>12999999.960000001</v>
      </c>
      <c r="R722" s="1107"/>
      <c r="S722" s="1083"/>
      <c r="T722" s="1083"/>
      <c r="U722" s="1083"/>
      <c r="V722" s="1083">
        <f t="shared" si="144"/>
        <v>12999999.960000001</v>
      </c>
    </row>
    <row r="723" spans="1:22" s="1002" customFormat="1" ht="31.5" hidden="1">
      <c r="A723" s="1000" t="s">
        <v>761</v>
      </c>
      <c r="B723" s="1028" t="s">
        <v>1496</v>
      </c>
      <c r="C723" s="1066" t="s">
        <v>176</v>
      </c>
      <c r="D723" s="1066"/>
      <c r="F723" s="1005" t="s">
        <v>176</v>
      </c>
      <c r="H723" s="1138" t="s">
        <v>177</v>
      </c>
      <c r="I723" s="1002" t="s">
        <v>1497</v>
      </c>
      <c r="J723" s="1007" t="s">
        <v>58</v>
      </c>
      <c r="K723" s="1007" t="s">
        <v>196</v>
      </c>
      <c r="M723" s="1086">
        <v>10</v>
      </c>
      <c r="N723" s="1081">
        <v>1361111.11</v>
      </c>
      <c r="O723" s="1107">
        <f>N723*M723</f>
        <v>13611111.100000001</v>
      </c>
      <c r="P723" s="1107">
        <f t="shared" si="145"/>
        <v>1088888.888</v>
      </c>
      <c r="Q723" s="1107">
        <f t="shared" si="146"/>
        <v>14699999.988000002</v>
      </c>
      <c r="R723" s="1107"/>
      <c r="S723" s="1083"/>
      <c r="T723" s="1083"/>
      <c r="U723" s="1083"/>
      <c r="V723" s="1083">
        <f t="shared" si="144"/>
        <v>14699999.988000002</v>
      </c>
    </row>
    <row r="724" spans="1:22" s="1002" customFormat="1" hidden="1">
      <c r="A724" s="1000" t="s">
        <v>761</v>
      </c>
      <c r="B724" s="1028" t="s">
        <v>1496</v>
      </c>
      <c r="C724" s="1066" t="s">
        <v>176</v>
      </c>
      <c r="D724" s="1066"/>
      <c r="F724" s="1005" t="s">
        <v>176</v>
      </c>
      <c r="H724" s="1138" t="s">
        <v>177</v>
      </c>
      <c r="I724" s="1002" t="s">
        <v>1497</v>
      </c>
      <c r="J724" s="1007" t="s">
        <v>77</v>
      </c>
      <c r="K724" s="1005" t="s">
        <v>197</v>
      </c>
      <c r="M724" s="1086">
        <v>40</v>
      </c>
      <c r="N724" s="1081">
        <v>324074</v>
      </c>
      <c r="O724" s="1107">
        <f>N724*M724</f>
        <v>12962960</v>
      </c>
      <c r="P724" s="1107">
        <f t="shared" si="145"/>
        <v>1037036.8</v>
      </c>
      <c r="Q724" s="1107">
        <f t="shared" si="146"/>
        <v>13999996.800000001</v>
      </c>
      <c r="R724" s="1107"/>
      <c r="S724" s="1083"/>
      <c r="T724" s="1083"/>
      <c r="U724" s="1083"/>
      <c r="V724" s="1083">
        <f t="shared" si="144"/>
        <v>13999996.800000001</v>
      </c>
    </row>
    <row r="725" spans="1:22" s="1002" customFormat="1" hidden="1">
      <c r="A725" s="1000" t="s">
        <v>761</v>
      </c>
      <c r="B725" s="1028" t="s">
        <v>1496</v>
      </c>
      <c r="C725" s="1088" t="s">
        <v>176</v>
      </c>
      <c r="D725" s="1088"/>
      <c r="F725" s="1157"/>
      <c r="H725" s="1163"/>
      <c r="I725" s="1036" t="s">
        <v>198</v>
      </c>
      <c r="J725" s="1007"/>
      <c r="K725" s="1031"/>
      <c r="M725" s="1135"/>
      <c r="N725" s="1081"/>
      <c r="O725" s="1137"/>
      <c r="P725" s="1137"/>
      <c r="Q725" s="1137"/>
      <c r="R725" s="1083"/>
      <c r="S725" s="1137">
        <v>500000</v>
      </c>
      <c r="T725" s="1083"/>
      <c r="U725" s="1083"/>
      <c r="V725" s="1083">
        <f t="shared" si="144"/>
        <v>-500000</v>
      </c>
    </row>
    <row r="726" spans="1:22" s="1002" customFormat="1" hidden="1">
      <c r="A726" s="1000" t="s">
        <v>761</v>
      </c>
      <c r="B726" s="1028" t="s">
        <v>1496</v>
      </c>
      <c r="C726" s="1066" t="s">
        <v>19</v>
      </c>
      <c r="D726" s="1066"/>
      <c r="F726" s="1005" t="s">
        <v>19</v>
      </c>
      <c r="H726" s="1138" t="s">
        <v>200</v>
      </c>
      <c r="I726" s="1002" t="s">
        <v>1497</v>
      </c>
      <c r="J726" s="1007" t="s">
        <v>77</v>
      </c>
      <c r="K726" s="1005" t="s">
        <v>197</v>
      </c>
      <c r="M726" s="1086">
        <v>100</v>
      </c>
      <c r="N726" s="1081">
        <v>324074.07</v>
      </c>
      <c r="O726" s="1107">
        <f>N726*M726</f>
        <v>32407407</v>
      </c>
      <c r="P726" s="1107">
        <f>O726*8%</f>
        <v>2592592.56</v>
      </c>
      <c r="Q726" s="1107">
        <f>O726+P726</f>
        <v>34999999.560000002</v>
      </c>
      <c r="R726" s="1107"/>
      <c r="S726" s="1083"/>
      <c r="T726" s="1083"/>
      <c r="U726" s="1083"/>
      <c r="V726" s="1083">
        <f t="shared" si="144"/>
        <v>34999999.560000002</v>
      </c>
    </row>
    <row r="727" spans="1:22" s="1002" customFormat="1" hidden="1">
      <c r="A727" s="1000" t="s">
        <v>761</v>
      </c>
      <c r="B727" s="1028" t="s">
        <v>1496</v>
      </c>
      <c r="C727" s="1088" t="s">
        <v>19</v>
      </c>
      <c r="D727" s="1088"/>
      <c r="F727" s="1157"/>
      <c r="H727" s="1163"/>
      <c r="I727" s="1036" t="s">
        <v>198</v>
      </c>
      <c r="J727" s="1007"/>
      <c r="K727" s="1031"/>
      <c r="M727" s="1135"/>
      <c r="N727" s="1081"/>
      <c r="O727" s="1137"/>
      <c r="P727" s="1137"/>
      <c r="Q727" s="1137"/>
      <c r="R727" s="1083"/>
      <c r="S727" s="1137">
        <v>500000</v>
      </c>
      <c r="T727" s="1083"/>
      <c r="U727" s="1083"/>
      <c r="V727" s="1083">
        <f t="shared" si="144"/>
        <v>-500000</v>
      </c>
    </row>
    <row r="728" spans="1:22" s="1002" customFormat="1" hidden="1">
      <c r="A728" s="1000" t="s">
        <v>761</v>
      </c>
      <c r="B728" s="1028" t="s">
        <v>1496</v>
      </c>
      <c r="C728" s="1088" t="s">
        <v>19</v>
      </c>
      <c r="D728" s="1088"/>
      <c r="F728" s="1031"/>
      <c r="H728" s="1158" t="s">
        <v>201</v>
      </c>
      <c r="I728" s="1002" t="s">
        <v>844</v>
      </c>
      <c r="J728" s="1007"/>
      <c r="K728" s="1031"/>
      <c r="M728" s="1135"/>
      <c r="N728" s="1081"/>
      <c r="O728" s="1137"/>
      <c r="P728" s="1137"/>
      <c r="Q728" s="1137"/>
      <c r="R728" s="1137">
        <v>50000000</v>
      </c>
      <c r="S728" s="1083"/>
      <c r="T728" s="1083"/>
      <c r="U728" s="1083"/>
      <c r="V728" s="1083">
        <f t="shared" si="144"/>
        <v>-50000000</v>
      </c>
    </row>
    <row r="729" spans="1:22" s="1002" customFormat="1" ht="31.5" hidden="1">
      <c r="A729" s="1000" t="s">
        <v>761</v>
      </c>
      <c r="B729" s="1028" t="s">
        <v>1496</v>
      </c>
      <c r="C729" s="1066">
        <v>46082</v>
      </c>
      <c r="D729" s="1066"/>
      <c r="F729" s="1141">
        <v>46357</v>
      </c>
      <c r="H729" s="1138" t="s">
        <v>203</v>
      </c>
      <c r="I729" s="1002" t="s">
        <v>1497</v>
      </c>
      <c r="J729" s="1007" t="s">
        <v>204</v>
      </c>
      <c r="K729" s="1007" t="s">
        <v>205</v>
      </c>
      <c r="M729" s="1086">
        <v>20</v>
      </c>
      <c r="N729" s="1081">
        <v>480555.55</v>
      </c>
      <c r="O729" s="1107">
        <f>N729*M729</f>
        <v>9611111</v>
      </c>
      <c r="P729" s="1107">
        <f>O729*8%</f>
        <v>768888.88</v>
      </c>
      <c r="Q729" s="1107">
        <f>O729+P729</f>
        <v>10379999.880000001</v>
      </c>
      <c r="R729" s="1107"/>
      <c r="S729" s="1083"/>
      <c r="T729" s="1083"/>
      <c r="U729" s="1083"/>
      <c r="V729" s="1083">
        <f t="shared" si="144"/>
        <v>10379999.880000001</v>
      </c>
    </row>
    <row r="730" spans="1:22" s="1002" customFormat="1" ht="31.5" hidden="1">
      <c r="A730" s="1000" t="s">
        <v>761</v>
      </c>
      <c r="B730" s="1028" t="s">
        <v>1496</v>
      </c>
      <c r="C730" s="1066">
        <v>46082</v>
      </c>
      <c r="D730" s="1066"/>
      <c r="F730" s="1141">
        <v>46357</v>
      </c>
      <c r="H730" s="1138" t="s">
        <v>203</v>
      </c>
      <c r="I730" s="1002" t="s">
        <v>1497</v>
      </c>
      <c r="J730" s="1007" t="s">
        <v>206</v>
      </c>
      <c r="K730" s="1007" t="s">
        <v>207</v>
      </c>
      <c r="M730" s="1086">
        <v>20</v>
      </c>
      <c r="N730" s="1081">
        <v>483333.33</v>
      </c>
      <c r="O730" s="1107">
        <f>N730*M730</f>
        <v>9666666.5999999996</v>
      </c>
      <c r="P730" s="1107">
        <f>O730*8%</f>
        <v>773333.32799999998</v>
      </c>
      <c r="Q730" s="1107">
        <f>O730+P730</f>
        <v>10439999.927999999</v>
      </c>
      <c r="R730" s="1107"/>
      <c r="S730" s="1083"/>
      <c r="T730" s="1083"/>
      <c r="U730" s="1083"/>
      <c r="V730" s="1083">
        <f t="shared" si="144"/>
        <v>10439999.927999999</v>
      </c>
    </row>
    <row r="731" spans="1:22" s="1002" customFormat="1" hidden="1">
      <c r="A731" s="1000" t="s">
        <v>761</v>
      </c>
      <c r="B731" s="1028" t="s">
        <v>1496</v>
      </c>
      <c r="C731" s="1066">
        <v>46082</v>
      </c>
      <c r="D731" s="1066"/>
      <c r="F731" s="1141">
        <v>46357</v>
      </c>
      <c r="H731" s="1138" t="s">
        <v>203</v>
      </c>
      <c r="I731" s="1002" t="s">
        <v>1497</v>
      </c>
      <c r="J731" s="1007" t="s">
        <v>208</v>
      </c>
      <c r="K731" s="1005" t="s">
        <v>209</v>
      </c>
      <c r="M731" s="1086">
        <v>10</v>
      </c>
      <c r="N731" s="1081">
        <v>647222.22</v>
      </c>
      <c r="O731" s="1107">
        <f>N731*M731</f>
        <v>6472222.1999999993</v>
      </c>
      <c r="P731" s="1107">
        <f>O731*8%</f>
        <v>517777.77599999995</v>
      </c>
      <c r="Q731" s="1107">
        <f>O731+P731</f>
        <v>6989999.9759999989</v>
      </c>
      <c r="R731" s="1107"/>
      <c r="S731" s="1083"/>
      <c r="T731" s="1083"/>
      <c r="U731" s="1083"/>
      <c r="V731" s="1083">
        <f t="shared" si="144"/>
        <v>6989999.9759999989</v>
      </c>
    </row>
    <row r="732" spans="1:22" s="1002" customFormat="1" hidden="1">
      <c r="A732" s="1000" t="s">
        <v>761</v>
      </c>
      <c r="B732" s="1028" t="s">
        <v>1496</v>
      </c>
      <c r="C732" s="1066">
        <v>46082</v>
      </c>
      <c r="D732" s="1066"/>
      <c r="F732" s="1141">
        <v>46357</v>
      </c>
      <c r="H732" s="1138" t="s">
        <v>203</v>
      </c>
      <c r="I732" s="1002" t="s">
        <v>1497</v>
      </c>
      <c r="J732" s="1007" t="s">
        <v>23</v>
      </c>
      <c r="K732" s="1005" t="s">
        <v>24</v>
      </c>
      <c r="M732" s="1086">
        <v>10</v>
      </c>
      <c r="N732" s="1081">
        <v>1185185.18</v>
      </c>
      <c r="O732" s="1107">
        <f>N732*M732</f>
        <v>11851851.799999999</v>
      </c>
      <c r="P732" s="1107">
        <f>O732*8%</f>
        <v>948148.14399999997</v>
      </c>
      <c r="Q732" s="1107">
        <f>O732+P732</f>
        <v>12799999.943999998</v>
      </c>
      <c r="R732" s="1107"/>
      <c r="S732" s="1083"/>
      <c r="T732" s="1083"/>
      <c r="U732" s="1083"/>
      <c r="V732" s="1083">
        <f t="shared" si="144"/>
        <v>12799999.943999998</v>
      </c>
    </row>
    <row r="733" spans="1:22" s="1002" customFormat="1" ht="31.5" hidden="1">
      <c r="A733" s="1000" t="s">
        <v>761</v>
      </c>
      <c r="B733" s="1028" t="s">
        <v>1496</v>
      </c>
      <c r="C733" s="1066">
        <v>46082</v>
      </c>
      <c r="D733" s="1066"/>
      <c r="F733" s="1141">
        <v>46357</v>
      </c>
      <c r="H733" s="1138" t="s">
        <v>203</v>
      </c>
      <c r="I733" s="1002" t="s">
        <v>1497</v>
      </c>
      <c r="J733" s="1007" t="s">
        <v>77</v>
      </c>
      <c r="K733" s="1007" t="s">
        <v>210</v>
      </c>
      <c r="M733" s="1086">
        <v>100</v>
      </c>
      <c r="N733" s="1081">
        <v>324074.07</v>
      </c>
      <c r="O733" s="1107">
        <f>N733*M733</f>
        <v>32407407</v>
      </c>
      <c r="P733" s="1107">
        <f>O733*8%</f>
        <v>2592592.56</v>
      </c>
      <c r="Q733" s="1107">
        <f>O733+P733</f>
        <v>34999999.560000002</v>
      </c>
      <c r="R733" s="1107"/>
      <c r="S733" s="1083"/>
      <c r="T733" s="1083"/>
      <c r="U733" s="1083"/>
      <c r="V733" s="1083">
        <f t="shared" si="144"/>
        <v>34999999.560000002</v>
      </c>
    </row>
    <row r="734" spans="1:22" s="1002" customFormat="1" hidden="1">
      <c r="A734" s="1000" t="s">
        <v>761</v>
      </c>
      <c r="B734" s="1028" t="s">
        <v>1496</v>
      </c>
      <c r="C734" s="1088">
        <v>46082</v>
      </c>
      <c r="D734" s="1088"/>
      <c r="F734" s="1157"/>
      <c r="H734" s="1163"/>
      <c r="I734" s="1036" t="s">
        <v>198</v>
      </c>
      <c r="J734" s="1007"/>
      <c r="K734" s="1031"/>
      <c r="M734" s="1135"/>
      <c r="N734" s="1081"/>
      <c r="O734" s="1137"/>
      <c r="P734" s="1137"/>
      <c r="Q734" s="1137"/>
      <c r="R734" s="1083"/>
      <c r="S734" s="1137">
        <v>500000</v>
      </c>
      <c r="T734" s="1083"/>
      <c r="U734" s="1083"/>
      <c r="V734" s="1083">
        <f t="shared" si="144"/>
        <v>-500000</v>
      </c>
    </row>
    <row r="735" spans="1:22" s="1002" customFormat="1" hidden="1">
      <c r="A735" s="1000" t="s">
        <v>761</v>
      </c>
      <c r="B735" s="1028" t="s">
        <v>1496</v>
      </c>
      <c r="C735" s="1066">
        <v>46235</v>
      </c>
      <c r="D735" s="1066"/>
      <c r="F735" s="1141">
        <v>46357</v>
      </c>
      <c r="H735" s="1138" t="s">
        <v>211</v>
      </c>
      <c r="I735" s="1002" t="s">
        <v>1497</v>
      </c>
      <c r="J735" s="1007" t="s">
        <v>23</v>
      </c>
      <c r="K735" s="1005" t="s">
        <v>24</v>
      </c>
      <c r="M735" s="1086">
        <v>20</v>
      </c>
      <c r="N735" s="1081">
        <v>1185185.18</v>
      </c>
      <c r="O735" s="1107">
        <f>N735*M735</f>
        <v>23703703.599999998</v>
      </c>
      <c r="P735" s="1107">
        <f>O735*8%</f>
        <v>1896296.2879999999</v>
      </c>
      <c r="Q735" s="1107">
        <f>O735+P735</f>
        <v>25599999.887999997</v>
      </c>
      <c r="R735" s="1107"/>
      <c r="S735" s="1083"/>
      <c r="T735" s="1083"/>
      <c r="U735" s="1083"/>
      <c r="V735" s="1083">
        <f t="shared" si="144"/>
        <v>25599999.887999997</v>
      </c>
    </row>
    <row r="736" spans="1:22" s="1002" customFormat="1" hidden="1">
      <c r="A736" s="1000" t="s">
        <v>761</v>
      </c>
      <c r="B736" s="1028" t="s">
        <v>1496</v>
      </c>
      <c r="C736" s="1088">
        <v>46235</v>
      </c>
      <c r="D736" s="1088"/>
      <c r="F736" s="1157"/>
      <c r="H736" s="1163"/>
      <c r="I736" s="1036" t="s">
        <v>198</v>
      </c>
      <c r="J736" s="1007"/>
      <c r="K736" s="1031"/>
      <c r="M736" s="1135"/>
      <c r="N736" s="1081"/>
      <c r="O736" s="1137"/>
      <c r="P736" s="1137"/>
      <c r="Q736" s="1137"/>
      <c r="R736" s="1083"/>
      <c r="S736" s="1137">
        <v>500000</v>
      </c>
      <c r="T736" s="1083"/>
      <c r="U736" s="1083"/>
      <c r="V736" s="1083">
        <f t="shared" si="144"/>
        <v>-500000</v>
      </c>
    </row>
    <row r="737" spans="1:22" s="1002" customFormat="1" hidden="1">
      <c r="A737" s="1000" t="s">
        <v>761</v>
      </c>
      <c r="B737" s="1028" t="s">
        <v>1496</v>
      </c>
      <c r="C737" s="1066" t="s">
        <v>212</v>
      </c>
      <c r="D737" s="1066"/>
      <c r="F737" s="1141">
        <v>46144</v>
      </c>
      <c r="H737" s="1138" t="s">
        <v>213</v>
      </c>
      <c r="I737" s="1002" t="s">
        <v>1497</v>
      </c>
      <c r="J737" s="1007" t="s">
        <v>40</v>
      </c>
      <c r="K737" s="1005" t="s">
        <v>41</v>
      </c>
      <c r="M737" s="1086">
        <v>10</v>
      </c>
      <c r="N737" s="1081">
        <v>844444.45</v>
      </c>
      <c r="O737" s="1107">
        <f>N737*M737</f>
        <v>8444444.5</v>
      </c>
      <c r="P737" s="1107">
        <f>O737*8%</f>
        <v>675555.56</v>
      </c>
      <c r="Q737" s="1107">
        <f>O737+P737</f>
        <v>9120000.0600000005</v>
      </c>
      <c r="R737" s="1107"/>
      <c r="S737" s="1083"/>
      <c r="T737" s="1083"/>
      <c r="U737" s="1083"/>
      <c r="V737" s="1083">
        <f t="shared" si="144"/>
        <v>9120000.0600000005</v>
      </c>
    </row>
    <row r="738" spans="1:22" s="1002" customFormat="1" hidden="1">
      <c r="A738" s="1000" t="s">
        <v>761</v>
      </c>
      <c r="B738" s="1028" t="s">
        <v>1496</v>
      </c>
      <c r="C738" s="1066" t="s">
        <v>212</v>
      </c>
      <c r="D738" s="1066"/>
      <c r="F738" s="1141">
        <v>46144</v>
      </c>
      <c r="H738" s="1138" t="s">
        <v>213</v>
      </c>
      <c r="I738" s="1002" t="s">
        <v>1497</v>
      </c>
      <c r="J738" s="1007" t="s">
        <v>23</v>
      </c>
      <c r="K738" s="1005" t="s">
        <v>82</v>
      </c>
      <c r="M738" s="1086">
        <v>8</v>
      </c>
      <c r="N738" s="1081">
        <v>1185185.18</v>
      </c>
      <c r="O738" s="1107">
        <f>N738*M738</f>
        <v>9481481.4399999995</v>
      </c>
      <c r="P738" s="1107">
        <f>O738*8%</f>
        <v>758518.51520000002</v>
      </c>
      <c r="Q738" s="1107">
        <f>O738+P738</f>
        <v>10239999.9552</v>
      </c>
      <c r="R738" s="1107"/>
      <c r="S738" s="1083"/>
      <c r="T738" s="1083"/>
      <c r="U738" s="1083"/>
      <c r="V738" s="1083">
        <f t="shared" si="144"/>
        <v>10239999.9552</v>
      </c>
    </row>
    <row r="739" spans="1:22" s="1002" customFormat="1" hidden="1">
      <c r="A739" s="1000" t="s">
        <v>761</v>
      </c>
      <c r="B739" s="1028" t="s">
        <v>1496</v>
      </c>
      <c r="C739" s="1076" t="s">
        <v>212</v>
      </c>
      <c r="D739" s="1076"/>
      <c r="F739" s="1139" t="s">
        <v>214</v>
      </c>
      <c r="H739" s="1140" t="s">
        <v>215</v>
      </c>
      <c r="I739" s="1002" t="s">
        <v>1497</v>
      </c>
      <c r="J739" s="1007" t="s">
        <v>74</v>
      </c>
      <c r="K739" s="1003" t="s">
        <v>141</v>
      </c>
      <c r="M739" s="1093">
        <v>64</v>
      </c>
      <c r="N739" s="1081">
        <v>361111.11</v>
      </c>
      <c r="O739" s="1081">
        <f>N739*M739</f>
        <v>23111111.039999999</v>
      </c>
      <c r="P739" s="1081">
        <f>O739*8%</f>
        <v>1848888.8832</v>
      </c>
      <c r="Q739" s="1081">
        <f>O739+P739</f>
        <v>24959999.9232</v>
      </c>
      <c r="R739" s="1081"/>
      <c r="S739" s="1083"/>
      <c r="T739" s="1083"/>
      <c r="U739" s="1083"/>
      <c r="V739" s="1083">
        <f t="shared" si="144"/>
        <v>24959999.9232</v>
      </c>
    </row>
    <row r="740" spans="1:22" s="1002" customFormat="1" hidden="1">
      <c r="A740" s="1000" t="s">
        <v>761</v>
      </c>
      <c r="B740" s="1028" t="s">
        <v>1496</v>
      </c>
      <c r="C740" s="1088" t="s">
        <v>212</v>
      </c>
      <c r="D740" s="1088"/>
      <c r="F740" s="1157"/>
      <c r="H740" s="1163"/>
      <c r="I740" s="1036" t="s">
        <v>198</v>
      </c>
      <c r="J740" s="1007"/>
      <c r="K740" s="1031"/>
      <c r="M740" s="1135"/>
      <c r="N740" s="1081"/>
      <c r="O740" s="1137"/>
      <c r="P740" s="1137"/>
      <c r="Q740" s="1137"/>
      <c r="R740" s="1083"/>
      <c r="S740" s="1137">
        <v>500000</v>
      </c>
      <c r="T740" s="1083"/>
      <c r="U740" s="1083"/>
      <c r="V740" s="1083">
        <f t="shared" si="144"/>
        <v>-500000</v>
      </c>
    </row>
    <row r="741" spans="1:22" s="1002" customFormat="1" hidden="1">
      <c r="A741" s="1000" t="s">
        <v>761</v>
      </c>
      <c r="B741" s="1028" t="s">
        <v>1496</v>
      </c>
      <c r="C741" s="1088">
        <v>46328</v>
      </c>
      <c r="D741" s="1088"/>
      <c r="F741" s="1157"/>
      <c r="H741" s="1158" t="s">
        <v>216</v>
      </c>
      <c r="I741" s="1002" t="s">
        <v>844</v>
      </c>
      <c r="J741" s="1007"/>
      <c r="K741" s="1031"/>
      <c r="M741" s="1135"/>
      <c r="N741" s="1081"/>
      <c r="O741" s="1137"/>
      <c r="P741" s="1137"/>
      <c r="Q741" s="1137"/>
      <c r="R741" s="1137">
        <v>300000000</v>
      </c>
      <c r="S741" s="1083"/>
      <c r="T741" s="1083"/>
      <c r="U741" s="1083"/>
      <c r="V741" s="1083">
        <f t="shared" si="144"/>
        <v>-300000000</v>
      </c>
    </row>
    <row r="742" spans="1:22" s="1002" customFormat="1" ht="31.5" hidden="1">
      <c r="A742" s="1000" t="s">
        <v>761</v>
      </c>
      <c r="B742" s="1028" t="s">
        <v>1496</v>
      </c>
      <c r="C742" s="1076">
        <v>46298</v>
      </c>
      <c r="D742" s="1076"/>
      <c r="F742" s="1139">
        <v>46091</v>
      </c>
      <c r="H742" s="1111" t="s">
        <v>1517</v>
      </c>
      <c r="I742" s="1002" t="s">
        <v>1497</v>
      </c>
      <c r="J742" s="1007" t="s">
        <v>77</v>
      </c>
      <c r="K742" s="1007" t="s">
        <v>210</v>
      </c>
      <c r="M742" s="1086">
        <v>40</v>
      </c>
      <c r="N742" s="1081">
        <v>324074.07</v>
      </c>
      <c r="O742" s="1081">
        <f>N742*M742</f>
        <v>12962962.800000001</v>
      </c>
      <c r="P742" s="1081">
        <f>O742*8%</f>
        <v>1037037.0240000001</v>
      </c>
      <c r="Q742" s="1081">
        <f>O742+P742</f>
        <v>13999999.824000001</v>
      </c>
      <c r="R742" s="1081"/>
      <c r="S742" s="1083"/>
      <c r="T742" s="1083"/>
      <c r="U742" s="1083"/>
      <c r="V742" s="1083">
        <f t="shared" si="144"/>
        <v>13999999.824000001</v>
      </c>
    </row>
    <row r="743" spans="1:22" s="1002" customFormat="1" hidden="1">
      <c r="A743" s="1000" t="s">
        <v>761</v>
      </c>
      <c r="B743" s="1028" t="s">
        <v>1496</v>
      </c>
      <c r="C743" s="1088">
        <v>46298</v>
      </c>
      <c r="D743" s="1088"/>
      <c r="F743" s="1157"/>
      <c r="H743" s="1163"/>
      <c r="I743" s="1036" t="s">
        <v>198</v>
      </c>
      <c r="J743" s="1007"/>
      <c r="K743" s="1031"/>
      <c r="M743" s="1135"/>
      <c r="N743" s="1081"/>
      <c r="O743" s="1137"/>
      <c r="P743" s="1137"/>
      <c r="Q743" s="1137"/>
      <c r="R743" s="1083"/>
      <c r="S743" s="1137">
        <v>500000</v>
      </c>
      <c r="T743" s="1083"/>
      <c r="U743" s="1083"/>
      <c r="V743" s="1083">
        <f t="shared" si="144"/>
        <v>-500000</v>
      </c>
    </row>
    <row r="744" spans="1:22" s="1002" customFormat="1" ht="47.25" hidden="1">
      <c r="A744" s="1000" t="s">
        <v>761</v>
      </c>
      <c r="B744" s="1028" t="s">
        <v>1496</v>
      </c>
      <c r="C744" s="1076" t="s">
        <v>217</v>
      </c>
      <c r="D744" s="1076"/>
      <c r="F744" s="1139">
        <v>46298</v>
      </c>
      <c r="H744" s="1111" t="s">
        <v>1517</v>
      </c>
      <c r="I744" s="1002" t="s">
        <v>1497</v>
      </c>
      <c r="J744" s="1007" t="s">
        <v>56</v>
      </c>
      <c r="K744" s="1024" t="s">
        <v>218</v>
      </c>
      <c r="M744" s="1093">
        <v>36</v>
      </c>
      <c r="N744" s="1081">
        <v>325925.93</v>
      </c>
      <c r="O744" s="1081">
        <f t="shared" ref="O744:O759" si="147">N744*M744</f>
        <v>11733333.48</v>
      </c>
      <c r="P744" s="1081">
        <f t="shared" ref="P744:P759" si="148">O744*8%</f>
        <v>938666.67840000009</v>
      </c>
      <c r="Q744" s="1081">
        <f t="shared" ref="Q744:Q759" si="149">O744+P744</f>
        <v>12672000.158400001</v>
      </c>
      <c r="R744" s="1081"/>
      <c r="S744" s="1083"/>
      <c r="T744" s="1083"/>
      <c r="U744" s="1083"/>
      <c r="V744" s="1083">
        <f t="shared" si="144"/>
        <v>12672000.158400001</v>
      </c>
    </row>
    <row r="745" spans="1:22" s="1002" customFormat="1" hidden="1">
      <c r="A745" s="1000" t="s">
        <v>761</v>
      </c>
      <c r="B745" s="1028" t="s">
        <v>1496</v>
      </c>
      <c r="C745" s="1076" t="s">
        <v>217</v>
      </c>
      <c r="D745" s="1076"/>
      <c r="F745" s="1139">
        <v>46298</v>
      </c>
      <c r="H745" s="1111" t="s">
        <v>1517</v>
      </c>
      <c r="I745" s="1002" t="s">
        <v>1497</v>
      </c>
      <c r="J745" s="1007" t="s">
        <v>219</v>
      </c>
      <c r="K745" s="1003" t="s">
        <v>220</v>
      </c>
      <c r="M745" s="1093">
        <v>36</v>
      </c>
      <c r="N745" s="1081">
        <v>263888.89</v>
      </c>
      <c r="O745" s="1081">
        <f t="shared" si="147"/>
        <v>9500000.040000001</v>
      </c>
      <c r="P745" s="1081">
        <f t="shared" si="148"/>
        <v>760000.00320000004</v>
      </c>
      <c r="Q745" s="1081">
        <f t="shared" si="149"/>
        <v>10260000.043200001</v>
      </c>
      <c r="R745" s="1081"/>
      <c r="S745" s="1083"/>
      <c r="T745" s="1083"/>
      <c r="U745" s="1083"/>
      <c r="V745" s="1083">
        <f t="shared" si="144"/>
        <v>10260000.043200001</v>
      </c>
    </row>
    <row r="746" spans="1:22" s="1002" customFormat="1" ht="31.5" hidden="1">
      <c r="A746" s="1000" t="s">
        <v>761</v>
      </c>
      <c r="B746" s="1028" t="s">
        <v>1496</v>
      </c>
      <c r="C746" s="1076" t="s">
        <v>217</v>
      </c>
      <c r="D746" s="1076"/>
      <c r="F746" s="1139" t="s">
        <v>221</v>
      </c>
      <c r="H746" s="1140" t="s">
        <v>222</v>
      </c>
      <c r="I746" s="1002" t="s">
        <v>1497</v>
      </c>
      <c r="J746" s="1007" t="s">
        <v>77</v>
      </c>
      <c r="K746" s="1024" t="s">
        <v>210</v>
      </c>
      <c r="M746" s="1093">
        <v>40</v>
      </c>
      <c r="N746" s="1081">
        <v>324074.07</v>
      </c>
      <c r="O746" s="1081">
        <f t="shared" si="147"/>
        <v>12962962.800000001</v>
      </c>
      <c r="P746" s="1081">
        <f t="shared" si="148"/>
        <v>1037037.0240000001</v>
      </c>
      <c r="Q746" s="1081">
        <f t="shared" si="149"/>
        <v>13999999.824000001</v>
      </c>
      <c r="R746" s="1081"/>
      <c r="S746" s="1083"/>
      <c r="T746" s="1083"/>
      <c r="U746" s="1083"/>
      <c r="V746" s="1083">
        <f t="shared" si="144"/>
        <v>13999999.824000001</v>
      </c>
    </row>
    <row r="747" spans="1:22" s="1002" customFormat="1" ht="47.25" hidden="1">
      <c r="A747" s="1000" t="s">
        <v>761</v>
      </c>
      <c r="B747" s="1028" t="s">
        <v>1496</v>
      </c>
      <c r="C747" s="1076" t="s">
        <v>217</v>
      </c>
      <c r="D747" s="1076"/>
      <c r="F747" s="1139" t="s">
        <v>221</v>
      </c>
      <c r="H747" s="1140" t="s">
        <v>222</v>
      </c>
      <c r="I747" s="1002" t="s">
        <v>1497</v>
      </c>
      <c r="J747" s="1007" t="s">
        <v>60</v>
      </c>
      <c r="K747" s="1024" t="s">
        <v>223</v>
      </c>
      <c r="M747" s="1093">
        <v>4</v>
      </c>
      <c r="N747" s="1081">
        <v>1138888.8899999999</v>
      </c>
      <c r="O747" s="1081">
        <f t="shared" si="147"/>
        <v>4555555.5599999996</v>
      </c>
      <c r="P747" s="1081">
        <f t="shared" si="148"/>
        <v>364444.4448</v>
      </c>
      <c r="Q747" s="1081">
        <f t="shared" si="149"/>
        <v>4920000.0047999993</v>
      </c>
      <c r="R747" s="1081"/>
      <c r="S747" s="1083"/>
      <c r="T747" s="1083"/>
      <c r="U747" s="1083"/>
      <c r="V747" s="1083">
        <f t="shared" si="144"/>
        <v>4920000.0047999993</v>
      </c>
    </row>
    <row r="748" spans="1:22" s="1002" customFormat="1" ht="47.25" hidden="1">
      <c r="A748" s="1000" t="s">
        <v>761</v>
      </c>
      <c r="B748" s="1028" t="s">
        <v>1496</v>
      </c>
      <c r="C748" s="1076" t="s">
        <v>217</v>
      </c>
      <c r="D748" s="1076"/>
      <c r="F748" s="1139" t="s">
        <v>221</v>
      </c>
      <c r="H748" s="1140" t="s">
        <v>222</v>
      </c>
      <c r="I748" s="1002" t="s">
        <v>1497</v>
      </c>
      <c r="J748" s="1007" t="s">
        <v>16</v>
      </c>
      <c r="K748" s="1024" t="s">
        <v>224</v>
      </c>
      <c r="M748" s="1093">
        <v>8</v>
      </c>
      <c r="N748" s="1081">
        <v>851851.85</v>
      </c>
      <c r="O748" s="1081">
        <f t="shared" si="147"/>
        <v>6814814.7999999998</v>
      </c>
      <c r="P748" s="1081">
        <f t="shared" si="148"/>
        <v>545185.18400000001</v>
      </c>
      <c r="Q748" s="1081">
        <f t="shared" si="149"/>
        <v>7359999.9840000002</v>
      </c>
      <c r="R748" s="1081"/>
      <c r="S748" s="1083"/>
      <c r="T748" s="1083"/>
      <c r="U748" s="1083"/>
      <c r="V748" s="1083">
        <f t="shared" si="144"/>
        <v>7359999.9840000002</v>
      </c>
    </row>
    <row r="749" spans="1:22" s="1002" customFormat="1" hidden="1">
      <c r="A749" s="1000" t="s">
        <v>761</v>
      </c>
      <c r="B749" s="1028" t="s">
        <v>1496</v>
      </c>
      <c r="C749" s="1076" t="s">
        <v>217</v>
      </c>
      <c r="D749" s="1076"/>
      <c r="F749" s="1139" t="s">
        <v>221</v>
      </c>
      <c r="H749" s="1140" t="s">
        <v>222</v>
      </c>
      <c r="I749" s="1002" t="s">
        <v>1497</v>
      </c>
      <c r="J749" s="1007" t="s">
        <v>34</v>
      </c>
      <c r="K749" s="1003" t="s">
        <v>188</v>
      </c>
      <c r="M749" s="1093">
        <v>30</v>
      </c>
      <c r="N749" s="1081">
        <v>240740.74</v>
      </c>
      <c r="O749" s="1081">
        <f t="shared" si="147"/>
        <v>7222222.1999999993</v>
      </c>
      <c r="P749" s="1081">
        <f t="shared" si="148"/>
        <v>577777.77599999995</v>
      </c>
      <c r="Q749" s="1081">
        <f t="shared" si="149"/>
        <v>7799999.9759999989</v>
      </c>
      <c r="R749" s="1081"/>
      <c r="S749" s="1083"/>
      <c r="T749" s="1083"/>
      <c r="U749" s="1083"/>
      <c r="V749" s="1083">
        <f t="shared" si="144"/>
        <v>7799999.9759999989</v>
      </c>
    </row>
    <row r="750" spans="1:22" s="1002" customFormat="1" hidden="1">
      <c r="A750" s="1000" t="s">
        <v>761</v>
      </c>
      <c r="B750" s="1028" t="s">
        <v>1496</v>
      </c>
      <c r="C750" s="1076" t="s">
        <v>217</v>
      </c>
      <c r="D750" s="1076"/>
      <c r="F750" s="1139" t="s">
        <v>221</v>
      </c>
      <c r="H750" s="1140" t="s">
        <v>222</v>
      </c>
      <c r="I750" s="1002" t="s">
        <v>1497</v>
      </c>
      <c r="J750" s="1007" t="s">
        <v>36</v>
      </c>
      <c r="K750" s="1003" t="s">
        <v>189</v>
      </c>
      <c r="M750" s="1093">
        <v>30</v>
      </c>
      <c r="N750" s="1081">
        <v>259259.26</v>
      </c>
      <c r="O750" s="1081">
        <f t="shared" si="147"/>
        <v>7777777.8000000007</v>
      </c>
      <c r="P750" s="1081">
        <f t="shared" si="148"/>
        <v>622222.22400000005</v>
      </c>
      <c r="Q750" s="1081">
        <f t="shared" si="149"/>
        <v>8400000.0240000002</v>
      </c>
      <c r="R750" s="1081"/>
      <c r="S750" s="1083"/>
      <c r="T750" s="1083"/>
      <c r="U750" s="1083"/>
      <c r="V750" s="1083">
        <f t="shared" si="144"/>
        <v>8400000.0240000002</v>
      </c>
    </row>
    <row r="751" spans="1:22" s="1002" customFormat="1" hidden="1">
      <c r="A751" s="1000" t="s">
        <v>761</v>
      </c>
      <c r="B751" s="1028" t="s">
        <v>1496</v>
      </c>
      <c r="C751" s="1076" t="s">
        <v>217</v>
      </c>
      <c r="D751" s="1076"/>
      <c r="F751" s="1139" t="s">
        <v>221</v>
      </c>
      <c r="H751" s="1140" t="s">
        <v>222</v>
      </c>
      <c r="I751" s="1002" t="s">
        <v>1497</v>
      </c>
      <c r="J751" s="1007" t="s">
        <v>38</v>
      </c>
      <c r="K751" s="1003" t="s">
        <v>190</v>
      </c>
      <c r="M751" s="1093">
        <v>30</v>
      </c>
      <c r="N751" s="1081">
        <v>277777.78000000003</v>
      </c>
      <c r="O751" s="1081">
        <f t="shared" si="147"/>
        <v>8333333.4000000004</v>
      </c>
      <c r="P751" s="1081">
        <f t="shared" si="148"/>
        <v>666666.67200000002</v>
      </c>
      <c r="Q751" s="1081">
        <f t="shared" si="149"/>
        <v>9000000.0720000006</v>
      </c>
      <c r="R751" s="1081"/>
      <c r="S751" s="1083"/>
      <c r="T751" s="1083"/>
      <c r="U751" s="1083"/>
      <c r="V751" s="1083">
        <f t="shared" si="144"/>
        <v>9000000.0720000006</v>
      </c>
    </row>
    <row r="752" spans="1:22" s="1002" customFormat="1" hidden="1">
      <c r="A752" s="1000" t="s">
        <v>761</v>
      </c>
      <c r="B752" s="1028" t="s">
        <v>1496</v>
      </c>
      <c r="C752" s="1076" t="s">
        <v>217</v>
      </c>
      <c r="D752" s="1076"/>
      <c r="F752" s="1139" t="s">
        <v>221</v>
      </c>
      <c r="H752" s="1140" t="s">
        <v>222</v>
      </c>
      <c r="I752" s="1002" t="s">
        <v>1497</v>
      </c>
      <c r="J752" s="1007" t="s">
        <v>48</v>
      </c>
      <c r="K752" s="1002" t="s">
        <v>49</v>
      </c>
      <c r="M752" s="1093">
        <v>6</v>
      </c>
      <c r="N752" s="1081">
        <v>601851.85</v>
      </c>
      <c r="O752" s="1081">
        <f t="shared" si="147"/>
        <v>3611111.0999999996</v>
      </c>
      <c r="P752" s="1081">
        <f t="shared" si="148"/>
        <v>288888.88799999998</v>
      </c>
      <c r="Q752" s="1081">
        <f t="shared" si="149"/>
        <v>3899999.9879999994</v>
      </c>
      <c r="R752" s="1081"/>
      <c r="S752" s="1083"/>
      <c r="T752" s="1083"/>
      <c r="U752" s="1083"/>
      <c r="V752" s="1083">
        <f t="shared" si="144"/>
        <v>3899999.9879999994</v>
      </c>
    </row>
    <row r="753" spans="1:22" s="1002" customFormat="1" ht="31.5" hidden="1">
      <c r="A753" s="1000" t="s">
        <v>761</v>
      </c>
      <c r="B753" s="1028" t="s">
        <v>1496</v>
      </c>
      <c r="C753" s="1076" t="s">
        <v>217</v>
      </c>
      <c r="D753" s="1076"/>
      <c r="F753" s="1139" t="s">
        <v>221</v>
      </c>
      <c r="H753" s="1140" t="s">
        <v>222</v>
      </c>
      <c r="I753" s="1002" t="s">
        <v>1497</v>
      </c>
      <c r="J753" s="1007" t="s">
        <v>50</v>
      </c>
      <c r="K753" s="1024" t="s">
        <v>51</v>
      </c>
      <c r="M753" s="1093">
        <v>6</v>
      </c>
      <c r="N753" s="1081">
        <v>937962.96</v>
      </c>
      <c r="O753" s="1081">
        <f t="shared" si="147"/>
        <v>5627777.7599999998</v>
      </c>
      <c r="P753" s="1081">
        <f t="shared" si="148"/>
        <v>450222.22080000001</v>
      </c>
      <c r="Q753" s="1081">
        <f t="shared" si="149"/>
        <v>6077999.9808</v>
      </c>
      <c r="R753" s="1081"/>
      <c r="S753" s="1083"/>
      <c r="T753" s="1083"/>
      <c r="U753" s="1083"/>
      <c r="V753" s="1083">
        <f t="shared" si="144"/>
        <v>6077999.9808</v>
      </c>
    </row>
    <row r="754" spans="1:22" s="1002" customFormat="1" hidden="1">
      <c r="A754" s="1000" t="s">
        <v>761</v>
      </c>
      <c r="B754" s="1028" t="s">
        <v>1496</v>
      </c>
      <c r="C754" s="1076" t="s">
        <v>217</v>
      </c>
      <c r="D754" s="1076"/>
      <c r="F754" s="1139" t="s">
        <v>221</v>
      </c>
      <c r="H754" s="1140" t="s">
        <v>222</v>
      </c>
      <c r="I754" s="1002" t="s">
        <v>1497</v>
      </c>
      <c r="J754" s="1007" t="s">
        <v>226</v>
      </c>
      <c r="K754" s="1003" t="s">
        <v>227</v>
      </c>
      <c r="M754" s="1093">
        <v>6</v>
      </c>
      <c r="N754" s="1081">
        <v>799074.07</v>
      </c>
      <c r="O754" s="1081">
        <f t="shared" si="147"/>
        <v>4794444.42</v>
      </c>
      <c r="P754" s="1081">
        <f t="shared" si="148"/>
        <v>383555.55359999998</v>
      </c>
      <c r="Q754" s="1081">
        <f t="shared" si="149"/>
        <v>5177999.9736000001</v>
      </c>
      <c r="R754" s="1081"/>
      <c r="S754" s="1083"/>
      <c r="T754" s="1083"/>
      <c r="U754" s="1083"/>
      <c r="V754" s="1083">
        <f t="shared" si="144"/>
        <v>5177999.9736000001</v>
      </c>
    </row>
    <row r="755" spans="1:22" s="1002" customFormat="1" hidden="1">
      <c r="A755" s="1000" t="s">
        <v>761</v>
      </c>
      <c r="B755" s="1028" t="s">
        <v>1496</v>
      </c>
      <c r="C755" s="1076" t="s">
        <v>217</v>
      </c>
      <c r="D755" s="1076"/>
      <c r="F755" s="1139" t="s">
        <v>221</v>
      </c>
      <c r="H755" s="1140" t="s">
        <v>222</v>
      </c>
      <c r="I755" s="1002" t="s">
        <v>1497</v>
      </c>
      <c r="J755" s="1007" t="s">
        <v>52</v>
      </c>
      <c r="K755" s="1002" t="s">
        <v>53</v>
      </c>
      <c r="L755" s="1008" t="s">
        <v>18</v>
      </c>
      <c r="M755" s="1093">
        <v>6</v>
      </c>
      <c r="N755" s="1081">
        <v>1007407.41</v>
      </c>
      <c r="O755" s="1081">
        <f t="shared" si="147"/>
        <v>6044444.46</v>
      </c>
      <c r="P755" s="1081">
        <f t="shared" si="148"/>
        <v>483555.55680000002</v>
      </c>
      <c r="Q755" s="1081">
        <f t="shared" si="149"/>
        <v>6528000.0168000003</v>
      </c>
      <c r="R755" s="1081"/>
      <c r="S755" s="1083"/>
      <c r="T755" s="1083"/>
      <c r="U755" s="1083"/>
      <c r="V755" s="1083">
        <f t="shared" si="144"/>
        <v>6528000.0168000003</v>
      </c>
    </row>
    <row r="756" spans="1:22" s="1002" customFormat="1" hidden="1">
      <c r="A756" s="1000" t="s">
        <v>761</v>
      </c>
      <c r="B756" s="1028" t="s">
        <v>1496</v>
      </c>
      <c r="C756" s="1076" t="s">
        <v>217</v>
      </c>
      <c r="D756" s="1076"/>
      <c r="F756" s="1139" t="s">
        <v>221</v>
      </c>
      <c r="H756" s="1140" t="s">
        <v>222</v>
      </c>
      <c r="I756" s="1002" t="s">
        <v>1497</v>
      </c>
      <c r="J756" s="1007" t="s">
        <v>54</v>
      </c>
      <c r="K756" s="1003" t="s">
        <v>229</v>
      </c>
      <c r="M756" s="1093">
        <v>12</v>
      </c>
      <c r="N756" s="1081">
        <v>324074.07</v>
      </c>
      <c r="O756" s="1081">
        <f t="shared" si="147"/>
        <v>3888888.84</v>
      </c>
      <c r="P756" s="1081">
        <f t="shared" si="148"/>
        <v>311111.10719999997</v>
      </c>
      <c r="Q756" s="1081">
        <f t="shared" si="149"/>
        <v>4199999.9472000003</v>
      </c>
      <c r="R756" s="1081"/>
      <c r="S756" s="1083"/>
      <c r="T756" s="1083"/>
      <c r="U756" s="1083"/>
      <c r="V756" s="1083">
        <f t="shared" si="144"/>
        <v>4199999.9472000003</v>
      </c>
    </row>
    <row r="757" spans="1:22" s="1002" customFormat="1" hidden="1">
      <c r="A757" s="1000" t="s">
        <v>761</v>
      </c>
      <c r="B757" s="1028" t="s">
        <v>1496</v>
      </c>
      <c r="C757" s="1076" t="s">
        <v>217</v>
      </c>
      <c r="D757" s="1076"/>
      <c r="F757" s="1139" t="s">
        <v>221</v>
      </c>
      <c r="H757" s="1140" t="s">
        <v>222</v>
      </c>
      <c r="I757" s="1002" t="s">
        <v>1497</v>
      </c>
      <c r="J757" s="1007" t="s">
        <v>107</v>
      </c>
      <c r="K757" s="1003" t="s">
        <v>108</v>
      </c>
      <c r="M757" s="1093">
        <v>12</v>
      </c>
      <c r="N757" s="1081">
        <v>349074.07</v>
      </c>
      <c r="O757" s="1081">
        <f t="shared" si="147"/>
        <v>4188888.84</v>
      </c>
      <c r="P757" s="1081">
        <f t="shared" si="148"/>
        <v>335111.10719999997</v>
      </c>
      <c r="Q757" s="1081">
        <f t="shared" si="149"/>
        <v>4523999.9472000003</v>
      </c>
      <c r="R757" s="1081"/>
      <c r="S757" s="1083"/>
      <c r="T757" s="1083"/>
      <c r="U757" s="1083"/>
      <c r="V757" s="1083">
        <f t="shared" si="144"/>
        <v>4523999.9472000003</v>
      </c>
    </row>
    <row r="758" spans="1:22" s="1002" customFormat="1" hidden="1">
      <c r="A758" s="1000" t="s">
        <v>761</v>
      </c>
      <c r="B758" s="1028" t="s">
        <v>1496</v>
      </c>
      <c r="C758" s="1076" t="s">
        <v>217</v>
      </c>
      <c r="D758" s="1076"/>
      <c r="F758" s="1139" t="s">
        <v>221</v>
      </c>
      <c r="H758" s="1140" t="s">
        <v>222</v>
      </c>
      <c r="I758" s="1002" t="s">
        <v>1497</v>
      </c>
      <c r="J758" s="1007" t="s">
        <v>127</v>
      </c>
      <c r="K758" s="1024" t="s">
        <v>230</v>
      </c>
      <c r="M758" s="1093">
        <v>12</v>
      </c>
      <c r="N758" s="1081">
        <v>284259.26</v>
      </c>
      <c r="O758" s="1081">
        <f t="shared" si="147"/>
        <v>3411111.12</v>
      </c>
      <c r="P758" s="1081">
        <f t="shared" si="148"/>
        <v>272888.88959999999</v>
      </c>
      <c r="Q758" s="1081">
        <f t="shared" si="149"/>
        <v>3684000.0096</v>
      </c>
      <c r="R758" s="1081"/>
      <c r="S758" s="1083"/>
      <c r="T758" s="1083"/>
      <c r="U758" s="1083"/>
      <c r="V758" s="1083">
        <f t="shared" si="144"/>
        <v>3684000.0096</v>
      </c>
    </row>
    <row r="759" spans="1:22" s="1002" customFormat="1" hidden="1">
      <c r="A759" s="1000" t="s">
        <v>761</v>
      </c>
      <c r="B759" s="1028" t="s">
        <v>1496</v>
      </c>
      <c r="C759" s="1076" t="s">
        <v>217</v>
      </c>
      <c r="D759" s="1076"/>
      <c r="F759" s="1139" t="s">
        <v>221</v>
      </c>
      <c r="H759" s="1140" t="s">
        <v>222</v>
      </c>
      <c r="I759" s="1002" t="s">
        <v>1497</v>
      </c>
      <c r="J759" s="1007" t="s">
        <v>130</v>
      </c>
      <c r="K759" s="1003" t="s">
        <v>231</v>
      </c>
      <c r="M759" s="1093">
        <v>12</v>
      </c>
      <c r="N759" s="1081">
        <v>280555.56</v>
      </c>
      <c r="O759" s="1081">
        <f t="shared" si="147"/>
        <v>3366666.7199999997</v>
      </c>
      <c r="P759" s="1081">
        <f t="shared" si="148"/>
        <v>269333.33759999997</v>
      </c>
      <c r="Q759" s="1081">
        <f t="shared" si="149"/>
        <v>3636000.0575999999</v>
      </c>
      <c r="R759" s="1081"/>
      <c r="S759" s="1083"/>
      <c r="T759" s="1083"/>
      <c r="U759" s="1083"/>
      <c r="V759" s="1083">
        <f t="shared" si="144"/>
        <v>3636000.0575999999</v>
      </c>
    </row>
    <row r="760" spans="1:22" s="1002" customFormat="1" hidden="1">
      <c r="A760" s="1000" t="s">
        <v>761</v>
      </c>
      <c r="B760" s="1028" t="s">
        <v>1496</v>
      </c>
      <c r="C760" s="1076" t="s">
        <v>217</v>
      </c>
      <c r="D760" s="1076"/>
      <c r="F760" s="1139" t="s">
        <v>232</v>
      </c>
      <c r="H760" s="1140" t="s">
        <v>233</v>
      </c>
      <c r="I760" s="1002" t="s">
        <v>862</v>
      </c>
      <c r="J760" s="1007" t="s">
        <v>62</v>
      </c>
      <c r="K760" s="1003" t="s">
        <v>234</v>
      </c>
      <c r="M760" s="1093">
        <v>24</v>
      </c>
      <c r="N760" s="1081"/>
      <c r="O760" s="1081"/>
      <c r="P760" s="1081"/>
      <c r="Q760" s="1081"/>
      <c r="R760" s="1081"/>
      <c r="S760" s="1083"/>
      <c r="T760" s="1083"/>
      <c r="U760" s="1083"/>
      <c r="V760" s="1083">
        <f t="shared" si="144"/>
        <v>0</v>
      </c>
    </row>
    <row r="761" spans="1:22" s="1002" customFormat="1" hidden="1">
      <c r="A761" s="1000" t="s">
        <v>761</v>
      </c>
      <c r="B761" s="1028" t="s">
        <v>1496</v>
      </c>
      <c r="C761" s="1088" t="s">
        <v>217</v>
      </c>
      <c r="D761" s="1088"/>
      <c r="F761" s="1157"/>
      <c r="H761" s="1163"/>
      <c r="I761" s="1036" t="s">
        <v>198</v>
      </c>
      <c r="J761" s="1007"/>
      <c r="K761" s="1031"/>
      <c r="M761" s="1135"/>
      <c r="N761" s="1081"/>
      <c r="O761" s="1137"/>
      <c r="P761" s="1137"/>
      <c r="Q761" s="1137"/>
      <c r="R761" s="1083"/>
      <c r="S761" s="1137">
        <v>500000</v>
      </c>
      <c r="T761" s="1083"/>
      <c r="U761" s="1083"/>
      <c r="V761" s="1083">
        <f t="shared" si="144"/>
        <v>-500000</v>
      </c>
    </row>
    <row r="762" spans="1:22" s="1002" customFormat="1" hidden="1">
      <c r="A762" s="1000" t="s">
        <v>761</v>
      </c>
      <c r="B762" s="1028" t="s">
        <v>1496</v>
      </c>
      <c r="C762" s="1076" t="s">
        <v>235</v>
      </c>
      <c r="D762" s="1076"/>
      <c r="F762" s="1139" t="s">
        <v>235</v>
      </c>
      <c r="H762" s="1140" t="s">
        <v>236</v>
      </c>
      <c r="I762" s="1018" t="s">
        <v>237</v>
      </c>
      <c r="J762" s="1007" t="s">
        <v>46</v>
      </c>
      <c r="K762" s="1037" t="s">
        <v>47</v>
      </c>
      <c r="M762" s="1093">
        <v>-22</v>
      </c>
      <c r="N762" s="1081">
        <v>194444.44</v>
      </c>
      <c r="O762" s="1081">
        <f t="shared" ref="O762:O768" si="150">M762*N762</f>
        <v>-4277777.68</v>
      </c>
      <c r="P762" s="1081">
        <f t="shared" ref="P762:P768" si="151">O762*8%</f>
        <v>-342222.2144</v>
      </c>
      <c r="Q762" s="1081">
        <f t="shared" ref="Q762:Q768" si="152">O762+P762</f>
        <v>-4619999.8943999996</v>
      </c>
      <c r="R762" s="1081"/>
      <c r="S762" s="1083"/>
      <c r="T762" s="1083"/>
      <c r="U762" s="1083"/>
      <c r="V762" s="1083">
        <f t="shared" si="144"/>
        <v>-4619999.8943999996</v>
      </c>
    </row>
    <row r="763" spans="1:22" s="1002" customFormat="1" hidden="1">
      <c r="A763" s="1000" t="s">
        <v>761</v>
      </c>
      <c r="B763" s="1028" t="s">
        <v>1496</v>
      </c>
      <c r="C763" s="1076" t="s">
        <v>235</v>
      </c>
      <c r="D763" s="1076"/>
      <c r="F763" s="1139">
        <v>46117</v>
      </c>
      <c r="H763" s="1140" t="s">
        <v>238</v>
      </c>
      <c r="I763" s="1002" t="s">
        <v>1497</v>
      </c>
      <c r="J763" s="1007" t="s">
        <v>180</v>
      </c>
      <c r="K763" s="1003" t="s">
        <v>239</v>
      </c>
      <c r="M763" s="1093">
        <v>40</v>
      </c>
      <c r="N763" s="1081">
        <v>234259.26</v>
      </c>
      <c r="O763" s="1081">
        <f t="shared" si="150"/>
        <v>9370370.4000000004</v>
      </c>
      <c r="P763" s="1081">
        <f t="shared" si="151"/>
        <v>749629.6320000001</v>
      </c>
      <c r="Q763" s="1081">
        <f t="shared" si="152"/>
        <v>10120000.032</v>
      </c>
      <c r="R763" s="1081"/>
      <c r="S763" s="1083"/>
      <c r="T763" s="1083"/>
      <c r="U763" s="1083"/>
      <c r="V763" s="1083">
        <f t="shared" si="144"/>
        <v>10120000.032</v>
      </c>
    </row>
    <row r="764" spans="1:22" s="1002" customFormat="1" hidden="1">
      <c r="A764" s="1000" t="s">
        <v>761</v>
      </c>
      <c r="B764" s="1028" t="s">
        <v>1496</v>
      </c>
      <c r="C764" s="1076" t="s">
        <v>235</v>
      </c>
      <c r="D764" s="1076"/>
      <c r="F764" s="1139">
        <v>46117</v>
      </c>
      <c r="H764" s="1140" t="s">
        <v>238</v>
      </c>
      <c r="I764" s="1002" t="s">
        <v>1497</v>
      </c>
      <c r="J764" s="1007" t="s">
        <v>26</v>
      </c>
      <c r="K764" s="1003" t="s">
        <v>182</v>
      </c>
      <c r="M764" s="1093">
        <v>40</v>
      </c>
      <c r="N764" s="1081">
        <v>256481.48</v>
      </c>
      <c r="O764" s="1081">
        <f t="shared" si="150"/>
        <v>10259259.200000001</v>
      </c>
      <c r="P764" s="1081">
        <f t="shared" si="151"/>
        <v>820740.73600000015</v>
      </c>
      <c r="Q764" s="1081">
        <f t="shared" si="152"/>
        <v>11079999.936000001</v>
      </c>
      <c r="R764" s="1081"/>
      <c r="S764" s="1083"/>
      <c r="T764" s="1083"/>
      <c r="U764" s="1083"/>
      <c r="V764" s="1083">
        <f t="shared" si="144"/>
        <v>11079999.936000001</v>
      </c>
    </row>
    <row r="765" spans="1:22" s="1002" customFormat="1" hidden="1">
      <c r="A765" s="1000" t="s">
        <v>761</v>
      </c>
      <c r="B765" s="1028" t="s">
        <v>1496</v>
      </c>
      <c r="C765" s="1076" t="s">
        <v>235</v>
      </c>
      <c r="D765" s="1076"/>
      <c r="F765" s="1139">
        <v>46117</v>
      </c>
      <c r="H765" s="1140" t="s">
        <v>238</v>
      </c>
      <c r="I765" s="1002" t="s">
        <v>1497</v>
      </c>
      <c r="J765" s="1007" t="s">
        <v>28</v>
      </c>
      <c r="K765" s="1003" t="s">
        <v>183</v>
      </c>
      <c r="M765" s="1093">
        <v>40</v>
      </c>
      <c r="N765" s="1081">
        <v>281481.48</v>
      </c>
      <c r="O765" s="1081">
        <f t="shared" si="150"/>
        <v>11259259.199999999</v>
      </c>
      <c r="P765" s="1081">
        <f t="shared" si="151"/>
        <v>900740.73599999992</v>
      </c>
      <c r="Q765" s="1081">
        <f t="shared" si="152"/>
        <v>12159999.935999999</v>
      </c>
      <c r="R765" s="1081"/>
      <c r="S765" s="1083"/>
      <c r="T765" s="1083"/>
      <c r="U765" s="1083"/>
      <c r="V765" s="1083">
        <f t="shared" si="144"/>
        <v>12159999.935999999</v>
      </c>
    </row>
    <row r="766" spans="1:22" s="1002" customFormat="1" ht="47.25" hidden="1">
      <c r="A766" s="1000" t="s">
        <v>761</v>
      </c>
      <c r="B766" s="1028" t="s">
        <v>1496</v>
      </c>
      <c r="C766" s="1076" t="s">
        <v>235</v>
      </c>
      <c r="D766" s="1076"/>
      <c r="F766" s="1139">
        <v>46117</v>
      </c>
      <c r="H766" s="1140" t="s">
        <v>238</v>
      </c>
      <c r="I766" s="1002" t="s">
        <v>1497</v>
      </c>
      <c r="J766" s="1007" t="s">
        <v>60</v>
      </c>
      <c r="K766" s="1024" t="s">
        <v>223</v>
      </c>
      <c r="M766" s="1093">
        <v>16</v>
      </c>
      <c r="N766" s="1081">
        <v>1138888.8899999999</v>
      </c>
      <c r="O766" s="1081">
        <f t="shared" si="150"/>
        <v>18222222.239999998</v>
      </c>
      <c r="P766" s="1081">
        <f t="shared" si="151"/>
        <v>1457777.7792</v>
      </c>
      <c r="Q766" s="1081">
        <f t="shared" si="152"/>
        <v>19680000.019199997</v>
      </c>
      <c r="R766" s="1081"/>
      <c r="S766" s="1083"/>
      <c r="T766" s="1083"/>
      <c r="U766" s="1083"/>
      <c r="V766" s="1083">
        <f t="shared" si="144"/>
        <v>19680000.019199997</v>
      </c>
    </row>
    <row r="767" spans="1:22" s="1002" customFormat="1" ht="47.25" hidden="1">
      <c r="A767" s="1000" t="s">
        <v>761</v>
      </c>
      <c r="B767" s="1028" t="s">
        <v>1496</v>
      </c>
      <c r="C767" s="1076" t="s">
        <v>235</v>
      </c>
      <c r="D767" s="1076"/>
      <c r="F767" s="1139">
        <v>46117</v>
      </c>
      <c r="H767" s="1140" t="s">
        <v>238</v>
      </c>
      <c r="I767" s="1002" t="s">
        <v>1497</v>
      </c>
      <c r="J767" s="1007" t="s">
        <v>83</v>
      </c>
      <c r="K767" s="1024" t="s">
        <v>240</v>
      </c>
      <c r="M767" s="1093">
        <v>16</v>
      </c>
      <c r="N767" s="1081">
        <v>1097222.22</v>
      </c>
      <c r="O767" s="1081">
        <f t="shared" si="150"/>
        <v>17555555.52</v>
      </c>
      <c r="P767" s="1081">
        <f t="shared" si="151"/>
        <v>1404444.4416</v>
      </c>
      <c r="Q767" s="1081">
        <f t="shared" si="152"/>
        <v>18959999.961599998</v>
      </c>
      <c r="R767" s="1081"/>
      <c r="S767" s="1083"/>
      <c r="T767" s="1083"/>
      <c r="U767" s="1083"/>
      <c r="V767" s="1083">
        <f t="shared" si="144"/>
        <v>18959999.961599998</v>
      </c>
    </row>
    <row r="768" spans="1:22" s="1002" customFormat="1" hidden="1">
      <c r="A768" s="1000" t="s">
        <v>761</v>
      </c>
      <c r="B768" s="1028" t="s">
        <v>1496</v>
      </c>
      <c r="C768" s="1076"/>
      <c r="D768" s="1076"/>
      <c r="F768" s="1139">
        <v>46117</v>
      </c>
      <c r="H768" s="1140" t="s">
        <v>238</v>
      </c>
      <c r="I768" s="1002" t="s">
        <v>1497</v>
      </c>
      <c r="J768" s="1007" t="s">
        <v>226</v>
      </c>
      <c r="K768" s="1003" t="s">
        <v>227</v>
      </c>
      <c r="M768" s="1093">
        <v>12</v>
      </c>
      <c r="N768" s="1081">
        <v>799074.07</v>
      </c>
      <c r="O768" s="1081">
        <f t="shared" si="150"/>
        <v>9588888.8399999999</v>
      </c>
      <c r="P768" s="1081">
        <f t="shared" si="151"/>
        <v>767111.10719999997</v>
      </c>
      <c r="Q768" s="1081">
        <f t="shared" si="152"/>
        <v>10355999.9472</v>
      </c>
      <c r="R768" s="1081"/>
      <c r="S768" s="1083"/>
      <c r="T768" s="1083"/>
      <c r="U768" s="1083"/>
      <c r="V768" s="1083">
        <f t="shared" si="144"/>
        <v>10355999.9472</v>
      </c>
    </row>
    <row r="769" spans="1:22" s="1002" customFormat="1" hidden="1">
      <c r="A769" s="1000" t="s">
        <v>761</v>
      </c>
      <c r="B769" s="1028" t="s">
        <v>1496</v>
      </c>
      <c r="C769" s="1076" t="s">
        <v>235</v>
      </c>
      <c r="D769" s="1076"/>
      <c r="F769" s="1139">
        <v>46117</v>
      </c>
      <c r="H769" s="1140" t="s">
        <v>238</v>
      </c>
      <c r="I769" s="1002" t="s">
        <v>862</v>
      </c>
      <c r="J769" s="1007" t="s">
        <v>62</v>
      </c>
      <c r="K769" s="1003" t="s">
        <v>234</v>
      </c>
      <c r="M769" s="1093">
        <v>12</v>
      </c>
      <c r="N769" s="1081"/>
      <c r="O769" s="1081"/>
      <c r="P769" s="1081"/>
      <c r="Q769" s="1081"/>
      <c r="R769" s="1081"/>
      <c r="S769" s="1083"/>
      <c r="T769" s="1083"/>
      <c r="U769" s="1083"/>
      <c r="V769" s="1083">
        <f t="shared" si="144"/>
        <v>0</v>
      </c>
    </row>
    <row r="770" spans="1:22" s="1002" customFormat="1" hidden="1">
      <c r="A770" s="1000" t="s">
        <v>761</v>
      </c>
      <c r="B770" s="1028" t="s">
        <v>1496</v>
      </c>
      <c r="C770" s="1076" t="s">
        <v>235</v>
      </c>
      <c r="D770" s="1076"/>
      <c r="F770" s="1139" t="s">
        <v>241</v>
      </c>
      <c r="H770" s="1140" t="s">
        <v>242</v>
      </c>
      <c r="I770" s="1002" t="s">
        <v>1497</v>
      </c>
      <c r="J770" s="1007" t="s">
        <v>243</v>
      </c>
      <c r="K770" s="1003" t="s">
        <v>244</v>
      </c>
      <c r="M770" s="1093">
        <v>40</v>
      </c>
      <c r="N770" s="1081">
        <v>298148.15000000002</v>
      </c>
      <c r="O770" s="1081">
        <f>M770*N770</f>
        <v>11925926</v>
      </c>
      <c r="P770" s="1081">
        <f>O770*8%</f>
        <v>954074.08000000007</v>
      </c>
      <c r="Q770" s="1081">
        <f>O770+P770</f>
        <v>12880000.08</v>
      </c>
      <c r="R770" s="1081"/>
      <c r="S770" s="1083"/>
      <c r="T770" s="1083"/>
      <c r="U770" s="1083"/>
      <c r="V770" s="1083">
        <f t="shared" si="144"/>
        <v>12880000.08</v>
      </c>
    </row>
    <row r="771" spans="1:22" s="1002" customFormat="1" hidden="1">
      <c r="A771" s="1000" t="s">
        <v>761</v>
      </c>
      <c r="B771" s="1028" t="s">
        <v>1496</v>
      </c>
      <c r="C771" s="1088" t="s">
        <v>235</v>
      </c>
      <c r="D771" s="1088"/>
      <c r="F771" s="1157"/>
      <c r="H771" s="1163"/>
      <c r="I771" s="1036" t="s">
        <v>198</v>
      </c>
      <c r="J771" s="1007"/>
      <c r="K771" s="1031"/>
      <c r="M771" s="1135"/>
      <c r="N771" s="1081"/>
      <c r="O771" s="1137"/>
      <c r="P771" s="1137"/>
      <c r="Q771" s="1137"/>
      <c r="R771" s="1083"/>
      <c r="S771" s="1137">
        <v>500000</v>
      </c>
      <c r="T771" s="1083"/>
      <c r="U771" s="1083"/>
      <c r="V771" s="1083">
        <f t="shared" si="144"/>
        <v>-500000</v>
      </c>
    </row>
    <row r="772" spans="1:22" s="1002" customFormat="1" hidden="1">
      <c r="A772" s="1000" t="s">
        <v>761</v>
      </c>
      <c r="B772" s="1028" t="s">
        <v>1496</v>
      </c>
      <c r="C772" s="1076">
        <v>46087</v>
      </c>
      <c r="D772" s="1076"/>
      <c r="F772" s="1139">
        <v>46087</v>
      </c>
      <c r="H772" s="1140" t="s">
        <v>245</v>
      </c>
      <c r="I772" s="1018" t="s">
        <v>246</v>
      </c>
      <c r="J772" s="1007" t="s">
        <v>77</v>
      </c>
      <c r="K772" s="1037" t="s">
        <v>210</v>
      </c>
      <c r="M772" s="1093">
        <v>-20</v>
      </c>
      <c r="N772" s="1081">
        <v>324074.07</v>
      </c>
      <c r="O772" s="1081">
        <f t="shared" ref="O772:O782" si="153">N772*M772</f>
        <v>-6481481.4000000004</v>
      </c>
      <c r="P772" s="1081">
        <f t="shared" ref="P772:P782" si="154">O772*8%</f>
        <v>-518518.51200000005</v>
      </c>
      <c r="Q772" s="1081">
        <f t="shared" ref="Q772:Q782" si="155">O772+P772</f>
        <v>-6999999.9120000005</v>
      </c>
      <c r="R772" s="1081"/>
      <c r="S772" s="1083"/>
      <c r="T772" s="1083"/>
      <c r="U772" s="1083"/>
      <c r="V772" s="1083">
        <f t="shared" si="144"/>
        <v>-6999999.9120000005</v>
      </c>
    </row>
    <row r="773" spans="1:22" s="1002" customFormat="1" hidden="1">
      <c r="A773" s="1000" t="s">
        <v>761</v>
      </c>
      <c r="B773" s="1028" t="s">
        <v>1496</v>
      </c>
      <c r="C773" s="1076" t="s">
        <v>247</v>
      </c>
      <c r="D773" s="1076"/>
      <c r="F773" s="1139" t="s">
        <v>89</v>
      </c>
      <c r="H773" s="1140" t="s">
        <v>248</v>
      </c>
      <c r="I773" s="1002" t="s">
        <v>1497</v>
      </c>
      <c r="J773" s="1007" t="s">
        <v>74</v>
      </c>
      <c r="K773" s="1007" t="s">
        <v>141</v>
      </c>
      <c r="M773" s="1093">
        <v>96</v>
      </c>
      <c r="N773" s="1081">
        <v>361111.11</v>
      </c>
      <c r="O773" s="1081">
        <f t="shared" si="153"/>
        <v>34666666.560000002</v>
      </c>
      <c r="P773" s="1081">
        <f t="shared" si="154"/>
        <v>2773333.3248000001</v>
      </c>
      <c r="Q773" s="1081">
        <f t="shared" si="155"/>
        <v>37439999.884800002</v>
      </c>
      <c r="R773" s="1081"/>
      <c r="S773" s="1083"/>
      <c r="T773" s="1083"/>
      <c r="U773" s="1083"/>
      <c r="V773" s="1083">
        <f t="shared" si="144"/>
        <v>37439999.884800002</v>
      </c>
    </row>
    <row r="774" spans="1:22" s="1002" customFormat="1" ht="31.5" hidden="1">
      <c r="A774" s="1000" t="s">
        <v>761</v>
      </c>
      <c r="B774" s="1028" t="s">
        <v>1496</v>
      </c>
      <c r="C774" s="1076" t="s">
        <v>247</v>
      </c>
      <c r="D774" s="1076"/>
      <c r="F774" s="1139" t="s">
        <v>89</v>
      </c>
      <c r="H774" s="1140" t="s">
        <v>248</v>
      </c>
      <c r="I774" s="1002" t="s">
        <v>1497</v>
      </c>
      <c r="J774" s="1007" t="s">
        <v>180</v>
      </c>
      <c r="K774" s="1007" t="s">
        <v>181</v>
      </c>
      <c r="M774" s="1093">
        <v>30</v>
      </c>
      <c r="N774" s="1081">
        <v>234259.26</v>
      </c>
      <c r="O774" s="1081">
        <f t="shared" si="153"/>
        <v>7027777.8000000007</v>
      </c>
      <c r="P774" s="1081">
        <f t="shared" si="154"/>
        <v>562222.22400000005</v>
      </c>
      <c r="Q774" s="1081">
        <f t="shared" si="155"/>
        <v>7590000.0240000011</v>
      </c>
      <c r="R774" s="1081"/>
      <c r="S774" s="1083"/>
      <c r="T774" s="1083"/>
      <c r="U774" s="1083"/>
      <c r="V774" s="1083">
        <f t="shared" si="144"/>
        <v>7590000.0240000011</v>
      </c>
    </row>
    <row r="775" spans="1:22" s="1002" customFormat="1" ht="31.5" hidden="1">
      <c r="A775" s="1000" t="s">
        <v>761</v>
      </c>
      <c r="B775" s="1028" t="s">
        <v>1496</v>
      </c>
      <c r="C775" s="1076" t="s">
        <v>247</v>
      </c>
      <c r="D775" s="1076"/>
      <c r="F775" s="1139" t="s">
        <v>89</v>
      </c>
      <c r="H775" s="1140" t="s">
        <v>248</v>
      </c>
      <c r="I775" s="1002" t="s">
        <v>1497</v>
      </c>
      <c r="J775" s="1007" t="s">
        <v>26</v>
      </c>
      <c r="K775" s="1007" t="s">
        <v>27</v>
      </c>
      <c r="M775" s="1093">
        <v>30</v>
      </c>
      <c r="N775" s="1081">
        <v>256481.48</v>
      </c>
      <c r="O775" s="1081">
        <f t="shared" si="153"/>
        <v>7694444.4000000004</v>
      </c>
      <c r="P775" s="1081">
        <f t="shared" si="154"/>
        <v>615555.55200000003</v>
      </c>
      <c r="Q775" s="1081">
        <f t="shared" si="155"/>
        <v>8309999.9520000005</v>
      </c>
      <c r="R775" s="1081"/>
      <c r="S775" s="1083"/>
      <c r="T775" s="1083"/>
      <c r="U775" s="1083"/>
      <c r="V775" s="1083">
        <f t="shared" si="144"/>
        <v>8309999.9520000005</v>
      </c>
    </row>
    <row r="776" spans="1:22" s="1002" customFormat="1" ht="31.5" hidden="1">
      <c r="A776" s="1000" t="s">
        <v>761</v>
      </c>
      <c r="B776" s="1028" t="s">
        <v>1496</v>
      </c>
      <c r="C776" s="1076" t="s">
        <v>247</v>
      </c>
      <c r="D776" s="1076"/>
      <c r="F776" s="1139" t="s">
        <v>89</v>
      </c>
      <c r="H776" s="1140" t="s">
        <v>248</v>
      </c>
      <c r="I776" s="1002" t="s">
        <v>1497</v>
      </c>
      <c r="J776" s="1007" t="s">
        <v>28</v>
      </c>
      <c r="K776" s="1007" t="s">
        <v>29</v>
      </c>
      <c r="M776" s="1093">
        <v>30</v>
      </c>
      <c r="N776" s="1081">
        <v>281481.48</v>
      </c>
      <c r="O776" s="1081">
        <f t="shared" si="153"/>
        <v>8444444.3999999985</v>
      </c>
      <c r="P776" s="1081">
        <f t="shared" si="154"/>
        <v>675555.55199999991</v>
      </c>
      <c r="Q776" s="1081">
        <f t="shared" si="155"/>
        <v>9119999.9519999977</v>
      </c>
      <c r="R776" s="1081"/>
      <c r="S776" s="1083"/>
      <c r="T776" s="1083"/>
      <c r="U776" s="1083"/>
      <c r="V776" s="1083">
        <f t="shared" si="144"/>
        <v>9119999.9519999977</v>
      </c>
    </row>
    <row r="777" spans="1:22" s="1002" customFormat="1" ht="31.5" hidden="1">
      <c r="A777" s="1000" t="s">
        <v>761</v>
      </c>
      <c r="B777" s="1028" t="s">
        <v>1496</v>
      </c>
      <c r="C777" s="1076" t="s">
        <v>247</v>
      </c>
      <c r="D777" s="1076"/>
      <c r="F777" s="1139" t="s">
        <v>89</v>
      </c>
      <c r="H777" s="1140" t="s">
        <v>248</v>
      </c>
      <c r="I777" s="1002" t="s">
        <v>1497</v>
      </c>
      <c r="J777" s="1007" t="s">
        <v>243</v>
      </c>
      <c r="K777" s="1007" t="s">
        <v>249</v>
      </c>
      <c r="M777" s="1093">
        <v>30</v>
      </c>
      <c r="N777" s="1081">
        <v>298148.15000000002</v>
      </c>
      <c r="O777" s="1081">
        <f t="shared" si="153"/>
        <v>8944444.5</v>
      </c>
      <c r="P777" s="1081">
        <f t="shared" si="154"/>
        <v>715555.56</v>
      </c>
      <c r="Q777" s="1081">
        <f t="shared" si="155"/>
        <v>9660000.0600000005</v>
      </c>
      <c r="R777" s="1081"/>
      <c r="S777" s="1083"/>
      <c r="T777" s="1083"/>
      <c r="U777" s="1083"/>
      <c r="V777" s="1083">
        <f t="shared" si="144"/>
        <v>9660000.0600000005</v>
      </c>
    </row>
    <row r="778" spans="1:22" s="1002" customFormat="1" hidden="1">
      <c r="A778" s="1000" t="s">
        <v>761</v>
      </c>
      <c r="B778" s="1028" t="s">
        <v>1496</v>
      </c>
      <c r="C778" s="1076" t="s">
        <v>247</v>
      </c>
      <c r="D778" s="1076"/>
      <c r="F778" s="1139" t="s">
        <v>89</v>
      </c>
      <c r="H778" s="1140" t="s">
        <v>248</v>
      </c>
      <c r="I778" s="1002" t="s">
        <v>1497</v>
      </c>
      <c r="J778" s="1007" t="s">
        <v>48</v>
      </c>
      <c r="K778" s="1002" t="s">
        <v>49</v>
      </c>
      <c r="M778" s="1093">
        <v>18</v>
      </c>
      <c r="N778" s="1081">
        <v>601851.85</v>
      </c>
      <c r="O778" s="1081">
        <f t="shared" si="153"/>
        <v>10833333.299999999</v>
      </c>
      <c r="P778" s="1081">
        <f t="shared" si="154"/>
        <v>866666.66399999987</v>
      </c>
      <c r="Q778" s="1081">
        <f t="shared" si="155"/>
        <v>11699999.963999998</v>
      </c>
      <c r="R778" s="1081"/>
      <c r="S778" s="1083"/>
      <c r="T778" s="1083"/>
      <c r="U778" s="1083"/>
      <c r="V778" s="1083">
        <f t="shared" si="144"/>
        <v>11699999.963999998</v>
      </c>
    </row>
    <row r="779" spans="1:22" s="1002" customFormat="1" hidden="1">
      <c r="A779" s="1000" t="s">
        <v>761</v>
      </c>
      <c r="B779" s="1028" t="s">
        <v>1496</v>
      </c>
      <c r="C779" s="1076" t="s">
        <v>247</v>
      </c>
      <c r="D779" s="1076"/>
      <c r="F779" s="1139" t="s">
        <v>89</v>
      </c>
      <c r="H779" s="1140" t="s">
        <v>248</v>
      </c>
      <c r="I779" s="1002" t="s">
        <v>862</v>
      </c>
      <c r="J779" s="1007" t="s">
        <v>62</v>
      </c>
      <c r="K779" s="1002" t="s">
        <v>63</v>
      </c>
      <c r="M779" s="1093">
        <v>18</v>
      </c>
      <c r="N779" s="1081">
        <v>0</v>
      </c>
      <c r="O779" s="1081">
        <f t="shared" si="153"/>
        <v>0</v>
      </c>
      <c r="P779" s="1081">
        <f t="shared" si="154"/>
        <v>0</v>
      </c>
      <c r="Q779" s="1081">
        <f t="shared" si="155"/>
        <v>0</v>
      </c>
      <c r="R779" s="1081"/>
      <c r="S779" s="1083"/>
      <c r="T779" s="1083"/>
      <c r="U779" s="1083"/>
      <c r="V779" s="1083">
        <f t="shared" si="144"/>
        <v>0</v>
      </c>
    </row>
    <row r="780" spans="1:22" s="1002" customFormat="1" hidden="1">
      <c r="A780" s="1000" t="s">
        <v>761</v>
      </c>
      <c r="B780" s="1028" t="s">
        <v>1496</v>
      </c>
      <c r="C780" s="1076" t="s">
        <v>247</v>
      </c>
      <c r="D780" s="1076"/>
      <c r="F780" s="1139">
        <v>46029</v>
      </c>
      <c r="H780" s="1140" t="s">
        <v>250</v>
      </c>
      <c r="I780" s="1002" t="s">
        <v>1497</v>
      </c>
      <c r="J780" s="1007" t="s">
        <v>98</v>
      </c>
      <c r="K780" s="1019" t="s">
        <v>251</v>
      </c>
      <c r="M780" s="1125">
        <v>20</v>
      </c>
      <c r="N780" s="1081">
        <v>694444.44</v>
      </c>
      <c r="O780" s="1126">
        <f t="shared" si="153"/>
        <v>13888888.799999999</v>
      </c>
      <c r="P780" s="1126">
        <f t="shared" si="154"/>
        <v>1111111.1039999998</v>
      </c>
      <c r="Q780" s="1126">
        <f t="shared" si="155"/>
        <v>14999999.903999999</v>
      </c>
      <c r="R780" s="1081"/>
      <c r="S780" s="1083"/>
      <c r="T780" s="1083"/>
      <c r="U780" s="1083"/>
      <c r="V780" s="1083">
        <f t="shared" ref="V780:V843" si="156">Q780-R780-S780-T780-U780</f>
        <v>14999999.903999999</v>
      </c>
    </row>
    <row r="781" spans="1:22" s="1002" customFormat="1" hidden="1">
      <c r="A781" s="1000" t="s">
        <v>761</v>
      </c>
      <c r="B781" s="1028" t="s">
        <v>1496</v>
      </c>
      <c r="C781" s="1076" t="s">
        <v>247</v>
      </c>
      <c r="D781" s="1076"/>
      <c r="F781" s="1139" t="s">
        <v>829</v>
      </c>
      <c r="H781" s="1140" t="s">
        <v>847</v>
      </c>
      <c r="I781" s="1002" t="s">
        <v>1497</v>
      </c>
      <c r="J781" s="1007" t="s">
        <v>90</v>
      </c>
      <c r="K781" s="1024" t="s">
        <v>91</v>
      </c>
      <c r="M781" s="1093">
        <v>10</v>
      </c>
      <c r="N781" s="1081">
        <v>814814.81</v>
      </c>
      <c r="O781" s="1081">
        <f t="shared" si="153"/>
        <v>8148148.1000000006</v>
      </c>
      <c r="P781" s="1081">
        <f t="shared" si="154"/>
        <v>651851.84800000011</v>
      </c>
      <c r="Q781" s="1081">
        <f t="shared" si="155"/>
        <v>8799999.9480000008</v>
      </c>
      <c r="R781" s="1081"/>
      <c r="S781" s="1083"/>
      <c r="T781" s="1083"/>
      <c r="U781" s="1083"/>
      <c r="V781" s="1083">
        <f t="shared" si="156"/>
        <v>8799999.9480000008</v>
      </c>
    </row>
    <row r="782" spans="1:22" s="1002" customFormat="1" hidden="1">
      <c r="A782" s="1000" t="s">
        <v>761</v>
      </c>
      <c r="B782" s="1028" t="s">
        <v>1496</v>
      </c>
      <c r="C782" s="1076" t="s">
        <v>247</v>
      </c>
      <c r="D782" s="1076"/>
      <c r="F782" s="1139" t="s">
        <v>829</v>
      </c>
      <c r="H782" s="1140" t="s">
        <v>847</v>
      </c>
      <c r="I782" s="1002" t="s">
        <v>1497</v>
      </c>
      <c r="J782" s="1007" t="s">
        <v>93</v>
      </c>
      <c r="K782" s="1024" t="s">
        <v>94</v>
      </c>
      <c r="M782" s="1093">
        <v>6</v>
      </c>
      <c r="N782" s="1081">
        <v>907407.4</v>
      </c>
      <c r="O782" s="1081">
        <f t="shared" si="153"/>
        <v>5444444.4000000004</v>
      </c>
      <c r="P782" s="1081">
        <f t="shared" si="154"/>
        <v>435555.55200000003</v>
      </c>
      <c r="Q782" s="1081">
        <f t="shared" si="155"/>
        <v>5879999.9520000005</v>
      </c>
      <c r="R782" s="1081"/>
      <c r="S782" s="1083"/>
      <c r="T782" s="1083"/>
      <c r="U782" s="1083"/>
      <c r="V782" s="1083">
        <f t="shared" si="156"/>
        <v>5879999.9520000005</v>
      </c>
    </row>
    <row r="783" spans="1:22" s="1002" customFormat="1" hidden="1">
      <c r="A783" s="1000" t="s">
        <v>761</v>
      </c>
      <c r="B783" s="1028" t="s">
        <v>1496</v>
      </c>
      <c r="C783" s="1088" t="s">
        <v>247</v>
      </c>
      <c r="D783" s="1088"/>
      <c r="F783" s="1157"/>
      <c r="H783" s="1163"/>
      <c r="I783" s="1036" t="s">
        <v>198</v>
      </c>
      <c r="J783" s="1007"/>
      <c r="K783" s="1031"/>
      <c r="M783" s="1135"/>
      <c r="N783" s="1081"/>
      <c r="O783" s="1137"/>
      <c r="P783" s="1137"/>
      <c r="Q783" s="1137"/>
      <c r="R783" s="1083"/>
      <c r="S783" s="1137">
        <v>500000</v>
      </c>
      <c r="T783" s="1083"/>
      <c r="U783" s="1083"/>
      <c r="V783" s="1083">
        <f t="shared" si="156"/>
        <v>-500000</v>
      </c>
    </row>
    <row r="784" spans="1:22" s="1002" customFormat="1" hidden="1">
      <c r="A784" s="1000" t="s">
        <v>761</v>
      </c>
      <c r="B784" s="1028" t="s">
        <v>1496</v>
      </c>
      <c r="C784" s="1088" t="s">
        <v>95</v>
      </c>
      <c r="D784" s="1088"/>
      <c r="F784" s="1157"/>
      <c r="H784" s="1158"/>
      <c r="I784" s="1002" t="s">
        <v>844</v>
      </c>
      <c r="J784" s="1007"/>
      <c r="K784" s="1031"/>
      <c r="M784" s="1135"/>
      <c r="N784" s="1081"/>
      <c r="O784" s="1137"/>
      <c r="P784" s="1137"/>
      <c r="Q784" s="1137"/>
      <c r="R784" s="1137">
        <v>150000000</v>
      </c>
      <c r="S784" s="1083"/>
      <c r="T784" s="1083"/>
      <c r="U784" s="1083"/>
      <c r="V784" s="1083">
        <f t="shared" si="156"/>
        <v>-150000000</v>
      </c>
    </row>
    <row r="785" spans="1:22" s="1002" customFormat="1" hidden="1">
      <c r="A785" s="1000" t="s">
        <v>761</v>
      </c>
      <c r="B785" s="1028" t="s">
        <v>1496</v>
      </c>
      <c r="C785" s="1076">
        <v>46302</v>
      </c>
      <c r="D785" s="1076"/>
      <c r="F785" s="1139">
        <v>46230</v>
      </c>
      <c r="H785" s="1140" t="s">
        <v>847</v>
      </c>
      <c r="I785" s="1002" t="s">
        <v>1497</v>
      </c>
      <c r="J785" s="1007" t="s">
        <v>90</v>
      </c>
      <c r="K785" s="1024" t="s">
        <v>91</v>
      </c>
      <c r="M785" s="1093">
        <v>20</v>
      </c>
      <c r="N785" s="1081">
        <v>814814.81</v>
      </c>
      <c r="O785" s="1081">
        <f>M785*N785</f>
        <v>16296296.200000001</v>
      </c>
      <c r="P785" s="1081">
        <f>O785*8%</f>
        <v>1303703.6960000002</v>
      </c>
      <c r="Q785" s="1081">
        <f>O785+P785</f>
        <v>17599999.896000002</v>
      </c>
      <c r="R785" s="1081"/>
      <c r="S785" s="1083"/>
      <c r="T785" s="1083"/>
      <c r="U785" s="1083"/>
      <c r="V785" s="1083">
        <f t="shared" si="156"/>
        <v>17599999.896000002</v>
      </c>
    </row>
    <row r="786" spans="1:22" s="1002" customFormat="1" hidden="1">
      <c r="A786" s="1000" t="s">
        <v>761</v>
      </c>
      <c r="B786" s="1028" t="s">
        <v>1496</v>
      </c>
      <c r="C786" s="1076">
        <v>46302</v>
      </c>
      <c r="D786" s="1076"/>
      <c r="F786" s="1139">
        <v>46219</v>
      </c>
      <c r="H786" s="1140" t="s">
        <v>253</v>
      </c>
      <c r="I786" s="1002" t="s">
        <v>1497</v>
      </c>
      <c r="J786" s="1007" t="s">
        <v>40</v>
      </c>
      <c r="K786" s="1003" t="s">
        <v>41</v>
      </c>
      <c r="M786" s="1093">
        <v>8</v>
      </c>
      <c r="N786" s="1081">
        <v>844444.45</v>
      </c>
      <c r="O786" s="1081">
        <f>N786*M786</f>
        <v>6755555.5999999996</v>
      </c>
      <c r="P786" s="1081">
        <f>O786*8%</f>
        <v>540444.44799999997</v>
      </c>
      <c r="Q786" s="1081">
        <f>O786+P786</f>
        <v>7296000.0479999995</v>
      </c>
      <c r="R786" s="1081"/>
      <c r="S786" s="1083"/>
      <c r="T786" s="1083"/>
      <c r="U786" s="1083"/>
      <c r="V786" s="1083">
        <f t="shared" si="156"/>
        <v>7296000.0479999995</v>
      </c>
    </row>
    <row r="787" spans="1:22" s="1002" customFormat="1" hidden="1">
      <c r="A787" s="1000" t="s">
        <v>761</v>
      </c>
      <c r="B787" s="1028" t="s">
        <v>1496</v>
      </c>
      <c r="C787" s="1088">
        <v>46302</v>
      </c>
      <c r="D787" s="1088"/>
      <c r="F787" s="1157"/>
      <c r="H787" s="1163"/>
      <c r="I787" s="1036" t="s">
        <v>198</v>
      </c>
      <c r="J787" s="1007"/>
      <c r="K787" s="1031"/>
      <c r="M787" s="1135"/>
      <c r="N787" s="1081"/>
      <c r="O787" s="1137"/>
      <c r="P787" s="1137"/>
      <c r="Q787" s="1137"/>
      <c r="R787" s="1083"/>
      <c r="S787" s="1137">
        <v>500000</v>
      </c>
      <c r="T787" s="1083"/>
      <c r="U787" s="1083"/>
      <c r="V787" s="1083">
        <f t="shared" si="156"/>
        <v>-500000</v>
      </c>
    </row>
    <row r="788" spans="1:22" s="1002" customFormat="1" ht="31.5" hidden="1">
      <c r="A788" s="1000" t="s">
        <v>761</v>
      </c>
      <c r="B788" s="1028" t="s">
        <v>1496</v>
      </c>
      <c r="C788" s="1076" t="s">
        <v>254</v>
      </c>
      <c r="D788" s="1076"/>
      <c r="F788" s="1139" t="s">
        <v>100</v>
      </c>
      <c r="H788" s="1140" t="s">
        <v>253</v>
      </c>
      <c r="I788" s="1002" t="s">
        <v>1497</v>
      </c>
      <c r="J788" s="1007" t="s">
        <v>243</v>
      </c>
      <c r="K788" s="1024" t="s">
        <v>249</v>
      </c>
      <c r="M788" s="1093">
        <v>40</v>
      </c>
      <c r="N788" s="1081">
        <v>298148.15000000002</v>
      </c>
      <c r="O788" s="1081">
        <f>N788*M788</f>
        <v>11925926</v>
      </c>
      <c r="P788" s="1081">
        <f t="shared" ref="P788:P799" si="157">O788*8%</f>
        <v>954074.08000000007</v>
      </c>
      <c r="Q788" s="1081">
        <f t="shared" ref="Q788:Q799" si="158">O788+P788</f>
        <v>12880000.08</v>
      </c>
      <c r="R788" s="1081"/>
      <c r="S788" s="1083"/>
      <c r="T788" s="1083"/>
      <c r="U788" s="1083"/>
      <c r="V788" s="1083">
        <f t="shared" si="156"/>
        <v>12880000.08</v>
      </c>
    </row>
    <row r="789" spans="1:22" s="1002" customFormat="1" hidden="1">
      <c r="A789" s="1000" t="s">
        <v>761</v>
      </c>
      <c r="B789" s="1028" t="s">
        <v>1496</v>
      </c>
      <c r="C789" s="1076" t="s">
        <v>254</v>
      </c>
      <c r="D789" s="1076"/>
      <c r="F789" s="1139" t="s">
        <v>100</v>
      </c>
      <c r="H789" s="1140" t="s">
        <v>253</v>
      </c>
      <c r="I789" s="1002" t="s">
        <v>1497</v>
      </c>
      <c r="J789" s="1007" t="s">
        <v>98</v>
      </c>
      <c r="K789" s="1019" t="s">
        <v>251</v>
      </c>
      <c r="M789" s="1125">
        <v>16</v>
      </c>
      <c r="N789" s="1081">
        <v>694444.44</v>
      </c>
      <c r="O789" s="1126">
        <f>M789*N789</f>
        <v>11111111.039999999</v>
      </c>
      <c r="P789" s="1126">
        <f t="shared" si="157"/>
        <v>888888.88319999992</v>
      </c>
      <c r="Q789" s="1126">
        <f t="shared" si="158"/>
        <v>11999999.923199998</v>
      </c>
      <c r="R789" s="1081"/>
      <c r="S789" s="1083"/>
      <c r="T789" s="1083"/>
      <c r="U789" s="1083"/>
      <c r="V789" s="1083">
        <f t="shared" si="156"/>
        <v>11999999.923199998</v>
      </c>
    </row>
    <row r="790" spans="1:22" s="1002" customFormat="1" hidden="1">
      <c r="A790" s="1000" t="s">
        <v>761</v>
      </c>
      <c r="B790" s="1028" t="s">
        <v>1496</v>
      </c>
      <c r="C790" s="1076" t="s">
        <v>254</v>
      </c>
      <c r="D790" s="1076"/>
      <c r="F790" s="1139" t="s">
        <v>100</v>
      </c>
      <c r="H790" s="1140" t="s">
        <v>253</v>
      </c>
      <c r="I790" s="1002" t="s">
        <v>1497</v>
      </c>
      <c r="J790" s="1007" t="s">
        <v>226</v>
      </c>
      <c r="K790" s="1003" t="s">
        <v>227</v>
      </c>
      <c r="M790" s="1093">
        <v>12</v>
      </c>
      <c r="N790" s="1081">
        <v>799074.07</v>
      </c>
      <c r="O790" s="1081">
        <f t="shared" ref="O790:O796" si="159">N790*M790</f>
        <v>9588888.8399999999</v>
      </c>
      <c r="P790" s="1081">
        <f t="shared" si="157"/>
        <v>767111.10719999997</v>
      </c>
      <c r="Q790" s="1081">
        <f t="shared" si="158"/>
        <v>10355999.9472</v>
      </c>
      <c r="R790" s="1081"/>
      <c r="S790" s="1083"/>
      <c r="T790" s="1083"/>
      <c r="U790" s="1083"/>
      <c r="V790" s="1083">
        <f t="shared" si="156"/>
        <v>10355999.9472</v>
      </c>
    </row>
    <row r="791" spans="1:22" s="1002" customFormat="1" hidden="1">
      <c r="A791" s="1000" t="s">
        <v>761</v>
      </c>
      <c r="B791" s="1028" t="s">
        <v>1496</v>
      </c>
      <c r="C791" s="1076" t="s">
        <v>254</v>
      </c>
      <c r="D791" s="1076"/>
      <c r="F791" s="1139" t="s">
        <v>100</v>
      </c>
      <c r="H791" s="1140" t="s">
        <v>253</v>
      </c>
      <c r="I791" s="1002" t="s">
        <v>862</v>
      </c>
      <c r="J791" s="1007" t="s">
        <v>62</v>
      </c>
      <c r="K791" s="1002" t="s">
        <v>63</v>
      </c>
      <c r="M791" s="1093">
        <v>12</v>
      </c>
      <c r="N791" s="1081">
        <v>0</v>
      </c>
      <c r="O791" s="1081">
        <f t="shared" si="159"/>
        <v>0</v>
      </c>
      <c r="P791" s="1081">
        <f t="shared" si="157"/>
        <v>0</v>
      </c>
      <c r="Q791" s="1081">
        <f t="shared" si="158"/>
        <v>0</v>
      </c>
      <c r="R791" s="1081"/>
      <c r="S791" s="1083"/>
      <c r="T791" s="1083"/>
      <c r="U791" s="1083"/>
      <c r="V791" s="1083">
        <f t="shared" si="156"/>
        <v>0</v>
      </c>
    </row>
    <row r="792" spans="1:22" s="1002" customFormat="1" hidden="1">
      <c r="A792" s="1000" t="s">
        <v>761</v>
      </c>
      <c r="B792" s="1028" t="s">
        <v>1496</v>
      </c>
      <c r="C792" s="1076" t="s">
        <v>254</v>
      </c>
      <c r="D792" s="1076"/>
      <c r="F792" s="1139" t="s">
        <v>100</v>
      </c>
      <c r="H792" s="1140" t="s">
        <v>253</v>
      </c>
      <c r="I792" s="1002" t="s">
        <v>1497</v>
      </c>
      <c r="J792" s="1007" t="s">
        <v>107</v>
      </c>
      <c r="K792" s="1003" t="s">
        <v>108</v>
      </c>
      <c r="M792" s="1093">
        <v>3</v>
      </c>
      <c r="N792" s="1081">
        <v>0</v>
      </c>
      <c r="O792" s="1081">
        <f t="shared" si="159"/>
        <v>0</v>
      </c>
      <c r="P792" s="1081">
        <f t="shared" si="157"/>
        <v>0</v>
      </c>
      <c r="Q792" s="1081">
        <f t="shared" si="158"/>
        <v>0</v>
      </c>
      <c r="R792" s="1081"/>
      <c r="S792" s="1083"/>
      <c r="T792" s="1083"/>
      <c r="U792" s="1083"/>
      <c r="V792" s="1083">
        <f t="shared" si="156"/>
        <v>0</v>
      </c>
    </row>
    <row r="793" spans="1:22" s="1002" customFormat="1" hidden="1">
      <c r="A793" s="1000" t="s">
        <v>761</v>
      </c>
      <c r="B793" s="1028" t="s">
        <v>1496</v>
      </c>
      <c r="C793" s="1076" t="s">
        <v>100</v>
      </c>
      <c r="D793" s="1076"/>
      <c r="F793" s="1139" t="s">
        <v>256</v>
      </c>
      <c r="H793" s="1140" t="s">
        <v>257</v>
      </c>
      <c r="I793" s="1002" t="s">
        <v>1497</v>
      </c>
      <c r="J793" s="1007" t="s">
        <v>258</v>
      </c>
      <c r="K793" s="1003" t="s">
        <v>259</v>
      </c>
      <c r="M793" s="1093">
        <v>4</v>
      </c>
      <c r="N793" s="1081">
        <v>472222.22</v>
      </c>
      <c r="O793" s="1081">
        <f t="shared" si="159"/>
        <v>1888888.88</v>
      </c>
      <c r="P793" s="1081">
        <f t="shared" si="157"/>
        <v>151111.11040000001</v>
      </c>
      <c r="Q793" s="1081">
        <f t="shared" si="158"/>
        <v>2039999.9904</v>
      </c>
      <c r="R793" s="1081"/>
      <c r="S793" s="1083"/>
      <c r="T793" s="1083"/>
      <c r="U793" s="1083"/>
      <c r="V793" s="1083">
        <f t="shared" si="156"/>
        <v>2039999.9904</v>
      </c>
    </row>
    <row r="794" spans="1:22" s="1002" customFormat="1" hidden="1">
      <c r="A794" s="1000" t="s">
        <v>761</v>
      </c>
      <c r="B794" s="1028" t="s">
        <v>1496</v>
      </c>
      <c r="C794" s="1076" t="s">
        <v>100</v>
      </c>
      <c r="D794" s="1076"/>
      <c r="F794" s="1139" t="s">
        <v>256</v>
      </c>
      <c r="H794" s="1140" t="s">
        <v>257</v>
      </c>
      <c r="I794" s="1002" t="s">
        <v>1497</v>
      </c>
      <c r="J794" s="1007" t="s">
        <v>260</v>
      </c>
      <c r="K794" s="1003" t="s">
        <v>261</v>
      </c>
      <c r="M794" s="1093">
        <v>4</v>
      </c>
      <c r="N794" s="1081">
        <v>492592.59</v>
      </c>
      <c r="O794" s="1081">
        <f t="shared" si="159"/>
        <v>1970370.36</v>
      </c>
      <c r="P794" s="1081">
        <f t="shared" si="157"/>
        <v>157629.62880000001</v>
      </c>
      <c r="Q794" s="1081">
        <f t="shared" si="158"/>
        <v>2127999.9887999999</v>
      </c>
      <c r="R794" s="1081"/>
      <c r="S794" s="1083"/>
      <c r="T794" s="1083"/>
      <c r="U794" s="1083"/>
      <c r="V794" s="1083">
        <f t="shared" si="156"/>
        <v>2127999.9887999999</v>
      </c>
    </row>
    <row r="795" spans="1:22" s="1002" customFormat="1" hidden="1">
      <c r="A795" s="1000" t="s">
        <v>761</v>
      </c>
      <c r="B795" s="1028" t="s">
        <v>1496</v>
      </c>
      <c r="C795" s="1076" t="s">
        <v>100</v>
      </c>
      <c r="D795" s="1076"/>
      <c r="F795" s="1139" t="s">
        <v>256</v>
      </c>
      <c r="H795" s="1140" t="s">
        <v>257</v>
      </c>
      <c r="I795" s="1002" t="s">
        <v>1497</v>
      </c>
      <c r="J795" s="1007" t="s">
        <v>262</v>
      </c>
      <c r="K795" s="1003" t="s">
        <v>263</v>
      </c>
      <c r="M795" s="1093">
        <v>4</v>
      </c>
      <c r="N795" s="1081">
        <v>851851.85</v>
      </c>
      <c r="O795" s="1081">
        <f t="shared" si="159"/>
        <v>3407407.4</v>
      </c>
      <c r="P795" s="1081">
        <f t="shared" si="157"/>
        <v>272592.592</v>
      </c>
      <c r="Q795" s="1081">
        <f t="shared" si="158"/>
        <v>3679999.9920000001</v>
      </c>
      <c r="R795" s="1081"/>
      <c r="S795" s="1083"/>
      <c r="T795" s="1083"/>
      <c r="U795" s="1083"/>
      <c r="V795" s="1083">
        <f t="shared" si="156"/>
        <v>3679999.9920000001</v>
      </c>
    </row>
    <row r="796" spans="1:22" s="1002" customFormat="1" hidden="1">
      <c r="A796" s="1000" t="s">
        <v>761</v>
      </c>
      <c r="B796" s="1028" t="s">
        <v>1496</v>
      </c>
      <c r="C796" s="1076" t="s">
        <v>100</v>
      </c>
      <c r="D796" s="1076"/>
      <c r="F796" s="1139" t="s">
        <v>256</v>
      </c>
      <c r="H796" s="1140" t="s">
        <v>257</v>
      </c>
      <c r="I796" s="1002" t="s">
        <v>1497</v>
      </c>
      <c r="J796" s="1007" t="s">
        <v>23</v>
      </c>
      <c r="K796" s="1003" t="s">
        <v>82</v>
      </c>
      <c r="M796" s="1093">
        <v>16</v>
      </c>
      <c r="N796" s="1081">
        <v>1185185.18</v>
      </c>
      <c r="O796" s="1081">
        <f t="shared" si="159"/>
        <v>18962962.879999999</v>
      </c>
      <c r="P796" s="1081">
        <f t="shared" si="157"/>
        <v>1517037.0304</v>
      </c>
      <c r="Q796" s="1081">
        <f t="shared" si="158"/>
        <v>20479999.910399999</v>
      </c>
      <c r="R796" s="1081"/>
      <c r="S796" s="1083"/>
      <c r="T796" s="1083"/>
      <c r="U796" s="1083"/>
      <c r="V796" s="1083">
        <f t="shared" si="156"/>
        <v>20479999.910399999</v>
      </c>
    </row>
    <row r="797" spans="1:22" s="1002" customFormat="1" hidden="1">
      <c r="A797" s="1000" t="s">
        <v>761</v>
      </c>
      <c r="B797" s="1028" t="s">
        <v>1496</v>
      </c>
      <c r="C797" s="1076" t="s">
        <v>100</v>
      </c>
      <c r="D797" s="1076"/>
      <c r="F797" s="1139" t="s">
        <v>256</v>
      </c>
      <c r="H797" s="1140" t="s">
        <v>257</v>
      </c>
      <c r="I797" s="1002" t="s">
        <v>1497</v>
      </c>
      <c r="J797" s="1007" t="s">
        <v>98</v>
      </c>
      <c r="K797" s="1019" t="s">
        <v>251</v>
      </c>
      <c r="M797" s="1125">
        <v>20</v>
      </c>
      <c r="N797" s="1081">
        <v>694444.44</v>
      </c>
      <c r="O797" s="1126">
        <f>M797*N797</f>
        <v>13888888.799999999</v>
      </c>
      <c r="P797" s="1126">
        <f t="shared" si="157"/>
        <v>1111111.1039999998</v>
      </c>
      <c r="Q797" s="1126">
        <f t="shared" si="158"/>
        <v>14999999.903999999</v>
      </c>
      <c r="R797" s="1081"/>
      <c r="S797" s="1083"/>
      <c r="T797" s="1083"/>
      <c r="U797" s="1083"/>
      <c r="V797" s="1083">
        <f t="shared" si="156"/>
        <v>14999999.903999999</v>
      </c>
    </row>
    <row r="798" spans="1:22" s="1002" customFormat="1" hidden="1">
      <c r="A798" s="1000" t="s">
        <v>761</v>
      </c>
      <c r="B798" s="1028" t="s">
        <v>1496</v>
      </c>
      <c r="C798" s="1076" t="s">
        <v>100</v>
      </c>
      <c r="D798" s="1076"/>
      <c r="F798" s="1139" t="s">
        <v>829</v>
      </c>
      <c r="H798" s="1140" t="s">
        <v>847</v>
      </c>
      <c r="I798" s="1002" t="s">
        <v>1497</v>
      </c>
      <c r="J798" s="1007" t="s">
        <v>90</v>
      </c>
      <c r="K798" s="1024" t="s">
        <v>91</v>
      </c>
      <c r="M798" s="1093">
        <v>12</v>
      </c>
      <c r="N798" s="1081">
        <v>814814.81</v>
      </c>
      <c r="O798" s="1081">
        <f>N798*M798</f>
        <v>9777777.7200000007</v>
      </c>
      <c r="P798" s="1081">
        <f t="shared" si="157"/>
        <v>782222.21760000009</v>
      </c>
      <c r="Q798" s="1081">
        <f t="shared" si="158"/>
        <v>10559999.937600002</v>
      </c>
      <c r="R798" s="1081"/>
      <c r="S798" s="1083"/>
      <c r="T798" s="1083"/>
      <c r="U798" s="1083"/>
      <c r="V798" s="1083">
        <f t="shared" si="156"/>
        <v>10559999.937600002</v>
      </c>
    </row>
    <row r="799" spans="1:22" s="1002" customFormat="1" hidden="1">
      <c r="A799" s="1000" t="s">
        <v>761</v>
      </c>
      <c r="B799" s="1029" t="s">
        <v>1496</v>
      </c>
      <c r="C799" s="1066" t="s">
        <v>100</v>
      </c>
      <c r="D799" s="1066"/>
      <c r="F799" s="1141">
        <v>46287</v>
      </c>
      <c r="G799" s="1002" t="s">
        <v>1311</v>
      </c>
      <c r="H799" s="1106" t="s">
        <v>1310</v>
      </c>
      <c r="I799" s="1002" t="s">
        <v>1497</v>
      </c>
      <c r="J799" s="1007" t="s">
        <v>101</v>
      </c>
      <c r="K799" s="1005" t="s">
        <v>102</v>
      </c>
      <c r="M799" s="1086">
        <v>20</v>
      </c>
      <c r="N799" s="1107">
        <v>861111.11</v>
      </c>
      <c r="O799" s="1107">
        <f>N799*M799</f>
        <v>17222222.199999999</v>
      </c>
      <c r="P799" s="1107">
        <f t="shared" si="157"/>
        <v>1377777.7760000001</v>
      </c>
      <c r="Q799" s="1107">
        <f t="shared" si="158"/>
        <v>18599999.976</v>
      </c>
      <c r="R799" s="1107"/>
      <c r="S799" s="1083"/>
      <c r="T799" s="1083"/>
      <c r="U799" s="1083"/>
      <c r="V799" s="1083">
        <f t="shared" si="156"/>
        <v>18599999.976</v>
      </c>
    </row>
    <row r="800" spans="1:22" s="1002" customFormat="1" hidden="1">
      <c r="A800" s="1000" t="s">
        <v>761</v>
      </c>
      <c r="B800" s="1028" t="s">
        <v>1496</v>
      </c>
      <c r="C800" s="1088" t="s">
        <v>100</v>
      </c>
      <c r="D800" s="1088"/>
      <c r="F800" s="1157"/>
      <c r="H800" s="1163"/>
      <c r="I800" s="1036" t="s">
        <v>198</v>
      </c>
      <c r="J800" s="1007"/>
      <c r="K800" s="1031"/>
      <c r="M800" s="1135"/>
      <c r="N800" s="1081"/>
      <c r="O800" s="1137"/>
      <c r="P800" s="1137"/>
      <c r="Q800" s="1137"/>
      <c r="R800" s="1083"/>
      <c r="S800" s="1137">
        <v>500000</v>
      </c>
      <c r="T800" s="1083"/>
      <c r="U800" s="1083"/>
      <c r="V800" s="1083">
        <f t="shared" si="156"/>
        <v>-500000</v>
      </c>
    </row>
    <row r="801" spans="1:22" s="1002" customFormat="1" hidden="1">
      <c r="A801" s="1000" t="s">
        <v>761</v>
      </c>
      <c r="B801" s="1028" t="s">
        <v>1496</v>
      </c>
      <c r="C801" s="1076" t="s">
        <v>256</v>
      </c>
      <c r="D801" s="1076"/>
      <c r="F801" s="1077" t="s">
        <v>264</v>
      </c>
      <c r="H801" s="1140" t="s">
        <v>265</v>
      </c>
      <c r="I801" s="1002" t="s">
        <v>1497</v>
      </c>
      <c r="J801" s="1007" t="s">
        <v>98</v>
      </c>
      <c r="K801" s="1019" t="s">
        <v>251</v>
      </c>
      <c r="M801" s="1125">
        <v>6</v>
      </c>
      <c r="N801" s="1081">
        <v>694444.44</v>
      </c>
      <c r="O801" s="1126">
        <f>M801*N801</f>
        <v>4166666.6399999997</v>
      </c>
      <c r="P801" s="1126">
        <f t="shared" ref="P801:P806" si="160">O801*8%</f>
        <v>333333.33119999996</v>
      </c>
      <c r="Q801" s="1126">
        <f t="shared" ref="Q801:Q806" si="161">O801+P801</f>
        <v>4499999.9711999996</v>
      </c>
      <c r="R801" s="1081"/>
      <c r="S801" s="1083"/>
      <c r="T801" s="1083"/>
      <c r="U801" s="1083"/>
      <c r="V801" s="1083">
        <f t="shared" si="156"/>
        <v>4499999.9711999996</v>
      </c>
    </row>
    <row r="802" spans="1:22" s="1002" customFormat="1" hidden="1">
      <c r="A802" s="1000" t="s">
        <v>761</v>
      </c>
      <c r="B802" s="1028" t="s">
        <v>1496</v>
      </c>
      <c r="C802" s="1076" t="s">
        <v>256</v>
      </c>
      <c r="D802" s="1076"/>
      <c r="F802" s="1077" t="s">
        <v>829</v>
      </c>
      <c r="H802" s="1140" t="s">
        <v>847</v>
      </c>
      <c r="I802" s="1002" t="s">
        <v>1497</v>
      </c>
      <c r="J802" s="1007" t="s">
        <v>90</v>
      </c>
      <c r="K802" s="1024" t="s">
        <v>91</v>
      </c>
      <c r="M802" s="1093">
        <v>6</v>
      </c>
      <c r="N802" s="1081">
        <v>814814.81</v>
      </c>
      <c r="O802" s="1081">
        <f>N802*M802</f>
        <v>4888888.8600000003</v>
      </c>
      <c r="P802" s="1081">
        <f>O802*8%</f>
        <v>391111.10880000005</v>
      </c>
      <c r="Q802" s="1081">
        <f>O802+P802</f>
        <v>5279999.9688000008</v>
      </c>
      <c r="R802" s="1081"/>
      <c r="S802" s="1083"/>
      <c r="T802" s="1083"/>
      <c r="U802" s="1083"/>
      <c r="V802" s="1083">
        <f t="shared" si="156"/>
        <v>5279999.9688000008</v>
      </c>
    </row>
    <row r="803" spans="1:22" s="1002" customFormat="1" hidden="1">
      <c r="A803" s="1000" t="s">
        <v>761</v>
      </c>
      <c r="B803" s="1028" t="s">
        <v>1496</v>
      </c>
      <c r="C803" s="1076" t="s">
        <v>256</v>
      </c>
      <c r="D803" s="1076"/>
      <c r="F803" s="1077" t="s">
        <v>829</v>
      </c>
      <c r="H803" s="1140" t="s">
        <v>847</v>
      </c>
      <c r="I803" s="1002" t="s">
        <v>1497</v>
      </c>
      <c r="J803" s="1007" t="s">
        <v>93</v>
      </c>
      <c r="K803" s="1024" t="s">
        <v>94</v>
      </c>
      <c r="M803" s="1093">
        <v>4</v>
      </c>
      <c r="N803" s="1081">
        <v>907407.4</v>
      </c>
      <c r="O803" s="1081">
        <f>N803*M803</f>
        <v>3629629.6</v>
      </c>
      <c r="P803" s="1081">
        <f>O803*8%</f>
        <v>290370.36800000002</v>
      </c>
      <c r="Q803" s="1081">
        <f>O803+P803</f>
        <v>3919999.9680000003</v>
      </c>
      <c r="R803" s="1081"/>
      <c r="S803" s="1083"/>
      <c r="T803" s="1083"/>
      <c r="U803" s="1083"/>
      <c r="V803" s="1083">
        <f t="shared" si="156"/>
        <v>3919999.9680000003</v>
      </c>
    </row>
    <row r="804" spans="1:22" s="1002" customFormat="1" hidden="1">
      <c r="A804" s="1000" t="s">
        <v>761</v>
      </c>
      <c r="B804" s="1029" t="s">
        <v>1496</v>
      </c>
      <c r="C804" s="1066" t="s">
        <v>256</v>
      </c>
      <c r="D804" s="1066"/>
      <c r="F804" s="1141">
        <v>46287</v>
      </c>
      <c r="G804" s="1002" t="s">
        <v>1311</v>
      </c>
      <c r="H804" s="1106" t="s">
        <v>1310</v>
      </c>
      <c r="I804" s="1002" t="s">
        <v>1497</v>
      </c>
      <c r="J804" s="1007" t="s">
        <v>101</v>
      </c>
      <c r="K804" s="1005" t="s">
        <v>102</v>
      </c>
      <c r="M804" s="1086">
        <v>12</v>
      </c>
      <c r="N804" s="1107">
        <v>861111.11</v>
      </c>
      <c r="O804" s="1107">
        <f>N804*M804</f>
        <v>10333333.32</v>
      </c>
      <c r="P804" s="1107">
        <f t="shared" si="160"/>
        <v>826666.66560000007</v>
      </c>
      <c r="Q804" s="1107">
        <f t="shared" si="161"/>
        <v>11159999.9856</v>
      </c>
      <c r="R804" s="1107"/>
      <c r="S804" s="1083"/>
      <c r="T804" s="1083"/>
      <c r="U804" s="1083"/>
      <c r="V804" s="1083">
        <f t="shared" si="156"/>
        <v>11159999.9856</v>
      </c>
    </row>
    <row r="805" spans="1:22" s="1002" customFormat="1" hidden="1">
      <c r="A805" s="1000" t="s">
        <v>761</v>
      </c>
      <c r="B805" s="1028" t="s">
        <v>1496</v>
      </c>
      <c r="C805" s="1164" t="s">
        <v>256</v>
      </c>
      <c r="D805" s="1164"/>
      <c r="F805" s="1165"/>
      <c r="H805" s="1085"/>
      <c r="I805" s="1002" t="s">
        <v>1497</v>
      </c>
      <c r="J805" s="1007" t="s">
        <v>103</v>
      </c>
      <c r="K805" s="1038" t="s">
        <v>104</v>
      </c>
      <c r="M805" s="1166">
        <v>24</v>
      </c>
      <c r="N805" s="1081">
        <v>629629.63</v>
      </c>
      <c r="O805" s="1167">
        <f>M805*N805</f>
        <v>15111111.120000001</v>
      </c>
      <c r="P805" s="1167">
        <f t="shared" si="160"/>
        <v>1208888.8896000001</v>
      </c>
      <c r="Q805" s="1167">
        <f t="shared" si="161"/>
        <v>16320000.0096</v>
      </c>
      <c r="R805" s="1167"/>
      <c r="S805" s="1083"/>
      <c r="T805" s="1083"/>
      <c r="U805" s="1083"/>
      <c r="V805" s="1083">
        <f t="shared" si="156"/>
        <v>16320000.0096</v>
      </c>
    </row>
    <row r="806" spans="1:22" s="1002" customFormat="1" hidden="1">
      <c r="A806" s="1000" t="s">
        <v>761</v>
      </c>
      <c r="B806" s="1028" t="s">
        <v>1496</v>
      </c>
      <c r="C806" s="1164" t="s">
        <v>256</v>
      </c>
      <c r="D806" s="1164"/>
      <c r="F806" s="1165"/>
      <c r="H806" s="1168" t="s">
        <v>252</v>
      </c>
      <c r="I806" s="1002" t="s">
        <v>862</v>
      </c>
      <c r="J806" s="1007" t="s">
        <v>959</v>
      </c>
      <c r="K806" s="1002" t="s">
        <v>960</v>
      </c>
      <c r="M806" s="1166">
        <v>24</v>
      </c>
      <c r="N806" s="1081">
        <v>0</v>
      </c>
      <c r="O806" s="1167">
        <f>N806*M806</f>
        <v>0</v>
      </c>
      <c r="P806" s="1167">
        <f t="shared" si="160"/>
        <v>0</v>
      </c>
      <c r="Q806" s="1167">
        <f t="shared" si="161"/>
        <v>0</v>
      </c>
      <c r="R806" s="1167"/>
      <c r="S806" s="1083"/>
      <c r="T806" s="1083"/>
      <c r="U806" s="1083"/>
      <c r="V806" s="1083">
        <f t="shared" si="156"/>
        <v>0</v>
      </c>
    </row>
    <row r="807" spans="1:22" hidden="1">
      <c r="A807" s="1039" t="s">
        <v>736</v>
      </c>
      <c r="B807" s="1040" t="s">
        <v>747</v>
      </c>
      <c r="C807" s="1076" t="s">
        <v>67</v>
      </c>
      <c r="D807" s="1076"/>
      <c r="F807" s="1077" t="str">
        <f>C807</f>
        <v>21/01/2026</v>
      </c>
      <c r="H807" s="1111" t="s">
        <v>473</v>
      </c>
      <c r="I807" s="1002" t="s">
        <v>818</v>
      </c>
      <c r="J807" s="1007" t="s">
        <v>80</v>
      </c>
      <c r="K807" s="1002" t="s">
        <v>81</v>
      </c>
      <c r="L807" s="1002" t="s">
        <v>18</v>
      </c>
      <c r="M807" s="1093">
        <v>4</v>
      </c>
      <c r="N807" s="1081">
        <v>824074.07</v>
      </c>
      <c r="O807" s="1081">
        <v>3296296</v>
      </c>
      <c r="P807" s="1081">
        <v>263704</v>
      </c>
      <c r="Q807" s="1081">
        <f>O807+P807</f>
        <v>3560000</v>
      </c>
      <c r="R807" s="1108"/>
      <c r="V807" s="1107">
        <f t="shared" si="156"/>
        <v>3560000</v>
      </c>
    </row>
    <row r="808" spans="1:22" hidden="1">
      <c r="A808" s="1039" t="s">
        <v>736</v>
      </c>
      <c r="B808" s="1040" t="s">
        <v>747</v>
      </c>
      <c r="C808" s="1076" t="s">
        <v>67</v>
      </c>
      <c r="D808" s="1076"/>
      <c r="F808" s="1077" t="str">
        <f>C808</f>
        <v>21/01/2026</v>
      </c>
      <c r="H808" s="1111" t="s">
        <v>473</v>
      </c>
      <c r="I808" s="1002" t="s">
        <v>818</v>
      </c>
      <c r="J808" s="1007" t="s">
        <v>21</v>
      </c>
      <c r="K808" s="1015" t="s">
        <v>22</v>
      </c>
      <c r="L808" s="1122" t="s">
        <v>412</v>
      </c>
      <c r="M808" s="1093">
        <v>4</v>
      </c>
      <c r="N808" s="1081">
        <v>937963</v>
      </c>
      <c r="O808" s="1081">
        <f>M808*N808</f>
        <v>3751852</v>
      </c>
      <c r="P808" s="1081">
        <v>300148</v>
      </c>
      <c r="Q808" s="1081">
        <f>O808+P808</f>
        <v>4052000</v>
      </c>
      <c r="R808" s="1108"/>
      <c r="V808" s="1107">
        <f t="shared" si="156"/>
        <v>4052000</v>
      </c>
    </row>
    <row r="809" spans="1:22" ht="31.5" hidden="1">
      <c r="A809" s="1039" t="s">
        <v>736</v>
      </c>
      <c r="B809" s="1040" t="s">
        <v>747</v>
      </c>
      <c r="C809" s="1076" t="s">
        <v>67</v>
      </c>
      <c r="D809" s="1076"/>
      <c r="F809" s="1077" t="s">
        <v>476</v>
      </c>
      <c r="H809" s="1111" t="s">
        <v>475</v>
      </c>
      <c r="I809" s="1002" t="s">
        <v>818</v>
      </c>
      <c r="J809" s="1007" t="s">
        <v>16</v>
      </c>
      <c r="K809" s="1015" t="s">
        <v>375</v>
      </c>
      <c r="L809" s="1122" t="s">
        <v>412</v>
      </c>
      <c r="M809" s="1093">
        <v>4</v>
      </c>
      <c r="N809" s="1081">
        <v>851851.75</v>
      </c>
      <c r="O809" s="1081">
        <f>M809*N809</f>
        <v>3407407</v>
      </c>
      <c r="P809" s="1081">
        <v>272593</v>
      </c>
      <c r="Q809" s="1081">
        <f t="shared" ref="Q809:Q817" si="162">O809+P809</f>
        <v>3680000</v>
      </c>
      <c r="R809" s="1108"/>
      <c r="V809" s="1107">
        <f t="shared" si="156"/>
        <v>3680000</v>
      </c>
    </row>
    <row r="810" spans="1:22" hidden="1">
      <c r="A810" s="1039" t="s">
        <v>736</v>
      </c>
      <c r="B810" s="1040" t="s">
        <v>747</v>
      </c>
      <c r="C810" s="1076" t="s">
        <v>67</v>
      </c>
      <c r="D810" s="1076"/>
      <c r="F810" s="1077">
        <v>46115</v>
      </c>
      <c r="H810" s="1111" t="s">
        <v>477</v>
      </c>
      <c r="I810" s="1002" t="s">
        <v>818</v>
      </c>
      <c r="J810" s="1007" t="s">
        <v>48</v>
      </c>
      <c r="K810" s="1002" t="s">
        <v>49</v>
      </c>
      <c r="L810" s="1008" t="s">
        <v>113</v>
      </c>
      <c r="M810" s="1093">
        <v>6</v>
      </c>
      <c r="N810" s="1081">
        <v>601851.75</v>
      </c>
      <c r="O810" s="1081">
        <v>3611111</v>
      </c>
      <c r="P810" s="1081">
        <v>288889</v>
      </c>
      <c r="Q810" s="1081">
        <f t="shared" si="162"/>
        <v>3900000</v>
      </c>
      <c r="R810" s="1108"/>
      <c r="V810" s="1107">
        <f t="shared" si="156"/>
        <v>3900000</v>
      </c>
    </row>
    <row r="811" spans="1:22" ht="31.5" hidden="1">
      <c r="A811" s="1039" t="s">
        <v>736</v>
      </c>
      <c r="B811" s="1040" t="s">
        <v>747</v>
      </c>
      <c r="C811" s="1076" t="s">
        <v>67</v>
      </c>
      <c r="D811" s="1076"/>
      <c r="F811" s="1077" t="s">
        <v>476</v>
      </c>
      <c r="H811" s="1111" t="s">
        <v>478</v>
      </c>
      <c r="I811" s="1002" t="s">
        <v>818</v>
      </c>
      <c r="J811" s="1007" t="s">
        <v>56</v>
      </c>
      <c r="K811" s="1015" t="s">
        <v>381</v>
      </c>
      <c r="L811" s="1008" t="s">
        <v>113</v>
      </c>
      <c r="M811" s="1093">
        <v>36</v>
      </c>
      <c r="N811" s="1081">
        <v>325925.92</v>
      </c>
      <c r="O811" s="1081">
        <v>11733333</v>
      </c>
      <c r="P811" s="1081">
        <v>938666</v>
      </c>
      <c r="Q811" s="1081">
        <f t="shared" si="162"/>
        <v>12671999</v>
      </c>
      <c r="R811" s="1108"/>
      <c r="V811" s="1107">
        <f t="shared" si="156"/>
        <v>12671999</v>
      </c>
    </row>
    <row r="812" spans="1:22" hidden="1">
      <c r="A812" s="1039" t="s">
        <v>736</v>
      </c>
      <c r="B812" s="1040" t="s">
        <v>747</v>
      </c>
      <c r="C812" s="1076" t="s">
        <v>67</v>
      </c>
      <c r="D812" s="1076"/>
      <c r="F812" s="1077" t="s">
        <v>140</v>
      </c>
      <c r="H812" s="1111" t="s">
        <v>479</v>
      </c>
      <c r="I812" s="1002" t="s">
        <v>818</v>
      </c>
      <c r="J812" s="1007" t="s">
        <v>74</v>
      </c>
      <c r="K812" s="1015" t="s">
        <v>75</v>
      </c>
      <c r="L812" s="1008" t="s">
        <v>113</v>
      </c>
      <c r="M812" s="1093">
        <v>8</v>
      </c>
      <c r="N812" s="1081">
        <v>361111.11</v>
      </c>
      <c r="O812" s="1081">
        <v>2888889</v>
      </c>
      <c r="P812" s="1081">
        <v>231111</v>
      </c>
      <c r="Q812" s="1081">
        <f>O812+P812</f>
        <v>3120000</v>
      </c>
      <c r="R812" s="1108"/>
      <c r="V812" s="1107">
        <f t="shared" si="156"/>
        <v>3120000</v>
      </c>
    </row>
    <row r="813" spans="1:22" hidden="1">
      <c r="A813" s="1039" t="s">
        <v>736</v>
      </c>
      <c r="B813" s="1040" t="s">
        <v>747</v>
      </c>
      <c r="C813" s="1076" t="s">
        <v>67</v>
      </c>
      <c r="D813" s="1076"/>
      <c r="F813" s="1077"/>
      <c r="H813" s="1111"/>
      <c r="I813" s="1002" t="s">
        <v>818</v>
      </c>
      <c r="J813" s="1007" t="s">
        <v>62</v>
      </c>
      <c r="K813" s="1002" t="s">
        <v>63</v>
      </c>
      <c r="L813" s="1008" t="s">
        <v>113</v>
      </c>
      <c r="M813" s="1093">
        <v>6</v>
      </c>
      <c r="N813" s="1081"/>
      <c r="R813" s="1108"/>
      <c r="V813" s="1107">
        <f t="shared" si="156"/>
        <v>0</v>
      </c>
    </row>
    <row r="814" spans="1:22" hidden="1">
      <c r="A814" s="1039" t="s">
        <v>736</v>
      </c>
      <c r="B814" s="1040" t="s">
        <v>747</v>
      </c>
      <c r="C814" s="1076" t="s">
        <v>393</v>
      </c>
      <c r="D814" s="1076"/>
      <c r="F814" s="1077" t="str">
        <f>C814</f>
        <v>30/01/2026</v>
      </c>
      <c r="H814" s="1111" t="s">
        <v>480</v>
      </c>
      <c r="I814" s="1002" t="s">
        <v>818</v>
      </c>
      <c r="J814" s="1007" t="s">
        <v>80</v>
      </c>
      <c r="K814" s="1002" t="s">
        <v>81</v>
      </c>
      <c r="L814" s="1002" t="s">
        <v>18</v>
      </c>
      <c r="M814" s="1093">
        <v>6</v>
      </c>
      <c r="N814" s="1081">
        <v>824074.07</v>
      </c>
      <c r="O814" s="1081">
        <v>4944444</v>
      </c>
      <c r="P814" s="1081">
        <v>395556</v>
      </c>
      <c r="Q814" s="1081">
        <f t="shared" si="162"/>
        <v>5340000</v>
      </c>
      <c r="R814" s="1108"/>
      <c r="V814" s="1107">
        <f t="shared" si="156"/>
        <v>5340000</v>
      </c>
    </row>
    <row r="815" spans="1:22" hidden="1">
      <c r="A815" s="1039" t="s">
        <v>736</v>
      </c>
      <c r="B815" s="1040" t="s">
        <v>747</v>
      </c>
      <c r="C815" s="1076" t="s">
        <v>393</v>
      </c>
      <c r="D815" s="1076"/>
      <c r="F815" s="1077" t="str">
        <f>C815</f>
        <v>30/01/2026</v>
      </c>
      <c r="H815" s="1111" t="s">
        <v>480</v>
      </c>
      <c r="I815" s="1002" t="s">
        <v>818</v>
      </c>
      <c r="J815" s="1007" t="s">
        <v>21</v>
      </c>
      <c r="K815" s="1016" t="s">
        <v>22</v>
      </c>
      <c r="L815" s="1122" t="s">
        <v>412</v>
      </c>
      <c r="M815" s="1093">
        <v>6</v>
      </c>
      <c r="N815" s="1081">
        <v>937962.96</v>
      </c>
      <c r="O815" s="1081">
        <v>5627778</v>
      </c>
      <c r="P815" s="1081">
        <v>450222</v>
      </c>
      <c r="Q815" s="1081">
        <f t="shared" si="162"/>
        <v>6078000</v>
      </c>
      <c r="R815" s="1108"/>
      <c r="V815" s="1107">
        <f t="shared" si="156"/>
        <v>6078000</v>
      </c>
    </row>
    <row r="816" spans="1:22" ht="31.5" hidden="1">
      <c r="A816" s="1039" t="s">
        <v>736</v>
      </c>
      <c r="B816" s="1040" t="s">
        <v>747</v>
      </c>
      <c r="C816" s="1076" t="s">
        <v>393</v>
      </c>
      <c r="D816" s="1076"/>
      <c r="F816" s="1077">
        <v>46297</v>
      </c>
      <c r="H816" s="1111" t="s">
        <v>481</v>
      </c>
      <c r="I816" s="1002" t="s">
        <v>818</v>
      </c>
      <c r="J816" s="1007" t="s">
        <v>60</v>
      </c>
      <c r="K816" s="1015" t="s">
        <v>374</v>
      </c>
      <c r="L816" s="1122" t="s">
        <v>412</v>
      </c>
      <c r="M816" s="1093">
        <v>8</v>
      </c>
      <c r="N816" s="1081">
        <v>1138888.8799999999</v>
      </c>
      <c r="O816" s="1081">
        <v>9111111</v>
      </c>
      <c r="P816" s="1081">
        <v>728889</v>
      </c>
      <c r="Q816" s="1081">
        <f t="shared" si="162"/>
        <v>9840000</v>
      </c>
      <c r="R816" s="1108"/>
      <c r="V816" s="1107">
        <f t="shared" si="156"/>
        <v>9840000</v>
      </c>
    </row>
    <row r="817" spans="1:22" ht="31.5" hidden="1">
      <c r="A817" s="1039" t="s">
        <v>736</v>
      </c>
      <c r="B817" s="1040" t="s">
        <v>747</v>
      </c>
      <c r="C817" s="1076" t="s">
        <v>393</v>
      </c>
      <c r="D817" s="1076"/>
      <c r="F817" s="1077">
        <v>46297</v>
      </c>
      <c r="H817" s="1111" t="s">
        <v>481</v>
      </c>
      <c r="I817" s="1002" t="s">
        <v>818</v>
      </c>
      <c r="J817" s="1007" t="s">
        <v>16</v>
      </c>
      <c r="K817" s="1015" t="s">
        <v>375</v>
      </c>
      <c r="L817" s="1122" t="s">
        <v>412</v>
      </c>
      <c r="M817" s="1093">
        <v>8</v>
      </c>
      <c r="N817" s="1081">
        <v>851851.85</v>
      </c>
      <c r="O817" s="1081">
        <v>6814815</v>
      </c>
      <c r="P817" s="1081">
        <v>545185</v>
      </c>
      <c r="Q817" s="1081">
        <f t="shared" si="162"/>
        <v>7360000</v>
      </c>
      <c r="R817" s="1108"/>
      <c r="V817" s="1107">
        <f t="shared" si="156"/>
        <v>7360000</v>
      </c>
    </row>
    <row r="818" spans="1:22" hidden="1">
      <c r="A818" s="1039" t="s">
        <v>736</v>
      </c>
      <c r="B818" s="1040" t="s">
        <v>747</v>
      </c>
      <c r="C818" s="1076" t="s">
        <v>393</v>
      </c>
      <c r="D818" s="1076"/>
      <c r="F818" s="1077">
        <v>46115</v>
      </c>
      <c r="H818" s="1111" t="s">
        <v>477</v>
      </c>
      <c r="I818" s="1002" t="s">
        <v>818</v>
      </c>
      <c r="J818" s="1007" t="s">
        <v>48</v>
      </c>
      <c r="K818" s="1002" t="s">
        <v>49</v>
      </c>
      <c r="L818" s="1008" t="s">
        <v>113</v>
      </c>
      <c r="M818" s="1093">
        <v>6</v>
      </c>
      <c r="N818" s="1081">
        <v>601851.85</v>
      </c>
      <c r="O818" s="1081">
        <f>M818*N818</f>
        <v>3611111.0999999996</v>
      </c>
      <c r="P818" s="1081">
        <v>288889</v>
      </c>
      <c r="Q818" s="1081">
        <f>O818+P818</f>
        <v>3900000.0999999996</v>
      </c>
      <c r="R818" s="1108"/>
      <c r="V818" s="1107">
        <f t="shared" si="156"/>
        <v>3900000.0999999996</v>
      </c>
    </row>
    <row r="819" spans="1:22" hidden="1">
      <c r="A819" s="1039" t="s">
        <v>736</v>
      </c>
      <c r="B819" s="1040" t="s">
        <v>747</v>
      </c>
      <c r="C819" s="1076" t="s">
        <v>393</v>
      </c>
      <c r="D819" s="1076"/>
      <c r="F819" s="1077" t="s">
        <v>140</v>
      </c>
      <c r="H819" s="1111" t="s">
        <v>479</v>
      </c>
      <c r="I819" s="1002" t="s">
        <v>818</v>
      </c>
      <c r="J819" s="1007" t="s">
        <v>74</v>
      </c>
      <c r="K819" s="1015" t="s">
        <v>75</v>
      </c>
      <c r="L819" s="1008" t="s">
        <v>113</v>
      </c>
      <c r="M819" s="1093">
        <v>8</v>
      </c>
      <c r="N819" s="1081">
        <v>361111.11</v>
      </c>
      <c r="O819" s="1081">
        <v>2888889</v>
      </c>
      <c r="P819" s="1081">
        <v>231111</v>
      </c>
      <c r="Q819" s="1081">
        <f>O819+P819</f>
        <v>3120000</v>
      </c>
      <c r="R819" s="1108"/>
      <c r="V819" s="1107">
        <f t="shared" si="156"/>
        <v>3120000</v>
      </c>
    </row>
    <row r="820" spans="1:22" hidden="1">
      <c r="A820" s="1039" t="s">
        <v>736</v>
      </c>
      <c r="B820" s="1040" t="s">
        <v>747</v>
      </c>
      <c r="C820" s="1076" t="s">
        <v>393</v>
      </c>
      <c r="D820" s="1076"/>
      <c r="F820" s="1077"/>
      <c r="H820" s="1111"/>
      <c r="I820" s="1002" t="s">
        <v>818</v>
      </c>
      <c r="J820" s="1007" t="s">
        <v>62</v>
      </c>
      <c r="K820" s="1002" t="s">
        <v>63</v>
      </c>
      <c r="L820" s="1008" t="s">
        <v>113</v>
      </c>
      <c r="M820" s="1093">
        <v>6</v>
      </c>
      <c r="N820" s="1081"/>
      <c r="R820" s="1108"/>
      <c r="V820" s="1107">
        <f t="shared" si="156"/>
        <v>0</v>
      </c>
    </row>
    <row r="821" spans="1:22" hidden="1">
      <c r="A821" s="1039" t="s">
        <v>736</v>
      </c>
      <c r="B821" s="1040" t="s">
        <v>747</v>
      </c>
      <c r="C821" s="1076" t="s">
        <v>393</v>
      </c>
      <c r="D821" s="1076"/>
      <c r="F821" s="1077"/>
      <c r="H821" s="1111"/>
      <c r="I821" s="1002" t="s">
        <v>844</v>
      </c>
      <c r="J821" s="1007"/>
      <c r="K821" s="1041"/>
      <c r="L821" s="1169"/>
      <c r="M821" s="1170"/>
      <c r="N821" s="1081"/>
      <c r="O821" s="1171"/>
      <c r="P821" s="1171"/>
      <c r="Q821" s="1171"/>
      <c r="R821" s="1172">
        <v>19030000</v>
      </c>
      <c r="V821" s="1107">
        <f t="shared" si="156"/>
        <v>-19030000</v>
      </c>
    </row>
    <row r="822" spans="1:22" hidden="1">
      <c r="A822" s="1039" t="s">
        <v>736</v>
      </c>
      <c r="B822" s="1040" t="s">
        <v>747</v>
      </c>
      <c r="C822" s="1076">
        <v>46297</v>
      </c>
      <c r="D822" s="1076"/>
      <c r="F822" s="1077"/>
      <c r="H822" s="1111"/>
      <c r="I822" s="1002" t="s">
        <v>844</v>
      </c>
      <c r="J822" s="1007"/>
      <c r="K822" s="1041"/>
      <c r="L822" s="1169"/>
      <c r="M822" s="1170"/>
      <c r="N822" s="1081"/>
      <c r="O822" s="1171"/>
      <c r="P822" s="1171"/>
      <c r="Q822" s="1171"/>
      <c r="R822" s="1172">
        <v>17200000</v>
      </c>
      <c r="V822" s="1107">
        <f t="shared" si="156"/>
        <v>-17200000</v>
      </c>
    </row>
    <row r="823" spans="1:22" hidden="1">
      <c r="A823" s="1039" t="s">
        <v>736</v>
      </c>
      <c r="B823" s="1040" t="s">
        <v>747</v>
      </c>
      <c r="C823" s="1076" t="s">
        <v>152</v>
      </c>
      <c r="D823" s="1076"/>
      <c r="F823" s="1077" t="s">
        <v>476</v>
      </c>
      <c r="H823" s="1111" t="s">
        <v>482</v>
      </c>
      <c r="I823" s="1002" t="s">
        <v>818</v>
      </c>
      <c r="J823" s="1007" t="s">
        <v>80</v>
      </c>
      <c r="K823" s="1002" t="s">
        <v>81</v>
      </c>
      <c r="L823" s="1002" t="s">
        <v>18</v>
      </c>
      <c r="M823" s="1093">
        <v>4</v>
      </c>
      <c r="N823" s="1081">
        <v>824074.07</v>
      </c>
      <c r="O823" s="1081">
        <v>3296296</v>
      </c>
      <c r="P823" s="1081">
        <v>263704</v>
      </c>
      <c r="Q823" s="1081">
        <f t="shared" ref="Q823:Q829" si="163">O823+P823</f>
        <v>3560000</v>
      </c>
      <c r="R823" s="1108"/>
      <c r="V823" s="1107">
        <f t="shared" si="156"/>
        <v>3560000</v>
      </c>
    </row>
    <row r="824" spans="1:22" hidden="1">
      <c r="A824" s="1039" t="s">
        <v>736</v>
      </c>
      <c r="B824" s="1040" t="s">
        <v>747</v>
      </c>
      <c r="C824" s="1076" t="s">
        <v>152</v>
      </c>
      <c r="D824" s="1076"/>
      <c r="F824" s="1077" t="s">
        <v>476</v>
      </c>
      <c r="H824" s="1111" t="s">
        <v>482</v>
      </c>
      <c r="I824" s="1002" t="s">
        <v>818</v>
      </c>
      <c r="J824" s="1007" t="s">
        <v>21</v>
      </c>
      <c r="K824" s="1003" t="s">
        <v>22</v>
      </c>
      <c r="L824" s="1122" t="s">
        <v>412</v>
      </c>
      <c r="M824" s="1093">
        <v>2</v>
      </c>
      <c r="N824" s="1081">
        <v>937962.96</v>
      </c>
      <c r="O824" s="1081">
        <v>1875926</v>
      </c>
      <c r="P824" s="1081">
        <v>150074</v>
      </c>
      <c r="Q824" s="1081">
        <f t="shared" si="163"/>
        <v>2026000</v>
      </c>
      <c r="R824" s="1108"/>
      <c r="V824" s="1107">
        <f t="shared" si="156"/>
        <v>2026000</v>
      </c>
    </row>
    <row r="825" spans="1:22" hidden="1">
      <c r="A825" s="1039" t="s">
        <v>736</v>
      </c>
      <c r="B825" s="1040" t="s">
        <v>747</v>
      </c>
      <c r="C825" s="1076" t="s">
        <v>152</v>
      </c>
      <c r="D825" s="1076"/>
      <c r="F825" s="1077" t="s">
        <v>476</v>
      </c>
      <c r="H825" s="1111" t="s">
        <v>482</v>
      </c>
      <c r="I825" s="1002" t="s">
        <v>818</v>
      </c>
      <c r="J825" s="1007" t="s">
        <v>58</v>
      </c>
      <c r="K825" s="1003" t="s">
        <v>59</v>
      </c>
      <c r="L825" s="1008" t="s">
        <v>113</v>
      </c>
      <c r="M825" s="1093">
        <v>3</v>
      </c>
      <c r="N825" s="1081">
        <v>1361111.11</v>
      </c>
      <c r="O825" s="1081">
        <v>4083333</v>
      </c>
      <c r="P825" s="1081">
        <v>326667</v>
      </c>
      <c r="Q825" s="1081">
        <f t="shared" si="163"/>
        <v>4410000</v>
      </c>
      <c r="R825" s="1108"/>
      <c r="V825" s="1107">
        <f t="shared" si="156"/>
        <v>4410000</v>
      </c>
    </row>
    <row r="826" spans="1:22" hidden="1">
      <c r="A826" s="1039" t="s">
        <v>736</v>
      </c>
      <c r="B826" s="1040" t="s">
        <v>747</v>
      </c>
      <c r="C826" s="1076" t="s">
        <v>152</v>
      </c>
      <c r="D826" s="1076"/>
      <c r="F826" s="1077" t="s">
        <v>140</v>
      </c>
      <c r="H826" s="1111" t="s">
        <v>479</v>
      </c>
      <c r="I826" s="1002" t="s">
        <v>818</v>
      </c>
      <c r="J826" s="1007" t="s">
        <v>74</v>
      </c>
      <c r="K826" s="1003" t="s">
        <v>141</v>
      </c>
      <c r="L826" s="1008" t="s">
        <v>113</v>
      </c>
      <c r="M826" s="1093">
        <v>8</v>
      </c>
      <c r="N826" s="1081">
        <v>361111.11</v>
      </c>
      <c r="O826" s="1081">
        <v>2888889</v>
      </c>
      <c r="P826" s="1081">
        <v>231111</v>
      </c>
      <c r="Q826" s="1081">
        <f t="shared" si="163"/>
        <v>3120000</v>
      </c>
      <c r="R826" s="1108"/>
      <c r="V826" s="1107">
        <f t="shared" si="156"/>
        <v>3120000</v>
      </c>
    </row>
    <row r="827" spans="1:22" hidden="1">
      <c r="A827" s="1039" t="s">
        <v>736</v>
      </c>
      <c r="B827" s="1040" t="s">
        <v>747</v>
      </c>
      <c r="C827" s="1076" t="s">
        <v>152</v>
      </c>
      <c r="D827" s="1076"/>
      <c r="F827" s="1077" t="s">
        <v>476</v>
      </c>
      <c r="H827" s="1111" t="s">
        <v>478</v>
      </c>
      <c r="I827" s="1002" t="s">
        <v>818</v>
      </c>
      <c r="J827" s="1007" t="s">
        <v>219</v>
      </c>
      <c r="K827" s="1015" t="s">
        <v>483</v>
      </c>
      <c r="L827" s="1008" t="s">
        <v>113</v>
      </c>
      <c r="M827" s="1093">
        <v>12</v>
      </c>
      <c r="N827" s="1081">
        <v>263888.88</v>
      </c>
      <c r="O827" s="1081">
        <v>3166667</v>
      </c>
      <c r="P827" s="1081">
        <v>253333</v>
      </c>
      <c r="Q827" s="1081">
        <f t="shared" si="163"/>
        <v>3420000</v>
      </c>
      <c r="R827" s="1108"/>
      <c r="V827" s="1107">
        <f t="shared" si="156"/>
        <v>3420000</v>
      </c>
    </row>
    <row r="828" spans="1:22" ht="31.5" hidden="1">
      <c r="A828" s="1039" t="s">
        <v>736</v>
      </c>
      <c r="B828" s="1040" t="s">
        <v>747</v>
      </c>
      <c r="C828" s="1076" t="s">
        <v>152</v>
      </c>
      <c r="D828" s="1076"/>
      <c r="F828" s="1077" t="s">
        <v>476</v>
      </c>
      <c r="H828" s="1111" t="s">
        <v>478</v>
      </c>
      <c r="I828" s="1002" t="s">
        <v>818</v>
      </c>
      <c r="J828" s="1007" t="s">
        <v>60</v>
      </c>
      <c r="K828" s="1015" t="s">
        <v>61</v>
      </c>
      <c r="L828" s="1122" t="s">
        <v>412</v>
      </c>
      <c r="M828" s="1093">
        <v>8</v>
      </c>
      <c r="N828" s="1081">
        <v>1138888.8799999999</v>
      </c>
      <c r="O828" s="1081">
        <v>9111111</v>
      </c>
      <c r="P828" s="1081">
        <v>728889</v>
      </c>
      <c r="Q828" s="1081">
        <f t="shared" si="163"/>
        <v>9840000</v>
      </c>
      <c r="R828" s="1108"/>
      <c r="V828" s="1107">
        <f t="shared" si="156"/>
        <v>9840000</v>
      </c>
    </row>
    <row r="829" spans="1:22" ht="31.5" hidden="1">
      <c r="A829" s="1039" t="s">
        <v>736</v>
      </c>
      <c r="B829" s="1040" t="s">
        <v>747</v>
      </c>
      <c r="C829" s="1076" t="s">
        <v>152</v>
      </c>
      <c r="D829" s="1076"/>
      <c r="F829" s="1077" t="s">
        <v>476</v>
      </c>
      <c r="H829" s="1111" t="s">
        <v>478</v>
      </c>
      <c r="I829" s="1002" t="s">
        <v>818</v>
      </c>
      <c r="J829" s="1007" t="s">
        <v>16</v>
      </c>
      <c r="K829" s="1015" t="s">
        <v>17</v>
      </c>
      <c r="L829" s="1122" t="s">
        <v>412</v>
      </c>
      <c r="M829" s="1093">
        <v>4</v>
      </c>
      <c r="N829" s="1081">
        <v>851851.85</v>
      </c>
      <c r="O829" s="1081">
        <v>3407407</v>
      </c>
      <c r="P829" s="1081">
        <v>272593</v>
      </c>
      <c r="Q829" s="1081">
        <f t="shared" si="163"/>
        <v>3680000</v>
      </c>
      <c r="R829" s="1108"/>
      <c r="V829" s="1107">
        <f t="shared" si="156"/>
        <v>3680000</v>
      </c>
    </row>
    <row r="830" spans="1:22" hidden="1">
      <c r="A830" s="1039" t="s">
        <v>736</v>
      </c>
      <c r="B830" s="1040" t="s">
        <v>747</v>
      </c>
      <c r="C830" s="1076" t="s">
        <v>476</v>
      </c>
      <c r="D830" s="1076"/>
      <c r="F830" s="1077"/>
      <c r="H830" s="1111"/>
      <c r="I830" s="1002" t="s">
        <v>844</v>
      </c>
      <c r="J830" s="1007"/>
      <c r="K830" s="1041"/>
      <c r="L830" s="1169"/>
      <c r="M830" s="1170"/>
      <c r="N830" s="1081"/>
      <c r="O830" s="1171"/>
      <c r="P830" s="1171"/>
      <c r="Q830" s="1171"/>
      <c r="R830" s="1172">
        <v>29611999</v>
      </c>
      <c r="V830" s="1107">
        <f t="shared" si="156"/>
        <v>-29611999</v>
      </c>
    </row>
    <row r="831" spans="1:22" hidden="1">
      <c r="A831" s="1039" t="s">
        <v>736</v>
      </c>
      <c r="B831" s="1040" t="s">
        <v>747</v>
      </c>
      <c r="C831" s="1076" t="s">
        <v>484</v>
      </c>
      <c r="D831" s="1076"/>
      <c r="F831" s="1077"/>
      <c r="H831" s="1111"/>
      <c r="I831" s="1002" t="s">
        <v>844</v>
      </c>
      <c r="J831" s="1007"/>
      <c r="K831" s="1041"/>
      <c r="L831" s="1173"/>
      <c r="M831" s="1170"/>
      <c r="N831" s="1081"/>
      <c r="O831" s="1171"/>
      <c r="P831" s="1171"/>
      <c r="Q831" s="1171"/>
      <c r="R831" s="1172">
        <v>13676000</v>
      </c>
      <c r="V831" s="1107">
        <f t="shared" si="156"/>
        <v>-13676000</v>
      </c>
    </row>
    <row r="832" spans="1:22" hidden="1">
      <c r="A832" s="1039" t="s">
        <v>736</v>
      </c>
      <c r="B832" s="1040" t="s">
        <v>747</v>
      </c>
      <c r="C832" s="1076">
        <v>46269</v>
      </c>
      <c r="D832" s="1076"/>
      <c r="F832" s="1077"/>
      <c r="H832" s="1111"/>
      <c r="I832" s="1002" t="s">
        <v>844</v>
      </c>
      <c r="J832" s="1007"/>
      <c r="K832" s="1041"/>
      <c r="L832" s="1173"/>
      <c r="M832" s="1170"/>
      <c r="N832" s="1081"/>
      <c r="O832" s="1171"/>
      <c r="P832" s="1171"/>
      <c r="Q832" s="1171"/>
      <c r="R832" s="1172">
        <v>17160000</v>
      </c>
      <c r="V832" s="1107">
        <f t="shared" si="156"/>
        <v>-17160000</v>
      </c>
    </row>
    <row r="833" spans="1:22" hidden="1">
      <c r="A833" s="1039" t="s">
        <v>736</v>
      </c>
      <c r="B833" s="1040" t="s">
        <v>747</v>
      </c>
      <c r="C833" s="1076" t="s">
        <v>485</v>
      </c>
      <c r="D833" s="1076"/>
      <c r="F833" s="1077" t="s">
        <v>247</v>
      </c>
      <c r="H833" s="1111" t="s">
        <v>486</v>
      </c>
      <c r="I833" s="1002" t="s">
        <v>818</v>
      </c>
      <c r="J833" s="1007" t="s">
        <v>80</v>
      </c>
      <c r="K833" s="1002" t="s">
        <v>81</v>
      </c>
      <c r="L833" s="1002" t="s">
        <v>18</v>
      </c>
      <c r="M833" s="1093">
        <v>8</v>
      </c>
      <c r="N833" s="1081">
        <v>824074.07</v>
      </c>
      <c r="O833" s="1081">
        <v>6592593</v>
      </c>
      <c r="P833" s="1081">
        <v>527407</v>
      </c>
      <c r="Q833" s="1081">
        <f>O833+P833</f>
        <v>7120000</v>
      </c>
      <c r="R833" s="1108"/>
      <c r="V833" s="1107">
        <f t="shared" si="156"/>
        <v>7120000</v>
      </c>
    </row>
    <row r="834" spans="1:22" hidden="1">
      <c r="A834" s="1039" t="s">
        <v>736</v>
      </c>
      <c r="B834" s="1040" t="s">
        <v>747</v>
      </c>
      <c r="C834" s="1076" t="s">
        <v>485</v>
      </c>
      <c r="D834" s="1076"/>
      <c r="F834" s="1077" t="s">
        <v>247</v>
      </c>
      <c r="H834" s="1111" t="s">
        <v>486</v>
      </c>
      <c r="I834" s="1002" t="s">
        <v>818</v>
      </c>
      <c r="J834" s="1007" t="s">
        <v>21</v>
      </c>
      <c r="K834" s="1003" t="s">
        <v>22</v>
      </c>
      <c r="L834" s="1008" t="s">
        <v>113</v>
      </c>
      <c r="M834" s="1093">
        <v>10</v>
      </c>
      <c r="N834" s="1081">
        <v>937962.96</v>
      </c>
      <c r="O834" s="1081">
        <v>9379630</v>
      </c>
      <c r="P834" s="1081">
        <v>750370</v>
      </c>
      <c r="Q834" s="1081">
        <f>O834+P834</f>
        <v>10130000</v>
      </c>
      <c r="R834" s="1108"/>
      <c r="V834" s="1107">
        <f t="shared" si="156"/>
        <v>10130000</v>
      </c>
    </row>
    <row r="835" spans="1:22" ht="31.5" hidden="1">
      <c r="A835" s="1039" t="s">
        <v>736</v>
      </c>
      <c r="B835" s="1040" t="s">
        <v>747</v>
      </c>
      <c r="C835" s="1076" t="s">
        <v>485</v>
      </c>
      <c r="D835" s="1076"/>
      <c r="F835" s="1077" t="s">
        <v>247</v>
      </c>
      <c r="H835" s="1111" t="s">
        <v>487</v>
      </c>
      <c r="I835" s="1002" t="s">
        <v>818</v>
      </c>
      <c r="J835" s="1007" t="s">
        <v>60</v>
      </c>
      <c r="K835" s="1015" t="s">
        <v>374</v>
      </c>
      <c r="L835" s="1008" t="s">
        <v>113</v>
      </c>
      <c r="M835" s="1093">
        <v>4</v>
      </c>
      <c r="N835" s="1081">
        <v>1138888.8899999999</v>
      </c>
      <c r="O835" s="1081">
        <v>4555556</v>
      </c>
      <c r="P835" s="1081">
        <v>364444</v>
      </c>
      <c r="Q835" s="1081">
        <f>O835+P835</f>
        <v>4920000</v>
      </c>
      <c r="R835" s="1108"/>
      <c r="V835" s="1107">
        <f t="shared" si="156"/>
        <v>4920000</v>
      </c>
    </row>
    <row r="836" spans="1:22" ht="31.5" hidden="1">
      <c r="A836" s="1039" t="s">
        <v>736</v>
      </c>
      <c r="B836" s="1040" t="s">
        <v>747</v>
      </c>
      <c r="C836" s="1076" t="s">
        <v>485</v>
      </c>
      <c r="D836" s="1076"/>
      <c r="F836" s="1077" t="s">
        <v>247</v>
      </c>
      <c r="H836" s="1111" t="s">
        <v>487</v>
      </c>
      <c r="I836" s="1002" t="s">
        <v>818</v>
      </c>
      <c r="J836" s="1007" t="s">
        <v>56</v>
      </c>
      <c r="K836" s="1015" t="s">
        <v>381</v>
      </c>
      <c r="L836" s="1008" t="s">
        <v>113</v>
      </c>
      <c r="M836" s="1093">
        <v>12</v>
      </c>
      <c r="N836" s="1081">
        <v>325925.92</v>
      </c>
      <c r="O836" s="1081">
        <v>3911111</v>
      </c>
      <c r="P836" s="1081">
        <v>312889</v>
      </c>
      <c r="Q836" s="1081">
        <f>O836+P836</f>
        <v>4224000</v>
      </c>
      <c r="R836" s="1108"/>
      <c r="V836" s="1107">
        <f t="shared" si="156"/>
        <v>4224000</v>
      </c>
    </row>
    <row r="837" spans="1:22" hidden="1">
      <c r="A837" s="1039" t="s">
        <v>736</v>
      </c>
      <c r="B837" s="1040" t="s">
        <v>747</v>
      </c>
      <c r="C837" s="1076" t="s">
        <v>485</v>
      </c>
      <c r="D837" s="1076"/>
      <c r="F837" s="1077" t="s">
        <v>451</v>
      </c>
      <c r="H837" s="1111" t="s">
        <v>848</v>
      </c>
      <c r="I837" s="1002" t="s">
        <v>818</v>
      </c>
      <c r="J837" s="1007" t="s">
        <v>90</v>
      </c>
      <c r="K837" s="1015" t="s">
        <v>91</v>
      </c>
      <c r="L837" s="1122" t="s">
        <v>412</v>
      </c>
      <c r="M837" s="1093">
        <v>10</v>
      </c>
      <c r="N837" s="1081">
        <v>824074.07</v>
      </c>
      <c r="O837" s="1081">
        <v>8240741</v>
      </c>
      <c r="P837" s="1081">
        <v>659259</v>
      </c>
      <c r="Q837" s="1081">
        <f>O837+P837</f>
        <v>8900000</v>
      </c>
      <c r="R837" s="1108"/>
      <c r="V837" s="1107">
        <f t="shared" si="156"/>
        <v>8900000</v>
      </c>
    </row>
    <row r="838" spans="1:22" hidden="1">
      <c r="A838" s="1039" t="s">
        <v>736</v>
      </c>
      <c r="B838" s="1040" t="s">
        <v>747</v>
      </c>
      <c r="C838" s="1076" t="s">
        <v>488</v>
      </c>
      <c r="D838" s="1076"/>
      <c r="F838" s="1077"/>
      <c r="H838" s="1111"/>
      <c r="I838" s="1002" t="s">
        <v>844</v>
      </c>
      <c r="J838" s="1007"/>
      <c r="K838" s="1041"/>
      <c r="L838" s="1169"/>
      <c r="M838" s="1170"/>
      <c r="N838" s="1081"/>
      <c r="O838" s="1171"/>
      <c r="P838" s="1171"/>
      <c r="Q838" s="1171"/>
      <c r="R838" s="1172">
        <v>26394001</v>
      </c>
      <c r="V838" s="1107">
        <f t="shared" si="156"/>
        <v>-26394001</v>
      </c>
    </row>
    <row r="839" spans="1:22" hidden="1">
      <c r="A839" s="1039" t="s">
        <v>736</v>
      </c>
      <c r="B839" s="1040" t="s">
        <v>747</v>
      </c>
      <c r="C839" s="1076" t="s">
        <v>829</v>
      </c>
      <c r="D839" s="1076"/>
      <c r="F839" s="1077"/>
      <c r="H839" s="1111"/>
      <c r="I839" s="1002" t="s">
        <v>844</v>
      </c>
      <c r="J839" s="1007"/>
      <c r="K839" s="1041"/>
      <c r="L839" s="1169"/>
      <c r="M839" s="1170"/>
      <c r="N839" s="1081"/>
      <c r="O839" s="1171"/>
      <c r="P839" s="1171"/>
      <c r="Q839" s="1171"/>
      <c r="R839" s="1172">
        <v>8900000</v>
      </c>
      <c r="V839" s="1107">
        <f t="shared" si="156"/>
        <v>-8900000</v>
      </c>
    </row>
    <row r="840" spans="1:22" s="1002" customFormat="1" ht="31.5" hidden="1">
      <c r="A840" s="1007" t="s">
        <v>943</v>
      </c>
      <c r="B840" s="1001" t="s">
        <v>860</v>
      </c>
      <c r="C840" s="1076">
        <v>46013</v>
      </c>
      <c r="D840" s="1076"/>
      <c r="F840" s="1077"/>
      <c r="H840" s="1111"/>
      <c r="I840" s="572" t="s">
        <v>861</v>
      </c>
      <c r="J840" s="1007" t="s">
        <v>16</v>
      </c>
      <c r="K840" s="1013" t="s">
        <v>17</v>
      </c>
      <c r="L840" s="1013" t="s">
        <v>18</v>
      </c>
      <c r="M840" s="1174">
        <v>4</v>
      </c>
      <c r="N840" s="1081">
        <v>870370.38</v>
      </c>
      <c r="O840" s="1130">
        <f>M840*N840</f>
        <v>3481481.52</v>
      </c>
      <c r="P840" s="1130">
        <f>O840*8%</f>
        <v>278518.52159999998</v>
      </c>
      <c r="Q840" s="1130">
        <f>O840+P840</f>
        <v>3760000.0416000001</v>
      </c>
      <c r="R840" s="1175"/>
      <c r="S840" s="1148"/>
      <c r="T840" s="1083"/>
      <c r="U840" s="1083"/>
      <c r="V840" s="1083">
        <f t="shared" si="156"/>
        <v>3760000.0416000001</v>
      </c>
    </row>
    <row r="841" spans="1:22" s="1002" customFormat="1" ht="31.5" hidden="1">
      <c r="A841" s="1007" t="s">
        <v>943</v>
      </c>
      <c r="B841" s="1001" t="s">
        <v>860</v>
      </c>
      <c r="C841" s="1076">
        <v>46021</v>
      </c>
      <c r="D841" s="1076"/>
      <c r="F841" s="1077">
        <f t="shared" ref="F841:F879" si="164">C841</f>
        <v>46021</v>
      </c>
      <c r="H841" s="1111" t="s">
        <v>20</v>
      </c>
      <c r="I841" s="572" t="s">
        <v>861</v>
      </c>
      <c r="J841" s="1007" t="s">
        <v>21</v>
      </c>
      <c r="K841" s="1042" t="s">
        <v>22</v>
      </c>
      <c r="L841" s="572" t="s">
        <v>18</v>
      </c>
      <c r="M841" s="1174">
        <v>4</v>
      </c>
      <c r="N841" s="1081">
        <v>937963</v>
      </c>
      <c r="O841" s="1130">
        <f t="shared" ref="O841:O872" si="165">M841*N841</f>
        <v>3751852</v>
      </c>
      <c r="P841" s="1130">
        <f t="shared" ref="P841:P897" si="166">O841*8%</f>
        <v>300148.16000000003</v>
      </c>
      <c r="Q841" s="1130">
        <f t="shared" ref="Q841:Q878" si="167">O841+P841</f>
        <v>4052000.16</v>
      </c>
      <c r="R841" s="1175"/>
      <c r="S841" s="1148"/>
      <c r="T841" s="1083"/>
      <c r="U841" s="1083"/>
      <c r="V841" s="1083">
        <f t="shared" si="156"/>
        <v>4052000.16</v>
      </c>
    </row>
    <row r="842" spans="1:22" s="1002" customFormat="1" ht="31.5" hidden="1">
      <c r="A842" s="1007" t="s">
        <v>943</v>
      </c>
      <c r="B842" s="1001" t="s">
        <v>860</v>
      </c>
      <c r="C842" s="1076">
        <v>46021</v>
      </c>
      <c r="D842" s="1076"/>
      <c r="F842" s="1077">
        <f t="shared" si="164"/>
        <v>46021</v>
      </c>
      <c r="H842" s="1111" t="s">
        <v>20</v>
      </c>
      <c r="I842" s="572" t="s">
        <v>861</v>
      </c>
      <c r="J842" s="1007" t="s">
        <v>23</v>
      </c>
      <c r="K842" s="572" t="s">
        <v>24</v>
      </c>
      <c r="L842" s="572" t="s">
        <v>25</v>
      </c>
      <c r="M842" s="1174">
        <v>6</v>
      </c>
      <c r="N842" s="1081">
        <v>1059260</v>
      </c>
      <c r="O842" s="1130">
        <f t="shared" si="165"/>
        <v>6355560</v>
      </c>
      <c r="P842" s="1130">
        <f t="shared" si="166"/>
        <v>508444.8</v>
      </c>
      <c r="Q842" s="1130">
        <f t="shared" si="167"/>
        <v>6864004.7999999998</v>
      </c>
      <c r="R842" s="1176"/>
      <c r="S842" s="1148"/>
      <c r="T842" s="1083"/>
      <c r="U842" s="1083"/>
      <c r="V842" s="1083">
        <f t="shared" si="156"/>
        <v>6864004.7999999998</v>
      </c>
    </row>
    <row r="843" spans="1:22" s="1002" customFormat="1" ht="31.5" hidden="1">
      <c r="A843" s="1007" t="s">
        <v>943</v>
      </c>
      <c r="B843" s="1001" t="s">
        <v>860</v>
      </c>
      <c r="C843" s="1076">
        <v>46021</v>
      </c>
      <c r="D843" s="1076"/>
      <c r="F843" s="1077">
        <f>C843</f>
        <v>46021</v>
      </c>
      <c r="H843" s="1111" t="s">
        <v>20</v>
      </c>
      <c r="I843" s="572" t="s">
        <v>861</v>
      </c>
      <c r="J843" s="1007" t="s">
        <v>26</v>
      </c>
      <c r="K843" s="572" t="s">
        <v>27</v>
      </c>
      <c r="L843" s="572" t="s">
        <v>18</v>
      </c>
      <c r="M843" s="1174">
        <v>10</v>
      </c>
      <c r="N843" s="1081">
        <v>2564.81</v>
      </c>
      <c r="O843" s="1130">
        <v>2564810</v>
      </c>
      <c r="P843" s="1130">
        <f t="shared" si="166"/>
        <v>205184.80000000002</v>
      </c>
      <c r="Q843" s="1130">
        <f t="shared" si="167"/>
        <v>2769994.8</v>
      </c>
      <c r="R843" s="1176"/>
      <c r="S843" s="1148"/>
      <c r="T843" s="1083"/>
      <c r="U843" s="1083"/>
      <c r="V843" s="1083">
        <f t="shared" si="156"/>
        <v>2769994.8</v>
      </c>
    </row>
    <row r="844" spans="1:22" s="1002" customFormat="1" ht="31.5" hidden="1">
      <c r="A844" s="1007" t="s">
        <v>943</v>
      </c>
      <c r="B844" s="1001" t="s">
        <v>860</v>
      </c>
      <c r="C844" s="1076">
        <v>46021</v>
      </c>
      <c r="D844" s="1076"/>
      <c r="F844" s="1077">
        <f t="shared" si="164"/>
        <v>46021</v>
      </c>
      <c r="H844" s="1111" t="s">
        <v>20</v>
      </c>
      <c r="I844" s="572" t="s">
        <v>861</v>
      </c>
      <c r="J844" s="1007" t="s">
        <v>28</v>
      </c>
      <c r="K844" s="572" t="s">
        <v>29</v>
      </c>
      <c r="L844" s="572" t="s">
        <v>18</v>
      </c>
      <c r="M844" s="1174">
        <v>10</v>
      </c>
      <c r="N844" s="1081">
        <v>281481</v>
      </c>
      <c r="O844" s="1130">
        <f t="shared" si="165"/>
        <v>2814810</v>
      </c>
      <c r="P844" s="1130">
        <f t="shared" si="166"/>
        <v>225184.80000000002</v>
      </c>
      <c r="Q844" s="1130">
        <f t="shared" si="167"/>
        <v>3039994.8</v>
      </c>
      <c r="R844" s="1176"/>
      <c r="S844" s="1148"/>
      <c r="T844" s="1083"/>
      <c r="U844" s="1083"/>
      <c r="V844" s="1083">
        <f t="shared" ref="V844:V907" si="168">Q844-R844-S844-T844-U844</f>
        <v>3039994.8</v>
      </c>
    </row>
    <row r="845" spans="1:22" s="1002" customFormat="1" ht="31.5" hidden="1">
      <c r="A845" s="1007" t="s">
        <v>943</v>
      </c>
      <c r="B845" s="1001" t="s">
        <v>860</v>
      </c>
      <c r="C845" s="1076">
        <v>46021</v>
      </c>
      <c r="D845" s="1076"/>
      <c r="F845" s="1077">
        <f t="shared" si="164"/>
        <v>46021</v>
      </c>
      <c r="H845" s="1111" t="s">
        <v>20</v>
      </c>
      <c r="I845" s="572" t="s">
        <v>861</v>
      </c>
      <c r="J845" s="1007" t="s">
        <v>30</v>
      </c>
      <c r="K845" s="572" t="s">
        <v>31</v>
      </c>
      <c r="L845" s="572" t="s">
        <v>18</v>
      </c>
      <c r="M845" s="1174">
        <v>10</v>
      </c>
      <c r="N845" s="1081">
        <v>252778</v>
      </c>
      <c r="O845" s="1130">
        <f t="shared" si="165"/>
        <v>2527780</v>
      </c>
      <c r="P845" s="1130">
        <f t="shared" si="166"/>
        <v>202222.4</v>
      </c>
      <c r="Q845" s="1130">
        <f t="shared" si="167"/>
        <v>2730002.4</v>
      </c>
      <c r="R845" s="1176"/>
      <c r="S845" s="1148"/>
      <c r="T845" s="1083"/>
      <c r="U845" s="1083"/>
      <c r="V845" s="1083">
        <f t="shared" si="168"/>
        <v>2730002.4</v>
      </c>
    </row>
    <row r="846" spans="1:22" s="1002" customFormat="1" ht="31.5" hidden="1">
      <c r="A846" s="1007" t="s">
        <v>943</v>
      </c>
      <c r="B846" s="1001" t="s">
        <v>860</v>
      </c>
      <c r="C846" s="1076">
        <v>46021</v>
      </c>
      <c r="D846" s="1076"/>
      <c r="F846" s="1077">
        <f t="shared" si="164"/>
        <v>46021</v>
      </c>
      <c r="H846" s="1111" t="s">
        <v>20</v>
      </c>
      <c r="I846" s="572" t="s">
        <v>861</v>
      </c>
      <c r="J846" s="1007" t="s">
        <v>32</v>
      </c>
      <c r="K846" s="572" t="s">
        <v>33</v>
      </c>
      <c r="L846" s="572" t="s">
        <v>18</v>
      </c>
      <c r="M846" s="1174">
        <v>10</v>
      </c>
      <c r="N846" s="1081">
        <v>256481</v>
      </c>
      <c r="O846" s="1130">
        <f t="shared" si="165"/>
        <v>2564810</v>
      </c>
      <c r="P846" s="1130">
        <f t="shared" si="166"/>
        <v>205184.80000000002</v>
      </c>
      <c r="Q846" s="1130">
        <f t="shared" si="167"/>
        <v>2769994.8</v>
      </c>
      <c r="R846" s="1175"/>
      <c r="S846" s="1148"/>
      <c r="T846" s="1083"/>
      <c r="U846" s="1083"/>
      <c r="V846" s="1083">
        <f t="shared" si="168"/>
        <v>2769994.8</v>
      </c>
    </row>
    <row r="847" spans="1:22" s="1002" customFormat="1" ht="31.5" hidden="1">
      <c r="A847" s="1007" t="s">
        <v>943</v>
      </c>
      <c r="B847" s="1001" t="s">
        <v>860</v>
      </c>
      <c r="C847" s="1076">
        <v>46021</v>
      </c>
      <c r="D847" s="1076"/>
      <c r="F847" s="1077">
        <f t="shared" si="164"/>
        <v>46021</v>
      </c>
      <c r="H847" s="1111" t="s">
        <v>20</v>
      </c>
      <c r="I847" s="572" t="s">
        <v>861</v>
      </c>
      <c r="J847" s="1007" t="s">
        <v>34</v>
      </c>
      <c r="K847" s="572" t="s">
        <v>35</v>
      </c>
      <c r="L847" s="572" t="s">
        <v>18</v>
      </c>
      <c r="M847" s="1174">
        <v>10</v>
      </c>
      <c r="N847" s="1081">
        <v>227778</v>
      </c>
      <c r="O847" s="1130">
        <f t="shared" si="165"/>
        <v>2277780</v>
      </c>
      <c r="P847" s="1130">
        <f t="shared" si="166"/>
        <v>182222.4</v>
      </c>
      <c r="Q847" s="1130">
        <f t="shared" si="167"/>
        <v>2460002.4</v>
      </c>
      <c r="R847" s="1176"/>
      <c r="S847" s="1148"/>
      <c r="T847" s="1083"/>
      <c r="U847" s="1083"/>
      <c r="V847" s="1083">
        <f t="shared" si="168"/>
        <v>2460002.4</v>
      </c>
    </row>
    <row r="848" spans="1:22" s="1002" customFormat="1" ht="31.5" hidden="1">
      <c r="A848" s="1007" t="s">
        <v>943</v>
      </c>
      <c r="B848" s="1001" t="s">
        <v>860</v>
      </c>
      <c r="C848" s="1076">
        <v>46021</v>
      </c>
      <c r="D848" s="1076"/>
      <c r="F848" s="1077">
        <f t="shared" si="164"/>
        <v>46021</v>
      </c>
      <c r="H848" s="1111" t="s">
        <v>20</v>
      </c>
      <c r="I848" s="572" t="s">
        <v>861</v>
      </c>
      <c r="J848" s="1007" t="s">
        <v>36</v>
      </c>
      <c r="K848" s="572" t="s">
        <v>37</v>
      </c>
      <c r="L848" s="572" t="s">
        <v>18</v>
      </c>
      <c r="M848" s="1174">
        <v>10</v>
      </c>
      <c r="N848" s="1081">
        <v>252778</v>
      </c>
      <c r="O848" s="1130">
        <f t="shared" si="165"/>
        <v>2527780</v>
      </c>
      <c r="P848" s="1130">
        <f t="shared" si="166"/>
        <v>202222.4</v>
      </c>
      <c r="Q848" s="1130">
        <f t="shared" si="167"/>
        <v>2730002.4</v>
      </c>
      <c r="R848" s="1176"/>
      <c r="S848" s="1148"/>
      <c r="T848" s="1083"/>
      <c r="U848" s="1083"/>
      <c r="V848" s="1083">
        <f t="shared" si="168"/>
        <v>2730002.4</v>
      </c>
    </row>
    <row r="849" spans="1:22" s="1002" customFormat="1" ht="31.5" hidden="1">
      <c r="A849" s="1007" t="s">
        <v>943</v>
      </c>
      <c r="B849" s="1001" t="s">
        <v>860</v>
      </c>
      <c r="C849" s="1076">
        <v>46021</v>
      </c>
      <c r="D849" s="1076"/>
      <c r="F849" s="1077">
        <f t="shared" si="164"/>
        <v>46021</v>
      </c>
      <c r="H849" s="1111" t="s">
        <v>20</v>
      </c>
      <c r="I849" s="572" t="s">
        <v>861</v>
      </c>
      <c r="J849" s="1007" t="s">
        <v>38</v>
      </c>
      <c r="K849" s="572" t="s">
        <v>39</v>
      </c>
      <c r="L849" s="572" t="s">
        <v>18</v>
      </c>
      <c r="M849" s="1174">
        <v>10</v>
      </c>
      <c r="N849" s="1081">
        <v>277778</v>
      </c>
      <c r="O849" s="1130">
        <f t="shared" si="165"/>
        <v>2777780</v>
      </c>
      <c r="P849" s="1130">
        <f t="shared" si="166"/>
        <v>222222.4</v>
      </c>
      <c r="Q849" s="1130">
        <f t="shared" si="167"/>
        <v>3000002.4</v>
      </c>
      <c r="R849" s="1176"/>
      <c r="S849" s="1148"/>
      <c r="T849" s="1083"/>
      <c r="U849" s="1083"/>
      <c r="V849" s="1083">
        <f t="shared" si="168"/>
        <v>3000002.4</v>
      </c>
    </row>
    <row r="850" spans="1:22" s="1002" customFormat="1" ht="31.5" hidden="1">
      <c r="A850" s="1007" t="s">
        <v>943</v>
      </c>
      <c r="B850" s="1001" t="s">
        <v>860</v>
      </c>
      <c r="C850" s="1076">
        <v>46021</v>
      </c>
      <c r="D850" s="1076"/>
      <c r="F850" s="1077">
        <f t="shared" si="164"/>
        <v>46021</v>
      </c>
      <c r="H850" s="1111" t="s">
        <v>20</v>
      </c>
      <c r="I850" s="572" t="s">
        <v>861</v>
      </c>
      <c r="J850" s="1007" t="s">
        <v>40</v>
      </c>
      <c r="K850" s="572" t="s">
        <v>41</v>
      </c>
      <c r="L850" s="572" t="s">
        <v>18</v>
      </c>
      <c r="M850" s="1174">
        <v>6</v>
      </c>
      <c r="N850" s="1081">
        <v>844444</v>
      </c>
      <c r="O850" s="1130">
        <f t="shared" si="165"/>
        <v>5066664</v>
      </c>
      <c r="P850" s="1130">
        <f t="shared" si="166"/>
        <v>405333.12</v>
      </c>
      <c r="Q850" s="1130">
        <f t="shared" si="167"/>
        <v>5471997.1200000001</v>
      </c>
      <c r="R850" s="1176"/>
      <c r="S850" s="1148"/>
      <c r="T850" s="1083"/>
      <c r="U850" s="1083"/>
      <c r="V850" s="1083">
        <f t="shared" si="168"/>
        <v>5471997.1200000001</v>
      </c>
    </row>
    <row r="851" spans="1:22" s="1002" customFormat="1" ht="31.5" hidden="1">
      <c r="A851" s="1007" t="s">
        <v>943</v>
      </c>
      <c r="B851" s="1001" t="s">
        <v>860</v>
      </c>
      <c r="C851" s="1076">
        <v>46021</v>
      </c>
      <c r="D851" s="1076"/>
      <c r="F851" s="1077">
        <f t="shared" si="164"/>
        <v>46021</v>
      </c>
      <c r="H851" s="1111" t="s">
        <v>20</v>
      </c>
      <c r="I851" s="572" t="s">
        <v>861</v>
      </c>
      <c r="J851" s="1007" t="s">
        <v>42</v>
      </c>
      <c r="K851" s="572" t="s">
        <v>43</v>
      </c>
      <c r="L851" s="572" t="s">
        <v>18</v>
      </c>
      <c r="M851" s="1174">
        <v>2</v>
      </c>
      <c r="N851" s="1081">
        <v>569444</v>
      </c>
      <c r="O851" s="1130">
        <f t="shared" si="165"/>
        <v>1138888</v>
      </c>
      <c r="P851" s="1130">
        <f t="shared" si="166"/>
        <v>91111.040000000008</v>
      </c>
      <c r="Q851" s="1130">
        <f t="shared" si="167"/>
        <v>1229999.04</v>
      </c>
      <c r="R851" s="1176"/>
      <c r="S851" s="1148"/>
      <c r="T851" s="1083"/>
      <c r="U851" s="1083"/>
      <c r="V851" s="1083">
        <f t="shared" si="168"/>
        <v>1229999.04</v>
      </c>
    </row>
    <row r="852" spans="1:22" s="1002" customFormat="1" ht="31.5" hidden="1">
      <c r="A852" s="1007" t="s">
        <v>943</v>
      </c>
      <c r="B852" s="1001" t="s">
        <v>860</v>
      </c>
      <c r="C852" s="1076">
        <v>46021</v>
      </c>
      <c r="D852" s="1076"/>
      <c r="F852" s="1077">
        <f t="shared" si="164"/>
        <v>46021</v>
      </c>
      <c r="H852" s="1111" t="s">
        <v>20</v>
      </c>
      <c r="I852" s="572" t="s">
        <v>861</v>
      </c>
      <c r="J852" s="1007" t="s">
        <v>44</v>
      </c>
      <c r="K852" s="572" t="s">
        <v>45</v>
      </c>
      <c r="L852" s="572" t="s">
        <v>18</v>
      </c>
      <c r="M852" s="1174">
        <v>2</v>
      </c>
      <c r="N852" s="1081">
        <v>564814</v>
      </c>
      <c r="O852" s="1130">
        <f t="shared" si="165"/>
        <v>1129628</v>
      </c>
      <c r="P852" s="1130">
        <f t="shared" si="166"/>
        <v>90370.240000000005</v>
      </c>
      <c r="Q852" s="1130">
        <f t="shared" si="167"/>
        <v>1219998.24</v>
      </c>
      <c r="R852" s="1176"/>
      <c r="S852" s="1148"/>
      <c r="T852" s="1083"/>
      <c r="U852" s="1083"/>
      <c r="V852" s="1083">
        <f t="shared" si="168"/>
        <v>1219998.24</v>
      </c>
    </row>
    <row r="853" spans="1:22" s="1002" customFormat="1" ht="31.5" hidden="1">
      <c r="A853" s="1007" t="s">
        <v>943</v>
      </c>
      <c r="B853" s="1001" t="s">
        <v>860</v>
      </c>
      <c r="C853" s="1076">
        <v>46021</v>
      </c>
      <c r="D853" s="1076"/>
      <c r="F853" s="1077">
        <f t="shared" si="164"/>
        <v>46021</v>
      </c>
      <c r="H853" s="1111" t="s">
        <v>20</v>
      </c>
      <c r="I853" s="572" t="s">
        <v>861</v>
      </c>
      <c r="J853" s="1007" t="s">
        <v>46</v>
      </c>
      <c r="K853" s="572" t="s">
        <v>47</v>
      </c>
      <c r="L853" s="572" t="s">
        <v>18</v>
      </c>
      <c r="M853" s="1174">
        <v>6</v>
      </c>
      <c r="N853" s="1081">
        <v>194444</v>
      </c>
      <c r="O853" s="1130">
        <f t="shared" si="165"/>
        <v>1166664</v>
      </c>
      <c r="P853" s="1130">
        <f t="shared" si="166"/>
        <v>93333.119999999995</v>
      </c>
      <c r="Q853" s="1130">
        <f t="shared" si="167"/>
        <v>1259997.1200000001</v>
      </c>
      <c r="R853" s="1176"/>
      <c r="S853" s="1148"/>
      <c r="T853" s="1083"/>
      <c r="U853" s="1083"/>
      <c r="V853" s="1083">
        <f t="shared" si="168"/>
        <v>1259997.1200000001</v>
      </c>
    </row>
    <row r="854" spans="1:22" s="1002" customFormat="1" ht="31.5" hidden="1">
      <c r="A854" s="1007" t="s">
        <v>943</v>
      </c>
      <c r="B854" s="1001" t="s">
        <v>860</v>
      </c>
      <c r="C854" s="1076">
        <v>46021</v>
      </c>
      <c r="D854" s="1076"/>
      <c r="F854" s="1077">
        <f t="shared" si="164"/>
        <v>46021</v>
      </c>
      <c r="H854" s="1111" t="s">
        <v>20</v>
      </c>
      <c r="I854" s="572" t="s">
        <v>861</v>
      </c>
      <c r="J854" s="1007" t="s">
        <v>16</v>
      </c>
      <c r="K854" s="572" t="s">
        <v>17</v>
      </c>
      <c r="L854" s="572" t="s">
        <v>18</v>
      </c>
      <c r="M854" s="1174">
        <v>2</v>
      </c>
      <c r="N854" s="1081">
        <v>851852</v>
      </c>
      <c r="O854" s="1130">
        <f t="shared" si="165"/>
        <v>1703704</v>
      </c>
      <c r="P854" s="1130">
        <f t="shared" si="166"/>
        <v>136296.32000000001</v>
      </c>
      <c r="Q854" s="1130">
        <f t="shared" si="167"/>
        <v>1840000.32</v>
      </c>
      <c r="R854" s="1176"/>
      <c r="S854" s="1148"/>
      <c r="T854" s="1083"/>
      <c r="U854" s="1083"/>
      <c r="V854" s="1083">
        <f t="shared" si="168"/>
        <v>1840000.32</v>
      </c>
    </row>
    <row r="855" spans="1:22" s="1002" customFormat="1" ht="31.5" hidden="1">
      <c r="A855" s="1007" t="s">
        <v>943</v>
      </c>
      <c r="B855" s="1001" t="s">
        <v>860</v>
      </c>
      <c r="C855" s="1076">
        <v>46021</v>
      </c>
      <c r="D855" s="1076"/>
      <c r="F855" s="1077">
        <f t="shared" si="164"/>
        <v>46021</v>
      </c>
      <c r="H855" s="1111" t="s">
        <v>20</v>
      </c>
      <c r="I855" s="572" t="s">
        <v>861</v>
      </c>
      <c r="J855" s="1007" t="s">
        <v>48</v>
      </c>
      <c r="K855" s="1002" t="s">
        <v>49</v>
      </c>
      <c r="L855" s="572" t="s">
        <v>18</v>
      </c>
      <c r="M855" s="1174">
        <v>12</v>
      </c>
      <c r="N855" s="1081">
        <v>601852</v>
      </c>
      <c r="O855" s="1130">
        <f t="shared" si="165"/>
        <v>7222224</v>
      </c>
      <c r="P855" s="1130">
        <f t="shared" si="166"/>
        <v>577777.92000000004</v>
      </c>
      <c r="Q855" s="1130">
        <f t="shared" si="167"/>
        <v>7800001.9199999999</v>
      </c>
      <c r="R855" s="1175"/>
      <c r="S855" s="1148"/>
      <c r="T855" s="1083"/>
      <c r="U855" s="1083"/>
      <c r="V855" s="1083">
        <f t="shared" si="168"/>
        <v>7800001.9199999999</v>
      </c>
    </row>
    <row r="856" spans="1:22" s="1002" customFormat="1" ht="31.5" hidden="1">
      <c r="A856" s="1007" t="s">
        <v>943</v>
      </c>
      <c r="B856" s="1001" t="s">
        <v>860</v>
      </c>
      <c r="C856" s="1076">
        <v>46021</v>
      </c>
      <c r="D856" s="1076"/>
      <c r="F856" s="1077">
        <f t="shared" si="164"/>
        <v>46021</v>
      </c>
      <c r="H856" s="1111" t="s">
        <v>20</v>
      </c>
      <c r="I856" s="572" t="s">
        <v>861</v>
      </c>
      <c r="J856" s="1007" t="s">
        <v>50</v>
      </c>
      <c r="K856" s="572" t="s">
        <v>51</v>
      </c>
      <c r="L856" s="572" t="s">
        <v>18</v>
      </c>
      <c r="M856" s="1174">
        <v>12</v>
      </c>
      <c r="N856" s="1081">
        <v>937963</v>
      </c>
      <c r="O856" s="1130">
        <f t="shared" si="165"/>
        <v>11255556</v>
      </c>
      <c r="P856" s="1130">
        <f t="shared" si="166"/>
        <v>900444.48</v>
      </c>
      <c r="Q856" s="1130">
        <f t="shared" si="167"/>
        <v>12156000.48</v>
      </c>
      <c r="R856" s="1176"/>
      <c r="S856" s="1148"/>
      <c r="T856" s="1083"/>
      <c r="U856" s="1083"/>
      <c r="V856" s="1083">
        <f t="shared" si="168"/>
        <v>12156000.48</v>
      </c>
    </row>
    <row r="857" spans="1:22" s="1002" customFormat="1" ht="31.5" hidden="1">
      <c r="A857" s="1007" t="s">
        <v>943</v>
      </c>
      <c r="B857" s="1001" t="s">
        <v>860</v>
      </c>
      <c r="C857" s="1076">
        <v>46021</v>
      </c>
      <c r="D857" s="1076"/>
      <c r="F857" s="1077">
        <f t="shared" si="164"/>
        <v>46021</v>
      </c>
      <c r="H857" s="1111" t="s">
        <v>20</v>
      </c>
      <c r="I857" s="572" t="s">
        <v>861</v>
      </c>
      <c r="J857" s="1007" t="s">
        <v>52</v>
      </c>
      <c r="K857" s="1002" t="s">
        <v>53</v>
      </c>
      <c r="L857" s="572" t="s">
        <v>18</v>
      </c>
      <c r="M857" s="1174">
        <v>6</v>
      </c>
      <c r="N857" s="1081">
        <v>1007407</v>
      </c>
      <c r="O857" s="1130">
        <f t="shared" si="165"/>
        <v>6044442</v>
      </c>
      <c r="P857" s="1130">
        <f t="shared" si="166"/>
        <v>483555.36</v>
      </c>
      <c r="Q857" s="1130">
        <f t="shared" si="167"/>
        <v>6527997.3600000003</v>
      </c>
      <c r="R857" s="1176"/>
      <c r="S857" s="1148"/>
      <c r="T857" s="1083"/>
      <c r="U857" s="1083"/>
      <c r="V857" s="1083">
        <f t="shared" si="168"/>
        <v>6527997.3600000003</v>
      </c>
    </row>
    <row r="858" spans="1:22" s="1002" customFormat="1" ht="31.5" hidden="1">
      <c r="A858" s="1007" t="s">
        <v>943</v>
      </c>
      <c r="B858" s="1001" t="s">
        <v>860</v>
      </c>
      <c r="C858" s="1076">
        <v>46021</v>
      </c>
      <c r="D858" s="1076"/>
      <c r="F858" s="1077">
        <f t="shared" si="164"/>
        <v>46021</v>
      </c>
      <c r="H858" s="1111" t="s">
        <v>20</v>
      </c>
      <c r="I858" s="572" t="s">
        <v>861</v>
      </c>
      <c r="J858" s="1007" t="s">
        <v>54</v>
      </c>
      <c r="K858" s="572" t="s">
        <v>55</v>
      </c>
      <c r="L858" s="572" t="s">
        <v>18</v>
      </c>
      <c r="M858" s="1174">
        <v>12</v>
      </c>
      <c r="N858" s="1081">
        <v>324074</v>
      </c>
      <c r="O858" s="1130">
        <f t="shared" si="165"/>
        <v>3888888</v>
      </c>
      <c r="P858" s="1130">
        <f t="shared" si="166"/>
        <v>311111.03999999998</v>
      </c>
      <c r="Q858" s="1130">
        <f t="shared" si="167"/>
        <v>4199999.04</v>
      </c>
      <c r="R858" s="1176"/>
      <c r="S858" s="1148"/>
      <c r="T858" s="1083"/>
      <c r="U858" s="1083"/>
      <c r="V858" s="1083">
        <f t="shared" si="168"/>
        <v>4199999.04</v>
      </c>
    </row>
    <row r="859" spans="1:22" s="1002" customFormat="1" ht="31.5" hidden="1">
      <c r="A859" s="1007" t="s">
        <v>943</v>
      </c>
      <c r="B859" s="1001" t="s">
        <v>860</v>
      </c>
      <c r="C859" s="1076">
        <v>46021</v>
      </c>
      <c r="D859" s="1076"/>
      <c r="F859" s="1077">
        <f t="shared" si="164"/>
        <v>46021</v>
      </c>
      <c r="H859" s="1111" t="s">
        <v>20</v>
      </c>
      <c r="I859" s="572" t="s">
        <v>861</v>
      </c>
      <c r="J859" s="1007" t="s">
        <v>56</v>
      </c>
      <c r="K859" s="572" t="s">
        <v>57</v>
      </c>
      <c r="L859" s="572" t="s">
        <v>18</v>
      </c>
      <c r="M859" s="1174">
        <v>12</v>
      </c>
      <c r="N859" s="1081">
        <v>325926</v>
      </c>
      <c r="O859" s="1130">
        <f t="shared" si="165"/>
        <v>3911112</v>
      </c>
      <c r="P859" s="1130">
        <f t="shared" si="166"/>
        <v>312888.96000000002</v>
      </c>
      <c r="Q859" s="1130">
        <f t="shared" si="167"/>
        <v>4224000.96</v>
      </c>
      <c r="R859" s="1175"/>
      <c r="S859" s="1148"/>
      <c r="T859" s="1083"/>
      <c r="U859" s="1083"/>
      <c r="V859" s="1083">
        <f t="shared" si="168"/>
        <v>4224000.96</v>
      </c>
    </row>
    <row r="860" spans="1:22" s="1002" customFormat="1" ht="31.5" hidden="1">
      <c r="A860" s="1007" t="s">
        <v>943</v>
      </c>
      <c r="B860" s="1001" t="s">
        <v>860</v>
      </c>
      <c r="C860" s="1076">
        <v>46021</v>
      </c>
      <c r="D860" s="1076"/>
      <c r="F860" s="1077">
        <f t="shared" si="164"/>
        <v>46021</v>
      </c>
      <c r="H860" s="1111" t="s">
        <v>20</v>
      </c>
      <c r="I860" s="572" t="s">
        <v>861</v>
      </c>
      <c r="J860" s="1007" t="s">
        <v>58</v>
      </c>
      <c r="K860" s="572" t="s">
        <v>59</v>
      </c>
      <c r="L860" s="572" t="s">
        <v>18</v>
      </c>
      <c r="M860" s="1174">
        <v>5</v>
      </c>
      <c r="N860" s="1081">
        <v>1361111</v>
      </c>
      <c r="O860" s="1130">
        <f t="shared" si="165"/>
        <v>6805555</v>
      </c>
      <c r="P860" s="1130">
        <f t="shared" si="166"/>
        <v>544444.4</v>
      </c>
      <c r="Q860" s="1130">
        <f t="shared" si="167"/>
        <v>7349999.4000000004</v>
      </c>
      <c r="R860" s="1176"/>
      <c r="S860" s="1148"/>
      <c r="T860" s="1083"/>
      <c r="U860" s="1083"/>
      <c r="V860" s="1083">
        <f t="shared" si="168"/>
        <v>7349999.4000000004</v>
      </c>
    </row>
    <row r="861" spans="1:22" s="1002" customFormat="1" ht="31.5" hidden="1">
      <c r="A861" s="1007" t="s">
        <v>943</v>
      </c>
      <c r="B861" s="1001" t="s">
        <v>860</v>
      </c>
      <c r="C861" s="1076">
        <v>46021</v>
      </c>
      <c r="D861" s="1076"/>
      <c r="F861" s="1077">
        <f t="shared" si="164"/>
        <v>46021</v>
      </c>
      <c r="H861" s="1111" t="s">
        <v>20</v>
      </c>
      <c r="I861" s="572" t="s">
        <v>861</v>
      </c>
      <c r="J861" s="1007" t="s">
        <v>60</v>
      </c>
      <c r="K861" s="572" t="s">
        <v>61</v>
      </c>
      <c r="L861" s="572" t="s">
        <v>18</v>
      </c>
      <c r="M861" s="1174">
        <v>2</v>
      </c>
      <c r="N861" s="1081">
        <v>1138889</v>
      </c>
      <c r="O861" s="1130">
        <f t="shared" si="165"/>
        <v>2277778</v>
      </c>
      <c r="P861" s="1130">
        <f t="shared" si="166"/>
        <v>182222.24</v>
      </c>
      <c r="Q861" s="1130">
        <f t="shared" si="167"/>
        <v>2460000.2400000002</v>
      </c>
      <c r="R861" s="1175"/>
      <c r="S861" s="1148"/>
      <c r="T861" s="1083"/>
      <c r="U861" s="1083"/>
      <c r="V861" s="1083">
        <f t="shared" si="168"/>
        <v>2460000.2400000002</v>
      </c>
    </row>
    <row r="862" spans="1:22" s="1002" customFormat="1" ht="31.5" hidden="1">
      <c r="A862" s="1007" t="s">
        <v>943</v>
      </c>
      <c r="B862" s="1001" t="s">
        <v>860</v>
      </c>
      <c r="C862" s="1076">
        <v>46021</v>
      </c>
      <c r="D862" s="1076"/>
      <c r="F862" s="1077">
        <f t="shared" si="164"/>
        <v>46021</v>
      </c>
      <c r="H862" s="1111" t="s">
        <v>20</v>
      </c>
      <c r="I862" s="572" t="s">
        <v>861</v>
      </c>
      <c r="J862" s="1007" t="s">
        <v>16</v>
      </c>
      <c r="K862" s="572" t="s">
        <v>17</v>
      </c>
      <c r="L862" s="572" t="s">
        <v>18</v>
      </c>
      <c r="M862" s="1174">
        <v>4</v>
      </c>
      <c r="N862" s="1081">
        <v>910185</v>
      </c>
      <c r="O862" s="1130">
        <f>M862*N862</f>
        <v>3640740</v>
      </c>
      <c r="P862" s="1130">
        <f t="shared" si="166"/>
        <v>291259.2</v>
      </c>
      <c r="Q862" s="1130">
        <f>O862+P862</f>
        <v>3931999.2</v>
      </c>
      <c r="R862" s="1176"/>
      <c r="S862" s="1148"/>
      <c r="T862" s="1083"/>
      <c r="U862" s="1083"/>
      <c r="V862" s="1083">
        <f t="shared" si="168"/>
        <v>3931999.2</v>
      </c>
    </row>
    <row r="863" spans="1:22" s="1002" customFormat="1" ht="31.5" hidden="1">
      <c r="A863" s="1007" t="s">
        <v>943</v>
      </c>
      <c r="B863" s="1001" t="s">
        <v>860</v>
      </c>
      <c r="C863" s="1076">
        <v>46021</v>
      </c>
      <c r="D863" s="1076"/>
      <c r="F863" s="1077"/>
      <c r="H863" s="1111"/>
      <c r="I863" s="572" t="s">
        <v>861</v>
      </c>
      <c r="J863" s="1007" t="s">
        <v>62</v>
      </c>
      <c r="K863" s="1002" t="s">
        <v>63</v>
      </c>
      <c r="L863" s="1013" t="s">
        <v>18</v>
      </c>
      <c r="M863" s="1174">
        <v>30</v>
      </c>
      <c r="N863" s="1081"/>
      <c r="O863" s="1130"/>
      <c r="P863" s="1130"/>
      <c r="Q863" s="1130"/>
      <c r="R863" s="1176"/>
      <c r="S863" s="1148"/>
      <c r="T863" s="1083"/>
      <c r="U863" s="1083"/>
      <c r="V863" s="1083">
        <f t="shared" si="168"/>
        <v>0</v>
      </c>
    </row>
    <row r="864" spans="1:22" s="1002" customFormat="1" ht="31.5" hidden="1">
      <c r="A864" s="1007" t="s">
        <v>943</v>
      </c>
      <c r="B864" s="1001" t="s">
        <v>860</v>
      </c>
      <c r="C864" s="1076">
        <v>46038</v>
      </c>
      <c r="D864" s="1076"/>
      <c r="F864" s="1077">
        <v>46038</v>
      </c>
      <c r="H864" s="1111" t="s">
        <v>65</v>
      </c>
      <c r="I864" s="573" t="s">
        <v>850</v>
      </c>
      <c r="J864" s="1007"/>
      <c r="K864" s="573"/>
      <c r="L864" s="573"/>
      <c r="M864" s="1177"/>
      <c r="N864" s="1081"/>
      <c r="O864" s="1178"/>
      <c r="P864" s="1178">
        <f t="shared" si="166"/>
        <v>0</v>
      </c>
      <c r="Q864" s="1178">
        <f t="shared" si="167"/>
        <v>0</v>
      </c>
      <c r="R864" s="1098">
        <v>9000000</v>
      </c>
      <c r="S864" s="1148"/>
      <c r="T864" s="1083"/>
      <c r="U864" s="1083"/>
      <c r="V864" s="1083">
        <f t="shared" si="168"/>
        <v>-9000000</v>
      </c>
    </row>
    <row r="865" spans="1:22" s="1002" customFormat="1" ht="31.5" hidden="1">
      <c r="A865" s="1007" t="s">
        <v>943</v>
      </c>
      <c r="B865" s="1001" t="s">
        <v>860</v>
      </c>
      <c r="C865" s="1076">
        <v>46038</v>
      </c>
      <c r="D865" s="1076"/>
      <c r="F865" s="1077">
        <v>46043</v>
      </c>
      <c r="H865" s="1111" t="s">
        <v>66</v>
      </c>
      <c r="I865" s="572" t="s">
        <v>861</v>
      </c>
      <c r="J865" s="1007" t="s">
        <v>68</v>
      </c>
      <c r="K865" s="572" t="s">
        <v>69</v>
      </c>
      <c r="L865" s="572" t="s">
        <v>18</v>
      </c>
      <c r="M865" s="1174">
        <v>12</v>
      </c>
      <c r="N865" s="1081">
        <v>111111.11</v>
      </c>
      <c r="O865" s="1130">
        <f t="shared" si="165"/>
        <v>1333333.32</v>
      </c>
      <c r="P865" s="1130">
        <f t="shared" si="166"/>
        <v>106666.66560000001</v>
      </c>
      <c r="Q865" s="1130">
        <f t="shared" si="167"/>
        <v>1439999.9856</v>
      </c>
      <c r="R865" s="1176"/>
      <c r="S865" s="1148"/>
      <c r="T865" s="1083"/>
      <c r="U865" s="1083"/>
      <c r="V865" s="1083">
        <f t="shared" si="168"/>
        <v>1439999.9856</v>
      </c>
    </row>
    <row r="866" spans="1:22" s="1002" customFormat="1" ht="31.5" hidden="1">
      <c r="A866" s="1007" t="s">
        <v>943</v>
      </c>
      <c r="B866" s="1001" t="s">
        <v>860</v>
      </c>
      <c r="C866" s="1076">
        <v>46038</v>
      </c>
      <c r="D866" s="1076"/>
      <c r="F866" s="1077">
        <v>46043</v>
      </c>
      <c r="H866" s="1111" t="s">
        <v>66</v>
      </c>
      <c r="I866" s="572" t="s">
        <v>861</v>
      </c>
      <c r="J866" s="1007" t="s">
        <v>70</v>
      </c>
      <c r="K866" s="572" t="s">
        <v>71</v>
      </c>
      <c r="L866" s="572" t="s">
        <v>18</v>
      </c>
      <c r="M866" s="1174">
        <v>12</v>
      </c>
      <c r="N866" s="1081">
        <v>120370.33</v>
      </c>
      <c r="O866" s="1130">
        <f t="shared" si="165"/>
        <v>1444443.96</v>
      </c>
      <c r="P866" s="1130">
        <f t="shared" si="166"/>
        <v>115555.5168</v>
      </c>
      <c r="Q866" s="1130">
        <f t="shared" si="167"/>
        <v>1559999.4768000001</v>
      </c>
      <c r="R866" s="1176"/>
      <c r="S866" s="1148"/>
      <c r="T866" s="1083"/>
      <c r="U866" s="1083"/>
      <c r="V866" s="1083">
        <f t="shared" si="168"/>
        <v>1559999.4768000001</v>
      </c>
    </row>
    <row r="867" spans="1:22" s="1002" customFormat="1" ht="31.5" hidden="1">
      <c r="A867" s="1007" t="s">
        <v>943</v>
      </c>
      <c r="B867" s="1001" t="s">
        <v>860</v>
      </c>
      <c r="C867" s="1076">
        <v>46038</v>
      </c>
      <c r="D867" s="1076"/>
      <c r="F867" s="1077">
        <v>46043</v>
      </c>
      <c r="H867" s="1111" t="s">
        <v>66</v>
      </c>
      <c r="I867" s="572" t="s">
        <v>861</v>
      </c>
      <c r="J867" s="1007" t="s">
        <v>72</v>
      </c>
      <c r="K867" s="572" t="s">
        <v>73</v>
      </c>
      <c r="L867" s="572" t="s">
        <v>18</v>
      </c>
      <c r="M867" s="1174">
        <v>12</v>
      </c>
      <c r="N867" s="1081">
        <v>129629.63</v>
      </c>
      <c r="O867" s="1130">
        <f t="shared" si="165"/>
        <v>1555555.56</v>
      </c>
      <c r="P867" s="1130">
        <f t="shared" si="166"/>
        <v>124444.44480000001</v>
      </c>
      <c r="Q867" s="1130">
        <f t="shared" si="167"/>
        <v>1680000.0048</v>
      </c>
      <c r="R867" s="1176"/>
      <c r="S867" s="1148"/>
      <c r="T867" s="1083"/>
      <c r="U867" s="1083"/>
      <c r="V867" s="1083">
        <f t="shared" si="168"/>
        <v>1680000.0048</v>
      </c>
    </row>
    <row r="868" spans="1:22" s="1002" customFormat="1" ht="31.5" hidden="1">
      <c r="A868" s="1007" t="s">
        <v>943</v>
      </c>
      <c r="B868" s="1001" t="s">
        <v>860</v>
      </c>
      <c r="C868" s="1076">
        <v>46038</v>
      </c>
      <c r="D868" s="1076"/>
      <c r="F868" s="1077">
        <v>46043</v>
      </c>
      <c r="H868" s="1111" t="s">
        <v>66</v>
      </c>
      <c r="I868" s="572" t="s">
        <v>861</v>
      </c>
      <c r="J868" s="1007" t="s">
        <v>30</v>
      </c>
      <c r="K868" s="572" t="s">
        <v>31</v>
      </c>
      <c r="L868" s="572" t="s">
        <v>18</v>
      </c>
      <c r="M868" s="1174">
        <v>10</v>
      </c>
      <c r="N868" s="1081">
        <v>252777.78</v>
      </c>
      <c r="O868" s="1130">
        <f t="shared" si="165"/>
        <v>2527777.7999999998</v>
      </c>
      <c r="P868" s="1130">
        <f t="shared" si="166"/>
        <v>202222.22399999999</v>
      </c>
      <c r="Q868" s="1130">
        <f t="shared" si="167"/>
        <v>2730000.0239999997</v>
      </c>
      <c r="R868" s="1176"/>
      <c r="S868" s="1148"/>
      <c r="T868" s="1083"/>
      <c r="U868" s="1083"/>
      <c r="V868" s="1083">
        <f t="shared" si="168"/>
        <v>2730000.0239999997</v>
      </c>
    </row>
    <row r="869" spans="1:22" s="1002" customFormat="1" ht="31.5" hidden="1">
      <c r="A869" s="1007" t="s">
        <v>943</v>
      </c>
      <c r="B869" s="1001" t="s">
        <v>860</v>
      </c>
      <c r="C869" s="1076">
        <v>46038</v>
      </c>
      <c r="D869" s="1076"/>
      <c r="F869" s="1077">
        <v>46043</v>
      </c>
      <c r="H869" s="1111" t="s">
        <v>66</v>
      </c>
      <c r="I869" s="572" t="s">
        <v>861</v>
      </c>
      <c r="J869" s="1007" t="s">
        <v>32</v>
      </c>
      <c r="K869" s="572" t="s">
        <v>33</v>
      </c>
      <c r="L869" s="572" t="s">
        <v>18</v>
      </c>
      <c r="M869" s="1174">
        <v>20</v>
      </c>
      <c r="N869" s="1081">
        <v>256481.48</v>
      </c>
      <c r="O869" s="1130">
        <f t="shared" si="165"/>
        <v>5129629.6000000006</v>
      </c>
      <c r="P869" s="1130">
        <f t="shared" si="166"/>
        <v>410370.36800000007</v>
      </c>
      <c r="Q869" s="1130">
        <f t="shared" si="167"/>
        <v>5539999.9680000003</v>
      </c>
      <c r="R869" s="1176"/>
      <c r="S869" s="1148"/>
      <c r="T869" s="1083"/>
      <c r="U869" s="1083"/>
      <c r="V869" s="1083">
        <f t="shared" si="168"/>
        <v>5539999.9680000003</v>
      </c>
    </row>
    <row r="870" spans="1:22" s="1002" customFormat="1" ht="31.5" hidden="1">
      <c r="A870" s="1007" t="s">
        <v>943</v>
      </c>
      <c r="B870" s="1001" t="s">
        <v>860</v>
      </c>
      <c r="C870" s="1076">
        <v>46038</v>
      </c>
      <c r="D870" s="1076"/>
      <c r="F870" s="1077">
        <v>46043</v>
      </c>
      <c r="H870" s="1111" t="s">
        <v>66</v>
      </c>
      <c r="I870" s="572" t="s">
        <v>861</v>
      </c>
      <c r="J870" s="1007" t="s">
        <v>34</v>
      </c>
      <c r="K870" s="572" t="s">
        <v>35</v>
      </c>
      <c r="L870" s="572" t="s">
        <v>18</v>
      </c>
      <c r="M870" s="1174">
        <v>10</v>
      </c>
      <c r="N870" s="1081">
        <v>227777.78</v>
      </c>
      <c r="O870" s="1130">
        <f t="shared" si="165"/>
        <v>2277777.7999999998</v>
      </c>
      <c r="P870" s="1130">
        <f>O870*8%</f>
        <v>182222.22399999999</v>
      </c>
      <c r="Q870" s="1130">
        <f t="shared" si="167"/>
        <v>2460000.0239999997</v>
      </c>
      <c r="R870" s="1176"/>
      <c r="S870" s="1148"/>
      <c r="T870" s="1083"/>
      <c r="U870" s="1083"/>
      <c r="V870" s="1083">
        <f t="shared" si="168"/>
        <v>2460000.0239999997</v>
      </c>
    </row>
    <row r="871" spans="1:22" s="1002" customFormat="1" ht="31.5" hidden="1">
      <c r="A871" s="1007" t="s">
        <v>943</v>
      </c>
      <c r="B871" s="1001" t="s">
        <v>860</v>
      </c>
      <c r="C871" s="1076">
        <v>46038</v>
      </c>
      <c r="D871" s="1076"/>
      <c r="F871" s="1077">
        <v>46043</v>
      </c>
      <c r="H871" s="1111" t="s">
        <v>66</v>
      </c>
      <c r="I871" s="572" t="s">
        <v>861</v>
      </c>
      <c r="J871" s="1007" t="s">
        <v>36</v>
      </c>
      <c r="K871" s="572" t="s">
        <v>37</v>
      </c>
      <c r="L871" s="572" t="s">
        <v>18</v>
      </c>
      <c r="M871" s="1174">
        <v>20</v>
      </c>
      <c r="N871" s="1081">
        <v>252777.78</v>
      </c>
      <c r="O871" s="1130">
        <f t="shared" si="165"/>
        <v>5055555.5999999996</v>
      </c>
      <c r="P871" s="1130">
        <f t="shared" si="166"/>
        <v>404444.44799999997</v>
      </c>
      <c r="Q871" s="1130">
        <f t="shared" si="167"/>
        <v>5460000.0479999995</v>
      </c>
      <c r="R871" s="1176"/>
      <c r="S871" s="1148"/>
      <c r="T871" s="1083"/>
      <c r="U871" s="1083"/>
      <c r="V871" s="1083">
        <f t="shared" si="168"/>
        <v>5460000.0479999995</v>
      </c>
    </row>
    <row r="872" spans="1:22" s="1002" customFormat="1" ht="31.5" hidden="1">
      <c r="A872" s="1007" t="s">
        <v>943</v>
      </c>
      <c r="B872" s="1001" t="s">
        <v>860</v>
      </c>
      <c r="C872" s="1076">
        <v>46038</v>
      </c>
      <c r="D872" s="1076"/>
      <c r="F872" s="1077">
        <v>46043</v>
      </c>
      <c r="H872" s="1111" t="s">
        <v>66</v>
      </c>
      <c r="I872" s="572" t="s">
        <v>861</v>
      </c>
      <c r="J872" s="1007" t="s">
        <v>38</v>
      </c>
      <c r="K872" s="572" t="s">
        <v>39</v>
      </c>
      <c r="L872" s="572" t="s">
        <v>18</v>
      </c>
      <c r="M872" s="1174">
        <v>20</v>
      </c>
      <c r="N872" s="1081">
        <v>277777.78000000003</v>
      </c>
      <c r="O872" s="1130">
        <f t="shared" si="165"/>
        <v>5555555.6000000006</v>
      </c>
      <c r="P872" s="1130">
        <f t="shared" si="166"/>
        <v>444444.44800000003</v>
      </c>
      <c r="Q872" s="1130">
        <f t="shared" si="167"/>
        <v>6000000.0480000004</v>
      </c>
      <c r="R872" s="1176"/>
      <c r="S872" s="1148"/>
      <c r="T872" s="1083"/>
      <c r="U872" s="1083"/>
      <c r="V872" s="1083">
        <f t="shared" si="168"/>
        <v>6000000.0480000004</v>
      </c>
    </row>
    <row r="873" spans="1:22" s="1002" customFormat="1" ht="31.5" hidden="1">
      <c r="A873" s="1007" t="s">
        <v>943</v>
      </c>
      <c r="B873" s="1001" t="s">
        <v>860</v>
      </c>
      <c r="C873" s="1076">
        <v>46038</v>
      </c>
      <c r="D873" s="1076"/>
      <c r="F873" s="1077"/>
      <c r="H873" s="1111"/>
      <c r="I873" s="572" t="s">
        <v>861</v>
      </c>
      <c r="J873" s="1007" t="s">
        <v>74</v>
      </c>
      <c r="K873" s="1013" t="s">
        <v>75</v>
      </c>
      <c r="L873" s="1013" t="s">
        <v>18</v>
      </c>
      <c r="M873" s="1174">
        <v>8</v>
      </c>
      <c r="N873" s="1081">
        <v>361111.11</v>
      </c>
      <c r="O873" s="1130">
        <f>M873*N873</f>
        <v>2888888.88</v>
      </c>
      <c r="P873" s="1130">
        <f t="shared" si="166"/>
        <v>231111.11040000001</v>
      </c>
      <c r="Q873" s="1130">
        <f>O873+P873</f>
        <v>3119999.9904</v>
      </c>
      <c r="R873" s="1176"/>
      <c r="S873" s="1148"/>
      <c r="T873" s="1083"/>
      <c r="U873" s="1083"/>
      <c r="V873" s="1083">
        <f t="shared" si="168"/>
        <v>3119999.9904</v>
      </c>
    </row>
    <row r="874" spans="1:22" s="1002" customFormat="1" ht="31.5" hidden="1">
      <c r="A874" s="1007" t="s">
        <v>943</v>
      </c>
      <c r="B874" s="1001" t="s">
        <v>860</v>
      </c>
      <c r="C874" s="1076">
        <v>46055</v>
      </c>
      <c r="D874" s="1076"/>
      <c r="F874" s="1077">
        <f t="shared" si="164"/>
        <v>46055</v>
      </c>
      <c r="H874" s="1111" t="s">
        <v>76</v>
      </c>
      <c r="I874" s="572" t="s">
        <v>861</v>
      </c>
      <c r="J874" s="1007" t="s">
        <v>77</v>
      </c>
      <c r="K874" s="1043" t="s">
        <v>78</v>
      </c>
      <c r="L874" s="1013" t="s">
        <v>25</v>
      </c>
      <c r="M874" s="1174">
        <v>4</v>
      </c>
      <c r="N874" s="1081">
        <v>324074.07</v>
      </c>
      <c r="O874" s="1130">
        <f t="shared" ref="O874:O897" si="169">M874*N874</f>
        <v>1296296.28</v>
      </c>
      <c r="P874" s="1130">
        <f t="shared" si="166"/>
        <v>103703.70240000001</v>
      </c>
      <c r="Q874" s="1130">
        <f t="shared" si="167"/>
        <v>1399999.9824000001</v>
      </c>
      <c r="R874" s="1176"/>
      <c r="S874" s="1148"/>
      <c r="T874" s="1083"/>
      <c r="U874" s="1083"/>
      <c r="V874" s="1083">
        <f t="shared" si="168"/>
        <v>1399999.9824000001</v>
      </c>
    </row>
    <row r="875" spans="1:22" s="1002" customFormat="1" ht="31.5" hidden="1">
      <c r="A875" s="1007" t="s">
        <v>943</v>
      </c>
      <c r="B875" s="1001" t="s">
        <v>860</v>
      </c>
      <c r="C875" s="1076">
        <v>46055</v>
      </c>
      <c r="D875" s="1076"/>
      <c r="F875" s="1077">
        <f t="shared" si="164"/>
        <v>46055</v>
      </c>
      <c r="H875" s="1111" t="s">
        <v>76</v>
      </c>
      <c r="I875" s="572" t="s">
        <v>861</v>
      </c>
      <c r="J875" s="1007" t="s">
        <v>68</v>
      </c>
      <c r="K875" s="572" t="s">
        <v>69</v>
      </c>
      <c r="L875" s="1013" t="s">
        <v>18</v>
      </c>
      <c r="M875" s="1174">
        <v>48</v>
      </c>
      <c r="N875" s="1081">
        <v>111111.11</v>
      </c>
      <c r="O875" s="1130">
        <f t="shared" si="169"/>
        <v>5333333.28</v>
      </c>
      <c r="P875" s="1130">
        <f t="shared" si="166"/>
        <v>426666.66240000003</v>
      </c>
      <c r="Q875" s="1130">
        <f t="shared" si="167"/>
        <v>5759999.9424000001</v>
      </c>
      <c r="R875" s="1176"/>
      <c r="S875" s="1148"/>
      <c r="T875" s="1083"/>
      <c r="U875" s="1083"/>
      <c r="V875" s="1083">
        <f t="shared" si="168"/>
        <v>5759999.9424000001</v>
      </c>
    </row>
    <row r="876" spans="1:22" s="1002" customFormat="1" ht="31.5" hidden="1">
      <c r="A876" s="1007" t="s">
        <v>943</v>
      </c>
      <c r="B876" s="1001" t="s">
        <v>860</v>
      </c>
      <c r="C876" s="1076">
        <v>46055</v>
      </c>
      <c r="D876" s="1076"/>
      <c r="F876" s="1077">
        <f t="shared" si="164"/>
        <v>46055</v>
      </c>
      <c r="H876" s="1111" t="s">
        <v>76</v>
      </c>
      <c r="I876" s="572" t="s">
        <v>861</v>
      </c>
      <c r="J876" s="1007" t="s">
        <v>70</v>
      </c>
      <c r="K876" s="572" t="s">
        <v>71</v>
      </c>
      <c r="L876" s="1013" t="s">
        <v>18</v>
      </c>
      <c r="M876" s="1174">
        <v>48</v>
      </c>
      <c r="N876" s="1081">
        <v>120370.33</v>
      </c>
      <c r="O876" s="1130">
        <f t="shared" si="169"/>
        <v>5777775.8399999999</v>
      </c>
      <c r="P876" s="1130">
        <f>O876*8%</f>
        <v>462222.06719999999</v>
      </c>
      <c r="Q876" s="1130">
        <f t="shared" si="167"/>
        <v>6239997.9072000002</v>
      </c>
      <c r="R876" s="1176"/>
      <c r="S876" s="1148"/>
      <c r="T876" s="1083"/>
      <c r="U876" s="1083"/>
      <c r="V876" s="1083">
        <f t="shared" si="168"/>
        <v>6239997.9072000002</v>
      </c>
    </row>
    <row r="877" spans="1:22" s="1002" customFormat="1" ht="31.5" hidden="1">
      <c r="A877" s="1007" t="s">
        <v>943</v>
      </c>
      <c r="B877" s="1001" t="s">
        <v>860</v>
      </c>
      <c r="C877" s="1076">
        <v>46055</v>
      </c>
      <c r="D877" s="1076"/>
      <c r="F877" s="1077">
        <f t="shared" si="164"/>
        <v>46055</v>
      </c>
      <c r="H877" s="1111" t="s">
        <v>76</v>
      </c>
      <c r="I877" s="572" t="s">
        <v>861</v>
      </c>
      <c r="J877" s="1007" t="s">
        <v>72</v>
      </c>
      <c r="K877" s="572" t="s">
        <v>73</v>
      </c>
      <c r="L877" s="1013" t="s">
        <v>18</v>
      </c>
      <c r="M877" s="1174">
        <v>48</v>
      </c>
      <c r="N877" s="1081">
        <v>129629.63</v>
      </c>
      <c r="O877" s="1130">
        <f t="shared" si="169"/>
        <v>6222222.2400000002</v>
      </c>
      <c r="P877" s="1130">
        <f t="shared" si="166"/>
        <v>497777.77920000005</v>
      </c>
      <c r="Q877" s="1130">
        <f t="shared" si="167"/>
        <v>6720000.0192</v>
      </c>
      <c r="R877" s="1176"/>
      <c r="S877" s="1148"/>
      <c r="T877" s="1083"/>
      <c r="U877" s="1083"/>
      <c r="V877" s="1083">
        <f t="shared" si="168"/>
        <v>6720000.0192</v>
      </c>
    </row>
    <row r="878" spans="1:22" s="1002" customFormat="1" ht="31.5" hidden="1">
      <c r="A878" s="1007" t="s">
        <v>943</v>
      </c>
      <c r="B878" s="1001" t="s">
        <v>860</v>
      </c>
      <c r="C878" s="1076">
        <v>46055</v>
      </c>
      <c r="D878" s="1076"/>
      <c r="F878" s="1077">
        <f t="shared" si="164"/>
        <v>46055</v>
      </c>
      <c r="H878" s="1111" t="s">
        <v>76</v>
      </c>
      <c r="I878" s="572" t="s">
        <v>861</v>
      </c>
      <c r="J878" s="1007" t="s">
        <v>40</v>
      </c>
      <c r="K878" s="572" t="s">
        <v>41</v>
      </c>
      <c r="L878" s="1013" t="s">
        <v>18</v>
      </c>
      <c r="M878" s="1174">
        <v>4</v>
      </c>
      <c r="N878" s="1081">
        <v>844444.44</v>
      </c>
      <c r="O878" s="1130">
        <f t="shared" si="169"/>
        <v>3377777.76</v>
      </c>
      <c r="P878" s="1130">
        <f t="shared" si="166"/>
        <v>270222.22080000001</v>
      </c>
      <c r="Q878" s="1130">
        <f t="shared" si="167"/>
        <v>3647999.9808</v>
      </c>
      <c r="R878" s="1176"/>
      <c r="S878" s="1148"/>
      <c r="T878" s="1083"/>
      <c r="U878" s="1083"/>
      <c r="V878" s="1083">
        <f t="shared" si="168"/>
        <v>3647999.9808</v>
      </c>
    </row>
    <row r="879" spans="1:22" s="1002" customFormat="1" ht="31.5" hidden="1">
      <c r="A879" s="1007" t="s">
        <v>943</v>
      </c>
      <c r="B879" s="1001" t="s">
        <v>860</v>
      </c>
      <c r="C879" s="1076">
        <v>46055</v>
      </c>
      <c r="D879" s="1076"/>
      <c r="F879" s="1077">
        <f t="shared" si="164"/>
        <v>46055</v>
      </c>
      <c r="H879" s="1111" t="s">
        <v>76</v>
      </c>
      <c r="I879" s="572" t="s">
        <v>861</v>
      </c>
      <c r="J879" s="1007" t="s">
        <v>58</v>
      </c>
      <c r="K879" s="572" t="s">
        <v>59</v>
      </c>
      <c r="L879" s="1013" t="s">
        <v>18</v>
      </c>
      <c r="M879" s="1174">
        <v>16</v>
      </c>
      <c r="N879" s="1081">
        <v>1361111.11</v>
      </c>
      <c r="O879" s="1130">
        <f t="shared" si="169"/>
        <v>21777777.760000002</v>
      </c>
      <c r="P879" s="1130">
        <f t="shared" si="166"/>
        <v>1742222.2208000002</v>
      </c>
      <c r="Q879" s="1130">
        <f>O879+P879</f>
        <v>23519999.980800003</v>
      </c>
      <c r="R879" s="1176"/>
      <c r="S879" s="1148"/>
      <c r="T879" s="1083"/>
      <c r="U879" s="1083"/>
      <c r="V879" s="1083">
        <f t="shared" si="168"/>
        <v>23519999.980800003</v>
      </c>
    </row>
    <row r="880" spans="1:22" s="1002" customFormat="1" hidden="1">
      <c r="A880" s="1007" t="s">
        <v>943</v>
      </c>
      <c r="B880" s="1001" t="s">
        <v>860</v>
      </c>
      <c r="C880" s="1076">
        <v>46064</v>
      </c>
      <c r="D880" s="1076"/>
      <c r="F880" s="1077"/>
      <c r="H880" s="1111"/>
      <c r="I880" s="1002" t="s">
        <v>844</v>
      </c>
      <c r="J880" s="1007"/>
      <c r="K880" s="1044"/>
      <c r="L880" s="1009"/>
      <c r="M880" s="1177"/>
      <c r="N880" s="1081"/>
      <c r="O880" s="1178">
        <f t="shared" si="169"/>
        <v>0</v>
      </c>
      <c r="P880" s="1178">
        <f t="shared" si="166"/>
        <v>0</v>
      </c>
      <c r="Q880" s="1178">
        <f t="shared" ref="Q880:Q897" si="170">O880+P880</f>
        <v>0</v>
      </c>
      <c r="R880" s="1098">
        <v>35000000</v>
      </c>
      <c r="S880" s="1148"/>
      <c r="T880" s="1083"/>
      <c r="U880" s="1083"/>
      <c r="V880" s="1083">
        <f t="shared" si="168"/>
        <v>-35000000</v>
      </c>
    </row>
    <row r="881" spans="1:22" s="1002" customFormat="1" ht="31.5" hidden="1">
      <c r="A881" s="1007" t="s">
        <v>943</v>
      </c>
      <c r="B881" s="1001" t="s">
        <v>860</v>
      </c>
      <c r="C881" s="1076">
        <v>46183</v>
      </c>
      <c r="D881" s="1076"/>
      <c r="F881" s="1077">
        <v>46185</v>
      </c>
      <c r="H881" s="1111" t="s">
        <v>79</v>
      </c>
      <c r="I881" s="572" t="s">
        <v>861</v>
      </c>
      <c r="J881" s="1007" t="s">
        <v>80</v>
      </c>
      <c r="K881" s="1002" t="s">
        <v>81</v>
      </c>
      <c r="L881" s="1002" t="s">
        <v>18</v>
      </c>
      <c r="M881" s="1174">
        <v>4</v>
      </c>
      <c r="N881" s="1081">
        <v>824074.07</v>
      </c>
      <c r="O881" s="1130">
        <f t="shared" si="169"/>
        <v>3296296.28</v>
      </c>
      <c r="P881" s="1130">
        <f t="shared" si="166"/>
        <v>263703.70240000001</v>
      </c>
      <c r="Q881" s="1130">
        <f t="shared" si="170"/>
        <v>3559999.9823999996</v>
      </c>
      <c r="R881" s="1176"/>
      <c r="S881" s="1148"/>
      <c r="T881" s="1083"/>
      <c r="U881" s="1083"/>
      <c r="V881" s="1083">
        <f t="shared" si="168"/>
        <v>3559999.9823999996</v>
      </c>
    </row>
    <row r="882" spans="1:22" s="1002" customFormat="1" ht="31.5" hidden="1">
      <c r="A882" s="1007" t="s">
        <v>943</v>
      </c>
      <c r="B882" s="1001" t="s">
        <v>860</v>
      </c>
      <c r="C882" s="1076">
        <v>46183</v>
      </c>
      <c r="D882" s="1076"/>
      <c r="F882" s="1077">
        <v>46185</v>
      </c>
      <c r="H882" s="1111" t="s">
        <v>79</v>
      </c>
      <c r="I882" s="572" t="s">
        <v>861</v>
      </c>
      <c r="J882" s="1007" t="s">
        <v>23</v>
      </c>
      <c r="K882" s="1013" t="s">
        <v>82</v>
      </c>
      <c r="L882" s="1008" t="s">
        <v>25</v>
      </c>
      <c r="M882" s="1174">
        <v>4</v>
      </c>
      <c r="N882" s="1081">
        <v>1059259.25</v>
      </c>
      <c r="O882" s="1130">
        <f t="shared" si="169"/>
        <v>4237037</v>
      </c>
      <c r="P882" s="1130">
        <f t="shared" si="166"/>
        <v>338962.96</v>
      </c>
      <c r="Q882" s="1130">
        <f t="shared" si="170"/>
        <v>4575999.96</v>
      </c>
      <c r="R882" s="1176"/>
      <c r="S882" s="1148"/>
      <c r="T882" s="1083"/>
      <c r="U882" s="1083"/>
      <c r="V882" s="1083">
        <f t="shared" si="168"/>
        <v>4575999.96</v>
      </c>
    </row>
    <row r="883" spans="1:22" s="1002" customFormat="1" ht="31.5" hidden="1">
      <c r="A883" s="1007" t="s">
        <v>943</v>
      </c>
      <c r="B883" s="1001" t="s">
        <v>860</v>
      </c>
      <c r="C883" s="1076">
        <v>46183</v>
      </c>
      <c r="D883" s="1076"/>
      <c r="F883" s="1077">
        <v>46185</v>
      </c>
      <c r="H883" s="1111" t="s">
        <v>79</v>
      </c>
      <c r="I883" s="572" t="s">
        <v>861</v>
      </c>
      <c r="J883" s="1007" t="s">
        <v>30</v>
      </c>
      <c r="K883" s="1013" t="s">
        <v>31</v>
      </c>
      <c r="L883" s="1013" t="s">
        <v>18</v>
      </c>
      <c r="M883" s="1174">
        <v>10</v>
      </c>
      <c r="N883" s="1081">
        <v>252777.78</v>
      </c>
      <c r="O883" s="1130">
        <f t="shared" si="169"/>
        <v>2527777.7999999998</v>
      </c>
      <c r="P883" s="1130">
        <f t="shared" si="166"/>
        <v>202222.22399999999</v>
      </c>
      <c r="Q883" s="1130">
        <f t="shared" si="170"/>
        <v>2730000.0239999997</v>
      </c>
      <c r="R883" s="1176"/>
      <c r="S883" s="1148"/>
      <c r="T883" s="1083"/>
      <c r="U883" s="1083"/>
      <c r="V883" s="1083">
        <f t="shared" si="168"/>
        <v>2730000.0239999997</v>
      </c>
    </row>
    <row r="884" spans="1:22" s="1002" customFormat="1" ht="31.5" hidden="1">
      <c r="A884" s="1007" t="s">
        <v>943</v>
      </c>
      <c r="B884" s="1001" t="s">
        <v>860</v>
      </c>
      <c r="C884" s="1076">
        <v>46183</v>
      </c>
      <c r="D884" s="1076"/>
      <c r="F884" s="1077">
        <v>46185</v>
      </c>
      <c r="H884" s="1111" t="s">
        <v>79</v>
      </c>
      <c r="I884" s="572" t="s">
        <v>861</v>
      </c>
      <c r="J884" s="1007" t="s">
        <v>40</v>
      </c>
      <c r="K884" s="1013" t="s">
        <v>41</v>
      </c>
      <c r="L884" s="1013" t="s">
        <v>18</v>
      </c>
      <c r="M884" s="1174">
        <v>2</v>
      </c>
      <c r="N884" s="1081">
        <v>844444.44</v>
      </c>
      <c r="O884" s="1130">
        <f t="shared" si="169"/>
        <v>1688888.88</v>
      </c>
      <c r="P884" s="1130">
        <f t="shared" si="166"/>
        <v>135111.11040000001</v>
      </c>
      <c r="Q884" s="1130">
        <f t="shared" si="170"/>
        <v>1823999.9904</v>
      </c>
      <c r="R884" s="1176"/>
      <c r="S884" s="1148"/>
      <c r="T884" s="1083"/>
      <c r="U884" s="1083"/>
      <c r="V884" s="1083">
        <f t="shared" si="168"/>
        <v>1823999.9904</v>
      </c>
    </row>
    <row r="885" spans="1:22" s="1002" customFormat="1" ht="31.5" hidden="1">
      <c r="A885" s="1007" t="s">
        <v>943</v>
      </c>
      <c r="B885" s="1001" t="s">
        <v>860</v>
      </c>
      <c r="C885" s="1076">
        <v>46183</v>
      </c>
      <c r="D885" s="1076"/>
      <c r="F885" s="1077">
        <v>46185</v>
      </c>
      <c r="H885" s="1111" t="s">
        <v>79</v>
      </c>
      <c r="I885" s="572" t="s">
        <v>861</v>
      </c>
      <c r="J885" s="1007" t="s">
        <v>83</v>
      </c>
      <c r="K885" s="1013" t="s">
        <v>84</v>
      </c>
      <c r="L885" s="1013" t="s">
        <v>18</v>
      </c>
      <c r="M885" s="1174">
        <v>4</v>
      </c>
      <c r="N885" s="1081">
        <v>1097222.22</v>
      </c>
      <c r="O885" s="1130">
        <f t="shared" si="169"/>
        <v>4388888.88</v>
      </c>
      <c r="P885" s="1130">
        <f t="shared" si="166"/>
        <v>351111.11040000001</v>
      </c>
      <c r="Q885" s="1130">
        <f t="shared" si="170"/>
        <v>4739999.9903999995</v>
      </c>
      <c r="R885" s="1176"/>
      <c r="S885" s="1148"/>
      <c r="T885" s="1083"/>
      <c r="U885" s="1083"/>
      <c r="V885" s="1083">
        <f t="shared" si="168"/>
        <v>4739999.9903999995</v>
      </c>
    </row>
    <row r="886" spans="1:22" s="1002" customFormat="1" ht="31.5" hidden="1">
      <c r="A886" s="1007" t="s">
        <v>943</v>
      </c>
      <c r="B886" s="1001" t="s">
        <v>860</v>
      </c>
      <c r="C886" s="1076">
        <v>46183</v>
      </c>
      <c r="D886" s="1076"/>
      <c r="F886" s="1077">
        <v>46185</v>
      </c>
      <c r="H886" s="1111" t="s">
        <v>79</v>
      </c>
      <c r="I886" s="572" t="s">
        <v>861</v>
      </c>
      <c r="J886" s="1007" t="s">
        <v>74</v>
      </c>
      <c r="K886" s="1013" t="s">
        <v>75</v>
      </c>
      <c r="L886" s="1013" t="s">
        <v>18</v>
      </c>
      <c r="M886" s="1174">
        <v>8</v>
      </c>
      <c r="N886" s="1081">
        <v>361111.11</v>
      </c>
      <c r="O886" s="1130">
        <f t="shared" si="169"/>
        <v>2888888.88</v>
      </c>
      <c r="P886" s="1130">
        <f t="shared" si="166"/>
        <v>231111.11040000001</v>
      </c>
      <c r="Q886" s="1130">
        <f t="shared" si="170"/>
        <v>3119999.9904</v>
      </c>
      <c r="R886" s="1176"/>
      <c r="S886" s="1148"/>
      <c r="T886" s="1083"/>
      <c r="U886" s="1083"/>
      <c r="V886" s="1083">
        <f t="shared" si="168"/>
        <v>3119999.9904</v>
      </c>
    </row>
    <row r="887" spans="1:22" s="1002" customFormat="1" ht="31.5" hidden="1">
      <c r="A887" s="1007" t="s">
        <v>943</v>
      </c>
      <c r="B887" s="1001" t="s">
        <v>860</v>
      </c>
      <c r="C887" s="1076">
        <v>46183</v>
      </c>
      <c r="D887" s="1076"/>
      <c r="F887" s="1077"/>
      <c r="H887" s="1111"/>
      <c r="I887" s="572" t="s">
        <v>861</v>
      </c>
      <c r="J887" s="1007" t="s">
        <v>85</v>
      </c>
      <c r="K887" s="1026" t="s">
        <v>86</v>
      </c>
      <c r="L887" s="1026" t="s">
        <v>18</v>
      </c>
      <c r="M887" s="1179">
        <v>102</v>
      </c>
      <c r="N887" s="1081">
        <v>509259.25</v>
      </c>
      <c r="O887" s="1150">
        <f t="shared" si="169"/>
        <v>51944443.5</v>
      </c>
      <c r="P887" s="1150">
        <f t="shared" si="166"/>
        <v>4155555.48</v>
      </c>
      <c r="Q887" s="1150">
        <f t="shared" si="170"/>
        <v>56099998.979999997</v>
      </c>
      <c r="R887" s="1176"/>
      <c r="S887" s="1148"/>
      <c r="T887" s="1083"/>
      <c r="U887" s="1083"/>
      <c r="V887" s="1083">
        <f t="shared" si="168"/>
        <v>56099998.979999997</v>
      </c>
    </row>
    <row r="888" spans="1:22" s="1002" customFormat="1" hidden="1">
      <c r="A888" s="1007" t="s">
        <v>943</v>
      </c>
      <c r="B888" s="1001" t="s">
        <v>860</v>
      </c>
      <c r="C888" s="1076">
        <v>46189</v>
      </c>
      <c r="D888" s="1076"/>
      <c r="F888" s="1077"/>
      <c r="H888" s="1111"/>
      <c r="I888" s="1002" t="s">
        <v>844</v>
      </c>
      <c r="J888" s="1007"/>
      <c r="K888" s="1044"/>
      <c r="L888" s="1009"/>
      <c r="M888" s="1177"/>
      <c r="N888" s="1081"/>
      <c r="O888" s="1178">
        <f t="shared" si="169"/>
        <v>0</v>
      </c>
      <c r="P888" s="1178">
        <f t="shared" si="166"/>
        <v>0</v>
      </c>
      <c r="Q888" s="1178">
        <f t="shared" si="170"/>
        <v>0</v>
      </c>
      <c r="R888" s="1098">
        <v>15000000</v>
      </c>
      <c r="S888" s="1148"/>
      <c r="T888" s="1083"/>
      <c r="U888" s="1083"/>
      <c r="V888" s="1083">
        <f t="shared" si="168"/>
        <v>-15000000</v>
      </c>
    </row>
    <row r="889" spans="1:22" s="1002" customFormat="1" hidden="1">
      <c r="A889" s="1007" t="s">
        <v>943</v>
      </c>
      <c r="B889" s="1001" t="s">
        <v>860</v>
      </c>
      <c r="C889" s="1076">
        <v>46190</v>
      </c>
      <c r="D889" s="1076"/>
      <c r="F889" s="1077"/>
      <c r="H889" s="1111"/>
      <c r="I889" s="1002" t="s">
        <v>844</v>
      </c>
      <c r="J889" s="1007"/>
      <c r="K889" s="1044"/>
      <c r="L889" s="1009"/>
      <c r="M889" s="1177"/>
      <c r="N889" s="1081"/>
      <c r="O889" s="1178">
        <f t="shared" si="169"/>
        <v>0</v>
      </c>
      <c r="P889" s="1178">
        <f t="shared" si="166"/>
        <v>0</v>
      </c>
      <c r="Q889" s="1178">
        <f t="shared" si="170"/>
        <v>0</v>
      </c>
      <c r="R889" s="1098">
        <v>18300000</v>
      </c>
      <c r="S889" s="1148"/>
      <c r="T889" s="1083"/>
      <c r="U889" s="1083"/>
      <c r="V889" s="1083">
        <f t="shared" si="168"/>
        <v>-18300000</v>
      </c>
    </row>
    <row r="890" spans="1:22" s="1002" customFormat="1" ht="31.5" hidden="1">
      <c r="A890" s="1007" t="s">
        <v>943</v>
      </c>
      <c r="B890" s="1001" t="s">
        <v>860</v>
      </c>
      <c r="C890" s="1076">
        <v>46190</v>
      </c>
      <c r="D890" s="1076"/>
      <c r="F890" s="1077">
        <v>46198</v>
      </c>
      <c r="H890" s="1111" t="s">
        <v>88</v>
      </c>
      <c r="I890" s="572" t="s">
        <v>861</v>
      </c>
      <c r="J890" s="1007" t="s">
        <v>74</v>
      </c>
      <c r="K890" s="1013" t="s">
        <v>75</v>
      </c>
      <c r="L890" s="1013" t="s">
        <v>18</v>
      </c>
      <c r="M890" s="1174">
        <v>16</v>
      </c>
      <c r="N890" s="1081">
        <v>361111.11</v>
      </c>
      <c r="O890" s="1130">
        <f t="shared" si="169"/>
        <v>5777777.7599999998</v>
      </c>
      <c r="P890" s="1130">
        <f t="shared" si="166"/>
        <v>462222.22080000001</v>
      </c>
      <c r="Q890" s="1130">
        <f t="shared" si="170"/>
        <v>6239999.9808</v>
      </c>
      <c r="R890" s="1176"/>
      <c r="S890" s="1148"/>
      <c r="T890" s="1083"/>
      <c r="U890" s="1083"/>
      <c r="V890" s="1083">
        <f t="shared" si="168"/>
        <v>6239999.9808</v>
      </c>
    </row>
    <row r="891" spans="1:22" s="1002" customFormat="1" ht="31.5" hidden="1">
      <c r="A891" s="1007" t="s">
        <v>943</v>
      </c>
      <c r="B891" s="1001" t="s">
        <v>860</v>
      </c>
      <c r="C891" s="1076">
        <v>46190</v>
      </c>
      <c r="D891" s="1076"/>
      <c r="F891" s="1077">
        <v>46230</v>
      </c>
      <c r="H891" s="1111" t="s">
        <v>849</v>
      </c>
      <c r="I891" s="572" t="s">
        <v>861</v>
      </c>
      <c r="J891" s="1007" t="s">
        <v>90</v>
      </c>
      <c r="K891" s="1013" t="s">
        <v>91</v>
      </c>
      <c r="L891" s="1013" t="s">
        <v>92</v>
      </c>
      <c r="M891" s="1174">
        <v>20</v>
      </c>
      <c r="N891" s="1081">
        <v>814814.81</v>
      </c>
      <c r="O891" s="1130">
        <f t="shared" si="169"/>
        <v>16296296.200000001</v>
      </c>
      <c r="P891" s="1130">
        <f t="shared" si="166"/>
        <v>1303703.6960000002</v>
      </c>
      <c r="Q891" s="1130">
        <f t="shared" si="170"/>
        <v>17599999.896000002</v>
      </c>
      <c r="R891" s="1176"/>
      <c r="S891" s="1148"/>
      <c r="T891" s="1083"/>
      <c r="U891" s="1083"/>
      <c r="V891" s="1083">
        <f t="shared" si="168"/>
        <v>17599999.896000002</v>
      </c>
    </row>
    <row r="892" spans="1:22" s="1002" customFormat="1" ht="31.5" hidden="1">
      <c r="A892" s="1007" t="s">
        <v>943</v>
      </c>
      <c r="B892" s="1001" t="s">
        <v>860</v>
      </c>
      <c r="C892" s="1076">
        <v>46190</v>
      </c>
      <c r="D892" s="1076"/>
      <c r="F892" s="1077">
        <v>46230</v>
      </c>
      <c r="H892" s="1111" t="s">
        <v>849</v>
      </c>
      <c r="I892" s="572" t="s">
        <v>861</v>
      </c>
      <c r="J892" s="1007" t="s">
        <v>93</v>
      </c>
      <c r="K892" s="1013" t="s">
        <v>94</v>
      </c>
      <c r="L892" s="1013" t="s">
        <v>92</v>
      </c>
      <c r="M892" s="1174">
        <v>4</v>
      </c>
      <c r="N892" s="1081">
        <v>907407.41</v>
      </c>
      <c r="O892" s="1130">
        <f t="shared" si="169"/>
        <v>3629629.64</v>
      </c>
      <c r="P892" s="1130">
        <f t="shared" si="166"/>
        <v>290370.37119999999</v>
      </c>
      <c r="Q892" s="1130">
        <f t="shared" si="170"/>
        <v>3920000.0112000001</v>
      </c>
      <c r="R892" s="1176"/>
      <c r="S892" s="1148"/>
      <c r="T892" s="1083"/>
      <c r="U892" s="1083"/>
      <c r="V892" s="1083">
        <f t="shared" si="168"/>
        <v>3920000.0112000001</v>
      </c>
    </row>
    <row r="893" spans="1:22" s="1002" customFormat="1" ht="31.5" hidden="1">
      <c r="A893" s="1007" t="s">
        <v>943</v>
      </c>
      <c r="B893" s="1001" t="s">
        <v>860</v>
      </c>
      <c r="C893" s="1076">
        <v>46190</v>
      </c>
      <c r="D893" s="1076"/>
      <c r="F893" s="1077">
        <v>46198</v>
      </c>
      <c r="H893" s="1111" t="s">
        <v>88</v>
      </c>
      <c r="I893" s="572" t="s">
        <v>861</v>
      </c>
      <c r="J893" s="1007" t="s">
        <v>80</v>
      </c>
      <c r="K893" s="1002" t="s">
        <v>81</v>
      </c>
      <c r="L893" s="1002" t="s">
        <v>18</v>
      </c>
      <c r="M893" s="1174">
        <v>2</v>
      </c>
      <c r="N893" s="1081">
        <v>824074.07</v>
      </c>
      <c r="O893" s="1130">
        <f t="shared" si="169"/>
        <v>1648148.14</v>
      </c>
      <c r="P893" s="1130">
        <f t="shared" si="166"/>
        <v>131851.8512</v>
      </c>
      <c r="Q893" s="1130">
        <f t="shared" si="170"/>
        <v>1779999.9911999998</v>
      </c>
      <c r="R893" s="1176"/>
      <c r="S893" s="1148"/>
      <c r="T893" s="1083"/>
      <c r="U893" s="1083"/>
      <c r="V893" s="1083">
        <f t="shared" si="168"/>
        <v>1779999.9911999998</v>
      </c>
    </row>
    <row r="894" spans="1:22" s="1002" customFormat="1" ht="31.5" hidden="1">
      <c r="A894" s="1007" t="s">
        <v>943</v>
      </c>
      <c r="B894" s="1001" t="s">
        <v>860</v>
      </c>
      <c r="C894" s="1076">
        <v>46190</v>
      </c>
      <c r="D894" s="1076"/>
      <c r="F894" s="1077">
        <v>46198</v>
      </c>
      <c r="H894" s="1111" t="s">
        <v>88</v>
      </c>
      <c r="I894" s="572" t="s">
        <v>861</v>
      </c>
      <c r="J894" s="1007" t="s">
        <v>23</v>
      </c>
      <c r="K894" s="1013" t="s">
        <v>82</v>
      </c>
      <c r="L894" s="1013" t="s">
        <v>25</v>
      </c>
      <c r="M894" s="1174">
        <v>4</v>
      </c>
      <c r="N894" s="1081">
        <v>1059259.25</v>
      </c>
      <c r="O894" s="1130">
        <f t="shared" si="169"/>
        <v>4237037</v>
      </c>
      <c r="P894" s="1130">
        <f t="shared" si="166"/>
        <v>338962.96</v>
      </c>
      <c r="Q894" s="1130">
        <f t="shared" si="170"/>
        <v>4575999.96</v>
      </c>
      <c r="R894" s="1176"/>
      <c r="S894" s="1148"/>
      <c r="T894" s="1083"/>
      <c r="U894" s="1083"/>
      <c r="V894" s="1083">
        <f t="shared" si="168"/>
        <v>4575999.96</v>
      </c>
    </row>
    <row r="895" spans="1:22" s="1002" customFormat="1" ht="31.5" hidden="1">
      <c r="A895" s="1007" t="s">
        <v>943</v>
      </c>
      <c r="B895" s="1001" t="s">
        <v>860</v>
      </c>
      <c r="C895" s="1076">
        <v>46190</v>
      </c>
      <c r="D895" s="1076"/>
      <c r="F895" s="1077">
        <v>46198</v>
      </c>
      <c r="H895" s="1111" t="s">
        <v>88</v>
      </c>
      <c r="I895" s="572" t="s">
        <v>861</v>
      </c>
      <c r="J895" s="1007" t="s">
        <v>40</v>
      </c>
      <c r="K895" s="1013" t="s">
        <v>41</v>
      </c>
      <c r="L895" s="1013" t="s">
        <v>18</v>
      </c>
      <c r="M895" s="1174">
        <v>2</v>
      </c>
      <c r="N895" s="1081">
        <v>844444.44</v>
      </c>
      <c r="O895" s="1130">
        <f t="shared" si="169"/>
        <v>1688888.88</v>
      </c>
      <c r="P895" s="1130">
        <f t="shared" si="166"/>
        <v>135111.11040000001</v>
      </c>
      <c r="Q895" s="1130">
        <f t="shared" si="170"/>
        <v>1823999.9904</v>
      </c>
      <c r="R895" s="1176"/>
      <c r="S895" s="1148"/>
      <c r="T895" s="1083"/>
      <c r="U895" s="1083"/>
      <c r="V895" s="1083">
        <f t="shared" si="168"/>
        <v>1823999.9904</v>
      </c>
    </row>
    <row r="896" spans="1:22" s="1002" customFormat="1" ht="31.5" hidden="1">
      <c r="A896" s="1007" t="s">
        <v>943</v>
      </c>
      <c r="B896" s="1001" t="s">
        <v>860</v>
      </c>
      <c r="C896" s="1076">
        <v>46196</v>
      </c>
      <c r="D896" s="1076"/>
      <c r="F896" s="1077">
        <v>46198</v>
      </c>
      <c r="H896" s="1111" t="s">
        <v>88</v>
      </c>
      <c r="I896" s="572" t="s">
        <v>861</v>
      </c>
      <c r="J896" s="1007" t="s">
        <v>23</v>
      </c>
      <c r="K896" s="1045" t="s">
        <v>82</v>
      </c>
      <c r="L896" s="1013" t="s">
        <v>25</v>
      </c>
      <c r="M896" s="1174">
        <v>4</v>
      </c>
      <c r="N896" s="1081">
        <v>1059259.25</v>
      </c>
      <c r="O896" s="1130">
        <f t="shared" si="169"/>
        <v>4237037</v>
      </c>
      <c r="P896" s="1130">
        <f t="shared" si="166"/>
        <v>338962.96</v>
      </c>
      <c r="Q896" s="1130">
        <f t="shared" si="170"/>
        <v>4575999.96</v>
      </c>
      <c r="R896" s="1176"/>
      <c r="S896" s="1148"/>
      <c r="T896" s="1083"/>
      <c r="U896" s="1083"/>
      <c r="V896" s="1083">
        <f t="shared" si="168"/>
        <v>4575999.96</v>
      </c>
    </row>
    <row r="897" spans="1:22" s="1002" customFormat="1" ht="31.5" hidden="1">
      <c r="A897" s="1007" t="s">
        <v>943</v>
      </c>
      <c r="B897" s="1001" t="s">
        <v>860</v>
      </c>
      <c r="C897" s="1076">
        <v>46196</v>
      </c>
      <c r="D897" s="1076"/>
      <c r="F897" s="1077">
        <v>46198</v>
      </c>
      <c r="H897" s="1111" t="s">
        <v>88</v>
      </c>
      <c r="I897" s="572" t="s">
        <v>861</v>
      </c>
      <c r="J897" s="1007" t="s">
        <v>80</v>
      </c>
      <c r="K897" s="1002" t="s">
        <v>81</v>
      </c>
      <c r="L897" s="1002" t="s">
        <v>18</v>
      </c>
      <c r="M897" s="1174">
        <v>4</v>
      </c>
      <c r="N897" s="1081">
        <v>824074.07</v>
      </c>
      <c r="O897" s="1130">
        <f t="shared" si="169"/>
        <v>3296296.28</v>
      </c>
      <c r="P897" s="1130">
        <f t="shared" si="166"/>
        <v>263703.70240000001</v>
      </c>
      <c r="Q897" s="1130">
        <f t="shared" si="170"/>
        <v>3559999.9823999996</v>
      </c>
      <c r="R897" s="1176"/>
      <c r="S897" s="1148"/>
      <c r="T897" s="1083"/>
      <c r="U897" s="1083"/>
      <c r="V897" s="1083">
        <f t="shared" si="168"/>
        <v>3559999.9823999996</v>
      </c>
    </row>
    <row r="898" spans="1:22" s="1002" customFormat="1" ht="31.5" hidden="1">
      <c r="A898" s="1007" t="s">
        <v>943</v>
      </c>
      <c r="B898" s="1001" t="s">
        <v>860</v>
      </c>
      <c r="C898" s="1076">
        <v>46196</v>
      </c>
      <c r="D898" s="1076"/>
      <c r="F898" s="1077"/>
      <c r="H898" s="1111"/>
      <c r="I898" s="572" t="s">
        <v>861</v>
      </c>
      <c r="J898" s="1007" t="s">
        <v>96</v>
      </c>
      <c r="K898" s="1046" t="s">
        <v>97</v>
      </c>
      <c r="L898" s="1026" t="s">
        <v>18</v>
      </c>
      <c r="M898" s="1179">
        <v>10</v>
      </c>
      <c r="N898" s="1081">
        <v>574074.06999999995</v>
      </c>
      <c r="O898" s="1150">
        <f>M898*N898</f>
        <v>5740740.6999999993</v>
      </c>
      <c r="P898" s="1150">
        <f>O898*8%</f>
        <v>459259.25599999994</v>
      </c>
      <c r="Q898" s="1150">
        <f>O898+P898</f>
        <v>6199999.9559999993</v>
      </c>
      <c r="R898" s="1176"/>
      <c r="S898" s="1148"/>
      <c r="T898" s="1083"/>
      <c r="U898" s="1083"/>
      <c r="V898" s="1083">
        <f t="shared" si="168"/>
        <v>6199999.9559999993</v>
      </c>
    </row>
    <row r="899" spans="1:22" s="1002" customFormat="1" ht="31.5" hidden="1">
      <c r="A899" s="1007" t="s">
        <v>943</v>
      </c>
      <c r="B899" s="1001" t="s">
        <v>860</v>
      </c>
      <c r="C899" s="1076">
        <v>46196</v>
      </c>
      <c r="D899" s="1076"/>
      <c r="F899" s="1077">
        <v>46230</v>
      </c>
      <c r="H899" s="1111" t="s">
        <v>849</v>
      </c>
      <c r="I899" s="572" t="s">
        <v>861</v>
      </c>
      <c r="J899" s="1007" t="s">
        <v>98</v>
      </c>
      <c r="K899" s="1046" t="s">
        <v>99</v>
      </c>
      <c r="L899" s="1026" t="s">
        <v>18</v>
      </c>
      <c r="M899" s="1179">
        <v>50</v>
      </c>
      <c r="N899" s="1081">
        <v>694444.44</v>
      </c>
      <c r="O899" s="1150">
        <f>M899*N899</f>
        <v>34722222</v>
      </c>
      <c r="P899" s="1150">
        <f>O899*8%</f>
        <v>2777777.7600000002</v>
      </c>
      <c r="Q899" s="1150">
        <f>O899+P899</f>
        <v>37499999.759999998</v>
      </c>
      <c r="R899" s="1176"/>
      <c r="S899" s="1148"/>
      <c r="T899" s="1083"/>
      <c r="U899" s="1083"/>
      <c r="V899" s="1083">
        <f t="shared" si="168"/>
        <v>37499999.759999998</v>
      </c>
    </row>
    <row r="900" spans="1:22" s="1002" customFormat="1" ht="31.5" hidden="1">
      <c r="A900" s="1007" t="s">
        <v>943</v>
      </c>
      <c r="B900" s="1001" t="s">
        <v>860</v>
      </c>
      <c r="C900" s="1076">
        <v>46219</v>
      </c>
      <c r="D900" s="1076"/>
      <c r="F900" s="1077"/>
      <c r="H900" s="1111"/>
      <c r="I900" s="572" t="s">
        <v>861</v>
      </c>
      <c r="J900" s="1007" t="s">
        <v>101</v>
      </c>
      <c r="K900" s="1045" t="s">
        <v>102</v>
      </c>
      <c r="L900" s="1013" t="s">
        <v>18</v>
      </c>
      <c r="M900" s="1174">
        <v>12</v>
      </c>
      <c r="N900" s="1081">
        <v>907407.41</v>
      </c>
      <c r="O900" s="1130">
        <f>M900*N900</f>
        <v>10888888.92</v>
      </c>
      <c r="P900" s="1130">
        <f>O900*8%</f>
        <v>871111.11360000004</v>
      </c>
      <c r="Q900" s="1130">
        <f>O900+P900</f>
        <v>11760000.033600001</v>
      </c>
      <c r="R900" s="1176"/>
      <c r="S900" s="1148"/>
      <c r="T900" s="1083"/>
      <c r="U900" s="1083"/>
      <c r="V900" s="1083">
        <f t="shared" si="168"/>
        <v>11760000.033600001</v>
      </c>
    </row>
    <row r="901" spans="1:22" s="1002" customFormat="1" ht="31.5" hidden="1">
      <c r="A901" s="1007" t="s">
        <v>943</v>
      </c>
      <c r="B901" s="1001" t="s">
        <v>860</v>
      </c>
      <c r="C901" s="1076">
        <v>46219</v>
      </c>
      <c r="D901" s="1076"/>
      <c r="F901" s="1077">
        <v>46230</v>
      </c>
      <c r="H901" s="1111" t="s">
        <v>849</v>
      </c>
      <c r="I901" s="572" t="s">
        <v>861</v>
      </c>
      <c r="J901" s="1007" t="s">
        <v>93</v>
      </c>
      <c r="K901" s="1045" t="s">
        <v>94</v>
      </c>
      <c r="L901" s="1013" t="s">
        <v>18</v>
      </c>
      <c r="M901" s="1174">
        <v>8</v>
      </c>
      <c r="N901" s="1081">
        <v>907407.41</v>
      </c>
      <c r="O901" s="1130">
        <f>M901*N901</f>
        <v>7259259.2800000003</v>
      </c>
      <c r="P901" s="1130">
        <f>O901*8%</f>
        <v>580740.74239999999</v>
      </c>
      <c r="Q901" s="1130">
        <f>O901+P901</f>
        <v>7840000.0224000001</v>
      </c>
      <c r="R901" s="1176"/>
      <c r="S901" s="1148"/>
      <c r="T901" s="1083"/>
      <c r="U901" s="1083"/>
      <c r="V901" s="1083">
        <f t="shared" si="168"/>
        <v>7840000.0224000001</v>
      </c>
    </row>
    <row r="902" spans="1:22" s="1002" customFormat="1" ht="31.5" hidden="1">
      <c r="A902" s="1007" t="s">
        <v>943</v>
      </c>
      <c r="B902" s="1001" t="s">
        <v>860</v>
      </c>
      <c r="C902" s="1076">
        <v>46219</v>
      </c>
      <c r="D902" s="1076"/>
      <c r="F902" s="1077"/>
      <c r="H902" s="1111"/>
      <c r="I902" s="572" t="s">
        <v>861</v>
      </c>
      <c r="J902" s="1007" t="s">
        <v>103</v>
      </c>
      <c r="K902" s="1045" t="s">
        <v>104</v>
      </c>
      <c r="L902" s="1013" t="s">
        <v>18</v>
      </c>
      <c r="M902" s="1174">
        <v>18</v>
      </c>
      <c r="N902" s="1081">
        <v>722222.22</v>
      </c>
      <c r="O902" s="1130">
        <f>M902*N902</f>
        <v>12999999.959999999</v>
      </c>
      <c r="P902" s="1130">
        <f>O902*8%</f>
        <v>1039999.9968</v>
      </c>
      <c r="Q902" s="1130">
        <f>O902+P902</f>
        <v>14039999.956799999</v>
      </c>
      <c r="R902" s="1176"/>
      <c r="S902" s="1148"/>
      <c r="T902" s="1083"/>
      <c r="U902" s="1083"/>
      <c r="V902" s="1083">
        <f t="shared" si="168"/>
        <v>14039999.956799999</v>
      </c>
    </row>
    <row r="903" spans="1:22" s="1002" customFormat="1" ht="31.5" hidden="1">
      <c r="A903" s="1007" t="s">
        <v>943</v>
      </c>
      <c r="B903" s="1001" t="s">
        <v>860</v>
      </c>
      <c r="C903" s="1076">
        <v>46219</v>
      </c>
      <c r="D903" s="1076"/>
      <c r="F903" s="1077"/>
      <c r="H903" s="1111"/>
      <c r="I903" s="572" t="s">
        <v>861</v>
      </c>
      <c r="J903" s="1007" t="s">
        <v>62</v>
      </c>
      <c r="K903" s="1002" t="s">
        <v>63</v>
      </c>
      <c r="L903" s="1013" t="s">
        <v>18</v>
      </c>
      <c r="M903" s="1174">
        <v>18</v>
      </c>
      <c r="N903" s="1081"/>
      <c r="O903" s="1130"/>
      <c r="P903" s="1130"/>
      <c r="Q903" s="1130"/>
      <c r="R903" s="1176"/>
      <c r="S903" s="1148"/>
      <c r="T903" s="1083"/>
      <c r="U903" s="1083"/>
      <c r="V903" s="1083">
        <f t="shared" si="168"/>
        <v>0</v>
      </c>
    </row>
    <row r="904" spans="1:22" s="1002" customFormat="1" ht="31.5" hidden="1">
      <c r="A904" s="1007" t="s">
        <v>943</v>
      </c>
      <c r="B904" s="1001" t="s">
        <v>860</v>
      </c>
      <c r="C904" s="1076">
        <v>46219</v>
      </c>
      <c r="D904" s="1076"/>
      <c r="F904" s="1077">
        <v>46224</v>
      </c>
      <c r="H904" s="1111" t="s">
        <v>105</v>
      </c>
      <c r="I904" s="572" t="s">
        <v>861</v>
      </c>
      <c r="J904" s="1007" t="s">
        <v>40</v>
      </c>
      <c r="K904" s="1013" t="s">
        <v>41</v>
      </c>
      <c r="L904" s="1013" t="s">
        <v>18</v>
      </c>
      <c r="M904" s="1174">
        <v>8</v>
      </c>
      <c r="N904" s="1081">
        <v>844444.44</v>
      </c>
      <c r="O904" s="1130">
        <f>M904*N904</f>
        <v>6755555.5199999996</v>
      </c>
      <c r="P904" s="1130">
        <f>O904*8%</f>
        <v>540444.44160000002</v>
      </c>
      <c r="Q904" s="1130">
        <f>O904+P904</f>
        <v>7295999.9616</v>
      </c>
      <c r="R904" s="1176"/>
      <c r="S904" s="1148"/>
      <c r="T904" s="1083"/>
      <c r="U904" s="1083"/>
      <c r="V904" s="1083">
        <f t="shared" si="168"/>
        <v>7295999.9616</v>
      </c>
    </row>
    <row r="905" spans="1:22" s="1002" customFormat="1" ht="31.5" hidden="1">
      <c r="A905" s="1007" t="s">
        <v>943</v>
      </c>
      <c r="B905" s="1001" t="s">
        <v>860</v>
      </c>
      <c r="C905" s="1076">
        <v>46219</v>
      </c>
      <c r="D905" s="1076"/>
      <c r="F905" s="1077">
        <v>46224</v>
      </c>
      <c r="H905" s="1111" t="s">
        <v>105</v>
      </c>
      <c r="I905" s="572" t="s">
        <v>861</v>
      </c>
      <c r="J905" s="1007" t="s">
        <v>21</v>
      </c>
      <c r="K905" s="1042" t="s">
        <v>22</v>
      </c>
      <c r="L905" s="572" t="s">
        <v>18</v>
      </c>
      <c r="M905" s="1174">
        <v>6</v>
      </c>
      <c r="N905" s="1081">
        <v>937962.96</v>
      </c>
      <c r="O905" s="1130">
        <f>M905*N905</f>
        <v>5627777.7599999998</v>
      </c>
      <c r="P905" s="1130">
        <f>O905*8%</f>
        <v>450222.22080000001</v>
      </c>
      <c r="Q905" s="1130">
        <f>O905+P905</f>
        <v>6077999.9808</v>
      </c>
      <c r="R905" s="1176"/>
      <c r="S905" s="1148"/>
      <c r="T905" s="1083"/>
      <c r="U905" s="1083"/>
      <c r="V905" s="1083">
        <f t="shared" si="168"/>
        <v>6077999.9808</v>
      </c>
    </row>
    <row r="906" spans="1:22" s="1002" customFormat="1" ht="31.5" hidden="1">
      <c r="A906" s="1007" t="s">
        <v>943</v>
      </c>
      <c r="B906" s="1001" t="s">
        <v>860</v>
      </c>
      <c r="C906" s="1076">
        <v>46219</v>
      </c>
      <c r="D906" s="1076"/>
      <c r="F906" s="1077">
        <v>46224</v>
      </c>
      <c r="H906" s="1111" t="s">
        <v>105</v>
      </c>
      <c r="I906" s="572" t="s">
        <v>861</v>
      </c>
      <c r="J906" s="1007" t="s">
        <v>107</v>
      </c>
      <c r="K906" s="1045" t="s">
        <v>108</v>
      </c>
      <c r="L906" s="1013"/>
      <c r="M906" s="1174">
        <v>1</v>
      </c>
      <c r="N906" s="1081"/>
      <c r="O906" s="1130"/>
      <c r="P906" s="1130"/>
      <c r="Q906" s="1130"/>
      <c r="R906" s="1176"/>
      <c r="S906" s="1148"/>
      <c r="T906" s="1083"/>
      <c r="U906" s="1083"/>
      <c r="V906" s="1083">
        <f t="shared" si="168"/>
        <v>0</v>
      </c>
    </row>
    <row r="907" spans="1:22" s="1002" customFormat="1" hidden="1">
      <c r="A907" s="1000"/>
      <c r="B907" s="1001" t="s">
        <v>851</v>
      </c>
      <c r="C907" s="1076" t="s">
        <v>577</v>
      </c>
      <c r="D907" s="1076"/>
      <c r="F907" s="1077" t="str">
        <f t="shared" ref="F907:F912" si="171">C907</f>
        <v>31/12/2025</v>
      </c>
      <c r="H907" s="1111" t="s">
        <v>578</v>
      </c>
      <c r="I907" s="1002" t="s">
        <v>579</v>
      </c>
      <c r="J907" s="1007" t="s">
        <v>80</v>
      </c>
      <c r="K907" s="1002" t="s">
        <v>81</v>
      </c>
      <c r="L907" s="1002" t="s">
        <v>18</v>
      </c>
      <c r="M907" s="1086">
        <v>4</v>
      </c>
      <c r="N907" s="1081">
        <v>824074</v>
      </c>
      <c r="O907" s="1107">
        <f>M907*N907</f>
        <v>3296296</v>
      </c>
      <c r="P907" s="1107">
        <f>O907*8%</f>
        <v>263703.67999999999</v>
      </c>
      <c r="Q907" s="1107">
        <f>O907+P907</f>
        <v>3559999.68</v>
      </c>
      <c r="R907" s="1108"/>
      <c r="S907" s="1148"/>
      <c r="T907" s="1083"/>
      <c r="U907" s="1083"/>
      <c r="V907" s="1083">
        <f t="shared" si="168"/>
        <v>3559999.68</v>
      </c>
    </row>
    <row r="908" spans="1:22" s="1002" customFormat="1" hidden="1">
      <c r="A908" s="1000"/>
      <c r="B908" s="1001" t="s">
        <v>851</v>
      </c>
      <c r="C908" s="1076" t="s">
        <v>577</v>
      </c>
      <c r="D908" s="1076"/>
      <c r="F908" s="1077" t="str">
        <f t="shared" si="171"/>
        <v>31/12/2025</v>
      </c>
      <c r="H908" s="1111" t="s">
        <v>578</v>
      </c>
      <c r="I908" s="1002" t="s">
        <v>579</v>
      </c>
      <c r="J908" s="1007" t="s">
        <v>21</v>
      </c>
      <c r="K908" s="572" t="s">
        <v>22</v>
      </c>
      <c r="L908" s="1002" t="s">
        <v>113</v>
      </c>
      <c r="M908" s="1086">
        <v>4</v>
      </c>
      <c r="N908" s="1081">
        <v>937963</v>
      </c>
      <c r="O908" s="1107">
        <f t="shared" ref="O908:O918" si="172">M908*N908</f>
        <v>3751852</v>
      </c>
      <c r="P908" s="1107">
        <f t="shared" ref="P908:P918" si="173">O908*8%</f>
        <v>300148.16000000003</v>
      </c>
      <c r="Q908" s="1107">
        <f t="shared" ref="Q908:Q918" si="174">O908+P908</f>
        <v>4052000.16</v>
      </c>
      <c r="R908" s="1108"/>
      <c r="S908" s="1148"/>
      <c r="T908" s="1083"/>
      <c r="U908" s="1083"/>
      <c r="V908" s="1083">
        <f t="shared" ref="V908:V979" si="175">Q908-R908-S908-T908-U908</f>
        <v>4052000.16</v>
      </c>
    </row>
    <row r="909" spans="1:22" s="1002" customFormat="1" hidden="1">
      <c r="A909" s="1000"/>
      <c r="B909" s="1001" t="s">
        <v>851</v>
      </c>
      <c r="C909" s="1076" t="s">
        <v>577</v>
      </c>
      <c r="D909" s="1076"/>
      <c r="F909" s="1077" t="str">
        <f t="shared" si="171"/>
        <v>31/12/2025</v>
      </c>
      <c r="H909" s="1111" t="s">
        <v>578</v>
      </c>
      <c r="I909" s="1002" t="s">
        <v>579</v>
      </c>
      <c r="J909" s="1007" t="s">
        <v>46</v>
      </c>
      <c r="K909" s="572" t="s">
        <v>47</v>
      </c>
      <c r="L909" s="1002" t="s">
        <v>113</v>
      </c>
      <c r="M909" s="1086">
        <v>18</v>
      </c>
      <c r="N909" s="1081">
        <v>194444</v>
      </c>
      <c r="O909" s="1107">
        <f t="shared" si="172"/>
        <v>3499992</v>
      </c>
      <c r="P909" s="1107">
        <f t="shared" si="173"/>
        <v>279999.35999999999</v>
      </c>
      <c r="Q909" s="1107">
        <f t="shared" si="174"/>
        <v>3779991.36</v>
      </c>
      <c r="R909" s="1108"/>
      <c r="S909" s="1148"/>
      <c r="T909" s="1083"/>
      <c r="U909" s="1083"/>
      <c r="V909" s="1083">
        <f t="shared" si="175"/>
        <v>3779991.36</v>
      </c>
    </row>
    <row r="910" spans="1:22" s="1002" customFormat="1" hidden="1">
      <c r="A910" s="1000"/>
      <c r="B910" s="1001" t="s">
        <v>851</v>
      </c>
      <c r="C910" s="1076" t="s">
        <v>577</v>
      </c>
      <c r="D910" s="1076"/>
      <c r="F910" s="1077" t="str">
        <f t="shared" si="171"/>
        <v>31/12/2025</v>
      </c>
      <c r="H910" s="1111" t="s">
        <v>578</v>
      </c>
      <c r="I910" s="1002" t="s">
        <v>579</v>
      </c>
      <c r="J910" s="1007" t="s">
        <v>194</v>
      </c>
      <c r="K910" s="1002" t="s">
        <v>720</v>
      </c>
      <c r="L910" s="1002" t="s">
        <v>113</v>
      </c>
      <c r="M910" s="1086">
        <v>4</v>
      </c>
      <c r="N910" s="1081">
        <v>1203705</v>
      </c>
      <c r="O910" s="1107">
        <f t="shared" si="172"/>
        <v>4814820</v>
      </c>
      <c r="P910" s="1107">
        <f t="shared" si="173"/>
        <v>385185.60000000003</v>
      </c>
      <c r="Q910" s="1107">
        <f t="shared" si="174"/>
        <v>5200005.5999999996</v>
      </c>
      <c r="R910" s="1108"/>
      <c r="S910" s="1148"/>
      <c r="T910" s="1083"/>
      <c r="U910" s="1083"/>
      <c r="V910" s="1083">
        <f t="shared" si="175"/>
        <v>5200005.5999999996</v>
      </c>
    </row>
    <row r="911" spans="1:22" s="1002" customFormat="1" hidden="1">
      <c r="A911" s="1000"/>
      <c r="B911" s="1001" t="s">
        <v>851</v>
      </c>
      <c r="C911" s="1076" t="s">
        <v>577</v>
      </c>
      <c r="D911" s="1076"/>
      <c r="F911" s="1077" t="str">
        <f t="shared" si="171"/>
        <v>31/12/2025</v>
      </c>
      <c r="H911" s="1111" t="s">
        <v>578</v>
      </c>
      <c r="I911" s="1002" t="s">
        <v>579</v>
      </c>
      <c r="J911" s="1007" t="s">
        <v>58</v>
      </c>
      <c r="K911" s="572" t="s">
        <v>59</v>
      </c>
      <c r="L911" s="1002" t="s">
        <v>113</v>
      </c>
      <c r="M911" s="1086">
        <v>4</v>
      </c>
      <c r="N911" s="1081">
        <v>1361111</v>
      </c>
      <c r="O911" s="1107">
        <f t="shared" si="172"/>
        <v>5444444</v>
      </c>
      <c r="P911" s="1107">
        <f t="shared" si="173"/>
        <v>435555.52</v>
      </c>
      <c r="Q911" s="1107">
        <f t="shared" si="174"/>
        <v>5879999.5199999996</v>
      </c>
      <c r="R911" s="1108"/>
      <c r="S911" s="1148"/>
      <c r="T911" s="1083"/>
      <c r="U911" s="1083"/>
      <c r="V911" s="1083">
        <f t="shared" si="175"/>
        <v>5879999.5199999996</v>
      </c>
    </row>
    <row r="912" spans="1:22" s="1002" customFormat="1" hidden="1">
      <c r="A912" s="1000"/>
      <c r="B912" s="1001" t="s">
        <v>851</v>
      </c>
      <c r="C912" s="1076" t="s">
        <v>577</v>
      </c>
      <c r="D912" s="1076"/>
      <c r="F912" s="1077" t="str">
        <f t="shared" si="171"/>
        <v>31/12/2025</v>
      </c>
      <c r="H912" s="1111" t="s">
        <v>578</v>
      </c>
      <c r="I912" s="1008" t="s">
        <v>579</v>
      </c>
      <c r="J912" s="1007" t="s">
        <v>62</v>
      </c>
      <c r="K912" s="1002" t="s">
        <v>63</v>
      </c>
      <c r="L912" s="1008" t="s">
        <v>113</v>
      </c>
      <c r="M912" s="1093">
        <v>36</v>
      </c>
      <c r="N912" s="1081">
        <v>0</v>
      </c>
      <c r="O912" s="1081"/>
      <c r="P912" s="1081">
        <f>O912*8%</f>
        <v>0</v>
      </c>
      <c r="Q912" s="1081">
        <f>O912+P912</f>
        <v>0</v>
      </c>
      <c r="R912" s="1108"/>
      <c r="S912" s="1148"/>
      <c r="T912" s="1083"/>
      <c r="U912" s="1083"/>
      <c r="V912" s="1083">
        <f t="shared" si="175"/>
        <v>0</v>
      </c>
    </row>
    <row r="913" spans="1:24" s="1002" customFormat="1" ht="47.25" hidden="1">
      <c r="A913" s="1000"/>
      <c r="B913" s="1001" t="s">
        <v>851</v>
      </c>
      <c r="C913" s="1076" t="s">
        <v>577</v>
      </c>
      <c r="D913" s="1076"/>
      <c r="F913" s="1077"/>
      <c r="H913" s="1111" t="s">
        <v>335</v>
      </c>
      <c r="I913" s="1008" t="s">
        <v>579</v>
      </c>
      <c r="J913" s="1007" t="s">
        <v>60</v>
      </c>
      <c r="K913" s="1013" t="s">
        <v>580</v>
      </c>
      <c r="L913" s="1008" t="s">
        <v>113</v>
      </c>
      <c r="M913" s="1093">
        <v>12</v>
      </c>
      <c r="N913" s="1081">
        <v>1138889</v>
      </c>
      <c r="O913" s="1081">
        <f t="shared" si="172"/>
        <v>13666668</v>
      </c>
      <c r="P913" s="1081">
        <f t="shared" si="173"/>
        <v>1093333.44</v>
      </c>
      <c r="Q913" s="1081">
        <f t="shared" si="174"/>
        <v>14760001.439999999</v>
      </c>
      <c r="R913" s="1108"/>
      <c r="S913" s="1148"/>
      <c r="T913" s="1083"/>
      <c r="U913" s="1083"/>
      <c r="V913" s="1083">
        <f t="shared" si="175"/>
        <v>14760001.439999999</v>
      </c>
    </row>
    <row r="914" spans="1:24" s="1002" customFormat="1" ht="47.25" hidden="1">
      <c r="A914" s="1000"/>
      <c r="B914" s="1001" t="s">
        <v>851</v>
      </c>
      <c r="C914" s="1076" t="s">
        <v>577</v>
      </c>
      <c r="D914" s="1076"/>
      <c r="F914" s="1077"/>
      <c r="H914" s="1111" t="s">
        <v>335</v>
      </c>
      <c r="I914" s="1008" t="s">
        <v>579</v>
      </c>
      <c r="J914" s="1007" t="s">
        <v>16</v>
      </c>
      <c r="K914" s="1013" t="s">
        <v>581</v>
      </c>
      <c r="L914" s="1008" t="s">
        <v>113</v>
      </c>
      <c r="M914" s="1093">
        <v>12</v>
      </c>
      <c r="N914" s="1081">
        <v>851852</v>
      </c>
      <c r="O914" s="1081">
        <f t="shared" si="172"/>
        <v>10222224</v>
      </c>
      <c r="P914" s="1081">
        <f t="shared" si="173"/>
        <v>817777.92</v>
      </c>
      <c r="Q914" s="1081">
        <f t="shared" si="174"/>
        <v>11040001.92</v>
      </c>
      <c r="R914" s="1108"/>
      <c r="S914" s="1148"/>
      <c r="T914" s="1083"/>
      <c r="U914" s="1083"/>
      <c r="V914" s="1083">
        <f t="shared" si="175"/>
        <v>11040001.92</v>
      </c>
    </row>
    <row r="915" spans="1:24" s="1002" customFormat="1" hidden="1">
      <c r="A915" s="1000"/>
      <c r="B915" s="1001" t="s">
        <v>851</v>
      </c>
      <c r="C915" s="1076" t="s">
        <v>577</v>
      </c>
      <c r="D915" s="1076"/>
      <c r="F915" s="1077"/>
      <c r="H915" s="1111" t="s">
        <v>335</v>
      </c>
      <c r="I915" s="1008" t="s">
        <v>579</v>
      </c>
      <c r="J915" s="1007" t="s">
        <v>48</v>
      </c>
      <c r="K915" s="1002" t="s">
        <v>49</v>
      </c>
      <c r="L915" s="1008" t="s">
        <v>113</v>
      </c>
      <c r="M915" s="1093">
        <v>18</v>
      </c>
      <c r="N915" s="1081">
        <v>583333</v>
      </c>
      <c r="O915" s="1081">
        <f t="shared" si="172"/>
        <v>10499994</v>
      </c>
      <c r="P915" s="1081">
        <f t="shared" si="173"/>
        <v>839999.52</v>
      </c>
      <c r="Q915" s="1081">
        <f t="shared" si="174"/>
        <v>11339993.52</v>
      </c>
      <c r="R915" s="1108"/>
      <c r="S915" s="1148"/>
      <c r="T915" s="1083"/>
      <c r="U915" s="1083"/>
      <c r="V915" s="1083">
        <f t="shared" si="175"/>
        <v>11339993.52</v>
      </c>
    </row>
    <row r="916" spans="1:24" s="1002" customFormat="1" ht="31.5" hidden="1">
      <c r="A916" s="1000"/>
      <c r="B916" s="1001" t="s">
        <v>851</v>
      </c>
      <c r="C916" s="1076" t="s">
        <v>577</v>
      </c>
      <c r="D916" s="1076"/>
      <c r="F916" s="1077"/>
      <c r="H916" s="1111" t="s">
        <v>335</v>
      </c>
      <c r="I916" s="1008" t="s">
        <v>579</v>
      </c>
      <c r="J916" s="1007" t="s">
        <v>50</v>
      </c>
      <c r="K916" s="1013" t="s">
        <v>583</v>
      </c>
      <c r="L916" s="1008" t="s">
        <v>113</v>
      </c>
      <c r="M916" s="1093">
        <v>18</v>
      </c>
      <c r="N916" s="1081">
        <v>937963</v>
      </c>
      <c r="O916" s="1081">
        <f t="shared" si="172"/>
        <v>16883334</v>
      </c>
      <c r="P916" s="1081">
        <f t="shared" si="173"/>
        <v>1350666.72</v>
      </c>
      <c r="Q916" s="1081">
        <f t="shared" si="174"/>
        <v>18234000.719999999</v>
      </c>
      <c r="R916" s="1108"/>
      <c r="S916" s="1148"/>
      <c r="T916" s="1083"/>
      <c r="U916" s="1083"/>
      <c r="V916" s="1083">
        <f t="shared" si="175"/>
        <v>18234000.719999999</v>
      </c>
    </row>
    <row r="917" spans="1:24" s="1002" customFormat="1" ht="31.5" hidden="1">
      <c r="A917" s="1000"/>
      <c r="B917" s="1001" t="s">
        <v>851</v>
      </c>
      <c r="C917" s="1076" t="s">
        <v>577</v>
      </c>
      <c r="D917" s="1076"/>
      <c r="F917" s="1077"/>
      <c r="H917" s="1111" t="s">
        <v>335</v>
      </c>
      <c r="I917" s="1008" t="s">
        <v>579</v>
      </c>
      <c r="J917" s="1007" t="s">
        <v>56</v>
      </c>
      <c r="K917" s="1013" t="s">
        <v>57</v>
      </c>
      <c r="L917" s="1008" t="s">
        <v>113</v>
      </c>
      <c r="M917" s="1093">
        <v>36</v>
      </c>
      <c r="N917" s="1081">
        <v>325926</v>
      </c>
      <c r="O917" s="1081">
        <f t="shared" si="172"/>
        <v>11733336</v>
      </c>
      <c r="P917" s="1081">
        <f t="shared" si="173"/>
        <v>938666.88</v>
      </c>
      <c r="Q917" s="1081">
        <f t="shared" si="174"/>
        <v>12672002.880000001</v>
      </c>
      <c r="R917" s="1108"/>
      <c r="S917" s="1148"/>
      <c r="T917" s="1083"/>
      <c r="U917" s="1083"/>
      <c r="V917" s="1083">
        <f t="shared" si="175"/>
        <v>12672002.880000001</v>
      </c>
    </row>
    <row r="918" spans="1:24" s="1002" customFormat="1" hidden="1">
      <c r="A918" s="1000"/>
      <c r="B918" s="1001" t="s">
        <v>851</v>
      </c>
      <c r="C918" s="1076" t="s">
        <v>577</v>
      </c>
      <c r="D918" s="1076"/>
      <c r="F918" s="1077"/>
      <c r="H918" s="1111" t="s">
        <v>335</v>
      </c>
      <c r="I918" s="1008" t="s">
        <v>579</v>
      </c>
      <c r="J918" s="1007" t="s">
        <v>219</v>
      </c>
      <c r="K918" s="1013" t="s">
        <v>584</v>
      </c>
      <c r="L918" s="1008" t="s">
        <v>113</v>
      </c>
      <c r="M918" s="1093">
        <v>36</v>
      </c>
      <c r="N918" s="1081">
        <v>263889</v>
      </c>
      <c r="O918" s="1081">
        <f t="shared" si="172"/>
        <v>9500004</v>
      </c>
      <c r="P918" s="1081">
        <f t="shared" si="173"/>
        <v>760000.32000000007</v>
      </c>
      <c r="Q918" s="1081">
        <f t="shared" si="174"/>
        <v>10260004.32</v>
      </c>
      <c r="R918" s="1108"/>
      <c r="S918" s="1148"/>
      <c r="T918" s="1083"/>
      <c r="U918" s="1083"/>
      <c r="V918" s="1083">
        <f t="shared" si="175"/>
        <v>10260004.32</v>
      </c>
    </row>
    <row r="919" spans="1:24" s="1002" customFormat="1" hidden="1">
      <c r="A919" s="1000" t="s">
        <v>964</v>
      </c>
      <c r="B919" s="1001" t="s">
        <v>852</v>
      </c>
      <c r="C919" s="1076">
        <v>46044</v>
      </c>
      <c r="D919" s="1076"/>
      <c r="F919" s="1077">
        <v>46075</v>
      </c>
      <c r="H919" s="1111" t="s">
        <v>586</v>
      </c>
      <c r="I919" s="1002" t="s">
        <v>587</v>
      </c>
      <c r="J919" s="1007" t="s">
        <v>194</v>
      </c>
      <c r="K919" s="1002" t="s">
        <v>720</v>
      </c>
      <c r="L919" s="1002" t="s">
        <v>113</v>
      </c>
      <c r="M919" s="1086">
        <v>10</v>
      </c>
      <c r="N919" s="1081">
        <v>1203703.7</v>
      </c>
      <c r="O919" s="1107">
        <f>M919*N919</f>
        <v>12037037</v>
      </c>
      <c r="P919" s="1107">
        <f>O919*8%</f>
        <v>962962.96</v>
      </c>
      <c r="Q919" s="1107">
        <f>O919+P919</f>
        <v>12999999.960000001</v>
      </c>
      <c r="R919" s="1108"/>
      <c r="S919" s="1148"/>
      <c r="T919" s="1083"/>
      <c r="U919" s="1083"/>
      <c r="V919" s="1083">
        <f t="shared" si="175"/>
        <v>12999999.960000001</v>
      </c>
    </row>
    <row r="920" spans="1:24" s="1002" customFormat="1" hidden="1">
      <c r="A920" s="1000" t="s">
        <v>964</v>
      </c>
      <c r="B920" s="1001" t="s">
        <v>852</v>
      </c>
      <c r="C920" s="1076">
        <v>46044</v>
      </c>
      <c r="D920" s="1076"/>
      <c r="F920" s="1077">
        <v>46044</v>
      </c>
      <c r="H920" s="1111" t="s">
        <v>586</v>
      </c>
      <c r="I920" s="1002" t="s">
        <v>587</v>
      </c>
      <c r="J920" s="1007" t="s">
        <v>58</v>
      </c>
      <c r="K920" s="572" t="s">
        <v>59</v>
      </c>
      <c r="L920" s="1002" t="s">
        <v>113</v>
      </c>
      <c r="M920" s="1086">
        <v>10</v>
      </c>
      <c r="N920" s="1081">
        <v>1361111.11</v>
      </c>
      <c r="O920" s="1107">
        <f>M920*N920</f>
        <v>13611111.100000001</v>
      </c>
      <c r="P920" s="1107">
        <f>O920*8%</f>
        <v>1088888.888</v>
      </c>
      <c r="Q920" s="1107">
        <f>O920+P920</f>
        <v>14699999.988000002</v>
      </c>
      <c r="R920" s="1108"/>
      <c r="S920" s="1148"/>
      <c r="T920" s="1083"/>
      <c r="U920" s="1083"/>
      <c r="V920" s="1083">
        <f t="shared" si="175"/>
        <v>14699999.988000002</v>
      </c>
    </row>
    <row r="921" spans="1:24" s="1002" customFormat="1" ht="31.5" hidden="1">
      <c r="A921" s="1000" t="s">
        <v>964</v>
      </c>
      <c r="B921" s="1001" t="s">
        <v>852</v>
      </c>
      <c r="C921" s="1076">
        <v>46101</v>
      </c>
      <c r="D921" s="1076"/>
      <c r="F921" s="1077">
        <v>46108</v>
      </c>
      <c r="H921" s="1111" t="s">
        <v>589</v>
      </c>
      <c r="I921" s="1002" t="s">
        <v>587</v>
      </c>
      <c r="J921" s="1007" t="s">
        <v>60</v>
      </c>
      <c r="K921" s="572" t="s">
        <v>374</v>
      </c>
      <c r="L921" s="1002" t="s">
        <v>113</v>
      </c>
      <c r="M921" s="1086">
        <v>12</v>
      </c>
      <c r="N921" s="1081">
        <v>1138888.8899999999</v>
      </c>
      <c r="O921" s="1107">
        <f>M921*N921</f>
        <v>13666666.68</v>
      </c>
      <c r="P921" s="1107">
        <f>O921*8%</f>
        <v>1093333.3344000001</v>
      </c>
      <c r="Q921" s="1107">
        <f>O921+P921</f>
        <v>14760000.0144</v>
      </c>
      <c r="R921" s="1108"/>
      <c r="S921" s="1148"/>
      <c r="T921" s="1083"/>
      <c r="U921" s="1083"/>
      <c r="V921" s="1083">
        <f t="shared" si="175"/>
        <v>14760000.0144</v>
      </c>
    </row>
    <row r="922" spans="1:24" s="1002" customFormat="1" ht="31.5" hidden="1">
      <c r="A922" s="1000" t="s">
        <v>964</v>
      </c>
      <c r="B922" s="1001" t="s">
        <v>852</v>
      </c>
      <c r="C922" s="1076">
        <v>46101</v>
      </c>
      <c r="D922" s="1076"/>
      <c r="F922" s="1077"/>
      <c r="H922" s="1111"/>
      <c r="I922" s="1008" t="s">
        <v>587</v>
      </c>
      <c r="J922" s="1007" t="s">
        <v>83</v>
      </c>
      <c r="K922" s="1013" t="s">
        <v>84</v>
      </c>
      <c r="L922" s="1008" t="s">
        <v>113</v>
      </c>
      <c r="M922" s="1093">
        <v>12</v>
      </c>
      <c r="N922" s="1081">
        <v>1097222.22</v>
      </c>
      <c r="O922" s="1081">
        <f>M922*N922</f>
        <v>13166666.640000001</v>
      </c>
      <c r="P922" s="1081">
        <f>O922*8%</f>
        <v>1053333.3312000001</v>
      </c>
      <c r="Q922" s="1081">
        <f>O922+P922</f>
        <v>14219999.9712</v>
      </c>
      <c r="R922" s="1108"/>
      <c r="S922" s="1148"/>
      <c r="T922" s="1083"/>
      <c r="U922" s="1083"/>
      <c r="V922" s="1083">
        <f t="shared" si="175"/>
        <v>14219999.9712</v>
      </c>
    </row>
    <row r="923" spans="1:24" s="1002" customFormat="1" ht="31.5" hidden="1">
      <c r="A923" s="1000" t="s">
        <v>964</v>
      </c>
      <c r="B923" s="1001" t="s">
        <v>852</v>
      </c>
      <c r="C923" s="1076">
        <v>46101</v>
      </c>
      <c r="D923" s="1076"/>
      <c r="F923" s="1077">
        <v>46108</v>
      </c>
      <c r="H923" s="1111" t="s">
        <v>589</v>
      </c>
      <c r="I923" s="1002" t="s">
        <v>587</v>
      </c>
      <c r="J923" s="1007" t="s">
        <v>16</v>
      </c>
      <c r="K923" s="572" t="s">
        <v>17</v>
      </c>
      <c r="L923" s="1002" t="s">
        <v>113</v>
      </c>
      <c r="M923" s="1086">
        <v>12</v>
      </c>
      <c r="N923" s="1081">
        <v>851851.85</v>
      </c>
      <c r="O923" s="1107">
        <f>M923*N923</f>
        <v>10222222.199999999</v>
      </c>
      <c r="P923" s="1107">
        <f>O923*8%</f>
        <v>817777.77599999995</v>
      </c>
      <c r="Q923" s="1107">
        <f>O923+P923</f>
        <v>11039999.976</v>
      </c>
      <c r="R923" s="1108"/>
      <c r="S923" s="1148"/>
      <c r="T923" s="1083"/>
      <c r="U923" s="1083"/>
      <c r="V923" s="1083">
        <f t="shared" si="175"/>
        <v>11039999.976</v>
      </c>
    </row>
    <row r="924" spans="1:24" s="1002" customFormat="1" hidden="1">
      <c r="A924" s="1000" t="s">
        <v>964</v>
      </c>
      <c r="B924" s="1001" t="s">
        <v>852</v>
      </c>
      <c r="C924" s="1076">
        <v>46107</v>
      </c>
      <c r="D924" s="1076"/>
      <c r="F924" s="1077"/>
      <c r="H924" s="1111"/>
      <c r="I924" s="1002" t="s">
        <v>844</v>
      </c>
      <c r="J924" s="1007"/>
      <c r="K924" s="573"/>
      <c r="L924" s="1009"/>
      <c r="M924" s="1096"/>
      <c r="N924" s="1081"/>
      <c r="O924" s="1180"/>
      <c r="P924" s="1180"/>
      <c r="Q924" s="1180"/>
      <c r="R924" s="1181">
        <v>27700000</v>
      </c>
      <c r="S924" s="1148"/>
      <c r="T924" s="1083"/>
      <c r="U924" s="1083"/>
      <c r="V924" s="1083">
        <f t="shared" si="175"/>
        <v>-27700000</v>
      </c>
    </row>
    <row r="925" spans="1:24" s="1002" customFormat="1" hidden="1">
      <c r="A925" s="1000" t="s">
        <v>964</v>
      </c>
      <c r="B925" s="1001" t="s">
        <v>852</v>
      </c>
      <c r="C925" s="1076">
        <v>46184</v>
      </c>
      <c r="D925" s="1076"/>
      <c r="F925" s="1077">
        <v>46276</v>
      </c>
      <c r="G925" s="1002" t="s">
        <v>1159</v>
      </c>
      <c r="H925" s="1111" t="s">
        <v>1158</v>
      </c>
      <c r="I925" s="1008" t="s">
        <v>587</v>
      </c>
      <c r="J925" s="1007" t="s">
        <v>85</v>
      </c>
      <c r="K925" s="1026" t="s">
        <v>86</v>
      </c>
      <c r="L925" s="1149" t="s">
        <v>113</v>
      </c>
      <c r="M925" s="1125">
        <v>200</v>
      </c>
      <c r="N925" s="1081">
        <v>509259.26</v>
      </c>
      <c r="O925" s="1126">
        <f>M925*N925</f>
        <v>101851852</v>
      </c>
      <c r="P925" s="1126">
        <f>O925*8%</f>
        <v>8148148.1600000001</v>
      </c>
      <c r="Q925" s="1126">
        <f>O925+P925</f>
        <v>110000000.16</v>
      </c>
      <c r="R925" s="1108"/>
      <c r="S925" s="1148"/>
      <c r="T925" s="1083"/>
      <c r="U925" s="1083"/>
      <c r="V925" s="1083">
        <f t="shared" si="175"/>
        <v>110000000.16</v>
      </c>
    </row>
    <row r="926" spans="1:24" s="1002" customFormat="1" hidden="1">
      <c r="A926" s="1000" t="s">
        <v>1018</v>
      </c>
      <c r="B926" s="1001" t="s">
        <v>1017</v>
      </c>
      <c r="C926" s="1076" t="s">
        <v>109</v>
      </c>
      <c r="D926" s="1076"/>
      <c r="F926" s="1077">
        <v>46328</v>
      </c>
      <c r="H926" s="1111" t="s">
        <v>110</v>
      </c>
      <c r="I926" s="1002" t="s">
        <v>111</v>
      </c>
      <c r="J926" s="1007" t="s">
        <v>46</v>
      </c>
      <c r="K926" s="572" t="s">
        <v>112</v>
      </c>
      <c r="L926" s="572" t="s">
        <v>113</v>
      </c>
      <c r="M926" s="1182">
        <v>25</v>
      </c>
      <c r="N926" s="1081">
        <v>230000</v>
      </c>
      <c r="O926" s="1107">
        <f>M926*N926</f>
        <v>5750000</v>
      </c>
      <c r="P926" s="1107">
        <f>O926*8%</f>
        <v>460000</v>
      </c>
      <c r="Q926" s="1107">
        <f>O926+P926</f>
        <v>6210000</v>
      </c>
      <c r="R926" s="1108"/>
      <c r="S926" s="1148"/>
      <c r="T926" s="1083"/>
      <c r="U926" s="1083"/>
      <c r="V926" s="1083">
        <f t="shared" si="175"/>
        <v>6210000</v>
      </c>
      <c r="W926" s="1183"/>
      <c r="X926" s="1032"/>
    </row>
    <row r="927" spans="1:24" s="1002" customFormat="1" hidden="1">
      <c r="A927" s="1000" t="s">
        <v>1018</v>
      </c>
      <c r="B927" s="1001" t="s">
        <v>1017</v>
      </c>
      <c r="C927" s="1076" t="s">
        <v>114</v>
      </c>
      <c r="D927" s="1076"/>
      <c r="F927" s="1077">
        <v>46297</v>
      </c>
      <c r="H927" s="1111" t="s">
        <v>115</v>
      </c>
      <c r="I927" s="1002" t="s">
        <v>111</v>
      </c>
      <c r="J927" s="1007" t="s">
        <v>80</v>
      </c>
      <c r="K927" s="1002" t="s">
        <v>81</v>
      </c>
      <c r="L927" s="1002" t="s">
        <v>18</v>
      </c>
      <c r="M927" s="1086">
        <v>1</v>
      </c>
      <c r="N927" s="1081">
        <v>1040000</v>
      </c>
      <c r="O927" s="1107">
        <f t="shared" ref="O927:O945" si="176">M927*N927</f>
        <v>1040000</v>
      </c>
      <c r="P927" s="1107">
        <f t="shared" ref="P927:P945" si="177">O927*8%</f>
        <v>83200</v>
      </c>
      <c r="Q927" s="1107">
        <f t="shared" ref="Q927:Q942" si="178">O927+P927</f>
        <v>1123200</v>
      </c>
      <c r="R927" s="1108"/>
      <c r="S927" s="1148"/>
      <c r="T927" s="1083"/>
      <c r="U927" s="1083"/>
      <c r="V927" s="1083">
        <f t="shared" si="175"/>
        <v>1123200</v>
      </c>
      <c r="W927" s="1183"/>
      <c r="X927" s="1032"/>
    </row>
    <row r="928" spans="1:24" s="1002" customFormat="1" hidden="1">
      <c r="A928" s="1000" t="s">
        <v>1018</v>
      </c>
      <c r="B928" s="1001" t="s">
        <v>1017</v>
      </c>
      <c r="C928" s="1076" t="s">
        <v>114</v>
      </c>
      <c r="D928" s="1076"/>
      <c r="F928" s="1077">
        <v>46297</v>
      </c>
      <c r="H928" s="1111" t="s">
        <v>115</v>
      </c>
      <c r="I928" s="1002" t="s">
        <v>111</v>
      </c>
      <c r="J928" s="1007" t="s">
        <v>44</v>
      </c>
      <c r="K928" s="572" t="s">
        <v>117</v>
      </c>
      <c r="L928" s="1002" t="s">
        <v>113</v>
      </c>
      <c r="M928" s="1086">
        <v>1</v>
      </c>
      <c r="N928" s="1081">
        <v>610000</v>
      </c>
      <c r="O928" s="1107">
        <f t="shared" si="176"/>
        <v>610000</v>
      </c>
      <c r="P928" s="1107">
        <f t="shared" si="177"/>
        <v>48800</v>
      </c>
      <c r="Q928" s="1107">
        <f t="shared" si="178"/>
        <v>658800</v>
      </c>
      <c r="R928" s="1108"/>
      <c r="S928" s="1148"/>
      <c r="T928" s="1083"/>
      <c r="U928" s="1083"/>
      <c r="V928" s="1083">
        <f t="shared" si="175"/>
        <v>658800</v>
      </c>
      <c r="W928" s="1183"/>
      <c r="X928" s="1032"/>
    </row>
    <row r="929" spans="1:24" s="1002" customFormat="1" hidden="1">
      <c r="A929" s="1000" t="s">
        <v>1018</v>
      </c>
      <c r="B929" s="1001" t="s">
        <v>1017</v>
      </c>
      <c r="C929" s="1076" t="s">
        <v>118</v>
      </c>
      <c r="D929" s="1076"/>
      <c r="F929" s="1077">
        <v>46297</v>
      </c>
      <c r="H929" s="1111" t="s">
        <v>115</v>
      </c>
      <c r="I929" s="1002" t="s">
        <v>111</v>
      </c>
      <c r="J929" s="1007" t="s">
        <v>119</v>
      </c>
      <c r="K929" s="572" t="s">
        <v>117</v>
      </c>
      <c r="L929" s="1002" t="s">
        <v>113</v>
      </c>
      <c r="M929" s="1086">
        <v>1</v>
      </c>
      <c r="N929" s="1081">
        <v>673148</v>
      </c>
      <c r="O929" s="1107">
        <f t="shared" si="176"/>
        <v>673148</v>
      </c>
      <c r="P929" s="1107">
        <f t="shared" si="177"/>
        <v>53851.840000000004</v>
      </c>
      <c r="Q929" s="1107">
        <f t="shared" si="178"/>
        <v>726999.84</v>
      </c>
      <c r="R929" s="1108"/>
      <c r="S929" s="1148"/>
      <c r="T929" s="1083"/>
      <c r="U929" s="1083"/>
      <c r="V929" s="1083">
        <f t="shared" si="175"/>
        <v>726999.84</v>
      </c>
      <c r="W929" s="1183"/>
      <c r="X929" s="1032"/>
    </row>
    <row r="930" spans="1:24" s="1002" customFormat="1" hidden="1">
      <c r="A930" s="1000" t="s">
        <v>1018</v>
      </c>
      <c r="B930" s="1001" t="s">
        <v>1017</v>
      </c>
      <c r="C930" s="1076"/>
      <c r="D930" s="1076"/>
      <c r="F930" s="1077">
        <v>46297</v>
      </c>
      <c r="H930" s="1111" t="s">
        <v>115</v>
      </c>
      <c r="I930" s="1006" t="s">
        <v>111</v>
      </c>
      <c r="J930" s="1007" t="s">
        <v>46</v>
      </c>
      <c r="K930" s="1037" t="s">
        <v>112</v>
      </c>
      <c r="L930" s="1006" t="s">
        <v>113</v>
      </c>
      <c r="M930" s="1154">
        <v>24</v>
      </c>
      <c r="N930" s="1081">
        <v>230000</v>
      </c>
      <c r="O930" s="1114">
        <f t="shared" si="176"/>
        <v>5520000</v>
      </c>
      <c r="P930" s="1114">
        <f t="shared" si="177"/>
        <v>441600</v>
      </c>
      <c r="Q930" s="1114">
        <f>O930+P930</f>
        <v>5961600</v>
      </c>
      <c r="R930" s="1184"/>
      <c r="S930" s="1148"/>
      <c r="T930" s="1083"/>
      <c r="U930" s="1083"/>
      <c r="V930" s="1083">
        <f t="shared" si="175"/>
        <v>5961600</v>
      </c>
      <c r="W930" s="1185" t="s">
        <v>121</v>
      </c>
      <c r="X930" s="1186"/>
    </row>
    <row r="931" spans="1:24" s="1002" customFormat="1" hidden="1">
      <c r="A931" s="1000" t="s">
        <v>1018</v>
      </c>
      <c r="B931" s="1001" t="s">
        <v>1017</v>
      </c>
      <c r="C931" s="1076">
        <v>45669</v>
      </c>
      <c r="D931" s="1076"/>
      <c r="F931" s="1077"/>
      <c r="H931" s="1111"/>
      <c r="I931" s="1002" t="s">
        <v>844</v>
      </c>
      <c r="J931" s="1007"/>
      <c r="K931" s="1047"/>
      <c r="L931" s="1187"/>
      <c r="M931" s="1146"/>
      <c r="N931" s="1081"/>
      <c r="O931" s="1148">
        <f t="shared" si="176"/>
        <v>0</v>
      </c>
      <c r="P931" s="1148">
        <f t="shared" si="177"/>
        <v>0</v>
      </c>
      <c r="Q931" s="1148">
        <f t="shared" si="178"/>
        <v>0</v>
      </c>
      <c r="R931" s="1188">
        <v>5520000</v>
      </c>
      <c r="S931" s="1148"/>
      <c r="T931" s="1083"/>
      <c r="U931" s="1083"/>
      <c r="V931" s="1083">
        <f t="shared" si="175"/>
        <v>-5520000</v>
      </c>
      <c r="W931" s="1189"/>
      <c r="X931" s="1189"/>
    </row>
    <row r="932" spans="1:24" s="1002" customFormat="1" ht="31.5" hidden="1">
      <c r="A932" s="1000" t="s">
        <v>1018</v>
      </c>
      <c r="B932" s="1001" t="s">
        <v>1017</v>
      </c>
      <c r="C932" s="1076" t="s">
        <v>19</v>
      </c>
      <c r="D932" s="1076"/>
      <c r="F932" s="1077">
        <v>46055</v>
      </c>
      <c r="H932" s="1111" t="s">
        <v>122</v>
      </c>
      <c r="I932" s="1002" t="s">
        <v>111</v>
      </c>
      <c r="J932" s="1007" t="s">
        <v>40</v>
      </c>
      <c r="K932" s="1008" t="s">
        <v>41</v>
      </c>
      <c r="L932" s="1002" t="s">
        <v>113</v>
      </c>
      <c r="M932" s="1086">
        <v>11</v>
      </c>
      <c r="N932" s="1081">
        <v>907407.4</v>
      </c>
      <c r="O932" s="1107">
        <f>M932*N932</f>
        <v>9981481.4000000004</v>
      </c>
      <c r="P932" s="1107">
        <f>O932*8%</f>
        <v>798518.5120000001</v>
      </c>
      <c r="Q932" s="1107">
        <f>O932+P932</f>
        <v>10779999.912</v>
      </c>
      <c r="R932" s="1108"/>
      <c r="S932" s="1148"/>
      <c r="T932" s="1083"/>
      <c r="U932" s="1083"/>
      <c r="V932" s="1083">
        <f t="shared" si="175"/>
        <v>10779999.912</v>
      </c>
      <c r="W932" s="1190" t="s">
        <v>123</v>
      </c>
      <c r="X932" s="1032" t="s">
        <v>124</v>
      </c>
    </row>
    <row r="933" spans="1:24" s="1002" customFormat="1" hidden="1">
      <c r="A933" s="1000" t="s">
        <v>1018</v>
      </c>
      <c r="B933" s="1001" t="s">
        <v>1017</v>
      </c>
      <c r="C933" s="1076" t="s">
        <v>19</v>
      </c>
      <c r="D933" s="1076"/>
      <c r="F933" s="1077" t="s">
        <v>126</v>
      </c>
      <c r="H933" s="1111" t="s">
        <v>125</v>
      </c>
      <c r="I933" s="1002" t="s">
        <v>111</v>
      </c>
      <c r="J933" s="1007" t="s">
        <v>127</v>
      </c>
      <c r="K933" s="1008" t="s">
        <v>128</v>
      </c>
      <c r="L933" s="1002" t="s">
        <v>113</v>
      </c>
      <c r="M933" s="1191">
        <v>1</v>
      </c>
      <c r="N933" s="1081">
        <v>284259.26</v>
      </c>
      <c r="O933" s="1107">
        <f t="shared" si="176"/>
        <v>284259.26</v>
      </c>
      <c r="P933" s="1107">
        <f t="shared" si="177"/>
        <v>22740.7408</v>
      </c>
      <c r="Q933" s="1107">
        <f t="shared" si="178"/>
        <v>307000.00080000004</v>
      </c>
      <c r="R933" s="1108"/>
      <c r="S933" s="1148"/>
      <c r="T933" s="1083"/>
      <c r="U933" s="1083"/>
      <c r="V933" s="1083">
        <f t="shared" si="175"/>
        <v>307000.00080000004</v>
      </c>
      <c r="W933" s="1192" t="s">
        <v>129</v>
      </c>
      <c r="X933" s="1032"/>
    </row>
    <row r="934" spans="1:24" s="1002" customFormat="1" hidden="1">
      <c r="A934" s="1000" t="s">
        <v>1018</v>
      </c>
      <c r="B934" s="1001" t="s">
        <v>1017</v>
      </c>
      <c r="C934" s="1076" t="s">
        <v>19</v>
      </c>
      <c r="D934" s="1076"/>
      <c r="F934" s="1077" t="s">
        <v>126</v>
      </c>
      <c r="H934" s="1111" t="s">
        <v>125</v>
      </c>
      <c r="I934" s="1002" t="s">
        <v>111</v>
      </c>
      <c r="J934" s="1007" t="s">
        <v>130</v>
      </c>
      <c r="K934" s="1008" t="s">
        <v>131</v>
      </c>
      <c r="L934" s="1002" t="s">
        <v>113</v>
      </c>
      <c r="M934" s="1086">
        <v>1</v>
      </c>
      <c r="N934" s="1081">
        <v>280555.56</v>
      </c>
      <c r="O934" s="1107">
        <f t="shared" si="176"/>
        <v>280555.56</v>
      </c>
      <c r="P934" s="1107">
        <f t="shared" si="177"/>
        <v>22444.444800000001</v>
      </c>
      <c r="Q934" s="1107">
        <f t="shared" si="178"/>
        <v>303000.0048</v>
      </c>
      <c r="R934" s="1108"/>
      <c r="S934" s="1148"/>
      <c r="T934" s="1083"/>
      <c r="U934" s="1083"/>
      <c r="V934" s="1083">
        <f t="shared" si="175"/>
        <v>303000.0048</v>
      </c>
      <c r="W934" s="1193"/>
      <c r="X934" s="1032"/>
    </row>
    <row r="935" spans="1:24" s="1002" customFormat="1" ht="31.5" hidden="1">
      <c r="A935" s="1000" t="s">
        <v>1018</v>
      </c>
      <c r="B935" s="1001" t="s">
        <v>1017</v>
      </c>
      <c r="C935" s="1076" t="s">
        <v>132</v>
      </c>
      <c r="D935" s="1076"/>
      <c r="F935" s="1077">
        <v>46083</v>
      </c>
      <c r="H935" s="1111" t="s">
        <v>133</v>
      </c>
      <c r="I935" s="1002" t="s">
        <v>111</v>
      </c>
      <c r="J935" s="1007" t="s">
        <v>40</v>
      </c>
      <c r="K935" s="1008" t="s">
        <v>41</v>
      </c>
      <c r="L935" s="1002" t="s">
        <v>113</v>
      </c>
      <c r="M935" s="1086">
        <v>12</v>
      </c>
      <c r="N935" s="1081">
        <v>907407.41</v>
      </c>
      <c r="O935" s="1107">
        <f t="shared" si="176"/>
        <v>10888888.92</v>
      </c>
      <c r="P935" s="1107">
        <f t="shared" si="177"/>
        <v>871111.11360000004</v>
      </c>
      <c r="Q935" s="1107">
        <f t="shared" si="178"/>
        <v>11760000.033600001</v>
      </c>
      <c r="R935" s="1108"/>
      <c r="S935" s="1148"/>
      <c r="T935" s="1083"/>
      <c r="U935" s="1083"/>
      <c r="V935" s="1083">
        <f t="shared" si="175"/>
        <v>11760000.033600001</v>
      </c>
      <c r="W935" s="1190" t="s">
        <v>134</v>
      </c>
      <c r="X935" s="1032" t="s">
        <v>135</v>
      </c>
    </row>
    <row r="936" spans="1:24" s="1002" customFormat="1" hidden="1">
      <c r="A936" s="1000" t="s">
        <v>1018</v>
      </c>
      <c r="B936" s="1001" t="s">
        <v>1017</v>
      </c>
      <c r="C936" s="1076" t="s">
        <v>67</v>
      </c>
      <c r="D936" s="1076"/>
      <c r="F936" s="1077"/>
      <c r="H936" s="1111"/>
      <c r="I936" s="1002" t="s">
        <v>844</v>
      </c>
      <c r="J936" s="1007"/>
      <c r="K936" s="1025"/>
      <c r="L936" s="1187"/>
      <c r="M936" s="1146"/>
      <c r="N936" s="1081"/>
      <c r="O936" s="1148">
        <f t="shared" si="176"/>
        <v>0</v>
      </c>
      <c r="P936" s="1148">
        <f t="shared" si="177"/>
        <v>0</v>
      </c>
      <c r="Q936" s="1148">
        <f t="shared" si="178"/>
        <v>0</v>
      </c>
      <c r="R936" s="1188">
        <v>31869000</v>
      </c>
      <c r="S936" s="1148"/>
      <c r="T936" s="1083"/>
      <c r="U936" s="1083"/>
      <c r="V936" s="1083">
        <f t="shared" si="175"/>
        <v>-31869000</v>
      </c>
      <c r="W936" s="1189"/>
      <c r="X936" s="1189"/>
    </row>
    <row r="937" spans="1:24" s="1002" customFormat="1" hidden="1">
      <c r="A937" s="1000" t="s">
        <v>1018</v>
      </c>
      <c r="B937" s="1001" t="s">
        <v>1017</v>
      </c>
      <c r="C937" s="1076" t="s">
        <v>136</v>
      </c>
      <c r="D937" s="1076"/>
      <c r="F937" s="1077">
        <v>46083</v>
      </c>
      <c r="H937" s="1111" t="s">
        <v>137</v>
      </c>
      <c r="I937" s="1002" t="s">
        <v>111</v>
      </c>
      <c r="J937" s="1007" t="s">
        <v>46</v>
      </c>
      <c r="K937" s="572" t="s">
        <v>47</v>
      </c>
      <c r="L937" s="1002" t="s">
        <v>113</v>
      </c>
      <c r="M937" s="1086">
        <v>24</v>
      </c>
      <c r="N937" s="1081">
        <v>212962.96</v>
      </c>
      <c r="O937" s="1107">
        <f t="shared" si="176"/>
        <v>5111111.04</v>
      </c>
      <c r="P937" s="1107">
        <f t="shared" si="177"/>
        <v>408888.88320000004</v>
      </c>
      <c r="Q937" s="1107">
        <f t="shared" si="178"/>
        <v>5519999.9232000001</v>
      </c>
      <c r="R937" s="1108"/>
      <c r="S937" s="1148"/>
      <c r="T937" s="1083"/>
      <c r="U937" s="1083"/>
      <c r="V937" s="1083">
        <f t="shared" si="175"/>
        <v>5519999.9232000001</v>
      </c>
      <c r="W937" s="1185" t="s">
        <v>138</v>
      </c>
      <c r="X937" s="1032"/>
    </row>
    <row r="938" spans="1:24" s="1002" customFormat="1" hidden="1">
      <c r="A938" s="1000" t="s">
        <v>1018</v>
      </c>
      <c r="B938" s="1001" t="s">
        <v>1017</v>
      </c>
      <c r="C938" s="1076" t="s">
        <v>136</v>
      </c>
      <c r="D938" s="1076"/>
      <c r="F938" s="1077" t="s">
        <v>140</v>
      </c>
      <c r="H938" s="1111" t="s">
        <v>139</v>
      </c>
      <c r="I938" s="1002" t="s">
        <v>111</v>
      </c>
      <c r="J938" s="1007" t="s">
        <v>74</v>
      </c>
      <c r="K938" s="572" t="s">
        <v>141</v>
      </c>
      <c r="L938" s="1002" t="s">
        <v>113</v>
      </c>
      <c r="M938" s="1086">
        <v>1</v>
      </c>
      <c r="N938" s="1081">
        <v>379629.63</v>
      </c>
      <c r="O938" s="1107">
        <f t="shared" si="176"/>
        <v>379629.63</v>
      </c>
      <c r="P938" s="1107">
        <f t="shared" si="177"/>
        <v>30370.3704</v>
      </c>
      <c r="Q938" s="1107">
        <f t="shared" si="178"/>
        <v>410000.00040000002</v>
      </c>
      <c r="R938" s="1108"/>
      <c r="S938" s="1148"/>
      <c r="T938" s="1083"/>
      <c r="U938" s="1083"/>
      <c r="V938" s="1083">
        <f t="shared" si="175"/>
        <v>410000.00040000002</v>
      </c>
      <c r="W938" s="1183"/>
      <c r="X938" s="1032"/>
    </row>
    <row r="939" spans="1:24" s="1002" customFormat="1" ht="31.5" hidden="1">
      <c r="A939" s="1000" t="s">
        <v>1018</v>
      </c>
      <c r="B939" s="1001" t="s">
        <v>1017</v>
      </c>
      <c r="C939" s="1076" t="s">
        <v>142</v>
      </c>
      <c r="D939" s="1076"/>
      <c r="F939" s="1077">
        <v>46083</v>
      </c>
      <c r="H939" s="1111" t="s">
        <v>143</v>
      </c>
      <c r="I939" s="1002" t="s">
        <v>111</v>
      </c>
      <c r="J939" s="1007" t="s">
        <v>40</v>
      </c>
      <c r="K939" s="572" t="s">
        <v>41</v>
      </c>
      <c r="L939" s="1002" t="s">
        <v>113</v>
      </c>
      <c r="M939" s="1086">
        <v>10</v>
      </c>
      <c r="N939" s="1081">
        <v>907407.41</v>
      </c>
      <c r="O939" s="1107">
        <f t="shared" si="176"/>
        <v>9074074.0999999996</v>
      </c>
      <c r="P939" s="1107">
        <f t="shared" si="177"/>
        <v>725925.92799999996</v>
      </c>
      <c r="Q939" s="1107">
        <f t="shared" si="178"/>
        <v>9800000.027999999</v>
      </c>
      <c r="R939" s="1108"/>
      <c r="S939" s="1148"/>
      <c r="T939" s="1083"/>
      <c r="U939" s="1083"/>
      <c r="V939" s="1083">
        <f t="shared" si="175"/>
        <v>9800000.027999999</v>
      </c>
      <c r="W939" s="1185" t="s">
        <v>144</v>
      </c>
      <c r="X939" s="1032"/>
    </row>
    <row r="940" spans="1:24" s="1002" customFormat="1" hidden="1">
      <c r="A940" s="1000" t="s">
        <v>1018</v>
      </c>
      <c r="B940" s="1001" t="s">
        <v>1017</v>
      </c>
      <c r="C940" s="1076">
        <v>46055</v>
      </c>
      <c r="D940" s="1076"/>
      <c r="F940" s="1077">
        <f>C940</f>
        <v>46055</v>
      </c>
      <c r="H940" s="1111" t="s">
        <v>145</v>
      </c>
      <c r="I940" s="1002" t="s">
        <v>111</v>
      </c>
      <c r="J940" s="1007" t="s">
        <v>46</v>
      </c>
      <c r="K940" s="572" t="s">
        <v>47</v>
      </c>
      <c r="L940" s="1002" t="s">
        <v>113</v>
      </c>
      <c r="M940" s="1086">
        <v>142</v>
      </c>
      <c r="N940" s="1081">
        <v>212962.96</v>
      </c>
      <c r="O940" s="1107">
        <f t="shared" si="176"/>
        <v>30240740.32</v>
      </c>
      <c r="P940" s="1107">
        <f t="shared" si="177"/>
        <v>2419259.2256</v>
      </c>
      <c r="Q940" s="1107">
        <f t="shared" si="178"/>
        <v>32659999.545600001</v>
      </c>
      <c r="R940" s="1108"/>
      <c r="S940" s="1148"/>
      <c r="T940" s="1083"/>
      <c r="U940" s="1083"/>
      <c r="V940" s="1083">
        <f t="shared" si="175"/>
        <v>32659999.545600001</v>
      </c>
      <c r="W940" s="1183"/>
      <c r="X940" s="1032"/>
    </row>
    <row r="941" spans="1:24" s="1002" customFormat="1" hidden="1">
      <c r="A941" s="1000" t="s">
        <v>1018</v>
      </c>
      <c r="B941" s="1001" t="s">
        <v>1017</v>
      </c>
      <c r="C941" s="1076">
        <v>46114</v>
      </c>
      <c r="D941" s="1076"/>
      <c r="F941" s="1077"/>
      <c r="H941" s="1111"/>
      <c r="I941" s="1002" t="s">
        <v>844</v>
      </c>
      <c r="J941" s="1007"/>
      <c r="K941" s="1025"/>
      <c r="L941" s="1187"/>
      <c r="M941" s="1146"/>
      <c r="N941" s="1081"/>
      <c r="O941" s="1194">
        <f t="shared" si="176"/>
        <v>0</v>
      </c>
      <c r="P941" s="1194">
        <f t="shared" si="177"/>
        <v>0</v>
      </c>
      <c r="Q941" s="1194">
        <f t="shared" si="178"/>
        <v>0</v>
      </c>
      <c r="R941" s="1188">
        <v>32659999</v>
      </c>
      <c r="S941" s="1148"/>
      <c r="T941" s="1083"/>
      <c r="U941" s="1083"/>
      <c r="V941" s="1083">
        <f t="shared" si="175"/>
        <v>-32659999</v>
      </c>
      <c r="W941" s="1189"/>
      <c r="X941" s="1189"/>
    </row>
    <row r="942" spans="1:24" s="1002" customFormat="1" ht="31.5" hidden="1">
      <c r="A942" s="1000" t="s">
        <v>1018</v>
      </c>
      <c r="B942" s="1001" t="s">
        <v>1017</v>
      </c>
      <c r="C942" s="1076">
        <v>46267</v>
      </c>
      <c r="D942" s="1076"/>
      <c r="F942" s="1077">
        <f>C942</f>
        <v>46267</v>
      </c>
      <c r="H942" s="1111" t="s">
        <v>146</v>
      </c>
      <c r="I942" s="1002" t="s">
        <v>111</v>
      </c>
      <c r="J942" s="1007" t="s">
        <v>40</v>
      </c>
      <c r="K942" s="1024" t="s">
        <v>41</v>
      </c>
      <c r="L942" s="1008" t="s">
        <v>147</v>
      </c>
      <c r="M942" s="1093">
        <v>10</v>
      </c>
      <c r="N942" s="1081">
        <v>907407.41</v>
      </c>
      <c r="O942" s="1107">
        <f t="shared" si="176"/>
        <v>9074074.0999999996</v>
      </c>
      <c r="P942" s="1107">
        <f t="shared" si="177"/>
        <v>725925.92799999996</v>
      </c>
      <c r="Q942" s="1107">
        <f t="shared" si="178"/>
        <v>9800000.027999999</v>
      </c>
      <c r="R942" s="1108"/>
      <c r="S942" s="1148"/>
      <c r="T942" s="1083"/>
      <c r="U942" s="1083"/>
      <c r="V942" s="1083">
        <f t="shared" si="175"/>
        <v>9800000.027999999</v>
      </c>
      <c r="W942" s="1183"/>
      <c r="X942" s="1195"/>
    </row>
    <row r="943" spans="1:24" s="1002" customFormat="1" hidden="1">
      <c r="A943" s="1000" t="s">
        <v>1018</v>
      </c>
      <c r="B943" s="1001" t="s">
        <v>1017</v>
      </c>
      <c r="C943" s="1076">
        <v>46267</v>
      </c>
      <c r="D943" s="1076"/>
      <c r="F943" s="1077">
        <f>C943</f>
        <v>46267</v>
      </c>
      <c r="H943" s="1111" t="s">
        <v>146</v>
      </c>
      <c r="I943" s="1002" t="s">
        <v>111</v>
      </c>
      <c r="J943" s="1007" t="s">
        <v>148</v>
      </c>
      <c r="K943" s="1024" t="s">
        <v>149</v>
      </c>
      <c r="L943" s="1008" t="s">
        <v>113</v>
      </c>
      <c r="M943" s="1093">
        <v>4</v>
      </c>
      <c r="N943" s="1081">
        <v>430000</v>
      </c>
      <c r="O943" s="1107">
        <f t="shared" si="176"/>
        <v>1720000</v>
      </c>
      <c r="P943" s="1107">
        <f t="shared" si="177"/>
        <v>137600</v>
      </c>
      <c r="Q943" s="1107">
        <f>O943+P943</f>
        <v>1857600</v>
      </c>
      <c r="R943" s="1108"/>
      <c r="S943" s="1148"/>
      <c r="T943" s="1083"/>
      <c r="U943" s="1083"/>
      <c r="V943" s="1083">
        <f t="shared" si="175"/>
        <v>1857600</v>
      </c>
      <c r="W943" s="1183"/>
      <c r="X943" s="1195"/>
    </row>
    <row r="944" spans="1:24" s="1002" customFormat="1" hidden="1">
      <c r="A944" s="1000" t="s">
        <v>1018</v>
      </c>
      <c r="B944" s="1001" t="s">
        <v>1017</v>
      </c>
      <c r="C944" s="1076" t="s">
        <v>150</v>
      </c>
      <c r="D944" s="1076"/>
      <c r="F944" s="1077" t="s">
        <v>152</v>
      </c>
      <c r="H944" s="1111" t="s">
        <v>151</v>
      </c>
      <c r="I944" s="1002" t="s">
        <v>111</v>
      </c>
      <c r="J944" s="1007" t="s">
        <v>148</v>
      </c>
      <c r="K944" s="1003" t="s">
        <v>149</v>
      </c>
      <c r="L944" s="1008" t="s">
        <v>113</v>
      </c>
      <c r="M944" s="1093">
        <v>20</v>
      </c>
      <c r="N944" s="1081">
        <v>398148.14</v>
      </c>
      <c r="O944" s="1107">
        <f t="shared" si="176"/>
        <v>7962962.8000000007</v>
      </c>
      <c r="P944" s="1107">
        <f t="shared" si="177"/>
        <v>637037.02400000009</v>
      </c>
      <c r="Q944" s="1107">
        <f>O944+P944</f>
        <v>8599999.824000001</v>
      </c>
      <c r="R944" s="1108"/>
      <c r="S944" s="1148"/>
      <c r="T944" s="1083"/>
      <c r="U944" s="1083"/>
      <c r="V944" s="1083">
        <f t="shared" si="175"/>
        <v>8599999.824000001</v>
      </c>
      <c r="W944" s="1183"/>
      <c r="X944" s="1195"/>
    </row>
    <row r="945" spans="1:24" s="1002" customFormat="1" ht="31.5" hidden="1">
      <c r="A945" s="1000" t="s">
        <v>1018</v>
      </c>
      <c r="B945" s="1001" t="s">
        <v>1017</v>
      </c>
      <c r="C945" s="1076">
        <v>46056</v>
      </c>
      <c r="D945" s="1076"/>
      <c r="F945" s="1077">
        <v>46084</v>
      </c>
      <c r="H945" s="1111" t="s">
        <v>153</v>
      </c>
      <c r="I945" s="1002" t="s">
        <v>111</v>
      </c>
      <c r="J945" s="1007" t="s">
        <v>40</v>
      </c>
      <c r="K945" s="1024" t="s">
        <v>41</v>
      </c>
      <c r="L945" s="1002" t="s">
        <v>113</v>
      </c>
      <c r="M945" s="1086">
        <v>12</v>
      </c>
      <c r="N945" s="1081">
        <v>907407.41</v>
      </c>
      <c r="O945" s="1107">
        <f t="shared" si="176"/>
        <v>10888888.92</v>
      </c>
      <c r="P945" s="1107">
        <f t="shared" si="177"/>
        <v>871111.11360000004</v>
      </c>
      <c r="Q945" s="1107">
        <f>O945+P945</f>
        <v>11760000.033600001</v>
      </c>
      <c r="R945" s="1108"/>
      <c r="S945" s="1148"/>
      <c r="T945" s="1083"/>
      <c r="U945" s="1083"/>
      <c r="V945" s="1083">
        <f t="shared" si="175"/>
        <v>11760000.033600001</v>
      </c>
      <c r="W945" s="1183"/>
      <c r="X945" s="1032"/>
    </row>
    <row r="946" spans="1:24" s="1002" customFormat="1" hidden="1">
      <c r="A946" s="1000" t="s">
        <v>1018</v>
      </c>
      <c r="B946" s="1001" t="s">
        <v>1017</v>
      </c>
      <c r="C946" s="1076">
        <v>46176</v>
      </c>
      <c r="D946" s="1076"/>
      <c r="F946" s="1077"/>
      <c r="H946" s="1111"/>
      <c r="I946" s="1002" t="s">
        <v>844</v>
      </c>
      <c r="J946" s="1007"/>
      <c r="K946" s="1025"/>
      <c r="L946" s="1187"/>
      <c r="M946" s="1146"/>
      <c r="N946" s="1081"/>
      <c r="O946" s="1194"/>
      <c r="P946" s="1194"/>
      <c r="Q946" s="1194"/>
      <c r="R946" s="1188">
        <v>11760000</v>
      </c>
      <c r="S946" s="1148"/>
      <c r="T946" s="1083"/>
      <c r="U946" s="1083"/>
      <c r="V946" s="1083">
        <f t="shared" si="175"/>
        <v>-11760000</v>
      </c>
      <c r="W946" s="1189"/>
      <c r="X946" s="1189"/>
    </row>
    <row r="947" spans="1:24" s="1002" customFormat="1" hidden="1">
      <c r="A947" s="1000" t="s">
        <v>1018</v>
      </c>
      <c r="B947" s="1001" t="s">
        <v>1017</v>
      </c>
      <c r="C947" s="1076" t="s">
        <v>154</v>
      </c>
      <c r="D947" s="1076"/>
      <c r="F947" s="1077" t="s">
        <v>140</v>
      </c>
      <c r="H947" s="1111" t="s">
        <v>139</v>
      </c>
      <c r="I947" s="1002" t="s">
        <v>111</v>
      </c>
      <c r="J947" s="1007" t="s">
        <v>148</v>
      </c>
      <c r="K947" s="1024" t="s">
        <v>149</v>
      </c>
      <c r="L947" s="1008" t="s">
        <v>113</v>
      </c>
      <c r="M947" s="1093">
        <v>20</v>
      </c>
      <c r="N947" s="1081">
        <v>398148.14</v>
      </c>
      <c r="O947" s="1107">
        <f>M947*N947</f>
        <v>7962962.8000000007</v>
      </c>
      <c r="P947" s="1107">
        <f>O947*8%</f>
        <v>637037.02400000009</v>
      </c>
      <c r="Q947" s="1107">
        <f>O947+P947</f>
        <v>8599999.824000001</v>
      </c>
      <c r="R947" s="1108"/>
      <c r="S947" s="1148"/>
      <c r="T947" s="1083"/>
      <c r="U947" s="1083"/>
      <c r="V947" s="1083">
        <f t="shared" si="175"/>
        <v>8599999.824000001</v>
      </c>
      <c r="W947" s="1183"/>
      <c r="X947" s="1195"/>
    </row>
    <row r="948" spans="1:24" s="1002" customFormat="1" hidden="1">
      <c r="A948" s="1000" t="s">
        <v>1018</v>
      </c>
      <c r="B948" s="1001" t="s">
        <v>1017</v>
      </c>
      <c r="C948" s="1076">
        <v>46146</v>
      </c>
      <c r="D948" s="1076"/>
      <c r="F948" s="1077">
        <v>46147</v>
      </c>
      <c r="H948" s="1111" t="s">
        <v>155</v>
      </c>
      <c r="I948" s="1002" t="s">
        <v>111</v>
      </c>
      <c r="J948" s="1007" t="s">
        <v>46</v>
      </c>
      <c r="K948" s="1024" t="s">
        <v>47</v>
      </c>
      <c r="L948" s="1008" t="s">
        <v>113</v>
      </c>
      <c r="M948" s="1093">
        <v>16</v>
      </c>
      <c r="N948" s="1081">
        <v>212962.96</v>
      </c>
      <c r="O948" s="1107">
        <f>M948*N948</f>
        <v>3407407.36</v>
      </c>
      <c r="P948" s="1107">
        <f>O948*8%</f>
        <v>272592.58879999997</v>
      </c>
      <c r="Q948" s="1107">
        <f>O948+P948</f>
        <v>3679999.9487999999</v>
      </c>
      <c r="R948" s="1108"/>
      <c r="S948" s="1148"/>
      <c r="T948" s="1083"/>
      <c r="U948" s="1083"/>
      <c r="V948" s="1083">
        <f t="shared" si="175"/>
        <v>3679999.9487999999</v>
      </c>
      <c r="W948" s="1183"/>
      <c r="X948" s="1195"/>
    </row>
    <row r="949" spans="1:24" s="1002" customFormat="1" hidden="1">
      <c r="A949" s="1000" t="s">
        <v>1018</v>
      </c>
      <c r="B949" s="1001" t="s">
        <v>1017</v>
      </c>
      <c r="C949" s="1076" t="s">
        <v>853</v>
      </c>
      <c r="D949" s="1076"/>
      <c r="F949" s="1077"/>
      <c r="H949" s="1111"/>
      <c r="I949" s="1002" t="s">
        <v>844</v>
      </c>
      <c r="J949" s="1007"/>
      <c r="K949" s="1025"/>
      <c r="L949" s="1187"/>
      <c r="M949" s="1146"/>
      <c r="N949" s="1081"/>
      <c r="O949" s="1194"/>
      <c r="P949" s="1194"/>
      <c r="Q949" s="1194"/>
      <c r="R949" s="1188">
        <v>45029200</v>
      </c>
      <c r="S949" s="1148"/>
      <c r="T949" s="1083"/>
      <c r="U949" s="1083"/>
      <c r="V949" s="1083">
        <f t="shared" si="175"/>
        <v>-45029200</v>
      </c>
      <c r="W949" s="1189"/>
      <c r="X949" s="1189"/>
    </row>
    <row r="950" spans="1:24" s="1002" customFormat="1" hidden="1">
      <c r="A950" s="1000" t="s">
        <v>1018</v>
      </c>
      <c r="B950" s="1001" t="s">
        <v>1017</v>
      </c>
      <c r="C950" s="1076">
        <v>46059</v>
      </c>
      <c r="D950" s="1076"/>
      <c r="F950" s="1077">
        <v>46087</v>
      </c>
      <c r="H950" s="1111" t="s">
        <v>156</v>
      </c>
      <c r="I950" s="1008" t="s">
        <v>111</v>
      </c>
      <c r="J950" s="1007" t="s">
        <v>157</v>
      </c>
      <c r="K950" s="1024" t="s">
        <v>158</v>
      </c>
      <c r="L950" s="1008" t="s">
        <v>113</v>
      </c>
      <c r="M950" s="1093">
        <v>6</v>
      </c>
      <c r="N950" s="1081">
        <v>333333.33</v>
      </c>
      <c r="O950" s="1081">
        <f>M950*N950</f>
        <v>1999999.98</v>
      </c>
      <c r="P950" s="1081">
        <f>O950*8%</f>
        <v>159999.99840000001</v>
      </c>
      <c r="Q950" s="1081">
        <f>O950+P950</f>
        <v>2159999.9783999999</v>
      </c>
      <c r="R950" s="1108"/>
      <c r="S950" s="1148"/>
      <c r="T950" s="1083"/>
      <c r="U950" s="1083"/>
      <c r="V950" s="1083">
        <f t="shared" si="175"/>
        <v>2159999.9783999999</v>
      </c>
      <c r="W950" s="1196"/>
      <c r="X950" s="1195"/>
    </row>
    <row r="951" spans="1:24" s="1002" customFormat="1" hidden="1">
      <c r="A951" s="1000" t="s">
        <v>1018</v>
      </c>
      <c r="B951" s="1001" t="s">
        <v>1017</v>
      </c>
      <c r="C951" s="1076">
        <v>46240</v>
      </c>
      <c r="D951" s="1076"/>
      <c r="F951" s="1077"/>
      <c r="H951" s="1111"/>
      <c r="I951" s="1002" t="s">
        <v>844</v>
      </c>
      <c r="J951" s="1007"/>
      <c r="K951" s="1047"/>
      <c r="L951" s="1187"/>
      <c r="M951" s="1146"/>
      <c r="N951" s="1081"/>
      <c r="O951" s="1194"/>
      <c r="P951" s="1194"/>
      <c r="Q951" s="1194"/>
      <c r="R951" s="1188">
        <v>5840000</v>
      </c>
      <c r="S951" s="1148"/>
      <c r="T951" s="1083"/>
      <c r="U951" s="1083"/>
      <c r="V951" s="1083">
        <f t="shared" si="175"/>
        <v>-5840000</v>
      </c>
      <c r="W951" s="1189"/>
      <c r="X951" s="1189"/>
    </row>
    <row r="952" spans="1:24" s="1002" customFormat="1" hidden="1">
      <c r="A952" s="1000" t="s">
        <v>1018</v>
      </c>
      <c r="B952" s="1001" t="s">
        <v>1017</v>
      </c>
      <c r="C952" s="1076" t="s">
        <v>159</v>
      </c>
      <c r="D952" s="1076"/>
      <c r="F952" s="1077">
        <v>46029</v>
      </c>
      <c r="H952" s="1111" t="s">
        <v>160</v>
      </c>
      <c r="I952" s="1008" t="s">
        <v>111</v>
      </c>
      <c r="J952" s="1007" t="s">
        <v>161</v>
      </c>
      <c r="K952" s="1024" t="s">
        <v>162</v>
      </c>
      <c r="L952" s="1008" t="s">
        <v>113</v>
      </c>
      <c r="M952" s="1093">
        <v>1</v>
      </c>
      <c r="N952" s="1081">
        <v>231481.48</v>
      </c>
      <c r="O952" s="1081">
        <f t="shared" ref="O952:O959" si="179">M952*N952</f>
        <v>231481.48</v>
      </c>
      <c r="P952" s="1081">
        <f t="shared" ref="P952:P959" si="180">O952*8%</f>
        <v>18518.518400000001</v>
      </c>
      <c r="Q952" s="1081">
        <f t="shared" ref="Q952:Q959" si="181">O952+P952</f>
        <v>249999.99840000001</v>
      </c>
      <c r="R952" s="1108"/>
      <c r="S952" s="1148"/>
      <c r="T952" s="1083"/>
      <c r="U952" s="1083"/>
      <c r="V952" s="1083">
        <f t="shared" si="175"/>
        <v>249999.99840000001</v>
      </c>
      <c r="W952" s="1195"/>
      <c r="X952" s="1195"/>
    </row>
    <row r="953" spans="1:24" s="1002" customFormat="1" hidden="1">
      <c r="A953" s="1000" t="s">
        <v>1018</v>
      </c>
      <c r="B953" s="1001" t="s">
        <v>1017</v>
      </c>
      <c r="C953" s="1076" t="s">
        <v>159</v>
      </c>
      <c r="D953" s="1076"/>
      <c r="F953" s="1077">
        <v>46029</v>
      </c>
      <c r="H953" s="1111" t="s">
        <v>160</v>
      </c>
      <c r="I953" s="1008" t="s">
        <v>111</v>
      </c>
      <c r="J953" s="1007" t="s">
        <v>163</v>
      </c>
      <c r="K953" s="1003" t="s">
        <v>164</v>
      </c>
      <c r="L953" s="1008" t="s">
        <v>113</v>
      </c>
      <c r="M953" s="1093">
        <v>1</v>
      </c>
      <c r="N953" s="1081">
        <v>231481.48</v>
      </c>
      <c r="O953" s="1081">
        <f t="shared" si="179"/>
        <v>231481.48</v>
      </c>
      <c r="P953" s="1081">
        <f t="shared" si="180"/>
        <v>18518.518400000001</v>
      </c>
      <c r="Q953" s="1081">
        <f t="shared" si="181"/>
        <v>249999.99840000001</v>
      </c>
      <c r="R953" s="1108"/>
      <c r="S953" s="1148"/>
      <c r="T953" s="1083"/>
      <c r="U953" s="1083"/>
      <c r="V953" s="1083">
        <f t="shared" si="175"/>
        <v>249999.99840000001</v>
      </c>
      <c r="W953" s="1195"/>
      <c r="X953" s="1195"/>
    </row>
    <row r="954" spans="1:24" s="1002" customFormat="1" hidden="1">
      <c r="A954" s="1000" t="s">
        <v>1018</v>
      </c>
      <c r="B954" s="1001" t="s">
        <v>1017</v>
      </c>
      <c r="C954" s="1076" t="s">
        <v>159</v>
      </c>
      <c r="D954" s="1076"/>
      <c r="F954" s="1077">
        <v>46029</v>
      </c>
      <c r="H954" s="1111" t="s">
        <v>160</v>
      </c>
      <c r="I954" s="1008" t="s">
        <v>111</v>
      </c>
      <c r="J954" s="1007" t="s">
        <v>165</v>
      </c>
      <c r="K954" s="1024" t="s">
        <v>166</v>
      </c>
      <c r="L954" s="1008" t="s">
        <v>113</v>
      </c>
      <c r="M954" s="1093">
        <v>1</v>
      </c>
      <c r="N954" s="1081">
        <v>203703.7</v>
      </c>
      <c r="O954" s="1081">
        <f t="shared" si="179"/>
        <v>203703.7</v>
      </c>
      <c r="P954" s="1081">
        <f t="shared" si="180"/>
        <v>16296.296000000002</v>
      </c>
      <c r="Q954" s="1081">
        <f t="shared" si="181"/>
        <v>219999.99600000001</v>
      </c>
      <c r="R954" s="1108"/>
      <c r="S954" s="1148"/>
      <c r="T954" s="1083"/>
      <c r="U954" s="1083"/>
      <c r="V954" s="1083">
        <f t="shared" si="175"/>
        <v>219999.99600000001</v>
      </c>
      <c r="W954" s="1195"/>
      <c r="X954" s="1195"/>
    </row>
    <row r="955" spans="1:24" s="1002" customFormat="1" hidden="1">
      <c r="A955" s="1000" t="s">
        <v>1018</v>
      </c>
      <c r="B955" s="1001" t="s">
        <v>1017</v>
      </c>
      <c r="C955" s="1076" t="s">
        <v>159</v>
      </c>
      <c r="D955" s="1076"/>
      <c r="F955" s="1077">
        <v>46029</v>
      </c>
      <c r="H955" s="1111" t="s">
        <v>160</v>
      </c>
      <c r="I955" s="1008" t="s">
        <v>111</v>
      </c>
      <c r="J955" s="1007" t="s">
        <v>167</v>
      </c>
      <c r="K955" s="1024" t="s">
        <v>168</v>
      </c>
      <c r="L955" s="1008" t="s">
        <v>113</v>
      </c>
      <c r="M955" s="1093">
        <v>1</v>
      </c>
      <c r="N955" s="1081">
        <v>231481.48</v>
      </c>
      <c r="O955" s="1081">
        <f t="shared" si="179"/>
        <v>231481.48</v>
      </c>
      <c r="P955" s="1081">
        <f t="shared" si="180"/>
        <v>18518.518400000001</v>
      </c>
      <c r="Q955" s="1081">
        <f t="shared" si="181"/>
        <v>249999.99840000001</v>
      </c>
      <c r="R955" s="1108"/>
      <c r="S955" s="1148"/>
      <c r="T955" s="1083"/>
      <c r="U955" s="1083"/>
      <c r="V955" s="1083">
        <f t="shared" si="175"/>
        <v>249999.99840000001</v>
      </c>
      <c r="W955" s="1195"/>
      <c r="X955" s="1195"/>
    </row>
    <row r="956" spans="1:24" s="1002" customFormat="1" hidden="1">
      <c r="A956" s="1000" t="s">
        <v>1018</v>
      </c>
      <c r="B956" s="1001" t="s">
        <v>1017</v>
      </c>
      <c r="C956" s="1076" t="s">
        <v>159</v>
      </c>
      <c r="D956" s="1076"/>
      <c r="F956" s="1077">
        <v>46029</v>
      </c>
      <c r="H956" s="1111" t="s">
        <v>160</v>
      </c>
      <c r="I956" s="1008" t="s">
        <v>111</v>
      </c>
      <c r="J956" s="1007" t="s">
        <v>169</v>
      </c>
      <c r="K956" s="1024" t="s">
        <v>170</v>
      </c>
      <c r="L956" s="1008" t="s">
        <v>113</v>
      </c>
      <c r="M956" s="1093">
        <v>1</v>
      </c>
      <c r="N956" s="1081">
        <v>425925.93</v>
      </c>
      <c r="O956" s="1081">
        <f t="shared" si="179"/>
        <v>425925.93</v>
      </c>
      <c r="P956" s="1081">
        <f t="shared" si="180"/>
        <v>34074.074399999998</v>
      </c>
      <c r="Q956" s="1081">
        <f t="shared" si="181"/>
        <v>460000.00439999998</v>
      </c>
      <c r="R956" s="1108"/>
      <c r="S956" s="1148"/>
      <c r="T956" s="1083"/>
      <c r="U956" s="1083"/>
      <c r="V956" s="1083">
        <f t="shared" si="175"/>
        <v>460000.00439999998</v>
      </c>
      <c r="W956" s="1195"/>
      <c r="X956" s="1195"/>
    </row>
    <row r="957" spans="1:24" s="1002" customFormat="1" hidden="1">
      <c r="A957" s="1000" t="s">
        <v>1018</v>
      </c>
      <c r="B957" s="1001" t="s">
        <v>1017</v>
      </c>
      <c r="C957" s="1076" t="s">
        <v>159</v>
      </c>
      <c r="D957" s="1076"/>
      <c r="F957" s="1077">
        <v>46029</v>
      </c>
      <c r="H957" s="1111" t="s">
        <v>160</v>
      </c>
      <c r="I957" s="1008" t="s">
        <v>111</v>
      </c>
      <c r="J957" s="1007" t="s">
        <v>171</v>
      </c>
      <c r="K957" s="1024" t="s">
        <v>172</v>
      </c>
      <c r="L957" s="1008" t="s">
        <v>113</v>
      </c>
      <c r="M957" s="1093">
        <v>1</v>
      </c>
      <c r="N957" s="1081">
        <v>69444.44</v>
      </c>
      <c r="O957" s="1081">
        <f t="shared" si="179"/>
        <v>69444.44</v>
      </c>
      <c r="P957" s="1081">
        <f t="shared" si="180"/>
        <v>5555.5552000000007</v>
      </c>
      <c r="Q957" s="1081">
        <f t="shared" si="181"/>
        <v>74999.995200000005</v>
      </c>
      <c r="R957" s="1108"/>
      <c r="S957" s="1148"/>
      <c r="T957" s="1083"/>
      <c r="U957" s="1083"/>
      <c r="V957" s="1083">
        <f t="shared" si="175"/>
        <v>74999.995200000005</v>
      </c>
      <c r="W957" s="1195"/>
      <c r="X957" s="1195"/>
    </row>
    <row r="958" spans="1:24" s="1002" customFormat="1" hidden="1">
      <c r="A958" s="1000" t="s">
        <v>1018</v>
      </c>
      <c r="B958" s="1001" t="s">
        <v>1017</v>
      </c>
      <c r="C958" s="1076" t="s">
        <v>159</v>
      </c>
      <c r="D958" s="1076"/>
      <c r="F958" s="1077">
        <v>46029</v>
      </c>
      <c r="H958" s="1111" t="s">
        <v>160</v>
      </c>
      <c r="I958" s="1008" t="s">
        <v>111</v>
      </c>
      <c r="J958" s="1007" t="s">
        <v>173</v>
      </c>
      <c r="K958" s="1003" t="s">
        <v>174</v>
      </c>
      <c r="L958" s="1008" t="s">
        <v>113</v>
      </c>
      <c r="M958" s="1093">
        <v>1</v>
      </c>
      <c r="N958" s="1081">
        <v>97222.22</v>
      </c>
      <c r="O958" s="1081">
        <f t="shared" si="179"/>
        <v>97222.22</v>
      </c>
      <c r="P958" s="1081">
        <f t="shared" si="180"/>
        <v>7777.7776000000003</v>
      </c>
      <c r="Q958" s="1081">
        <f t="shared" si="181"/>
        <v>104999.9976</v>
      </c>
      <c r="R958" s="1108"/>
      <c r="S958" s="1148"/>
      <c r="T958" s="1083"/>
      <c r="U958" s="1083"/>
      <c r="V958" s="1083">
        <f t="shared" si="175"/>
        <v>104999.9976</v>
      </c>
      <c r="W958" s="1195"/>
      <c r="X958" s="1195"/>
    </row>
    <row r="959" spans="1:24" s="1002" customFormat="1" hidden="1">
      <c r="A959" s="1000" t="s">
        <v>1018</v>
      </c>
      <c r="B959" s="1001" t="s">
        <v>1017</v>
      </c>
      <c r="C959" s="1076" t="s">
        <v>175</v>
      </c>
      <c r="D959" s="1076"/>
      <c r="F959" s="1077">
        <v>46029</v>
      </c>
      <c r="H959" s="1111" t="s">
        <v>160</v>
      </c>
      <c r="I959" s="1008" t="s">
        <v>111</v>
      </c>
      <c r="J959" s="1007" t="s">
        <v>173</v>
      </c>
      <c r="K959" s="1024" t="s">
        <v>174</v>
      </c>
      <c r="L959" s="1008" t="s">
        <v>113</v>
      </c>
      <c r="M959" s="1093">
        <v>120</v>
      </c>
      <c r="N959" s="1081">
        <v>83333.33</v>
      </c>
      <c r="O959" s="1081">
        <f t="shared" si="179"/>
        <v>9999999.5999999996</v>
      </c>
      <c r="P959" s="1081">
        <f t="shared" si="180"/>
        <v>799999.96799999999</v>
      </c>
      <c r="Q959" s="1081">
        <f t="shared" si="181"/>
        <v>10799999.568</v>
      </c>
      <c r="R959" s="1108"/>
      <c r="S959" s="1148"/>
      <c r="T959" s="1083"/>
      <c r="U959" s="1083"/>
      <c r="V959" s="1083">
        <f t="shared" si="175"/>
        <v>10799999.568</v>
      </c>
      <c r="W959" s="1195"/>
      <c r="X959" s="1195"/>
    </row>
    <row r="960" spans="1:24" s="1002" customFormat="1" hidden="1">
      <c r="A960" s="1000" t="s">
        <v>1018</v>
      </c>
      <c r="B960" s="1001" t="s">
        <v>1017</v>
      </c>
      <c r="C960" s="1076">
        <v>46180</v>
      </c>
      <c r="D960" s="1076"/>
      <c r="F960" s="1110"/>
      <c r="H960" s="1111"/>
      <c r="I960" s="1002" t="s">
        <v>844</v>
      </c>
      <c r="J960" s="1007"/>
      <c r="K960" s="1047"/>
      <c r="L960" s="1187"/>
      <c r="M960" s="1146"/>
      <c r="N960" s="1081"/>
      <c r="O960" s="1194"/>
      <c r="P960" s="1194"/>
      <c r="Q960" s="1194"/>
      <c r="R960" s="1188">
        <v>12409998</v>
      </c>
      <c r="S960" s="1148"/>
      <c r="T960" s="1083"/>
      <c r="U960" s="1083"/>
      <c r="V960" s="1083">
        <f t="shared" si="175"/>
        <v>-12409998</v>
      </c>
      <c r="W960" s="1189"/>
      <c r="X960" s="1189"/>
    </row>
    <row r="961" spans="1:24" s="1002" customFormat="1" hidden="1">
      <c r="A961" s="1000" t="s">
        <v>711</v>
      </c>
      <c r="B961" s="1000" t="s">
        <v>715</v>
      </c>
      <c r="C961" s="1197">
        <v>46181</v>
      </c>
      <c r="D961" s="1197"/>
      <c r="E961" s="1048" t="s">
        <v>1299</v>
      </c>
      <c r="F961" s="1110" t="s">
        <v>855</v>
      </c>
      <c r="G961" s="1198"/>
      <c r="H961" s="1198"/>
      <c r="I961" s="1049" t="s">
        <v>460</v>
      </c>
      <c r="J961" s="1050" t="s">
        <v>119</v>
      </c>
      <c r="K961" s="1050" t="s">
        <v>191</v>
      </c>
      <c r="L961" s="1199" t="s">
        <v>18</v>
      </c>
      <c r="M961" s="1200">
        <v>1</v>
      </c>
      <c r="N961" s="1201">
        <v>574074.06999999995</v>
      </c>
      <c r="O961" s="1201">
        <f>M961*N961</f>
        <v>574074.06999999995</v>
      </c>
      <c r="P961" s="1201">
        <f>O961*8%</f>
        <v>45925.925599999995</v>
      </c>
      <c r="Q961" s="1201">
        <f>O961+P961</f>
        <v>619999.99559999991</v>
      </c>
      <c r="R961" s="1127"/>
      <c r="S961" s="1107"/>
      <c r="T961" s="1083"/>
      <c r="U961" s="1083"/>
      <c r="V961" s="1083">
        <f>Q961-R961-S961-T961-U961</f>
        <v>619999.99559999991</v>
      </c>
      <c r="W961" s="1202" t="s">
        <v>461</v>
      </c>
      <c r="X961" s="1189"/>
    </row>
    <row r="962" spans="1:24" s="1002" customFormat="1" hidden="1">
      <c r="A962" s="1000" t="s">
        <v>711</v>
      </c>
      <c r="B962" s="1000" t="s">
        <v>715</v>
      </c>
      <c r="C962" s="1197">
        <v>46181</v>
      </c>
      <c r="D962" s="1197"/>
      <c r="E962" s="1048"/>
      <c r="F962" s="1110" t="s">
        <v>855</v>
      </c>
      <c r="G962" s="1198"/>
      <c r="H962" s="1198"/>
      <c r="I962" s="1049" t="s">
        <v>460</v>
      </c>
      <c r="J962" s="1050" t="s">
        <v>42</v>
      </c>
      <c r="K962" s="1050" t="s">
        <v>43</v>
      </c>
      <c r="L962" s="1199" t="s">
        <v>18</v>
      </c>
      <c r="M962" s="1200">
        <v>1</v>
      </c>
      <c r="N962" s="1201">
        <v>527777.77</v>
      </c>
      <c r="O962" s="1201">
        <f t="shared" ref="O962:O968" si="182">M962*N962</f>
        <v>527777.77</v>
      </c>
      <c r="P962" s="1201">
        <f t="shared" ref="P962:P969" si="183">O962*8%</f>
        <v>42222.221600000004</v>
      </c>
      <c r="Q962" s="1201">
        <f t="shared" ref="Q962:Q969" si="184">O962+P962</f>
        <v>569999.99160000007</v>
      </c>
      <c r="R962" s="1127"/>
      <c r="S962" s="1107"/>
      <c r="T962" s="1083"/>
      <c r="U962" s="1083"/>
      <c r="V962" s="1083">
        <f t="shared" ref="V962:V969" si="185">Q962-R962-S962-T962-U962</f>
        <v>569999.99160000007</v>
      </c>
      <c r="W962" s="1202" t="s">
        <v>461</v>
      </c>
      <c r="X962" s="1189"/>
    </row>
    <row r="963" spans="1:24" s="1002" customFormat="1" hidden="1">
      <c r="A963" s="1000" t="s">
        <v>711</v>
      </c>
      <c r="B963" s="1000" t="s">
        <v>715</v>
      </c>
      <c r="C963" s="1197">
        <v>46181</v>
      </c>
      <c r="D963" s="1197"/>
      <c r="E963" s="1048"/>
      <c r="F963" s="1110" t="s">
        <v>855</v>
      </c>
      <c r="G963" s="1198"/>
      <c r="H963" s="1198"/>
      <c r="I963" s="1049" t="s">
        <v>460</v>
      </c>
      <c r="J963" s="1050" t="s">
        <v>44</v>
      </c>
      <c r="K963" s="1050" t="s">
        <v>45</v>
      </c>
      <c r="L963" s="1199" t="s">
        <v>18</v>
      </c>
      <c r="M963" s="1200">
        <v>1</v>
      </c>
      <c r="N963" s="1201">
        <v>537037.04</v>
      </c>
      <c r="O963" s="1201">
        <f t="shared" si="182"/>
        <v>537037.04</v>
      </c>
      <c r="P963" s="1201">
        <f t="shared" si="183"/>
        <v>42962.963200000006</v>
      </c>
      <c r="Q963" s="1201">
        <f t="shared" si="184"/>
        <v>580000.00320000004</v>
      </c>
      <c r="R963" s="1127"/>
      <c r="S963" s="1107"/>
      <c r="T963" s="1083"/>
      <c r="U963" s="1083"/>
      <c r="V963" s="1083">
        <f t="shared" si="185"/>
        <v>580000.00320000004</v>
      </c>
      <c r="W963" s="1202" t="s">
        <v>461</v>
      </c>
      <c r="X963" s="1189"/>
    </row>
    <row r="964" spans="1:24" s="1002" customFormat="1" hidden="1">
      <c r="A964" s="1000" t="s">
        <v>711</v>
      </c>
      <c r="B964" s="1000" t="s">
        <v>715</v>
      </c>
      <c r="C964" s="1197">
        <v>46181</v>
      </c>
      <c r="D964" s="1197"/>
      <c r="E964" s="1048"/>
      <c r="F964" s="1110" t="s">
        <v>855</v>
      </c>
      <c r="G964" s="1198"/>
      <c r="H964" s="1198"/>
      <c r="I964" s="1049" t="s">
        <v>460</v>
      </c>
      <c r="J964" s="1050" t="s">
        <v>148</v>
      </c>
      <c r="K964" s="1050" t="s">
        <v>149</v>
      </c>
      <c r="L964" s="1199" t="s">
        <v>18</v>
      </c>
      <c r="M964" s="1200">
        <v>1</v>
      </c>
      <c r="N964" s="1201">
        <v>296296.28999999998</v>
      </c>
      <c r="O964" s="1201">
        <f t="shared" si="182"/>
        <v>296296.28999999998</v>
      </c>
      <c r="P964" s="1201">
        <f t="shared" si="183"/>
        <v>23703.7032</v>
      </c>
      <c r="Q964" s="1201">
        <f t="shared" si="184"/>
        <v>319999.99319999997</v>
      </c>
      <c r="R964" s="1127"/>
      <c r="S964" s="1107"/>
      <c r="T964" s="1083"/>
      <c r="U964" s="1083"/>
      <c r="V964" s="1083">
        <f t="shared" si="185"/>
        <v>319999.99319999997</v>
      </c>
      <c r="W964" s="1202" t="s">
        <v>461</v>
      </c>
      <c r="X964" s="1189"/>
    </row>
    <row r="965" spans="1:24" s="1002" customFormat="1" hidden="1">
      <c r="A965" s="1000" t="s">
        <v>711</v>
      </c>
      <c r="B965" s="1000" t="s">
        <v>715</v>
      </c>
      <c r="C965" s="1197">
        <v>46181</v>
      </c>
      <c r="D965" s="1197"/>
      <c r="E965" s="1048"/>
      <c r="F965" s="1110" t="s">
        <v>855</v>
      </c>
      <c r="G965" s="1198"/>
      <c r="H965" s="1198"/>
      <c r="I965" s="1049" t="s">
        <v>460</v>
      </c>
      <c r="J965" s="1050" t="s">
        <v>192</v>
      </c>
      <c r="K965" s="1050" t="s">
        <v>193</v>
      </c>
      <c r="L965" s="1199" t="s">
        <v>18</v>
      </c>
      <c r="M965" s="1200">
        <v>1</v>
      </c>
      <c r="N965" s="1201">
        <v>333333.33</v>
      </c>
      <c r="O965" s="1201">
        <f t="shared" si="182"/>
        <v>333333.33</v>
      </c>
      <c r="P965" s="1201">
        <f t="shared" si="183"/>
        <v>26666.666400000002</v>
      </c>
      <c r="Q965" s="1201">
        <f t="shared" si="184"/>
        <v>359999.9964</v>
      </c>
      <c r="R965" s="1127"/>
      <c r="S965" s="1107"/>
      <c r="T965" s="1083"/>
      <c r="U965" s="1083"/>
      <c r="V965" s="1083">
        <f t="shared" si="185"/>
        <v>359999.9964</v>
      </c>
      <c r="W965" s="1202" t="s">
        <v>461</v>
      </c>
      <c r="X965" s="1189"/>
    </row>
    <row r="966" spans="1:24" s="1002" customFormat="1" hidden="1">
      <c r="A966" s="1000" t="s">
        <v>711</v>
      </c>
      <c r="B966" s="1000" t="s">
        <v>715</v>
      </c>
      <c r="C966" s="1197">
        <v>46181</v>
      </c>
      <c r="D966" s="1197"/>
      <c r="E966" s="1048"/>
      <c r="F966" s="1110" t="s">
        <v>855</v>
      </c>
      <c r="G966" s="1198"/>
      <c r="H966" s="1198"/>
      <c r="I966" s="1049" t="s">
        <v>460</v>
      </c>
      <c r="J966" s="1050" t="s">
        <v>46</v>
      </c>
      <c r="K966" s="1050" t="s">
        <v>47</v>
      </c>
      <c r="L966" s="1199" t="s">
        <v>18</v>
      </c>
      <c r="M966" s="1200">
        <v>1</v>
      </c>
      <c r="N966" s="1201">
        <v>240740.74</v>
      </c>
      <c r="O966" s="1201">
        <f t="shared" si="182"/>
        <v>240740.74</v>
      </c>
      <c r="P966" s="1201">
        <f t="shared" si="183"/>
        <v>19259.2592</v>
      </c>
      <c r="Q966" s="1201">
        <f t="shared" si="184"/>
        <v>259999.99919999999</v>
      </c>
      <c r="R966" s="1127"/>
      <c r="S966" s="1107"/>
      <c r="T966" s="1083"/>
      <c r="U966" s="1083"/>
      <c r="V966" s="1083">
        <f t="shared" si="185"/>
        <v>259999.99919999999</v>
      </c>
      <c r="W966" s="1202" t="s">
        <v>461</v>
      </c>
      <c r="X966" s="1189"/>
    </row>
    <row r="967" spans="1:24" s="1002" customFormat="1" hidden="1">
      <c r="A967" s="1000" t="s">
        <v>711</v>
      </c>
      <c r="B967" s="1000" t="s">
        <v>715</v>
      </c>
      <c r="C967" s="1197">
        <v>46181</v>
      </c>
      <c r="D967" s="1197"/>
      <c r="E967" s="1048"/>
      <c r="F967" s="1110" t="s">
        <v>855</v>
      </c>
      <c r="G967" s="1198"/>
      <c r="H967" s="1198"/>
      <c r="I967" s="1049" t="s">
        <v>460</v>
      </c>
      <c r="J967" s="1050" t="s">
        <v>157</v>
      </c>
      <c r="K967" s="1050" t="s">
        <v>158</v>
      </c>
      <c r="L967" s="1199" t="s">
        <v>18</v>
      </c>
      <c r="M967" s="1200">
        <v>1</v>
      </c>
      <c r="N967" s="1201">
        <v>342592.59</v>
      </c>
      <c r="O967" s="1201">
        <f t="shared" si="182"/>
        <v>342592.59</v>
      </c>
      <c r="P967" s="1201">
        <f t="shared" si="183"/>
        <v>27407.407200000001</v>
      </c>
      <c r="Q967" s="1201">
        <f t="shared" si="184"/>
        <v>369999.99720000004</v>
      </c>
      <c r="R967" s="1127"/>
      <c r="S967" s="1107"/>
      <c r="T967" s="1083"/>
      <c r="U967" s="1083"/>
      <c r="V967" s="1083">
        <f t="shared" si="185"/>
        <v>369999.99720000004</v>
      </c>
      <c r="W967" s="1202" t="s">
        <v>461</v>
      </c>
      <c r="X967" s="1189"/>
    </row>
    <row r="968" spans="1:24" s="1002" customFormat="1" hidden="1">
      <c r="A968" s="1000" t="s">
        <v>711</v>
      </c>
      <c r="B968" s="1000" t="s">
        <v>715</v>
      </c>
      <c r="C968" s="1197">
        <v>46181</v>
      </c>
      <c r="D968" s="1197"/>
      <c r="E968" s="1048"/>
      <c r="F968" s="1110" t="s">
        <v>855</v>
      </c>
      <c r="G968" s="1198"/>
      <c r="H968" s="1198"/>
      <c r="I968" s="1049" t="s">
        <v>460</v>
      </c>
      <c r="J968" s="1051" t="s">
        <v>74</v>
      </c>
      <c r="K968" s="1050" t="s">
        <v>141</v>
      </c>
      <c r="L968" s="1199" t="s">
        <v>18</v>
      </c>
      <c r="M968" s="1200">
        <v>1</v>
      </c>
      <c r="N968" s="1201">
        <v>398148.14</v>
      </c>
      <c r="O968" s="1201">
        <f t="shared" si="182"/>
        <v>398148.14</v>
      </c>
      <c r="P968" s="1201">
        <f t="shared" si="183"/>
        <v>31851.851200000001</v>
      </c>
      <c r="Q968" s="1201">
        <f t="shared" si="184"/>
        <v>429999.99119999999</v>
      </c>
      <c r="R968" s="1127"/>
      <c r="S968" s="1107"/>
      <c r="T968" s="1083"/>
      <c r="U968" s="1083"/>
      <c r="V968" s="1083">
        <f t="shared" si="185"/>
        <v>429999.99119999999</v>
      </c>
      <c r="W968" s="1202" t="s">
        <v>461</v>
      </c>
      <c r="X968" s="1189"/>
    </row>
    <row r="969" spans="1:24" s="1002" customFormat="1" hidden="1">
      <c r="A969" s="1000" t="s">
        <v>711</v>
      </c>
      <c r="B969" s="1000" t="s">
        <v>715</v>
      </c>
      <c r="C969" s="1197">
        <v>46181</v>
      </c>
      <c r="D969" s="1197"/>
      <c r="E969" s="1048"/>
      <c r="F969" s="1110" t="s">
        <v>855</v>
      </c>
      <c r="G969" s="1198"/>
      <c r="H969" s="1198"/>
      <c r="I969" s="1049" t="s">
        <v>460</v>
      </c>
      <c r="J969" s="1051" t="s">
        <v>424</v>
      </c>
      <c r="K969" s="1050" t="s">
        <v>425</v>
      </c>
      <c r="L969" s="1203" t="s">
        <v>443</v>
      </c>
      <c r="M969" s="1200">
        <v>1</v>
      </c>
      <c r="N969" s="1201">
        <v>787037.03</v>
      </c>
      <c r="O969" s="1201">
        <f>M969*N969</f>
        <v>787037.03</v>
      </c>
      <c r="P969" s="1201">
        <f t="shared" si="183"/>
        <v>62962.962400000004</v>
      </c>
      <c r="Q969" s="1201">
        <f t="shared" si="184"/>
        <v>849999.99239999999</v>
      </c>
      <c r="R969" s="1127"/>
      <c r="S969" s="1107"/>
      <c r="T969" s="1083"/>
      <c r="U969" s="1083"/>
      <c r="V969" s="1083">
        <f t="shared" si="185"/>
        <v>849999.99239999999</v>
      </c>
      <c r="W969" s="1202" t="s">
        <v>461</v>
      </c>
      <c r="X969" s="1189"/>
    </row>
    <row r="970" spans="1:24" s="1002" customFormat="1" hidden="1">
      <c r="A970" s="1000" t="s">
        <v>711</v>
      </c>
      <c r="B970" s="1001" t="s">
        <v>715</v>
      </c>
      <c r="C970" s="1076">
        <v>46188</v>
      </c>
      <c r="D970" s="1076"/>
      <c r="F970" s="1110" t="s">
        <v>855</v>
      </c>
      <c r="H970" s="1111"/>
      <c r="I970" s="1049" t="s">
        <v>460</v>
      </c>
      <c r="J970" s="1051" t="s">
        <v>180</v>
      </c>
      <c r="K970" s="1049" t="s">
        <v>181</v>
      </c>
      <c r="L970" s="1199" t="s">
        <v>18</v>
      </c>
      <c r="M970" s="1204">
        <v>1</v>
      </c>
      <c r="N970" s="1201">
        <v>243518.52</v>
      </c>
      <c r="O970" s="1167">
        <f>N970*M970</f>
        <v>243518.52</v>
      </c>
      <c r="P970" s="1167">
        <f>O970*8%</f>
        <v>19481.481599999999</v>
      </c>
      <c r="Q970" s="1201">
        <f>O970+P970</f>
        <v>263000.00159999996</v>
      </c>
      <c r="R970" s="1127"/>
      <c r="S970" s="1083"/>
      <c r="T970" s="1083"/>
      <c r="U970" s="1083"/>
      <c r="V970" s="1083">
        <f>Q970-R970-S970-T970-U970</f>
        <v>263000.00159999996</v>
      </c>
      <c r="W970" s="1202" t="s">
        <v>461</v>
      </c>
    </row>
    <row r="971" spans="1:24" s="1002" customFormat="1" hidden="1">
      <c r="A971" s="1000" t="s">
        <v>711</v>
      </c>
      <c r="B971" s="1001" t="s">
        <v>715</v>
      </c>
      <c r="C971" s="1076">
        <v>46188</v>
      </c>
      <c r="D971" s="1076"/>
      <c r="F971" s="1110" t="s">
        <v>855</v>
      </c>
      <c r="H971" s="1111"/>
      <c r="I971" s="1049" t="s">
        <v>460</v>
      </c>
      <c r="J971" s="1051" t="s">
        <v>26</v>
      </c>
      <c r="K971" s="1049" t="s">
        <v>27</v>
      </c>
      <c r="L971" s="1199" t="s">
        <v>18</v>
      </c>
      <c r="M971" s="1204">
        <v>1</v>
      </c>
      <c r="N971" s="1201">
        <v>265740.74</v>
      </c>
      <c r="O971" s="1167">
        <f t="shared" ref="O971:O993" si="186">N971*M971</f>
        <v>265740.74</v>
      </c>
      <c r="P971" s="1167">
        <f t="shared" ref="P971:P1011" si="187">O971*8%</f>
        <v>21259.2592</v>
      </c>
      <c r="Q971" s="1201">
        <f t="shared" ref="Q971:Q1011" si="188">O971+P971</f>
        <v>286999.99919999996</v>
      </c>
      <c r="R971" s="1127"/>
      <c r="S971" s="1083"/>
      <c r="T971" s="1083"/>
      <c r="U971" s="1083"/>
      <c r="V971" s="1083">
        <f t="shared" si="175"/>
        <v>286999.99919999996</v>
      </c>
      <c r="W971" s="1202" t="s">
        <v>461</v>
      </c>
    </row>
    <row r="972" spans="1:24" s="1002" customFormat="1" hidden="1">
      <c r="A972" s="1000" t="s">
        <v>711</v>
      </c>
      <c r="B972" s="1001" t="s">
        <v>715</v>
      </c>
      <c r="C972" s="1076">
        <v>46188</v>
      </c>
      <c r="D972" s="1076"/>
      <c r="F972" s="1110" t="s">
        <v>855</v>
      </c>
      <c r="H972" s="1111"/>
      <c r="I972" s="1049" t="s">
        <v>460</v>
      </c>
      <c r="J972" s="1051" t="s">
        <v>28</v>
      </c>
      <c r="K972" s="1049" t="s">
        <v>29</v>
      </c>
      <c r="L972" s="1199" t="s">
        <v>18</v>
      </c>
      <c r="M972" s="1204">
        <v>1</v>
      </c>
      <c r="N972" s="1201">
        <v>290740.74</v>
      </c>
      <c r="O972" s="1167">
        <f>N972*M972</f>
        <v>290740.74</v>
      </c>
      <c r="P972" s="1167">
        <f t="shared" si="187"/>
        <v>23259.2592</v>
      </c>
      <c r="Q972" s="1201">
        <f t="shared" si="188"/>
        <v>313999.99919999996</v>
      </c>
      <c r="R972" s="1127"/>
      <c r="S972" s="1083"/>
      <c r="T972" s="1083"/>
      <c r="U972" s="1083"/>
      <c r="V972" s="1083">
        <f t="shared" si="175"/>
        <v>313999.99919999996</v>
      </c>
      <c r="W972" s="1202" t="s">
        <v>461</v>
      </c>
    </row>
    <row r="973" spans="1:24" s="1002" customFormat="1" hidden="1">
      <c r="A973" s="1000" t="s">
        <v>711</v>
      </c>
      <c r="B973" s="1001" t="s">
        <v>715</v>
      </c>
      <c r="C973" s="1076">
        <v>46188</v>
      </c>
      <c r="D973" s="1076"/>
      <c r="F973" s="1110" t="s">
        <v>855</v>
      </c>
      <c r="H973" s="1111"/>
      <c r="I973" s="1049" t="s">
        <v>460</v>
      </c>
      <c r="J973" s="1051" t="s">
        <v>243</v>
      </c>
      <c r="K973" s="1049" t="s">
        <v>249</v>
      </c>
      <c r="L973" s="1199" t="s">
        <v>18</v>
      </c>
      <c r="M973" s="1204">
        <v>1</v>
      </c>
      <c r="N973" s="1201">
        <v>288888.89</v>
      </c>
      <c r="O973" s="1167">
        <f>N973*M973</f>
        <v>288888.89</v>
      </c>
      <c r="P973" s="1167">
        <f t="shared" si="187"/>
        <v>23111.111200000003</v>
      </c>
      <c r="Q973" s="1201">
        <f t="shared" si="188"/>
        <v>312000.0012</v>
      </c>
      <c r="R973" s="1127"/>
      <c r="S973" s="1083"/>
      <c r="T973" s="1083"/>
      <c r="U973" s="1083"/>
      <c r="V973" s="1083">
        <f t="shared" si="175"/>
        <v>312000.0012</v>
      </c>
      <c r="W973" s="1202" t="s">
        <v>461</v>
      </c>
    </row>
    <row r="974" spans="1:24" s="1002" customFormat="1" hidden="1">
      <c r="A974" s="1000" t="s">
        <v>711</v>
      </c>
      <c r="B974" s="1001" t="s">
        <v>715</v>
      </c>
      <c r="C974" s="1076">
        <v>46188</v>
      </c>
      <c r="D974" s="1076"/>
      <c r="F974" s="1110" t="s">
        <v>855</v>
      </c>
      <c r="H974" s="1111"/>
      <c r="I974" s="1049" t="s">
        <v>460</v>
      </c>
      <c r="J974" s="1051" t="s">
        <v>184</v>
      </c>
      <c r="K974" s="1049" t="s">
        <v>272</v>
      </c>
      <c r="L974" s="1199" t="s">
        <v>18</v>
      </c>
      <c r="M974" s="1204">
        <v>1</v>
      </c>
      <c r="N974" s="1201">
        <v>250000</v>
      </c>
      <c r="O974" s="1167">
        <f t="shared" si="186"/>
        <v>250000</v>
      </c>
      <c r="P974" s="1167">
        <f t="shared" si="187"/>
        <v>20000</v>
      </c>
      <c r="Q974" s="1201">
        <f t="shared" si="188"/>
        <v>270000</v>
      </c>
      <c r="R974" s="1127"/>
      <c r="S974" s="1083"/>
      <c r="T974" s="1083"/>
      <c r="U974" s="1083"/>
      <c r="V974" s="1083">
        <f t="shared" si="175"/>
        <v>270000</v>
      </c>
      <c r="W974" s="1202" t="s">
        <v>461</v>
      </c>
    </row>
    <row r="975" spans="1:24" s="1002" customFormat="1" hidden="1">
      <c r="A975" s="1000" t="s">
        <v>711</v>
      </c>
      <c r="B975" s="1001" t="s">
        <v>715</v>
      </c>
      <c r="C975" s="1076">
        <v>46188</v>
      </c>
      <c r="D975" s="1076"/>
      <c r="F975" s="1110" t="s">
        <v>855</v>
      </c>
      <c r="H975" s="1111"/>
      <c r="I975" s="1049" t="s">
        <v>460</v>
      </c>
      <c r="J975" s="1051" t="s">
        <v>30</v>
      </c>
      <c r="K975" s="1049" t="s">
        <v>31</v>
      </c>
      <c r="L975" s="1199" t="s">
        <v>18</v>
      </c>
      <c r="M975" s="1204">
        <v>1</v>
      </c>
      <c r="N975" s="1201">
        <v>268518.52</v>
      </c>
      <c r="O975" s="1167">
        <f>N975*M975</f>
        <v>268518.52</v>
      </c>
      <c r="P975" s="1167">
        <f t="shared" si="187"/>
        <v>21481.481600000003</v>
      </c>
      <c r="Q975" s="1201">
        <f t="shared" si="188"/>
        <v>290000.00160000002</v>
      </c>
      <c r="R975" s="1127"/>
      <c r="S975" s="1083"/>
      <c r="T975" s="1083"/>
      <c r="U975" s="1083"/>
      <c r="V975" s="1083">
        <f t="shared" si="175"/>
        <v>290000.00160000002</v>
      </c>
      <c r="W975" s="1202" t="s">
        <v>461</v>
      </c>
    </row>
    <row r="976" spans="1:24" s="1002" customFormat="1" hidden="1">
      <c r="A976" s="1000" t="s">
        <v>711</v>
      </c>
      <c r="B976" s="1001" t="s">
        <v>715</v>
      </c>
      <c r="C976" s="1076">
        <v>46188</v>
      </c>
      <c r="D976" s="1076"/>
      <c r="F976" s="1110" t="s">
        <v>855</v>
      </c>
      <c r="H976" s="1111"/>
      <c r="I976" s="1049" t="s">
        <v>460</v>
      </c>
      <c r="J976" s="1051" t="s">
        <v>301</v>
      </c>
      <c r="K976" s="1049" t="s">
        <v>361</v>
      </c>
      <c r="L976" s="1199" t="s">
        <v>18</v>
      </c>
      <c r="M976" s="1204">
        <v>1</v>
      </c>
      <c r="N976" s="1201">
        <v>287037.03999999998</v>
      </c>
      <c r="O976" s="1167">
        <f t="shared" si="186"/>
        <v>287037.03999999998</v>
      </c>
      <c r="P976" s="1167">
        <f t="shared" si="187"/>
        <v>22962.963199999998</v>
      </c>
      <c r="Q976" s="1201">
        <f t="shared" si="188"/>
        <v>310000.00319999998</v>
      </c>
      <c r="R976" s="1127"/>
      <c r="S976" s="1083"/>
      <c r="T976" s="1083"/>
      <c r="U976" s="1083"/>
      <c r="V976" s="1083">
        <f t="shared" si="175"/>
        <v>310000.00319999998</v>
      </c>
      <c r="W976" s="1202" t="s">
        <v>461</v>
      </c>
    </row>
    <row r="977" spans="1:23" s="1002" customFormat="1" hidden="1">
      <c r="A977" s="1000" t="s">
        <v>711</v>
      </c>
      <c r="B977" s="1001" t="s">
        <v>715</v>
      </c>
      <c r="C977" s="1076">
        <v>46188</v>
      </c>
      <c r="D977" s="1076"/>
      <c r="F977" s="1110" t="s">
        <v>855</v>
      </c>
      <c r="H977" s="1111"/>
      <c r="I977" s="1049" t="s">
        <v>460</v>
      </c>
      <c r="J977" s="1051" t="s">
        <v>32</v>
      </c>
      <c r="K977" s="1049" t="s">
        <v>33</v>
      </c>
      <c r="L977" s="1199" t="s">
        <v>18</v>
      </c>
      <c r="M977" s="1204">
        <v>1</v>
      </c>
      <c r="N977" s="1201">
        <v>236111.11</v>
      </c>
      <c r="O977" s="1167">
        <f>N977*M977</f>
        <v>236111.11</v>
      </c>
      <c r="P977" s="1167">
        <f t="shared" si="187"/>
        <v>18888.888800000001</v>
      </c>
      <c r="Q977" s="1201">
        <f t="shared" si="188"/>
        <v>254999.9988</v>
      </c>
      <c r="R977" s="1127"/>
      <c r="S977" s="1083"/>
      <c r="T977" s="1083"/>
      <c r="U977" s="1083"/>
      <c r="V977" s="1083">
        <f t="shared" si="175"/>
        <v>254999.9988</v>
      </c>
      <c r="W977" s="1202" t="s">
        <v>461</v>
      </c>
    </row>
    <row r="978" spans="1:23" s="1002" customFormat="1" hidden="1">
      <c r="A978" s="1000" t="s">
        <v>711</v>
      </c>
      <c r="B978" s="1001" t="s">
        <v>715</v>
      </c>
      <c r="C978" s="1076">
        <v>46188</v>
      </c>
      <c r="D978" s="1076"/>
      <c r="F978" s="1110" t="s">
        <v>855</v>
      </c>
      <c r="H978" s="1111"/>
      <c r="I978" s="1049" t="s">
        <v>460</v>
      </c>
      <c r="J978" s="1051" t="s">
        <v>34</v>
      </c>
      <c r="K978" s="1049" t="s">
        <v>35</v>
      </c>
      <c r="L978" s="1199" t="s">
        <v>18</v>
      </c>
      <c r="M978" s="1204">
        <v>1</v>
      </c>
      <c r="N978" s="1201">
        <v>250000</v>
      </c>
      <c r="O978" s="1167">
        <f t="shared" si="186"/>
        <v>250000</v>
      </c>
      <c r="P978" s="1167">
        <f t="shared" si="187"/>
        <v>20000</v>
      </c>
      <c r="Q978" s="1201">
        <f t="shared" si="188"/>
        <v>270000</v>
      </c>
      <c r="R978" s="1127"/>
      <c r="S978" s="1083"/>
      <c r="T978" s="1083"/>
      <c r="U978" s="1083"/>
      <c r="V978" s="1083">
        <f t="shared" si="175"/>
        <v>270000</v>
      </c>
      <c r="W978" s="1202" t="s">
        <v>461</v>
      </c>
    </row>
    <row r="979" spans="1:23" s="1002" customFormat="1" hidden="1">
      <c r="A979" s="1000" t="s">
        <v>711</v>
      </c>
      <c r="B979" s="1001" t="s">
        <v>715</v>
      </c>
      <c r="C979" s="1076">
        <v>46188</v>
      </c>
      <c r="D979" s="1076"/>
      <c r="F979" s="1110" t="s">
        <v>855</v>
      </c>
      <c r="H979" s="1111"/>
      <c r="I979" s="1049" t="s">
        <v>460</v>
      </c>
      <c r="J979" s="1051" t="s">
        <v>36</v>
      </c>
      <c r="K979" s="1049" t="s">
        <v>37</v>
      </c>
      <c r="L979" s="1199" t="s">
        <v>18</v>
      </c>
      <c r="M979" s="1204">
        <v>1</v>
      </c>
      <c r="N979" s="1201">
        <v>268518.52</v>
      </c>
      <c r="O979" s="1167">
        <f>N979*M979</f>
        <v>268518.52</v>
      </c>
      <c r="P979" s="1167">
        <f t="shared" si="187"/>
        <v>21481.481600000003</v>
      </c>
      <c r="Q979" s="1201">
        <f t="shared" si="188"/>
        <v>290000.00160000002</v>
      </c>
      <c r="R979" s="1127"/>
      <c r="S979" s="1083"/>
      <c r="T979" s="1083"/>
      <c r="U979" s="1083"/>
      <c r="V979" s="1083">
        <f t="shared" si="175"/>
        <v>290000.00160000002</v>
      </c>
      <c r="W979" s="1202" t="s">
        <v>461</v>
      </c>
    </row>
    <row r="980" spans="1:23" s="1002" customFormat="1" hidden="1">
      <c r="A980" s="1000" t="s">
        <v>711</v>
      </c>
      <c r="B980" s="1001" t="s">
        <v>715</v>
      </c>
      <c r="C980" s="1076">
        <v>46188</v>
      </c>
      <c r="D980" s="1076"/>
      <c r="F980" s="1110" t="s">
        <v>855</v>
      </c>
      <c r="H980" s="1111"/>
      <c r="I980" s="1049" t="s">
        <v>460</v>
      </c>
      <c r="J980" s="1051" t="s">
        <v>274</v>
      </c>
      <c r="K980" s="1049" t="s">
        <v>297</v>
      </c>
      <c r="L980" s="1199" t="s">
        <v>18</v>
      </c>
      <c r="M980" s="1204">
        <v>1</v>
      </c>
      <c r="N980" s="1201">
        <v>416666.67</v>
      </c>
      <c r="O980" s="1167">
        <f t="shared" si="186"/>
        <v>416666.67</v>
      </c>
      <c r="P980" s="1167">
        <f t="shared" si="187"/>
        <v>33333.333599999998</v>
      </c>
      <c r="Q980" s="1201">
        <f t="shared" si="188"/>
        <v>450000.0036</v>
      </c>
      <c r="R980" s="1127"/>
      <c r="S980" s="1083"/>
      <c r="T980" s="1083"/>
      <c r="U980" s="1083"/>
      <c r="V980" s="1083">
        <f t="shared" ref="V980:V1043" si="189">Q980-R980-S980-T980-U980</f>
        <v>450000.0036</v>
      </c>
      <c r="W980" s="1202" t="s">
        <v>461</v>
      </c>
    </row>
    <row r="981" spans="1:23" s="1002" customFormat="1" hidden="1">
      <c r="A981" s="1000" t="s">
        <v>711</v>
      </c>
      <c r="B981" s="1001" t="s">
        <v>715</v>
      </c>
      <c r="C981" s="1076">
        <v>46188</v>
      </c>
      <c r="D981" s="1076"/>
      <c r="F981" s="1110" t="s">
        <v>855</v>
      </c>
      <c r="H981" s="1111"/>
      <c r="I981" s="1049" t="s">
        <v>460</v>
      </c>
      <c r="J981" s="1051" t="s">
        <v>40</v>
      </c>
      <c r="K981" s="1049" t="s">
        <v>41</v>
      </c>
      <c r="L981" s="1199" t="s">
        <v>18</v>
      </c>
      <c r="M981" s="1204">
        <v>1</v>
      </c>
      <c r="N981" s="1201">
        <v>879629.63</v>
      </c>
      <c r="O981" s="1167">
        <f>N981*M981</f>
        <v>879629.63</v>
      </c>
      <c r="P981" s="1167">
        <f t="shared" si="187"/>
        <v>70370.3704</v>
      </c>
      <c r="Q981" s="1201">
        <f t="shared" si="188"/>
        <v>950000.00040000002</v>
      </c>
      <c r="R981" s="1127"/>
      <c r="S981" s="1083"/>
      <c r="T981" s="1083"/>
      <c r="U981" s="1083"/>
      <c r="V981" s="1083">
        <f t="shared" si="189"/>
        <v>950000.00040000002</v>
      </c>
      <c r="W981" s="1202" t="s">
        <v>461</v>
      </c>
    </row>
    <row r="982" spans="1:23" s="1002" customFormat="1" hidden="1">
      <c r="A982" s="1000" t="s">
        <v>711</v>
      </c>
      <c r="B982" s="1001" t="s">
        <v>715</v>
      </c>
      <c r="C982" s="1076">
        <v>46188</v>
      </c>
      <c r="D982" s="1076"/>
      <c r="F982" s="1110" t="s">
        <v>855</v>
      </c>
      <c r="H982" s="1111"/>
      <c r="I982" s="1049" t="s">
        <v>460</v>
      </c>
      <c r="J982" s="1051" t="s">
        <v>386</v>
      </c>
      <c r="K982" s="1049" t="s">
        <v>387</v>
      </c>
      <c r="L982" s="1199" t="s">
        <v>18</v>
      </c>
      <c r="M982" s="1204">
        <v>1</v>
      </c>
      <c r="N982" s="1201">
        <v>740740.74</v>
      </c>
      <c r="O982" s="1167">
        <f t="shared" si="186"/>
        <v>740740.74</v>
      </c>
      <c r="P982" s="1167">
        <f t="shared" si="187"/>
        <v>59259.2592</v>
      </c>
      <c r="Q982" s="1201">
        <f t="shared" si="188"/>
        <v>799999.99919999996</v>
      </c>
      <c r="R982" s="1127"/>
      <c r="S982" s="1083"/>
      <c r="T982" s="1083"/>
      <c r="U982" s="1083"/>
      <c r="V982" s="1083">
        <f t="shared" si="189"/>
        <v>799999.99919999996</v>
      </c>
      <c r="W982" s="1202" t="s">
        <v>461</v>
      </c>
    </row>
    <row r="983" spans="1:23" s="1002" customFormat="1" hidden="1">
      <c r="A983" s="1000" t="s">
        <v>711</v>
      </c>
      <c r="B983" s="1001" t="s">
        <v>715</v>
      </c>
      <c r="C983" s="1076">
        <v>46188</v>
      </c>
      <c r="D983" s="1076"/>
      <c r="F983" s="1110" t="s">
        <v>855</v>
      </c>
      <c r="H983" s="1111"/>
      <c r="I983" s="1049" t="s">
        <v>460</v>
      </c>
      <c r="J983" s="1051" t="s">
        <v>194</v>
      </c>
      <c r="K983" s="1049" t="s">
        <v>276</v>
      </c>
      <c r="L983" s="1199" t="s">
        <v>18</v>
      </c>
      <c r="M983" s="1204">
        <v>1</v>
      </c>
      <c r="N983" s="1201">
        <v>1203703.7</v>
      </c>
      <c r="O983" s="1167">
        <f>N983*M983</f>
        <v>1203703.7</v>
      </c>
      <c r="P983" s="1167">
        <f t="shared" si="187"/>
        <v>96296.296000000002</v>
      </c>
      <c r="Q983" s="1201">
        <f t="shared" si="188"/>
        <v>1299999.996</v>
      </c>
      <c r="R983" s="1127"/>
      <c r="S983" s="1083"/>
      <c r="T983" s="1083"/>
      <c r="U983" s="1083"/>
      <c r="V983" s="1083">
        <f t="shared" si="189"/>
        <v>1299999.996</v>
      </c>
      <c r="W983" s="1202" t="s">
        <v>461</v>
      </c>
    </row>
    <row r="984" spans="1:23" s="1002" customFormat="1" hidden="1">
      <c r="A984" s="1000" t="s">
        <v>711</v>
      </c>
      <c r="B984" s="1001" t="s">
        <v>715</v>
      </c>
      <c r="C984" s="1076">
        <v>46188</v>
      </c>
      <c r="D984" s="1076"/>
      <c r="F984" s="1110" t="s">
        <v>855</v>
      </c>
      <c r="H984" s="1111"/>
      <c r="I984" s="1049" t="s">
        <v>460</v>
      </c>
      <c r="J984" s="1051" t="s">
        <v>58</v>
      </c>
      <c r="K984" s="1049" t="s">
        <v>59</v>
      </c>
      <c r="L984" s="1199" t="s">
        <v>18</v>
      </c>
      <c r="M984" s="1204">
        <v>1</v>
      </c>
      <c r="N984" s="1201">
        <v>1361111.11</v>
      </c>
      <c r="O984" s="1167">
        <f t="shared" si="186"/>
        <v>1361111.11</v>
      </c>
      <c r="P984" s="1167">
        <f t="shared" si="187"/>
        <v>108888.88880000002</v>
      </c>
      <c r="Q984" s="1201">
        <f t="shared" si="188"/>
        <v>1469999.9988000002</v>
      </c>
      <c r="R984" s="1127"/>
      <c r="S984" s="1083"/>
      <c r="T984" s="1083"/>
      <c r="U984" s="1083"/>
      <c r="V984" s="1083">
        <f t="shared" si="189"/>
        <v>1469999.9988000002</v>
      </c>
      <c r="W984" s="1202" t="s">
        <v>461</v>
      </c>
    </row>
    <row r="985" spans="1:23" s="1002" customFormat="1" hidden="1">
      <c r="A985" s="1000" t="s">
        <v>711</v>
      </c>
      <c r="B985" s="1001" t="s">
        <v>715</v>
      </c>
      <c r="C985" s="1076">
        <v>46188</v>
      </c>
      <c r="D985" s="1076"/>
      <c r="F985" s="1110" t="s">
        <v>855</v>
      </c>
      <c r="H985" s="1111"/>
      <c r="I985" s="1049" t="s">
        <v>460</v>
      </c>
      <c r="J985" s="1051" t="s">
        <v>279</v>
      </c>
      <c r="K985" s="1049" t="s">
        <v>280</v>
      </c>
      <c r="L985" s="1199" t="s">
        <v>18</v>
      </c>
      <c r="M985" s="1204">
        <v>1</v>
      </c>
      <c r="N985" s="1201"/>
      <c r="O985" s="1167"/>
      <c r="P985" s="1167"/>
      <c r="Q985" s="1201"/>
      <c r="R985" s="1127"/>
      <c r="S985" s="1083"/>
      <c r="T985" s="1083"/>
      <c r="U985" s="1083"/>
      <c r="V985" s="1083">
        <f t="shared" si="189"/>
        <v>0</v>
      </c>
    </row>
    <row r="986" spans="1:23" s="1002" customFormat="1" hidden="1">
      <c r="A986" s="1000" t="s">
        <v>711</v>
      </c>
      <c r="B986" s="1001" t="s">
        <v>715</v>
      </c>
      <c r="C986" s="1076">
        <v>46188</v>
      </c>
      <c r="D986" s="1076"/>
      <c r="F986" s="1110" t="s">
        <v>855</v>
      </c>
      <c r="H986" s="1111"/>
      <c r="I986" s="1049" t="s">
        <v>460</v>
      </c>
      <c r="J986" s="1051" t="s">
        <v>258</v>
      </c>
      <c r="K986" s="1049" t="s">
        <v>259</v>
      </c>
      <c r="L986" s="1199" t="s">
        <v>18</v>
      </c>
      <c r="M986" s="1204">
        <v>1</v>
      </c>
      <c r="N986" s="1201"/>
      <c r="O986" s="1167"/>
      <c r="P986" s="1167"/>
      <c r="Q986" s="1201"/>
      <c r="R986" s="1127"/>
      <c r="S986" s="1083"/>
      <c r="T986" s="1083"/>
      <c r="U986" s="1083"/>
      <c r="V986" s="1083">
        <f t="shared" si="189"/>
        <v>0</v>
      </c>
    </row>
    <row r="987" spans="1:23" s="1002" customFormat="1" hidden="1">
      <c r="A987" s="1000" t="s">
        <v>711</v>
      </c>
      <c r="B987" s="1001" t="s">
        <v>715</v>
      </c>
      <c r="C987" s="1076">
        <v>46188</v>
      </c>
      <c r="D987" s="1076"/>
      <c r="F987" s="1110" t="s">
        <v>855</v>
      </c>
      <c r="H987" s="1111"/>
      <c r="I987" s="1049" t="s">
        <v>460</v>
      </c>
      <c r="J987" s="1051" t="s">
        <v>260</v>
      </c>
      <c r="K987" s="1049" t="s">
        <v>261</v>
      </c>
      <c r="L987" s="1199" t="s">
        <v>18</v>
      </c>
      <c r="M987" s="1204">
        <v>1</v>
      </c>
      <c r="N987" s="1201"/>
      <c r="O987" s="1167"/>
      <c r="P987" s="1167"/>
      <c r="Q987" s="1201"/>
      <c r="R987" s="1127"/>
      <c r="S987" s="1083"/>
      <c r="T987" s="1083"/>
      <c r="U987" s="1083"/>
      <c r="V987" s="1083">
        <f t="shared" si="189"/>
        <v>0</v>
      </c>
    </row>
    <row r="988" spans="1:23" s="1002" customFormat="1" hidden="1">
      <c r="A988" s="1000" t="s">
        <v>711</v>
      </c>
      <c r="B988" s="1001" t="s">
        <v>715</v>
      </c>
      <c r="C988" s="1076">
        <v>46188</v>
      </c>
      <c r="D988" s="1076"/>
      <c r="F988" s="1077" t="s">
        <v>247</v>
      </c>
      <c r="H988" s="1111" t="s">
        <v>462</v>
      </c>
      <c r="I988" s="1002" t="s">
        <v>463</v>
      </c>
      <c r="J988" s="1007" t="s">
        <v>424</v>
      </c>
      <c r="K988" s="1002" t="s">
        <v>425</v>
      </c>
      <c r="L988" s="572" t="s">
        <v>443</v>
      </c>
      <c r="M988" s="1182">
        <v>4</v>
      </c>
      <c r="N988" s="1081">
        <v>768518.52</v>
      </c>
      <c r="O988" s="1107">
        <f t="shared" si="186"/>
        <v>3074074.08</v>
      </c>
      <c r="P988" s="1107">
        <f t="shared" si="187"/>
        <v>245925.9264</v>
      </c>
      <c r="Q988" s="1107">
        <f t="shared" si="188"/>
        <v>3320000.0064000003</v>
      </c>
      <c r="R988" s="1108"/>
      <c r="S988" s="1083"/>
      <c r="T988" s="1083"/>
      <c r="U988" s="1083"/>
      <c r="V988" s="1083">
        <f t="shared" si="189"/>
        <v>3320000.0064000003</v>
      </c>
    </row>
    <row r="989" spans="1:23" s="1002" customFormat="1" hidden="1">
      <c r="A989" s="1000" t="s">
        <v>711</v>
      </c>
      <c r="B989" s="1001" t="s">
        <v>715</v>
      </c>
      <c r="C989" s="1076">
        <v>46190</v>
      </c>
      <c r="D989" s="1076"/>
      <c r="F989" s="1077" t="s">
        <v>247</v>
      </c>
      <c r="H989" s="1111" t="s">
        <v>462</v>
      </c>
      <c r="I989" s="1002" t="s">
        <v>463</v>
      </c>
      <c r="J989" s="1007" t="s">
        <v>194</v>
      </c>
      <c r="K989" s="1002" t="s">
        <v>276</v>
      </c>
      <c r="L989" s="572" t="s">
        <v>465</v>
      </c>
      <c r="M989" s="1182">
        <v>3</v>
      </c>
      <c r="N989" s="1081">
        <v>1203703.7</v>
      </c>
      <c r="O989" s="1107">
        <f t="shared" si="186"/>
        <v>3611111.0999999996</v>
      </c>
      <c r="P989" s="1107">
        <f t="shared" si="187"/>
        <v>288888.88799999998</v>
      </c>
      <c r="Q989" s="1107">
        <f t="shared" si="188"/>
        <v>3899999.9879999994</v>
      </c>
      <c r="R989" s="1108"/>
      <c r="S989" s="1083"/>
      <c r="T989" s="1083"/>
      <c r="U989" s="1083"/>
      <c r="V989" s="1083">
        <f t="shared" si="189"/>
        <v>3899999.9879999994</v>
      </c>
    </row>
    <row r="990" spans="1:23" s="1002" customFormat="1" hidden="1">
      <c r="A990" s="1000" t="s">
        <v>711</v>
      </c>
      <c r="B990" s="1001" t="s">
        <v>715</v>
      </c>
      <c r="C990" s="1076">
        <v>46192</v>
      </c>
      <c r="D990" s="1076"/>
      <c r="F990" s="1077" t="s">
        <v>247</v>
      </c>
      <c r="H990" s="1111" t="s">
        <v>462</v>
      </c>
      <c r="I990" s="1002" t="s">
        <v>463</v>
      </c>
      <c r="J990" s="1007" t="s">
        <v>58</v>
      </c>
      <c r="K990" s="1002" t="s">
        <v>59</v>
      </c>
      <c r="L990" s="572" t="s">
        <v>465</v>
      </c>
      <c r="M990" s="1182">
        <v>3</v>
      </c>
      <c r="N990" s="1081">
        <v>1361111.11</v>
      </c>
      <c r="O990" s="1107">
        <f t="shared" si="186"/>
        <v>4083333.33</v>
      </c>
      <c r="P990" s="1107">
        <f t="shared" si="187"/>
        <v>326666.66639999999</v>
      </c>
      <c r="Q990" s="1107">
        <f t="shared" si="188"/>
        <v>4409999.9964000005</v>
      </c>
      <c r="R990" s="1108"/>
      <c r="S990" s="1083"/>
      <c r="T990" s="1083"/>
      <c r="U990" s="1083"/>
      <c r="V990" s="1083">
        <f t="shared" si="189"/>
        <v>4409999.9964000005</v>
      </c>
    </row>
    <row r="991" spans="1:23" s="1002" customFormat="1" hidden="1">
      <c r="A991" s="1000" t="s">
        <v>711</v>
      </c>
      <c r="B991" s="1001" t="s">
        <v>715</v>
      </c>
      <c r="C991" s="1076">
        <v>46192</v>
      </c>
      <c r="D991" s="1076"/>
      <c r="F991" s="1077" t="s">
        <v>247</v>
      </c>
      <c r="H991" s="1111" t="s">
        <v>462</v>
      </c>
      <c r="I991" s="1002" t="s">
        <v>463</v>
      </c>
      <c r="J991" s="1007" t="s">
        <v>424</v>
      </c>
      <c r="K991" s="1002" t="s">
        <v>425</v>
      </c>
      <c r="L991" s="572" t="s">
        <v>443</v>
      </c>
      <c r="M991" s="1182">
        <v>5</v>
      </c>
      <c r="N991" s="1081">
        <v>768518.52</v>
      </c>
      <c r="O991" s="1107">
        <f t="shared" si="186"/>
        <v>3842592.6</v>
      </c>
      <c r="P991" s="1107">
        <f t="shared" si="187"/>
        <v>307407.408</v>
      </c>
      <c r="Q991" s="1107">
        <f t="shared" si="188"/>
        <v>4150000.0079999999</v>
      </c>
      <c r="R991" s="1108"/>
      <c r="S991" s="1083"/>
      <c r="T991" s="1083"/>
      <c r="U991" s="1083"/>
      <c r="V991" s="1083">
        <f t="shared" si="189"/>
        <v>4150000.0079999999</v>
      </c>
    </row>
    <row r="992" spans="1:23" s="1002" customFormat="1" hidden="1">
      <c r="A992" s="1000" t="s">
        <v>711</v>
      </c>
      <c r="B992" s="1001" t="s">
        <v>715</v>
      </c>
      <c r="C992" s="1076">
        <v>46192</v>
      </c>
      <c r="D992" s="1076"/>
      <c r="F992" s="1077" t="s">
        <v>247</v>
      </c>
      <c r="H992" s="1111" t="s">
        <v>462</v>
      </c>
      <c r="I992" s="1002" t="s">
        <v>463</v>
      </c>
      <c r="J992" s="1007" t="s">
        <v>424</v>
      </c>
      <c r="K992" s="1002" t="s">
        <v>425</v>
      </c>
      <c r="L992" s="572" t="s">
        <v>443</v>
      </c>
      <c r="M992" s="1182">
        <v>20</v>
      </c>
      <c r="N992" s="1081">
        <v>768518.52</v>
      </c>
      <c r="O992" s="1107">
        <f t="shared" si="186"/>
        <v>15370370.4</v>
      </c>
      <c r="P992" s="1107">
        <f t="shared" si="187"/>
        <v>1229629.632</v>
      </c>
      <c r="Q992" s="1107">
        <f t="shared" si="188"/>
        <v>16600000.032</v>
      </c>
      <c r="R992" s="1108"/>
      <c r="S992" s="1083"/>
      <c r="T992" s="1083"/>
      <c r="U992" s="1083"/>
      <c r="V992" s="1083">
        <f t="shared" si="189"/>
        <v>16600000.032</v>
      </c>
    </row>
    <row r="993" spans="1:22" s="1002" customFormat="1" hidden="1">
      <c r="A993" s="1000" t="s">
        <v>711</v>
      </c>
      <c r="B993" s="1001" t="s">
        <v>715</v>
      </c>
      <c r="C993" s="1076" t="s">
        <v>247</v>
      </c>
      <c r="D993" s="1076"/>
      <c r="F993" s="1077" t="s">
        <v>449</v>
      </c>
      <c r="H993" s="1111" t="s">
        <v>467</v>
      </c>
      <c r="I993" s="1008" t="s">
        <v>463</v>
      </c>
      <c r="J993" s="1007" t="s">
        <v>58</v>
      </c>
      <c r="K993" s="1008" t="s">
        <v>59</v>
      </c>
      <c r="L993" s="1013" t="s">
        <v>18</v>
      </c>
      <c r="M993" s="1080">
        <v>7</v>
      </c>
      <c r="N993" s="1081">
        <v>1361111.11</v>
      </c>
      <c r="O993" s="1081">
        <f t="shared" si="186"/>
        <v>9527777.7700000014</v>
      </c>
      <c r="P993" s="1081">
        <f t="shared" si="187"/>
        <v>762222.22160000016</v>
      </c>
      <c r="Q993" s="1081">
        <f t="shared" si="188"/>
        <v>10289999.991600001</v>
      </c>
      <c r="R993" s="1108"/>
      <c r="S993" s="1083"/>
      <c r="T993" s="1083"/>
      <c r="U993" s="1083"/>
      <c r="V993" s="1083">
        <f t="shared" si="189"/>
        <v>10289999.991600001</v>
      </c>
    </row>
    <row r="994" spans="1:22" s="1002" customFormat="1" hidden="1">
      <c r="A994" s="1000" t="s">
        <v>711</v>
      </c>
      <c r="B994" s="1001" t="s">
        <v>715</v>
      </c>
      <c r="C994" s="1076" t="s">
        <v>449</v>
      </c>
      <c r="D994" s="1076"/>
      <c r="F994" s="1077" t="s">
        <v>295</v>
      </c>
      <c r="H994" s="1111" t="s">
        <v>468</v>
      </c>
      <c r="I994" s="1008" t="s">
        <v>463</v>
      </c>
      <c r="J994" s="1007" t="s">
        <v>194</v>
      </c>
      <c r="K994" s="1008" t="s">
        <v>276</v>
      </c>
      <c r="L994" s="1013" t="s">
        <v>18</v>
      </c>
      <c r="M994" s="1080">
        <v>3</v>
      </c>
      <c r="N994" s="1081">
        <v>1203703.7</v>
      </c>
      <c r="O994" s="1081">
        <f>N994*M994</f>
        <v>3611111.0999999996</v>
      </c>
      <c r="P994" s="1081">
        <f t="shared" si="187"/>
        <v>288888.88799999998</v>
      </c>
      <c r="Q994" s="1081">
        <f t="shared" si="188"/>
        <v>3899999.9879999994</v>
      </c>
      <c r="R994" s="1108"/>
      <c r="S994" s="1083"/>
      <c r="T994" s="1083"/>
      <c r="U994" s="1083"/>
      <c r="V994" s="1083">
        <f t="shared" si="189"/>
        <v>3899999.9879999994</v>
      </c>
    </row>
    <row r="995" spans="1:22" s="1002" customFormat="1" hidden="1">
      <c r="A995" s="1000" t="s">
        <v>711</v>
      </c>
      <c r="B995" s="1001" t="s">
        <v>715</v>
      </c>
      <c r="C995" s="1076" t="s">
        <v>449</v>
      </c>
      <c r="D995" s="1076"/>
      <c r="F995" s="1077" t="s">
        <v>295</v>
      </c>
      <c r="H995" s="1111" t="s">
        <v>468</v>
      </c>
      <c r="I995" s="1008" t="s">
        <v>463</v>
      </c>
      <c r="J995" s="1007" t="s">
        <v>58</v>
      </c>
      <c r="K995" s="1008" t="s">
        <v>59</v>
      </c>
      <c r="L995" s="1013" t="s">
        <v>18</v>
      </c>
      <c r="M995" s="1080">
        <v>3</v>
      </c>
      <c r="N995" s="1081">
        <v>1361111.11</v>
      </c>
      <c r="O995" s="1081">
        <f t="shared" ref="O995:O1010" si="190">N995*M995</f>
        <v>4083333.33</v>
      </c>
      <c r="P995" s="1081">
        <f t="shared" si="187"/>
        <v>326666.66639999999</v>
      </c>
      <c r="Q995" s="1081">
        <f t="shared" si="188"/>
        <v>4409999.9964000005</v>
      </c>
      <c r="R995" s="1108"/>
      <c r="S995" s="1083"/>
      <c r="T995" s="1083"/>
      <c r="U995" s="1083"/>
      <c r="V995" s="1083">
        <f t="shared" si="189"/>
        <v>4409999.9964000005</v>
      </c>
    </row>
    <row r="996" spans="1:22" s="1002" customFormat="1" hidden="1">
      <c r="A996" s="1000" t="s">
        <v>711</v>
      </c>
      <c r="B996" s="1001" t="s">
        <v>715</v>
      </c>
      <c r="C996" s="1076">
        <v>46302</v>
      </c>
      <c r="D996" s="1076"/>
      <c r="F996" s="1077">
        <v>46333</v>
      </c>
      <c r="H996" s="1111" t="s">
        <v>469</v>
      </c>
      <c r="I996" s="1008" t="s">
        <v>463</v>
      </c>
      <c r="J996" s="1007" t="s">
        <v>119</v>
      </c>
      <c r="K996" s="1052" t="s">
        <v>191</v>
      </c>
      <c r="L996" s="1013" t="s">
        <v>18</v>
      </c>
      <c r="M996" s="1080">
        <v>5</v>
      </c>
      <c r="N996" s="1081">
        <v>574074.06999999995</v>
      </c>
      <c r="O996" s="1081">
        <f t="shared" si="190"/>
        <v>2870370.3499999996</v>
      </c>
      <c r="P996" s="1081">
        <f t="shared" si="187"/>
        <v>229629.62799999997</v>
      </c>
      <c r="Q996" s="1081">
        <f t="shared" si="188"/>
        <v>3099999.9779999997</v>
      </c>
      <c r="R996" s="1108"/>
      <c r="S996" s="1083"/>
      <c r="T996" s="1083"/>
      <c r="U996" s="1083"/>
      <c r="V996" s="1083">
        <f t="shared" si="189"/>
        <v>3099999.9779999997</v>
      </c>
    </row>
    <row r="997" spans="1:22" s="1002" customFormat="1" hidden="1">
      <c r="A997" s="1000" t="s">
        <v>711</v>
      </c>
      <c r="B997" s="1001" t="s">
        <v>715</v>
      </c>
      <c r="C997" s="1076">
        <v>46302</v>
      </c>
      <c r="D997" s="1076"/>
      <c r="F997" s="1077">
        <v>46333</v>
      </c>
      <c r="H997" s="1111" t="s">
        <v>469</v>
      </c>
      <c r="I997" s="1008" t="s">
        <v>463</v>
      </c>
      <c r="J997" s="1007" t="s">
        <v>42</v>
      </c>
      <c r="K997" s="1052" t="s">
        <v>43</v>
      </c>
      <c r="L997" s="1013" t="s">
        <v>18</v>
      </c>
      <c r="M997" s="1080">
        <v>2</v>
      </c>
      <c r="N997" s="1081">
        <v>527777.78</v>
      </c>
      <c r="O997" s="1081">
        <f t="shared" si="190"/>
        <v>1055555.56</v>
      </c>
      <c r="P997" s="1081">
        <f t="shared" si="187"/>
        <v>84444.444800000012</v>
      </c>
      <c r="Q997" s="1081">
        <f t="shared" si="188"/>
        <v>1140000.0048</v>
      </c>
      <c r="R997" s="1108"/>
      <c r="S997" s="1083"/>
      <c r="T997" s="1083"/>
      <c r="U997" s="1083"/>
      <c r="V997" s="1083">
        <f t="shared" si="189"/>
        <v>1140000.0048</v>
      </c>
    </row>
    <row r="998" spans="1:22" s="1002" customFormat="1" hidden="1">
      <c r="A998" s="1000" t="s">
        <v>711</v>
      </c>
      <c r="B998" s="1001" t="s">
        <v>715</v>
      </c>
      <c r="C998" s="1076">
        <v>46302</v>
      </c>
      <c r="D998" s="1076"/>
      <c r="F998" s="1077">
        <v>46333</v>
      </c>
      <c r="H998" s="1111" t="s">
        <v>469</v>
      </c>
      <c r="I998" s="1008" t="s">
        <v>463</v>
      </c>
      <c r="J998" s="1007" t="s">
        <v>44</v>
      </c>
      <c r="K998" s="1052" t="s">
        <v>45</v>
      </c>
      <c r="L998" s="1013" t="s">
        <v>18</v>
      </c>
      <c r="M998" s="1080">
        <v>4</v>
      </c>
      <c r="N998" s="1081">
        <v>537037.04</v>
      </c>
      <c r="O998" s="1081">
        <f t="shared" si="190"/>
        <v>2148148.16</v>
      </c>
      <c r="P998" s="1081">
        <f t="shared" si="187"/>
        <v>171851.85280000002</v>
      </c>
      <c r="Q998" s="1081">
        <f t="shared" si="188"/>
        <v>2320000.0128000001</v>
      </c>
      <c r="R998" s="1108"/>
      <c r="S998" s="1083"/>
      <c r="T998" s="1083"/>
      <c r="U998" s="1083"/>
      <c r="V998" s="1083">
        <f t="shared" si="189"/>
        <v>2320000.0128000001</v>
      </c>
    </row>
    <row r="999" spans="1:22" s="1002" customFormat="1" hidden="1">
      <c r="A999" s="1000" t="s">
        <v>711</v>
      </c>
      <c r="B999" s="1001" t="s">
        <v>715</v>
      </c>
      <c r="C999" s="1076">
        <v>46302</v>
      </c>
      <c r="D999" s="1076"/>
      <c r="F999" s="1077">
        <v>46333</v>
      </c>
      <c r="H999" s="1111" t="s">
        <v>469</v>
      </c>
      <c r="I999" s="1008" t="s">
        <v>463</v>
      </c>
      <c r="J999" s="1007" t="s">
        <v>148</v>
      </c>
      <c r="K999" s="1052" t="s">
        <v>149</v>
      </c>
      <c r="L999" s="1013" t="s">
        <v>18</v>
      </c>
      <c r="M999" s="1080">
        <v>5</v>
      </c>
      <c r="N999" s="1081">
        <v>296296.3</v>
      </c>
      <c r="O999" s="1081">
        <f t="shared" si="190"/>
        <v>1481481.5</v>
      </c>
      <c r="P999" s="1081">
        <f t="shared" si="187"/>
        <v>118518.52</v>
      </c>
      <c r="Q999" s="1081">
        <f t="shared" si="188"/>
        <v>1600000.02</v>
      </c>
      <c r="R999" s="1108"/>
      <c r="S999" s="1083"/>
      <c r="T999" s="1083"/>
      <c r="U999" s="1083"/>
      <c r="V999" s="1083">
        <f t="shared" si="189"/>
        <v>1600000.02</v>
      </c>
    </row>
    <row r="1000" spans="1:22" s="1002" customFormat="1" hidden="1">
      <c r="A1000" s="1000" t="s">
        <v>711</v>
      </c>
      <c r="B1000" s="1001" t="s">
        <v>715</v>
      </c>
      <c r="C1000" s="1076">
        <v>46302</v>
      </c>
      <c r="D1000" s="1076"/>
      <c r="F1000" s="1077">
        <v>46333</v>
      </c>
      <c r="H1000" s="1111" t="s">
        <v>469</v>
      </c>
      <c r="I1000" s="1008" t="s">
        <v>463</v>
      </c>
      <c r="J1000" s="1007" t="s">
        <v>192</v>
      </c>
      <c r="K1000" s="1052" t="s">
        <v>193</v>
      </c>
      <c r="L1000" s="1013" t="s">
        <v>18</v>
      </c>
      <c r="M1000" s="1080">
        <v>10</v>
      </c>
      <c r="N1000" s="1081">
        <v>333333.33</v>
      </c>
      <c r="O1000" s="1081">
        <f t="shared" si="190"/>
        <v>3333333.3000000003</v>
      </c>
      <c r="P1000" s="1081">
        <f t="shared" si="187"/>
        <v>266666.66400000005</v>
      </c>
      <c r="Q1000" s="1081">
        <f t="shared" si="188"/>
        <v>3599999.9640000002</v>
      </c>
      <c r="R1000" s="1108"/>
      <c r="S1000" s="1083"/>
      <c r="T1000" s="1083"/>
      <c r="U1000" s="1083"/>
      <c r="V1000" s="1083">
        <f t="shared" si="189"/>
        <v>3599999.9640000002</v>
      </c>
    </row>
    <row r="1001" spans="1:22" s="1002" customFormat="1" hidden="1">
      <c r="A1001" s="1000" t="s">
        <v>711</v>
      </c>
      <c r="B1001" s="1001" t="s">
        <v>715</v>
      </c>
      <c r="C1001" s="1076">
        <v>46302</v>
      </c>
      <c r="D1001" s="1076"/>
      <c r="F1001" s="1077">
        <v>46333</v>
      </c>
      <c r="H1001" s="1111" t="s">
        <v>469</v>
      </c>
      <c r="I1001" s="1008" t="s">
        <v>463</v>
      </c>
      <c r="J1001" s="1007" t="s">
        <v>46</v>
      </c>
      <c r="K1001" s="1008" t="s">
        <v>47</v>
      </c>
      <c r="L1001" s="1013" t="s">
        <v>18</v>
      </c>
      <c r="M1001" s="1080">
        <v>6</v>
      </c>
      <c r="N1001" s="1081">
        <v>240740.74</v>
      </c>
      <c r="O1001" s="1081">
        <f t="shared" si="190"/>
        <v>1444444.44</v>
      </c>
      <c r="P1001" s="1081">
        <f t="shared" si="187"/>
        <v>115555.5552</v>
      </c>
      <c r="Q1001" s="1081">
        <f t="shared" si="188"/>
        <v>1559999.9952</v>
      </c>
      <c r="R1001" s="1108"/>
      <c r="S1001" s="1083"/>
      <c r="T1001" s="1083"/>
      <c r="U1001" s="1083"/>
      <c r="V1001" s="1083">
        <f t="shared" si="189"/>
        <v>1559999.9952</v>
      </c>
    </row>
    <row r="1002" spans="1:22" s="1002" customFormat="1" hidden="1">
      <c r="A1002" s="1000" t="s">
        <v>711</v>
      </c>
      <c r="B1002" s="1001" t="s">
        <v>715</v>
      </c>
      <c r="C1002" s="1076" t="s">
        <v>470</v>
      </c>
      <c r="D1002" s="1076"/>
      <c r="F1002" s="1077" t="s">
        <v>106</v>
      </c>
      <c r="H1002" s="1111" t="s">
        <v>471</v>
      </c>
      <c r="I1002" s="1008" t="s">
        <v>463</v>
      </c>
      <c r="J1002" s="1007" t="s">
        <v>119</v>
      </c>
      <c r="K1002" s="1052" t="s">
        <v>191</v>
      </c>
      <c r="L1002" s="1013" t="s">
        <v>18</v>
      </c>
      <c r="M1002" s="1080">
        <v>4</v>
      </c>
      <c r="N1002" s="1081">
        <v>574074.06999999995</v>
      </c>
      <c r="O1002" s="1081">
        <f t="shared" si="190"/>
        <v>2296296.2799999998</v>
      </c>
      <c r="P1002" s="1081">
        <f t="shared" si="187"/>
        <v>183703.70239999998</v>
      </c>
      <c r="Q1002" s="1081">
        <f t="shared" si="188"/>
        <v>2479999.9823999996</v>
      </c>
      <c r="R1002" s="1108"/>
      <c r="S1002" s="1083"/>
      <c r="T1002" s="1083"/>
      <c r="U1002" s="1083"/>
      <c r="V1002" s="1083">
        <f t="shared" si="189"/>
        <v>2479999.9823999996</v>
      </c>
    </row>
    <row r="1003" spans="1:22" s="1002" customFormat="1" hidden="1">
      <c r="A1003" s="1000" t="s">
        <v>711</v>
      </c>
      <c r="B1003" s="1001" t="s">
        <v>715</v>
      </c>
      <c r="C1003" s="1076" t="s">
        <v>470</v>
      </c>
      <c r="D1003" s="1076"/>
      <c r="F1003" s="1077" t="s">
        <v>106</v>
      </c>
      <c r="H1003" s="1111" t="s">
        <v>471</v>
      </c>
      <c r="I1003" s="1008" t="s">
        <v>463</v>
      </c>
      <c r="J1003" s="1007" t="s">
        <v>42</v>
      </c>
      <c r="K1003" s="1052" t="s">
        <v>43</v>
      </c>
      <c r="L1003" s="1013" t="s">
        <v>18</v>
      </c>
      <c r="M1003" s="1080">
        <v>2</v>
      </c>
      <c r="N1003" s="1081">
        <v>527777.78</v>
      </c>
      <c r="O1003" s="1081">
        <f t="shared" si="190"/>
        <v>1055555.56</v>
      </c>
      <c r="P1003" s="1081">
        <f t="shared" si="187"/>
        <v>84444.444800000012</v>
      </c>
      <c r="Q1003" s="1081">
        <f t="shared" si="188"/>
        <v>1140000.0048</v>
      </c>
      <c r="R1003" s="1108"/>
      <c r="S1003" s="1083"/>
      <c r="T1003" s="1083"/>
      <c r="U1003" s="1083"/>
      <c r="V1003" s="1083">
        <f t="shared" si="189"/>
        <v>1140000.0048</v>
      </c>
    </row>
    <row r="1004" spans="1:22" s="1002" customFormat="1" hidden="1">
      <c r="A1004" s="1000" t="s">
        <v>711</v>
      </c>
      <c r="B1004" s="1001" t="s">
        <v>715</v>
      </c>
      <c r="C1004" s="1076" t="s">
        <v>470</v>
      </c>
      <c r="D1004" s="1076"/>
      <c r="F1004" s="1077" t="s">
        <v>106</v>
      </c>
      <c r="H1004" s="1111" t="s">
        <v>471</v>
      </c>
      <c r="I1004" s="1008" t="s">
        <v>463</v>
      </c>
      <c r="J1004" s="1007" t="s">
        <v>44</v>
      </c>
      <c r="K1004" s="1052" t="s">
        <v>45</v>
      </c>
      <c r="L1004" s="1013" t="s">
        <v>18</v>
      </c>
      <c r="M1004" s="1080">
        <v>2</v>
      </c>
      <c r="N1004" s="1081">
        <v>537037.04</v>
      </c>
      <c r="O1004" s="1081">
        <f t="shared" si="190"/>
        <v>1074074.08</v>
      </c>
      <c r="P1004" s="1081">
        <f t="shared" si="187"/>
        <v>85925.926400000011</v>
      </c>
      <c r="Q1004" s="1081">
        <f t="shared" si="188"/>
        <v>1160000.0064000001</v>
      </c>
      <c r="R1004" s="1108"/>
      <c r="S1004" s="1083"/>
      <c r="T1004" s="1083"/>
      <c r="U1004" s="1083"/>
      <c r="V1004" s="1083">
        <f t="shared" si="189"/>
        <v>1160000.0064000001</v>
      </c>
    </row>
    <row r="1005" spans="1:22" s="1002" customFormat="1" hidden="1">
      <c r="A1005" s="1000" t="s">
        <v>711</v>
      </c>
      <c r="B1005" s="1001" t="s">
        <v>715</v>
      </c>
      <c r="C1005" s="1076" t="s">
        <v>470</v>
      </c>
      <c r="D1005" s="1076"/>
      <c r="F1005" s="1077" t="s">
        <v>106</v>
      </c>
      <c r="H1005" s="1111" t="s">
        <v>471</v>
      </c>
      <c r="I1005" s="1008" t="s">
        <v>463</v>
      </c>
      <c r="J1005" s="1007" t="s">
        <v>148</v>
      </c>
      <c r="K1005" s="1052" t="s">
        <v>149</v>
      </c>
      <c r="L1005" s="1013" t="s">
        <v>18</v>
      </c>
      <c r="M1005" s="1080">
        <v>2</v>
      </c>
      <c r="N1005" s="1081">
        <v>296296.3</v>
      </c>
      <c r="O1005" s="1081">
        <f t="shared" si="190"/>
        <v>592592.6</v>
      </c>
      <c r="P1005" s="1081">
        <f t="shared" si="187"/>
        <v>47407.407999999996</v>
      </c>
      <c r="Q1005" s="1081">
        <f t="shared" si="188"/>
        <v>640000.00799999991</v>
      </c>
      <c r="R1005" s="1108"/>
      <c r="S1005" s="1083"/>
      <c r="T1005" s="1083"/>
      <c r="U1005" s="1083"/>
      <c r="V1005" s="1083">
        <f t="shared" si="189"/>
        <v>640000.00799999991</v>
      </c>
    </row>
    <row r="1006" spans="1:22" s="1002" customFormat="1" hidden="1">
      <c r="A1006" s="1000" t="s">
        <v>711</v>
      </c>
      <c r="B1006" s="1001" t="s">
        <v>715</v>
      </c>
      <c r="C1006" s="1076" t="s">
        <v>470</v>
      </c>
      <c r="D1006" s="1076"/>
      <c r="F1006" s="1077" t="s">
        <v>106</v>
      </c>
      <c r="H1006" s="1111" t="s">
        <v>471</v>
      </c>
      <c r="I1006" s="1008" t="s">
        <v>463</v>
      </c>
      <c r="J1006" s="1007" t="s">
        <v>46</v>
      </c>
      <c r="K1006" s="1008" t="s">
        <v>47</v>
      </c>
      <c r="L1006" s="1013" t="s">
        <v>18</v>
      </c>
      <c r="M1006" s="1080">
        <v>4</v>
      </c>
      <c r="N1006" s="1081">
        <v>240740.74</v>
      </c>
      <c r="O1006" s="1081">
        <f t="shared" si="190"/>
        <v>962962.96</v>
      </c>
      <c r="P1006" s="1081">
        <f t="shared" si="187"/>
        <v>77037.036800000002</v>
      </c>
      <c r="Q1006" s="1081">
        <f t="shared" si="188"/>
        <v>1039999.9968</v>
      </c>
      <c r="R1006" s="1108"/>
      <c r="S1006" s="1083"/>
      <c r="T1006" s="1083"/>
      <c r="U1006" s="1083"/>
      <c r="V1006" s="1083">
        <f t="shared" si="189"/>
        <v>1039999.9968</v>
      </c>
    </row>
    <row r="1007" spans="1:22" s="1002" customFormat="1" hidden="1">
      <c r="A1007" s="1000" t="s">
        <v>711</v>
      </c>
      <c r="B1007" s="1001" t="s">
        <v>715</v>
      </c>
      <c r="C1007" s="1066" t="s">
        <v>470</v>
      </c>
      <c r="D1007" s="1066"/>
      <c r="F1007" s="1077" t="s">
        <v>106</v>
      </c>
      <c r="H1007" s="1111" t="s">
        <v>471</v>
      </c>
      <c r="I1007" s="1008" t="s">
        <v>463</v>
      </c>
      <c r="J1007" s="1007" t="s">
        <v>58</v>
      </c>
      <c r="K1007" s="1002" t="s">
        <v>59</v>
      </c>
      <c r="L1007" s="572" t="s">
        <v>465</v>
      </c>
      <c r="M1007" s="1182">
        <v>3</v>
      </c>
      <c r="N1007" s="1081">
        <v>1361111.11</v>
      </c>
      <c r="O1007" s="1107">
        <f t="shared" si="190"/>
        <v>4083333.33</v>
      </c>
      <c r="P1007" s="1107">
        <f t="shared" si="187"/>
        <v>326666.66639999999</v>
      </c>
      <c r="Q1007" s="1107">
        <f t="shared" si="188"/>
        <v>4409999.9964000005</v>
      </c>
      <c r="R1007" s="1108"/>
      <c r="S1007" s="1083"/>
      <c r="T1007" s="1083"/>
      <c r="U1007" s="1083"/>
      <c r="V1007" s="1083">
        <f t="shared" si="189"/>
        <v>4409999.9964000005</v>
      </c>
    </row>
    <row r="1008" spans="1:22" s="1002" customFormat="1" hidden="1">
      <c r="A1008" s="1000" t="s">
        <v>711</v>
      </c>
      <c r="B1008" s="1001" t="s">
        <v>715</v>
      </c>
      <c r="C1008" s="1066" t="s">
        <v>106</v>
      </c>
      <c r="D1008" s="1066"/>
      <c r="F1008" s="1077" t="s">
        <v>106</v>
      </c>
      <c r="H1008" s="1111" t="s">
        <v>472</v>
      </c>
      <c r="I1008" s="1008" t="s">
        <v>463</v>
      </c>
      <c r="J1008" s="1007" t="s">
        <v>58</v>
      </c>
      <c r="K1008" s="1002" t="s">
        <v>59</v>
      </c>
      <c r="L1008" s="572" t="s">
        <v>465</v>
      </c>
      <c r="M1008" s="1182">
        <v>3</v>
      </c>
      <c r="N1008" s="1081">
        <v>1361111.11</v>
      </c>
      <c r="O1008" s="1107">
        <f t="shared" si="190"/>
        <v>4083333.33</v>
      </c>
      <c r="P1008" s="1107">
        <f t="shared" si="187"/>
        <v>326666.66639999999</v>
      </c>
      <c r="Q1008" s="1107">
        <f t="shared" si="188"/>
        <v>4409999.9964000005</v>
      </c>
      <c r="R1008" s="1108"/>
      <c r="S1008" s="1083"/>
      <c r="T1008" s="1083"/>
      <c r="U1008" s="1083"/>
      <c r="V1008" s="1083">
        <f t="shared" si="189"/>
        <v>4409999.9964000005</v>
      </c>
    </row>
    <row r="1009" spans="1:23" s="1002" customFormat="1" hidden="1">
      <c r="A1009" s="1000" t="s">
        <v>711</v>
      </c>
      <c r="B1009" s="1001" t="s">
        <v>715</v>
      </c>
      <c r="C1009" s="1066" t="s">
        <v>106</v>
      </c>
      <c r="D1009" s="1066"/>
      <c r="F1009" s="1077" t="s">
        <v>106</v>
      </c>
      <c r="H1009" s="1111" t="s">
        <v>472</v>
      </c>
      <c r="I1009" s="1008" t="s">
        <v>463</v>
      </c>
      <c r="J1009" s="1007" t="s">
        <v>44</v>
      </c>
      <c r="K1009" s="1052" t="s">
        <v>45</v>
      </c>
      <c r="L1009" s="1013" t="s">
        <v>18</v>
      </c>
      <c r="M1009" s="1080">
        <v>2</v>
      </c>
      <c r="N1009" s="1081">
        <v>537037.04</v>
      </c>
      <c r="O1009" s="1081">
        <f t="shared" si="190"/>
        <v>1074074.08</v>
      </c>
      <c r="P1009" s="1081">
        <f t="shared" si="187"/>
        <v>85925.926400000011</v>
      </c>
      <c r="Q1009" s="1081">
        <f t="shared" si="188"/>
        <v>1160000.0064000001</v>
      </c>
      <c r="R1009" s="1108"/>
      <c r="S1009" s="1083"/>
      <c r="T1009" s="1083"/>
      <c r="U1009" s="1083"/>
      <c r="V1009" s="1083">
        <f t="shared" si="189"/>
        <v>1160000.0064000001</v>
      </c>
    </row>
    <row r="1010" spans="1:23" s="1002" customFormat="1" hidden="1">
      <c r="A1010" s="1000" t="s">
        <v>711</v>
      </c>
      <c r="B1010" s="1001" t="s">
        <v>715</v>
      </c>
      <c r="C1010" s="1066" t="s">
        <v>106</v>
      </c>
      <c r="D1010" s="1066"/>
      <c r="F1010" s="1077" t="s">
        <v>106</v>
      </c>
      <c r="H1010" s="1111" t="s">
        <v>472</v>
      </c>
      <c r="I1010" s="1008" t="s">
        <v>463</v>
      </c>
      <c r="J1010" s="1007" t="s">
        <v>192</v>
      </c>
      <c r="K1010" s="1052" t="s">
        <v>193</v>
      </c>
      <c r="L1010" s="1013" t="s">
        <v>18</v>
      </c>
      <c r="M1010" s="1080">
        <v>2</v>
      </c>
      <c r="N1010" s="1081">
        <v>333333.33</v>
      </c>
      <c r="O1010" s="1081">
        <f t="shared" si="190"/>
        <v>666666.66</v>
      </c>
      <c r="P1010" s="1081">
        <f t="shared" si="187"/>
        <v>53333.332800000004</v>
      </c>
      <c r="Q1010" s="1081">
        <f t="shared" si="188"/>
        <v>719999.99280000001</v>
      </c>
      <c r="R1010" s="1108"/>
      <c r="S1010" s="1083"/>
      <c r="T1010" s="1083"/>
      <c r="U1010" s="1083"/>
      <c r="V1010" s="1083">
        <f t="shared" si="189"/>
        <v>719999.99280000001</v>
      </c>
    </row>
    <row r="1011" spans="1:23" s="1008" customFormat="1" hidden="1">
      <c r="A1011" s="1001" t="s">
        <v>711</v>
      </c>
      <c r="B1011" s="1001" t="s">
        <v>715</v>
      </c>
      <c r="C1011" s="1066" t="s">
        <v>854</v>
      </c>
      <c r="D1011" s="1066"/>
      <c r="F1011" s="1077"/>
      <c r="H1011" s="1111"/>
      <c r="I1011" s="1008" t="s">
        <v>844</v>
      </c>
      <c r="J1011" s="1007"/>
      <c r="K1011" s="1013"/>
      <c r="M1011" s="1093"/>
      <c r="N1011" s="1081"/>
      <c r="O1011" s="1081">
        <f>M1011*N1011</f>
        <v>0</v>
      </c>
      <c r="P1011" s="1081">
        <f t="shared" si="187"/>
        <v>0</v>
      </c>
      <c r="Q1011" s="1081">
        <f t="shared" si="188"/>
        <v>0</v>
      </c>
      <c r="R1011" s="1108">
        <v>40000000</v>
      </c>
      <c r="S1011" s="1082"/>
      <c r="T1011" s="1082"/>
      <c r="U1011" s="1082"/>
      <c r="V1011" s="1082">
        <f t="shared" si="189"/>
        <v>-40000000</v>
      </c>
    </row>
    <row r="1012" spans="1:23" s="1002" customFormat="1" hidden="1">
      <c r="A1012" s="1000" t="s">
        <v>1003</v>
      </c>
      <c r="B1012" s="1028" t="s">
        <v>1495</v>
      </c>
      <c r="C1012" s="1066">
        <v>46237</v>
      </c>
      <c r="D1012" s="1066"/>
      <c r="E1012" s="1002" t="s">
        <v>1021</v>
      </c>
      <c r="F1012" s="1077"/>
      <c r="H1012" s="1111"/>
      <c r="I1012" s="1002" t="s">
        <v>891</v>
      </c>
      <c r="J1012" s="1007" t="s">
        <v>85</v>
      </c>
      <c r="K1012" s="1053" t="s">
        <v>86</v>
      </c>
      <c r="L1012" s="1002" t="s">
        <v>113</v>
      </c>
      <c r="M1012" s="1093">
        <v>-100</v>
      </c>
      <c r="N1012" s="1081">
        <v>509259.26</v>
      </c>
      <c r="O1012" s="1082">
        <f t="shared" ref="O1012:O1076" si="191">M1012*N1012</f>
        <v>-50925926</v>
      </c>
      <c r="P1012" s="1082">
        <f t="shared" ref="P1012:P1076" si="192">O1012*8%</f>
        <v>-4074074.08</v>
      </c>
      <c r="Q1012" s="1081">
        <f>O1012+P1012</f>
        <v>-55000000.079999998</v>
      </c>
      <c r="R1012" s="1083"/>
      <c r="S1012" s="1083"/>
      <c r="T1012" s="1083"/>
      <c r="U1012" s="1083"/>
      <c r="V1012" s="1083">
        <f t="shared" si="189"/>
        <v>-55000000.079999998</v>
      </c>
      <c r="W1012" s="1049" t="s">
        <v>984</v>
      </c>
    </row>
    <row r="1013" spans="1:23" s="1002" customFormat="1" ht="47.25" hidden="1">
      <c r="A1013" s="1000" t="s">
        <v>1004</v>
      </c>
      <c r="B1013" s="1028" t="s">
        <v>888</v>
      </c>
      <c r="C1013" s="1066">
        <v>46237</v>
      </c>
      <c r="D1013" s="1066"/>
      <c r="E1013" s="1002" t="s">
        <v>658</v>
      </c>
      <c r="F1013" s="1077"/>
      <c r="H1013" s="1111"/>
      <c r="I1013" s="1052" t="s">
        <v>890</v>
      </c>
      <c r="J1013" s="1019" t="s">
        <v>85</v>
      </c>
      <c r="K1013" s="1052" t="s">
        <v>86</v>
      </c>
      <c r="L1013" s="1002" t="s">
        <v>113</v>
      </c>
      <c r="M1013" s="1205">
        <v>100</v>
      </c>
      <c r="N1013" s="1081">
        <v>509259.26</v>
      </c>
      <c r="O1013" s="1082">
        <f t="shared" si="191"/>
        <v>50925926</v>
      </c>
      <c r="P1013" s="1082">
        <f t="shared" si="192"/>
        <v>4074074.08</v>
      </c>
      <c r="Q1013" s="1206">
        <f t="shared" ref="Q1013:Q1076" si="193">O1013+P1013</f>
        <v>55000000.079999998</v>
      </c>
      <c r="R1013" s="1083"/>
      <c r="S1013" s="1083"/>
      <c r="T1013" s="1083"/>
      <c r="U1013" s="1083"/>
      <c r="V1013" s="1083">
        <f t="shared" si="189"/>
        <v>55000000.079999998</v>
      </c>
      <c r="W1013" s="1049" t="s">
        <v>982</v>
      </c>
    </row>
    <row r="1014" spans="1:23" s="1002" customFormat="1" hidden="1">
      <c r="A1014" s="1000" t="s">
        <v>1004</v>
      </c>
      <c r="B1014" s="1028" t="s">
        <v>888</v>
      </c>
      <c r="C1014" s="1066">
        <v>46237</v>
      </c>
      <c r="D1014" s="1066"/>
      <c r="E1014" s="1002" t="s">
        <v>659</v>
      </c>
      <c r="F1014" s="1077"/>
      <c r="H1014" s="1111"/>
      <c r="I1014" s="1002" t="s">
        <v>891</v>
      </c>
      <c r="J1014" s="1019" t="s">
        <v>85</v>
      </c>
      <c r="K1014" s="1052" t="s">
        <v>86</v>
      </c>
      <c r="L1014" s="1002" t="s">
        <v>113</v>
      </c>
      <c r="M1014" s="1205">
        <v>-140</v>
      </c>
      <c r="N1014" s="1081">
        <v>509259.26</v>
      </c>
      <c r="O1014" s="1082">
        <f t="shared" si="191"/>
        <v>-71296296.400000006</v>
      </c>
      <c r="P1014" s="1082">
        <f t="shared" si="192"/>
        <v>-5703703.7120000003</v>
      </c>
      <c r="Q1014" s="1082">
        <f t="shared" si="193"/>
        <v>-77000000.112000003</v>
      </c>
      <c r="R1014" s="1083"/>
      <c r="S1014" s="1083"/>
      <c r="T1014" s="1083"/>
      <c r="U1014" s="1083"/>
      <c r="V1014" s="1083">
        <f t="shared" si="189"/>
        <v>-77000000.112000003</v>
      </c>
    </row>
    <row r="1015" spans="1:23" s="1002" customFormat="1" hidden="1">
      <c r="A1015" s="1000" t="s">
        <v>1004</v>
      </c>
      <c r="B1015" s="1028" t="s">
        <v>888</v>
      </c>
      <c r="C1015" s="1066">
        <v>46237</v>
      </c>
      <c r="D1015" s="1066"/>
      <c r="E1015" s="1002" t="s">
        <v>638</v>
      </c>
      <c r="F1015" s="1077">
        <v>46298</v>
      </c>
      <c r="G1015" s="1002" t="s">
        <v>1380</v>
      </c>
      <c r="H1015" s="1085" t="s">
        <v>1379</v>
      </c>
      <c r="I1015" s="1008" t="s">
        <v>889</v>
      </c>
      <c r="J1015" s="1007" t="s">
        <v>639</v>
      </c>
      <c r="K1015" s="1052" t="s">
        <v>640</v>
      </c>
      <c r="L1015" s="1002" t="s">
        <v>113</v>
      </c>
      <c r="M1015" s="1086">
        <v>30</v>
      </c>
      <c r="N1015" s="1081">
        <v>542592.59</v>
      </c>
      <c r="O1015" s="1082">
        <f t="shared" si="191"/>
        <v>16277777.699999999</v>
      </c>
      <c r="P1015" s="1082">
        <f>O1015*8%</f>
        <v>1302222.216</v>
      </c>
      <c r="Q1015" s="1206">
        <f>O1015+P1015</f>
        <v>17579999.916000001</v>
      </c>
      <c r="R1015" s="1083"/>
      <c r="S1015" s="1083"/>
      <c r="T1015" s="1083"/>
      <c r="U1015" s="1083"/>
      <c r="V1015" s="1083">
        <f t="shared" si="189"/>
        <v>17579999.916000001</v>
      </c>
    </row>
    <row r="1016" spans="1:23" s="1002" customFormat="1" hidden="1">
      <c r="A1016" s="1000" t="s">
        <v>1004</v>
      </c>
      <c r="B1016" s="1028" t="s">
        <v>888</v>
      </c>
      <c r="C1016" s="1066">
        <v>46237</v>
      </c>
      <c r="D1016" s="1066"/>
      <c r="E1016" s="1002" t="s">
        <v>638</v>
      </c>
      <c r="F1016" s="1077">
        <v>46298</v>
      </c>
      <c r="G1016" s="1002" t="s">
        <v>1380</v>
      </c>
      <c r="H1016" s="1085" t="s">
        <v>1379</v>
      </c>
      <c r="I1016" s="1008" t="s">
        <v>889</v>
      </c>
      <c r="J1016" s="1007" t="s">
        <v>641</v>
      </c>
      <c r="K1016" s="1052" t="s">
        <v>642</v>
      </c>
      <c r="L1016" s="1002" t="s">
        <v>113</v>
      </c>
      <c r="M1016" s="1086">
        <v>15</v>
      </c>
      <c r="N1016" s="1081">
        <v>644444.43999999994</v>
      </c>
      <c r="O1016" s="1082">
        <f t="shared" si="191"/>
        <v>9666666.5999999996</v>
      </c>
      <c r="P1016" s="1082">
        <f t="shared" si="192"/>
        <v>773333.32799999998</v>
      </c>
      <c r="Q1016" s="1206">
        <f t="shared" si="193"/>
        <v>10439999.927999999</v>
      </c>
      <c r="R1016" s="1083"/>
      <c r="S1016" s="1083"/>
      <c r="T1016" s="1083"/>
      <c r="U1016" s="1083"/>
      <c r="V1016" s="1083">
        <f t="shared" si="189"/>
        <v>10439999.927999999</v>
      </c>
    </row>
    <row r="1017" spans="1:23" s="1002" customFormat="1" hidden="1">
      <c r="A1017" s="1000" t="s">
        <v>1004</v>
      </c>
      <c r="B1017" s="1028" t="s">
        <v>888</v>
      </c>
      <c r="C1017" s="1066">
        <v>46237</v>
      </c>
      <c r="D1017" s="1066"/>
      <c r="E1017" s="1002" t="s">
        <v>638</v>
      </c>
      <c r="F1017" s="1077">
        <v>46298</v>
      </c>
      <c r="G1017" s="1002" t="s">
        <v>1380</v>
      </c>
      <c r="H1017" s="1085" t="s">
        <v>1379</v>
      </c>
      <c r="I1017" s="1008" t="s">
        <v>889</v>
      </c>
      <c r="J1017" s="1007" t="s">
        <v>643</v>
      </c>
      <c r="K1017" s="1052" t="s">
        <v>644</v>
      </c>
      <c r="L1017" s="1002" t="s">
        <v>113</v>
      </c>
      <c r="M1017" s="1086">
        <v>30</v>
      </c>
      <c r="N1017" s="1081">
        <v>527777.77</v>
      </c>
      <c r="O1017" s="1082">
        <f t="shared" si="191"/>
        <v>15833333.100000001</v>
      </c>
      <c r="P1017" s="1082">
        <f t="shared" si="192"/>
        <v>1266666.648</v>
      </c>
      <c r="Q1017" s="1206">
        <f t="shared" si="193"/>
        <v>17099999.748000003</v>
      </c>
      <c r="R1017" s="1083"/>
      <c r="S1017" s="1083"/>
      <c r="T1017" s="1083"/>
      <c r="U1017" s="1083"/>
      <c r="V1017" s="1083">
        <f t="shared" si="189"/>
        <v>17099999.748000003</v>
      </c>
    </row>
    <row r="1018" spans="1:23" s="1002" customFormat="1" hidden="1">
      <c r="A1018" s="1000" t="s">
        <v>1004</v>
      </c>
      <c r="B1018" s="1028" t="s">
        <v>888</v>
      </c>
      <c r="C1018" s="1066">
        <v>46237</v>
      </c>
      <c r="D1018" s="1066"/>
      <c r="E1018" s="1002" t="s">
        <v>638</v>
      </c>
      <c r="F1018" s="1077">
        <v>46298</v>
      </c>
      <c r="G1018" s="1002" t="s">
        <v>1380</v>
      </c>
      <c r="H1018" s="1085" t="s">
        <v>1379</v>
      </c>
      <c r="I1018" s="1008" t="s">
        <v>889</v>
      </c>
      <c r="J1018" s="1007" t="s">
        <v>645</v>
      </c>
      <c r="K1018" s="1052" t="s">
        <v>646</v>
      </c>
      <c r="L1018" s="1002" t="s">
        <v>113</v>
      </c>
      <c r="M1018" s="1086">
        <v>15</v>
      </c>
      <c r="N1018" s="1081">
        <v>629629.63</v>
      </c>
      <c r="O1018" s="1082">
        <f t="shared" si="191"/>
        <v>9444444.4499999993</v>
      </c>
      <c r="P1018" s="1082">
        <f t="shared" si="192"/>
        <v>755555.55599999998</v>
      </c>
      <c r="Q1018" s="1206">
        <f t="shared" si="193"/>
        <v>10200000.005999999</v>
      </c>
      <c r="R1018" s="1083"/>
      <c r="S1018" s="1083"/>
      <c r="T1018" s="1083"/>
      <c r="U1018" s="1083"/>
      <c r="V1018" s="1083">
        <f t="shared" si="189"/>
        <v>10200000.005999999</v>
      </c>
    </row>
    <row r="1019" spans="1:23" s="1002" customFormat="1" hidden="1">
      <c r="A1019" s="1000" t="s">
        <v>1004</v>
      </c>
      <c r="B1019" s="1028" t="s">
        <v>888</v>
      </c>
      <c r="C1019" s="1066">
        <v>46237</v>
      </c>
      <c r="D1019" s="1066"/>
      <c r="E1019" s="1002" t="s">
        <v>638</v>
      </c>
      <c r="F1019" s="1077">
        <v>46298</v>
      </c>
      <c r="G1019" s="1002" t="s">
        <v>1380</v>
      </c>
      <c r="H1019" s="1085" t="s">
        <v>1379</v>
      </c>
      <c r="I1019" s="1008" t="s">
        <v>889</v>
      </c>
      <c r="J1019" s="1007" t="s">
        <v>647</v>
      </c>
      <c r="K1019" s="1052" t="s">
        <v>648</v>
      </c>
      <c r="L1019" s="1002" t="s">
        <v>113</v>
      </c>
      <c r="M1019" s="1086">
        <v>4</v>
      </c>
      <c r="N1019" s="1081">
        <v>601851.85</v>
      </c>
      <c r="O1019" s="1082">
        <f t="shared" si="191"/>
        <v>2407407.4</v>
      </c>
      <c r="P1019" s="1082">
        <f t="shared" si="192"/>
        <v>192592.592</v>
      </c>
      <c r="Q1019" s="1206">
        <f t="shared" si="193"/>
        <v>2599999.9920000001</v>
      </c>
      <c r="R1019" s="1083"/>
      <c r="S1019" s="1083"/>
      <c r="T1019" s="1083"/>
      <c r="U1019" s="1083"/>
      <c r="V1019" s="1083">
        <f t="shared" si="189"/>
        <v>2599999.9920000001</v>
      </c>
    </row>
    <row r="1020" spans="1:23" s="1002" customFormat="1" hidden="1">
      <c r="A1020" s="1000" t="s">
        <v>1004</v>
      </c>
      <c r="B1020" s="1028" t="s">
        <v>888</v>
      </c>
      <c r="C1020" s="1066">
        <v>46237</v>
      </c>
      <c r="D1020" s="1066"/>
      <c r="E1020" s="1002" t="s">
        <v>638</v>
      </c>
      <c r="F1020" s="1077">
        <v>46298</v>
      </c>
      <c r="G1020" s="1002" t="s">
        <v>1380</v>
      </c>
      <c r="H1020" s="1085" t="s">
        <v>1379</v>
      </c>
      <c r="I1020" s="1008" t="s">
        <v>889</v>
      </c>
      <c r="J1020" s="1007" t="s">
        <v>649</v>
      </c>
      <c r="K1020" s="1008" t="s">
        <v>650</v>
      </c>
      <c r="L1020" s="1002" t="s">
        <v>113</v>
      </c>
      <c r="M1020" s="1086">
        <v>30</v>
      </c>
      <c r="N1020" s="1081">
        <v>574074.06999999995</v>
      </c>
      <c r="O1020" s="1082">
        <f t="shared" si="191"/>
        <v>17222222.099999998</v>
      </c>
      <c r="P1020" s="1082">
        <f t="shared" si="192"/>
        <v>1377777.7679999999</v>
      </c>
      <c r="Q1020" s="1206">
        <f t="shared" si="193"/>
        <v>18599999.867999997</v>
      </c>
      <c r="R1020" s="1083"/>
      <c r="S1020" s="1083"/>
      <c r="T1020" s="1083"/>
      <c r="U1020" s="1083"/>
      <c r="V1020" s="1083">
        <f t="shared" si="189"/>
        <v>18599999.867999997</v>
      </c>
    </row>
    <row r="1021" spans="1:23" s="1002" customFormat="1" hidden="1">
      <c r="A1021" s="1000" t="s">
        <v>1004</v>
      </c>
      <c r="B1021" s="1028" t="s">
        <v>888</v>
      </c>
      <c r="C1021" s="1066">
        <v>46237</v>
      </c>
      <c r="D1021" s="1066"/>
      <c r="E1021" s="1002" t="s">
        <v>638</v>
      </c>
      <c r="F1021" s="1077">
        <v>46298</v>
      </c>
      <c r="G1021" s="1002" t="s">
        <v>1380</v>
      </c>
      <c r="H1021" s="1085" t="s">
        <v>1379</v>
      </c>
      <c r="I1021" s="1008" t="s">
        <v>889</v>
      </c>
      <c r="J1021" s="1007" t="s">
        <v>651</v>
      </c>
      <c r="K1021" s="1052" t="s">
        <v>652</v>
      </c>
      <c r="L1021" s="1002" t="s">
        <v>113</v>
      </c>
      <c r="M1021" s="1086">
        <v>15</v>
      </c>
      <c r="N1021" s="1081">
        <v>694444.44</v>
      </c>
      <c r="O1021" s="1082">
        <f t="shared" si="191"/>
        <v>10416666.6</v>
      </c>
      <c r="P1021" s="1082">
        <f t="shared" si="192"/>
        <v>833333.32799999998</v>
      </c>
      <c r="Q1021" s="1206">
        <f t="shared" si="193"/>
        <v>11249999.927999999</v>
      </c>
      <c r="R1021" s="1083"/>
      <c r="S1021" s="1083"/>
      <c r="T1021" s="1083"/>
      <c r="U1021" s="1083"/>
      <c r="V1021" s="1083">
        <f t="shared" si="189"/>
        <v>11249999.927999999</v>
      </c>
    </row>
    <row r="1022" spans="1:23" s="1002" customFormat="1" hidden="1">
      <c r="A1022" s="1000" t="s">
        <v>1004</v>
      </c>
      <c r="B1022" s="1028" t="s">
        <v>888</v>
      </c>
      <c r="C1022" s="1066">
        <v>46237</v>
      </c>
      <c r="D1022" s="1066"/>
      <c r="E1022" s="1002" t="s">
        <v>638</v>
      </c>
      <c r="F1022" s="1077"/>
      <c r="I1022" s="1008" t="s">
        <v>889</v>
      </c>
      <c r="J1022" s="1007" t="s">
        <v>653</v>
      </c>
      <c r="K1022" s="1052" t="s">
        <v>654</v>
      </c>
      <c r="L1022" s="1002" t="s">
        <v>113</v>
      </c>
      <c r="M1022" s="1093">
        <v>30</v>
      </c>
      <c r="N1022" s="1081">
        <v>481481.48</v>
      </c>
      <c r="O1022" s="1082">
        <f t="shared" si="191"/>
        <v>14444444.399999999</v>
      </c>
      <c r="P1022" s="1082">
        <f t="shared" si="192"/>
        <v>1155555.5519999999</v>
      </c>
      <c r="Q1022" s="1206">
        <f t="shared" si="193"/>
        <v>15599999.951999998</v>
      </c>
      <c r="R1022" s="1083"/>
      <c r="S1022" s="1083"/>
      <c r="T1022" s="1083"/>
      <c r="U1022" s="1083"/>
      <c r="V1022" s="1083">
        <f t="shared" si="189"/>
        <v>15599999.951999998</v>
      </c>
    </row>
    <row r="1023" spans="1:23" s="1002" customFormat="1" hidden="1">
      <c r="A1023" s="1000" t="s">
        <v>1004</v>
      </c>
      <c r="B1023" s="1028" t="s">
        <v>888</v>
      </c>
      <c r="C1023" s="1066">
        <v>46237</v>
      </c>
      <c r="D1023" s="1066"/>
      <c r="E1023" s="1002" t="s">
        <v>638</v>
      </c>
      <c r="F1023" s="1077">
        <v>46298</v>
      </c>
      <c r="G1023" s="1002" t="s">
        <v>1380</v>
      </c>
      <c r="H1023" s="1085" t="s">
        <v>1379</v>
      </c>
      <c r="I1023" s="1008" t="s">
        <v>889</v>
      </c>
      <c r="J1023" s="1007" t="s">
        <v>655</v>
      </c>
      <c r="K1023" s="1052" t="s">
        <v>656</v>
      </c>
      <c r="L1023" s="1002" t="s">
        <v>113</v>
      </c>
      <c r="M1023" s="1086">
        <v>15</v>
      </c>
      <c r="N1023" s="1081">
        <v>574074.06999999995</v>
      </c>
      <c r="O1023" s="1082">
        <f t="shared" si="191"/>
        <v>8611111.0499999989</v>
      </c>
      <c r="P1023" s="1082">
        <f t="shared" si="192"/>
        <v>688888.88399999996</v>
      </c>
      <c r="Q1023" s="1206">
        <f t="shared" si="193"/>
        <v>9299999.9339999985</v>
      </c>
      <c r="R1023" s="1083"/>
      <c r="S1023" s="1083"/>
      <c r="T1023" s="1083"/>
      <c r="U1023" s="1083"/>
      <c r="V1023" s="1083">
        <f t="shared" si="189"/>
        <v>9299999.9339999985</v>
      </c>
    </row>
    <row r="1024" spans="1:23" s="1002" customFormat="1" hidden="1">
      <c r="A1024" s="1000" t="s">
        <v>1004</v>
      </c>
      <c r="B1024" s="1028" t="s">
        <v>888</v>
      </c>
      <c r="C1024" s="1066">
        <v>46237</v>
      </c>
      <c r="D1024" s="1066"/>
      <c r="E1024" s="1002" t="s">
        <v>638</v>
      </c>
      <c r="F1024" s="1077"/>
      <c r="I1024" s="1008" t="s">
        <v>892</v>
      </c>
      <c r="J1024" s="1007" t="s">
        <v>639</v>
      </c>
      <c r="K1024" s="1052" t="s">
        <v>640</v>
      </c>
      <c r="L1024" s="1002" t="s">
        <v>113</v>
      </c>
      <c r="M1024" s="1093">
        <v>2</v>
      </c>
      <c r="N1024" s="1081">
        <v>0</v>
      </c>
      <c r="O1024" s="1082">
        <f t="shared" si="191"/>
        <v>0</v>
      </c>
      <c r="P1024" s="1082">
        <f t="shared" si="192"/>
        <v>0</v>
      </c>
      <c r="Q1024" s="1206">
        <f t="shared" si="193"/>
        <v>0</v>
      </c>
      <c r="R1024" s="1083"/>
      <c r="S1024" s="1083"/>
      <c r="T1024" s="1083"/>
      <c r="U1024" s="1083"/>
      <c r="V1024" s="1083">
        <f t="shared" si="189"/>
        <v>0</v>
      </c>
    </row>
    <row r="1025" spans="1:29" s="1002" customFormat="1" hidden="1">
      <c r="A1025" s="1000" t="s">
        <v>1004</v>
      </c>
      <c r="B1025" s="1028" t="s">
        <v>888</v>
      </c>
      <c r="C1025" s="1066">
        <v>46237</v>
      </c>
      <c r="D1025" s="1066"/>
      <c r="E1025" s="1002" t="s">
        <v>638</v>
      </c>
      <c r="F1025" s="1077"/>
      <c r="I1025" s="1008" t="s">
        <v>892</v>
      </c>
      <c r="J1025" s="1007" t="s">
        <v>641</v>
      </c>
      <c r="K1025" s="1052" t="s">
        <v>657</v>
      </c>
      <c r="L1025" s="1002" t="s">
        <v>113</v>
      </c>
      <c r="M1025" s="1093">
        <v>1</v>
      </c>
      <c r="N1025" s="1081">
        <v>0</v>
      </c>
      <c r="O1025" s="1082">
        <f t="shared" si="191"/>
        <v>0</v>
      </c>
      <c r="P1025" s="1082">
        <f t="shared" si="192"/>
        <v>0</v>
      </c>
      <c r="Q1025" s="1206">
        <f t="shared" si="193"/>
        <v>0</v>
      </c>
      <c r="R1025" s="1083"/>
      <c r="S1025" s="1083"/>
      <c r="T1025" s="1083"/>
      <c r="U1025" s="1083"/>
      <c r="V1025" s="1083">
        <f t="shared" si="189"/>
        <v>0</v>
      </c>
    </row>
    <row r="1026" spans="1:29" s="1002" customFormat="1" hidden="1">
      <c r="A1026" s="1000" t="s">
        <v>1004</v>
      </c>
      <c r="B1026" s="1028" t="s">
        <v>888</v>
      </c>
      <c r="C1026" s="1066">
        <v>46237</v>
      </c>
      <c r="D1026" s="1066"/>
      <c r="E1026" s="1002" t="s">
        <v>638</v>
      </c>
      <c r="F1026" s="1077"/>
      <c r="I1026" s="1008" t="s">
        <v>892</v>
      </c>
      <c r="J1026" s="1007" t="s">
        <v>643</v>
      </c>
      <c r="K1026" s="1052" t="s">
        <v>644</v>
      </c>
      <c r="L1026" s="1002" t="s">
        <v>113</v>
      </c>
      <c r="M1026" s="1093">
        <v>2</v>
      </c>
      <c r="N1026" s="1081">
        <v>0</v>
      </c>
      <c r="O1026" s="1082">
        <f t="shared" si="191"/>
        <v>0</v>
      </c>
      <c r="P1026" s="1082">
        <f t="shared" si="192"/>
        <v>0</v>
      </c>
      <c r="Q1026" s="1206">
        <f t="shared" si="193"/>
        <v>0</v>
      </c>
      <c r="R1026" s="1083"/>
      <c r="S1026" s="1083"/>
      <c r="T1026" s="1083"/>
      <c r="U1026" s="1083"/>
      <c r="V1026" s="1083">
        <f t="shared" si="189"/>
        <v>0</v>
      </c>
    </row>
    <row r="1027" spans="1:29" s="1002" customFormat="1" hidden="1">
      <c r="A1027" s="1000" t="s">
        <v>1004</v>
      </c>
      <c r="B1027" s="1028" t="s">
        <v>888</v>
      </c>
      <c r="C1027" s="1066">
        <v>46237</v>
      </c>
      <c r="D1027" s="1066"/>
      <c r="E1027" s="1002" t="s">
        <v>638</v>
      </c>
      <c r="F1027" s="1077"/>
      <c r="I1027" s="1008" t="s">
        <v>892</v>
      </c>
      <c r="J1027" s="1007" t="s">
        <v>645</v>
      </c>
      <c r="K1027" s="1052" t="s">
        <v>646</v>
      </c>
      <c r="L1027" s="1002" t="s">
        <v>113</v>
      </c>
      <c r="M1027" s="1093">
        <v>1</v>
      </c>
      <c r="N1027" s="1081">
        <v>0</v>
      </c>
      <c r="O1027" s="1082">
        <f t="shared" si="191"/>
        <v>0</v>
      </c>
      <c r="P1027" s="1082">
        <f t="shared" si="192"/>
        <v>0</v>
      </c>
      <c r="Q1027" s="1206">
        <f t="shared" si="193"/>
        <v>0</v>
      </c>
      <c r="R1027" s="1083"/>
      <c r="S1027" s="1083"/>
      <c r="T1027" s="1083"/>
      <c r="U1027" s="1083"/>
      <c r="V1027" s="1083">
        <f t="shared" si="189"/>
        <v>0</v>
      </c>
    </row>
    <row r="1028" spans="1:29" s="1002" customFormat="1" hidden="1">
      <c r="A1028" s="1000" t="s">
        <v>1004</v>
      </c>
      <c r="B1028" s="1028" t="s">
        <v>888</v>
      </c>
      <c r="C1028" s="1066">
        <v>46237</v>
      </c>
      <c r="D1028" s="1066"/>
      <c r="E1028" s="1002" t="s">
        <v>638</v>
      </c>
      <c r="F1028" s="1077"/>
      <c r="I1028" s="1008" t="s">
        <v>892</v>
      </c>
      <c r="J1028" s="1007" t="s">
        <v>649</v>
      </c>
      <c r="K1028" s="1008" t="s">
        <v>650</v>
      </c>
      <c r="L1028" s="1002" t="s">
        <v>113</v>
      </c>
      <c r="M1028" s="1093">
        <v>2</v>
      </c>
      <c r="N1028" s="1081">
        <v>0</v>
      </c>
      <c r="O1028" s="1082">
        <f t="shared" si="191"/>
        <v>0</v>
      </c>
      <c r="P1028" s="1082">
        <f t="shared" si="192"/>
        <v>0</v>
      </c>
      <c r="Q1028" s="1206">
        <f t="shared" si="193"/>
        <v>0</v>
      </c>
      <c r="R1028" s="1083"/>
      <c r="S1028" s="1083"/>
      <c r="T1028" s="1083"/>
      <c r="U1028" s="1083"/>
      <c r="V1028" s="1083">
        <f t="shared" si="189"/>
        <v>0</v>
      </c>
    </row>
    <row r="1029" spans="1:29" s="1002" customFormat="1" hidden="1">
      <c r="A1029" s="1000" t="s">
        <v>1004</v>
      </c>
      <c r="B1029" s="1028" t="s">
        <v>888</v>
      </c>
      <c r="C1029" s="1066">
        <v>46237</v>
      </c>
      <c r="D1029" s="1066"/>
      <c r="E1029" s="1002" t="s">
        <v>638</v>
      </c>
      <c r="F1029" s="1077"/>
      <c r="I1029" s="1008" t="s">
        <v>892</v>
      </c>
      <c r="J1029" s="1007" t="s">
        <v>651</v>
      </c>
      <c r="K1029" s="1052" t="s">
        <v>652</v>
      </c>
      <c r="L1029" s="1002" t="s">
        <v>113</v>
      </c>
      <c r="M1029" s="1093">
        <v>1</v>
      </c>
      <c r="N1029" s="1081">
        <v>0</v>
      </c>
      <c r="O1029" s="1082">
        <f t="shared" si="191"/>
        <v>0</v>
      </c>
      <c r="P1029" s="1082">
        <f t="shared" si="192"/>
        <v>0</v>
      </c>
      <c r="Q1029" s="1206">
        <f t="shared" si="193"/>
        <v>0</v>
      </c>
      <c r="R1029" s="1083"/>
      <c r="S1029" s="1083"/>
      <c r="T1029" s="1083"/>
      <c r="U1029" s="1083"/>
      <c r="V1029" s="1083">
        <f t="shared" si="189"/>
        <v>0</v>
      </c>
    </row>
    <row r="1030" spans="1:29" s="1002" customFormat="1" hidden="1">
      <c r="A1030" s="1000" t="s">
        <v>1004</v>
      </c>
      <c r="B1030" s="1028" t="s">
        <v>888</v>
      </c>
      <c r="C1030" s="1066">
        <v>46237</v>
      </c>
      <c r="D1030" s="1066"/>
      <c r="E1030" s="1002" t="s">
        <v>638</v>
      </c>
      <c r="F1030" s="1077"/>
      <c r="I1030" s="1008" t="s">
        <v>892</v>
      </c>
      <c r="J1030" s="1007" t="s">
        <v>653</v>
      </c>
      <c r="K1030" s="1052" t="s">
        <v>654</v>
      </c>
      <c r="L1030" s="1002" t="s">
        <v>113</v>
      </c>
      <c r="M1030" s="1093">
        <v>2</v>
      </c>
      <c r="N1030" s="1081">
        <v>0</v>
      </c>
      <c r="O1030" s="1082">
        <f t="shared" si="191"/>
        <v>0</v>
      </c>
      <c r="P1030" s="1082">
        <f t="shared" si="192"/>
        <v>0</v>
      </c>
      <c r="Q1030" s="1206">
        <f t="shared" si="193"/>
        <v>0</v>
      </c>
      <c r="R1030" s="1083"/>
      <c r="S1030" s="1083"/>
      <c r="T1030" s="1083"/>
      <c r="U1030" s="1083"/>
      <c r="V1030" s="1083">
        <f t="shared" si="189"/>
        <v>0</v>
      </c>
    </row>
    <row r="1031" spans="1:29" s="1002" customFormat="1" hidden="1">
      <c r="A1031" s="1000" t="s">
        <v>1004</v>
      </c>
      <c r="B1031" s="1028" t="s">
        <v>888</v>
      </c>
      <c r="C1031" s="1066">
        <v>46237</v>
      </c>
      <c r="D1031" s="1066"/>
      <c r="E1031" s="1002" t="s">
        <v>638</v>
      </c>
      <c r="F1031" s="1077"/>
      <c r="I1031" s="1008" t="s">
        <v>892</v>
      </c>
      <c r="J1031" s="1007" t="s">
        <v>655</v>
      </c>
      <c r="K1031" s="1052" t="s">
        <v>656</v>
      </c>
      <c r="L1031" s="1002" t="s">
        <v>113</v>
      </c>
      <c r="M1031" s="1093">
        <v>1</v>
      </c>
      <c r="N1031" s="1081">
        <v>0</v>
      </c>
      <c r="O1031" s="1082">
        <f t="shared" si="191"/>
        <v>0</v>
      </c>
      <c r="P1031" s="1082">
        <f t="shared" si="192"/>
        <v>0</v>
      </c>
      <c r="Q1031" s="1206">
        <f t="shared" si="193"/>
        <v>0</v>
      </c>
      <c r="R1031" s="1083"/>
      <c r="S1031" s="1083"/>
      <c r="T1031" s="1083"/>
      <c r="U1031" s="1083"/>
      <c r="V1031" s="1083">
        <f t="shared" si="189"/>
        <v>0</v>
      </c>
    </row>
    <row r="1032" spans="1:29" s="1002" customFormat="1" hidden="1">
      <c r="A1032" s="1000" t="s">
        <v>1004</v>
      </c>
      <c r="B1032" s="1028" t="s">
        <v>888</v>
      </c>
      <c r="C1032" s="1066">
        <v>46237</v>
      </c>
      <c r="D1032" s="1066"/>
      <c r="E1032" s="1002" t="s">
        <v>638</v>
      </c>
      <c r="F1032" s="1077"/>
      <c r="I1032" s="1008" t="s">
        <v>893</v>
      </c>
      <c r="J1032" s="1007" t="s">
        <v>98</v>
      </c>
      <c r="K1032" s="1053" t="s">
        <v>251</v>
      </c>
      <c r="L1032" s="1149" t="s">
        <v>113</v>
      </c>
      <c r="M1032" s="1125">
        <v>15</v>
      </c>
      <c r="N1032" s="1081">
        <v>694444.44</v>
      </c>
      <c r="O1032" s="1207">
        <f t="shared" si="191"/>
        <v>10416666.6</v>
      </c>
      <c r="P1032" s="1207">
        <f t="shared" si="192"/>
        <v>833333.32799999998</v>
      </c>
      <c r="Q1032" s="1206">
        <f t="shared" si="193"/>
        <v>11249999.927999999</v>
      </c>
      <c r="R1032" s="1083"/>
      <c r="S1032" s="1083"/>
      <c r="T1032" s="1083"/>
      <c r="U1032" s="1083"/>
      <c r="V1032" s="1083">
        <f t="shared" si="189"/>
        <v>11249999.927999999</v>
      </c>
    </row>
    <row r="1033" spans="1:29" s="1002" customFormat="1" hidden="1">
      <c r="A1033" s="1000" t="s">
        <v>752</v>
      </c>
      <c r="B1033" s="1028" t="s">
        <v>1494</v>
      </c>
      <c r="C1033" s="1066">
        <v>46238</v>
      </c>
      <c r="D1033" s="1066"/>
      <c r="E1033" s="1002" t="s">
        <v>661</v>
      </c>
      <c r="F1033" s="1077"/>
      <c r="H1033" s="1085" t="s">
        <v>1379</v>
      </c>
      <c r="I1033" s="1002" t="s">
        <v>812</v>
      </c>
      <c r="J1033" s="1007" t="s">
        <v>643</v>
      </c>
      <c r="K1033" s="1052" t="s">
        <v>644</v>
      </c>
      <c r="L1033" s="1002" t="s">
        <v>113</v>
      </c>
      <c r="M1033" s="1086">
        <v>23</v>
      </c>
      <c r="N1033" s="1081">
        <v>527777.78</v>
      </c>
      <c r="O1033" s="1082">
        <f t="shared" si="191"/>
        <v>12138888.940000001</v>
      </c>
      <c r="P1033" s="1082">
        <f t="shared" si="192"/>
        <v>971111.11520000012</v>
      </c>
      <c r="Q1033" s="1206">
        <f t="shared" si="193"/>
        <v>13110000.055200001</v>
      </c>
      <c r="R1033" s="1083"/>
      <c r="S1033" s="1083"/>
      <c r="T1033" s="1083"/>
      <c r="U1033" s="1083"/>
      <c r="V1033" s="1083">
        <f t="shared" si="189"/>
        <v>13110000.055200001</v>
      </c>
    </row>
    <row r="1034" spans="1:29" s="1002" customFormat="1" hidden="1">
      <c r="A1034" s="1000" t="s">
        <v>752</v>
      </c>
      <c r="B1034" s="1028" t="s">
        <v>1494</v>
      </c>
      <c r="C1034" s="1066">
        <v>46238</v>
      </c>
      <c r="D1034" s="1066"/>
      <c r="E1034" s="1002" t="s">
        <v>661</v>
      </c>
      <c r="F1034" s="1077"/>
      <c r="I1034" s="1002" t="s">
        <v>812</v>
      </c>
      <c r="J1034" s="1007" t="s">
        <v>645</v>
      </c>
      <c r="K1034" s="1052" t="s">
        <v>662</v>
      </c>
      <c r="L1034" s="1002" t="s">
        <v>113</v>
      </c>
      <c r="M1034" s="1086">
        <v>22</v>
      </c>
      <c r="N1034" s="1081">
        <v>629629.63</v>
      </c>
      <c r="O1034" s="1082">
        <f t="shared" si="191"/>
        <v>13851851.859999999</v>
      </c>
      <c r="P1034" s="1082">
        <f t="shared" si="192"/>
        <v>1108148.1488000001</v>
      </c>
      <c r="Q1034" s="1206">
        <f t="shared" si="193"/>
        <v>14960000.0088</v>
      </c>
      <c r="R1034" s="1083"/>
      <c r="S1034" s="1083"/>
      <c r="T1034" s="1083"/>
      <c r="U1034" s="1083"/>
      <c r="V1034" s="1083">
        <f t="shared" si="189"/>
        <v>14960000.0088</v>
      </c>
    </row>
    <row r="1035" spans="1:29" s="1002" customFormat="1" hidden="1">
      <c r="A1035" s="1000" t="s">
        <v>752</v>
      </c>
      <c r="B1035" s="1028" t="s">
        <v>1494</v>
      </c>
      <c r="C1035" s="1066">
        <v>46238</v>
      </c>
      <c r="D1035" s="1066"/>
      <c r="E1035" s="1002" t="s">
        <v>661</v>
      </c>
      <c r="F1035" s="1077"/>
      <c r="I1035" s="1002" t="s">
        <v>812</v>
      </c>
      <c r="J1035" s="1007" t="s">
        <v>90</v>
      </c>
      <c r="K1035" s="1052" t="s">
        <v>91</v>
      </c>
      <c r="L1035" s="1002" t="s">
        <v>113</v>
      </c>
      <c r="M1035" s="1086">
        <v>12</v>
      </c>
      <c r="N1035" s="1081">
        <v>814814.81</v>
      </c>
      <c r="O1035" s="1082">
        <f t="shared" si="191"/>
        <v>9777777.7200000007</v>
      </c>
      <c r="P1035" s="1082">
        <f t="shared" si="192"/>
        <v>782222.21760000009</v>
      </c>
      <c r="Q1035" s="1206">
        <f t="shared" si="193"/>
        <v>10559999.937600002</v>
      </c>
      <c r="R1035" s="1083"/>
      <c r="S1035" s="1083"/>
      <c r="T1035" s="1083"/>
      <c r="U1035" s="1083"/>
      <c r="V1035" s="1083">
        <f t="shared" si="189"/>
        <v>10559999.937600002</v>
      </c>
    </row>
    <row r="1036" spans="1:29" s="1002" customFormat="1" hidden="1">
      <c r="A1036" s="1000" t="s">
        <v>752</v>
      </c>
      <c r="B1036" s="1028" t="s">
        <v>1494</v>
      </c>
      <c r="C1036" s="1066">
        <v>46238</v>
      </c>
      <c r="D1036" s="1066"/>
      <c r="E1036" s="1002" t="s">
        <v>661</v>
      </c>
      <c r="F1036" s="1077"/>
      <c r="H1036" s="1005"/>
      <c r="I1036" s="1002" t="s">
        <v>812</v>
      </c>
      <c r="J1036" s="1007" t="s">
        <v>103</v>
      </c>
      <c r="K1036" s="1052" t="s">
        <v>104</v>
      </c>
      <c r="L1036" s="1002" t="s">
        <v>113</v>
      </c>
      <c r="M1036" s="1086">
        <v>6</v>
      </c>
      <c r="N1036" s="1081">
        <v>675925.93</v>
      </c>
      <c r="O1036" s="1082">
        <f t="shared" si="191"/>
        <v>4055555.58</v>
      </c>
      <c r="P1036" s="1082">
        <f t="shared" si="192"/>
        <v>324444.44640000002</v>
      </c>
      <c r="Q1036" s="1206">
        <f t="shared" si="193"/>
        <v>4380000.0263999999</v>
      </c>
      <c r="R1036" s="1083"/>
      <c r="S1036" s="1083"/>
      <c r="T1036" s="1083"/>
      <c r="U1036" s="1083"/>
      <c r="V1036" s="1083">
        <f t="shared" si="189"/>
        <v>4380000.0263999999</v>
      </c>
    </row>
    <row r="1037" spans="1:29" s="1002" customFormat="1" hidden="1">
      <c r="A1037" s="1000" t="s">
        <v>752</v>
      </c>
      <c r="B1037" s="1028" t="s">
        <v>1494</v>
      </c>
      <c r="C1037" s="1066">
        <v>46238</v>
      </c>
      <c r="D1037" s="1066"/>
      <c r="E1037" s="1002" t="s">
        <v>661</v>
      </c>
      <c r="F1037" s="1077"/>
      <c r="H1037" s="1005"/>
      <c r="I1037" s="1008" t="s">
        <v>892</v>
      </c>
      <c r="J1037" s="1007" t="s">
        <v>643</v>
      </c>
      <c r="K1037" s="1052" t="s">
        <v>644</v>
      </c>
      <c r="L1037" s="1002" t="s">
        <v>113</v>
      </c>
      <c r="M1037" s="1086">
        <v>2</v>
      </c>
      <c r="N1037" s="1081">
        <v>0</v>
      </c>
      <c r="O1037" s="1082">
        <f t="shared" si="191"/>
        <v>0</v>
      </c>
      <c r="P1037" s="1082">
        <f t="shared" si="192"/>
        <v>0</v>
      </c>
      <c r="Q1037" s="1206">
        <f t="shared" si="193"/>
        <v>0</v>
      </c>
      <c r="R1037" s="1083"/>
      <c r="S1037" s="1083"/>
      <c r="T1037" s="1083"/>
      <c r="U1037" s="1083"/>
      <c r="V1037" s="1083">
        <f t="shared" si="189"/>
        <v>0</v>
      </c>
    </row>
    <row r="1038" spans="1:29" s="1002" customFormat="1" hidden="1">
      <c r="A1038" s="1000" t="s">
        <v>752</v>
      </c>
      <c r="B1038" s="1028" t="s">
        <v>1494</v>
      </c>
      <c r="C1038" s="1066">
        <v>46238</v>
      </c>
      <c r="D1038" s="1066"/>
      <c r="E1038" s="1002" t="s">
        <v>661</v>
      </c>
      <c r="F1038" s="1077"/>
      <c r="H1038" s="1138" t="s">
        <v>1379</v>
      </c>
      <c r="I1038" s="1008" t="s">
        <v>892</v>
      </c>
      <c r="J1038" s="1007" t="s">
        <v>645</v>
      </c>
      <c r="K1038" s="1052" t="s">
        <v>646</v>
      </c>
      <c r="L1038" s="1002" t="s">
        <v>113</v>
      </c>
      <c r="M1038" s="1086">
        <v>1</v>
      </c>
      <c r="N1038" s="1081">
        <v>0</v>
      </c>
      <c r="O1038" s="1082">
        <f t="shared" si="191"/>
        <v>0</v>
      </c>
      <c r="P1038" s="1082">
        <f t="shared" si="192"/>
        <v>0</v>
      </c>
      <c r="Q1038" s="1206">
        <f t="shared" si="193"/>
        <v>0</v>
      </c>
      <c r="R1038" s="1083"/>
      <c r="S1038" s="1083"/>
      <c r="T1038" s="1083"/>
      <c r="U1038" s="1083"/>
      <c r="V1038" s="1083">
        <f t="shared" si="189"/>
        <v>0</v>
      </c>
    </row>
    <row r="1039" spans="1:29" s="1002" customFormat="1" hidden="1">
      <c r="A1039" s="1000" t="s">
        <v>752</v>
      </c>
      <c r="B1039" s="1028" t="s">
        <v>1494</v>
      </c>
      <c r="C1039" s="1066">
        <v>46238</v>
      </c>
      <c r="D1039" s="1066"/>
      <c r="E1039" s="1002" t="s">
        <v>661</v>
      </c>
      <c r="F1039" s="1077"/>
      <c r="H1039" s="1138" t="s">
        <v>1379</v>
      </c>
      <c r="I1039" s="1008" t="s">
        <v>862</v>
      </c>
      <c r="J1039" s="1007" t="s">
        <v>62</v>
      </c>
      <c r="K1039" s="1002" t="s">
        <v>63</v>
      </c>
      <c r="L1039" s="1002" t="s">
        <v>113</v>
      </c>
      <c r="M1039" s="1086">
        <v>6</v>
      </c>
      <c r="N1039" s="1081">
        <v>0</v>
      </c>
      <c r="O1039" s="1082">
        <f t="shared" si="191"/>
        <v>0</v>
      </c>
      <c r="P1039" s="1082">
        <f t="shared" si="192"/>
        <v>0</v>
      </c>
      <c r="Q1039" s="1206">
        <f t="shared" si="193"/>
        <v>0</v>
      </c>
      <c r="R1039" s="1083"/>
      <c r="S1039" s="1083"/>
      <c r="T1039" s="1083"/>
      <c r="U1039" s="1083"/>
      <c r="V1039" s="1083">
        <f t="shared" si="189"/>
        <v>0</v>
      </c>
    </row>
    <row r="1040" spans="1:29" s="1002" customFormat="1" hidden="1">
      <c r="A1040" s="1000" t="s">
        <v>761</v>
      </c>
      <c r="B1040" s="1028" t="s">
        <v>1496</v>
      </c>
      <c r="C1040" s="1066">
        <v>46238</v>
      </c>
      <c r="D1040" s="1066"/>
      <c r="E1040" s="1002" t="s">
        <v>665</v>
      </c>
      <c r="F1040" s="1077">
        <v>46295</v>
      </c>
      <c r="G1040" s="1002" t="s">
        <v>1382</v>
      </c>
      <c r="H1040" s="1138" t="s">
        <v>1379</v>
      </c>
      <c r="I1040" s="1002" t="s">
        <v>1497</v>
      </c>
      <c r="J1040" s="1007" t="s">
        <v>639</v>
      </c>
      <c r="K1040" s="1052" t="s">
        <v>640</v>
      </c>
      <c r="L1040" s="1002" t="s">
        <v>113</v>
      </c>
      <c r="M1040" s="1086">
        <v>15</v>
      </c>
      <c r="N1040" s="1081">
        <v>542592.59</v>
      </c>
      <c r="O1040" s="1082">
        <f t="shared" si="191"/>
        <v>8138888.8499999996</v>
      </c>
      <c r="P1040" s="1082">
        <f t="shared" si="192"/>
        <v>651111.10800000001</v>
      </c>
      <c r="Q1040" s="1206">
        <f t="shared" si="193"/>
        <v>8789999.9580000006</v>
      </c>
      <c r="R1040" s="1083"/>
      <c r="S1040" s="1083"/>
      <c r="T1040" s="1083"/>
      <c r="U1040" s="1083"/>
      <c r="V1040" s="1083">
        <f t="shared" si="189"/>
        <v>8789999.9580000006</v>
      </c>
      <c r="X1040" s="1208"/>
      <c r="Y1040" s="1209"/>
      <c r="Z1040" s="1209"/>
      <c r="AA1040" s="1209"/>
      <c r="AB1040" s="1209"/>
      <c r="AC1040" s="1210"/>
    </row>
    <row r="1041" spans="1:29" s="1002" customFormat="1" hidden="1">
      <c r="A1041" s="1000" t="s">
        <v>761</v>
      </c>
      <c r="B1041" s="1028" t="s">
        <v>1496</v>
      </c>
      <c r="C1041" s="1066">
        <v>46238</v>
      </c>
      <c r="D1041" s="1066"/>
      <c r="E1041" s="1002" t="s">
        <v>665</v>
      </c>
      <c r="F1041" s="1077"/>
      <c r="H1041" s="1138" t="s">
        <v>1379</v>
      </c>
      <c r="I1041" s="1002" t="s">
        <v>1497</v>
      </c>
      <c r="J1041" s="1007" t="s">
        <v>641</v>
      </c>
      <c r="K1041" s="1052" t="s">
        <v>657</v>
      </c>
      <c r="L1041" s="1002" t="s">
        <v>113</v>
      </c>
      <c r="M1041" s="1086">
        <v>15</v>
      </c>
      <c r="N1041" s="1081">
        <v>644444.43999999994</v>
      </c>
      <c r="O1041" s="1082">
        <f t="shared" si="191"/>
        <v>9666666.5999999996</v>
      </c>
      <c r="P1041" s="1082">
        <f t="shared" si="192"/>
        <v>773333.32799999998</v>
      </c>
      <c r="Q1041" s="1206">
        <f t="shared" si="193"/>
        <v>10439999.927999999</v>
      </c>
      <c r="R1041" s="1083"/>
      <c r="S1041" s="1083"/>
      <c r="T1041" s="1083"/>
      <c r="U1041" s="1083"/>
      <c r="V1041" s="1083">
        <f t="shared" si="189"/>
        <v>10439999.927999999</v>
      </c>
      <c r="X1041" s="1211"/>
      <c r="Y1041" s="1212"/>
      <c r="Z1041" s="1212"/>
      <c r="AA1041" s="1212"/>
      <c r="AB1041" s="1212"/>
      <c r="AC1041" s="1213"/>
    </row>
    <row r="1042" spans="1:29" s="1002" customFormat="1" hidden="1">
      <c r="A1042" s="1000" t="s">
        <v>761</v>
      </c>
      <c r="B1042" s="1028" t="s">
        <v>1496</v>
      </c>
      <c r="C1042" s="1066">
        <v>46238</v>
      </c>
      <c r="D1042" s="1066"/>
      <c r="E1042" s="1002" t="s">
        <v>665</v>
      </c>
      <c r="F1042" s="1077">
        <v>46295</v>
      </c>
      <c r="G1042" s="1002" t="s">
        <v>1382</v>
      </c>
      <c r="H1042" s="1005"/>
      <c r="I1042" s="1002" t="s">
        <v>1497</v>
      </c>
      <c r="J1042" s="1007" t="s">
        <v>643</v>
      </c>
      <c r="K1042" s="1052" t="s">
        <v>644</v>
      </c>
      <c r="L1042" s="1002" t="s">
        <v>113</v>
      </c>
      <c r="M1042" s="1086">
        <v>15</v>
      </c>
      <c r="N1042" s="1081">
        <v>527777.77</v>
      </c>
      <c r="O1042" s="1082">
        <f t="shared" si="191"/>
        <v>7916666.5500000007</v>
      </c>
      <c r="P1042" s="1082">
        <f t="shared" si="192"/>
        <v>633333.32400000002</v>
      </c>
      <c r="Q1042" s="1206">
        <f t="shared" si="193"/>
        <v>8549999.8740000017</v>
      </c>
      <c r="R1042" s="1083"/>
      <c r="S1042" s="1083"/>
      <c r="T1042" s="1083"/>
      <c r="U1042" s="1083"/>
      <c r="V1042" s="1083">
        <f t="shared" si="189"/>
        <v>8549999.8740000017</v>
      </c>
      <c r="X1042" s="1211"/>
      <c r="Y1042" s="1212"/>
      <c r="Z1042" s="1212"/>
      <c r="AA1042" s="1212"/>
      <c r="AB1042" s="1212"/>
      <c r="AC1042" s="1213"/>
    </row>
    <row r="1043" spans="1:29" s="1002" customFormat="1" hidden="1">
      <c r="A1043" s="1000" t="s">
        <v>761</v>
      </c>
      <c r="B1043" s="1028" t="s">
        <v>1496</v>
      </c>
      <c r="C1043" s="1066">
        <v>46238</v>
      </c>
      <c r="D1043" s="1066"/>
      <c r="E1043" s="1002" t="s">
        <v>665</v>
      </c>
      <c r="F1043" s="1077">
        <v>46295</v>
      </c>
      <c r="G1043" s="1002" t="s">
        <v>1382</v>
      </c>
      <c r="H1043" s="1005"/>
      <c r="I1043" s="1002" t="s">
        <v>1497</v>
      </c>
      <c r="J1043" s="1007" t="s">
        <v>645</v>
      </c>
      <c r="K1043" s="1052" t="s">
        <v>646</v>
      </c>
      <c r="L1043" s="1002" t="s">
        <v>113</v>
      </c>
      <c r="M1043" s="1086">
        <v>15</v>
      </c>
      <c r="N1043" s="1081">
        <v>629629.63</v>
      </c>
      <c r="O1043" s="1082">
        <f t="shared" si="191"/>
        <v>9444444.4499999993</v>
      </c>
      <c r="P1043" s="1082">
        <f t="shared" si="192"/>
        <v>755555.55599999998</v>
      </c>
      <c r="Q1043" s="1206">
        <f t="shared" si="193"/>
        <v>10200000.005999999</v>
      </c>
      <c r="R1043" s="1083"/>
      <c r="S1043" s="1083"/>
      <c r="T1043" s="1083"/>
      <c r="U1043" s="1083"/>
      <c r="V1043" s="1083">
        <f t="shared" si="189"/>
        <v>10200000.005999999</v>
      </c>
      <c r="X1043" s="1211"/>
      <c r="Y1043" s="1212"/>
      <c r="Z1043" s="1212"/>
      <c r="AA1043" s="1212"/>
      <c r="AB1043" s="1212"/>
      <c r="AC1043" s="1213"/>
    </row>
    <row r="1044" spans="1:29" s="1002" customFormat="1" hidden="1">
      <c r="A1044" s="1000" t="s">
        <v>761</v>
      </c>
      <c r="B1044" s="1028" t="s">
        <v>1496</v>
      </c>
      <c r="C1044" s="1066">
        <v>46238</v>
      </c>
      <c r="D1044" s="1066"/>
      <c r="E1044" s="1002" t="s">
        <v>665</v>
      </c>
      <c r="F1044" s="1077">
        <v>46295</v>
      </c>
      <c r="G1044" s="1002" t="s">
        <v>1382</v>
      </c>
      <c r="H1044" s="1005"/>
      <c r="I1044" s="1002" t="s">
        <v>1497</v>
      </c>
      <c r="J1044" s="1007" t="s">
        <v>649</v>
      </c>
      <c r="K1044" s="1052" t="s">
        <v>650</v>
      </c>
      <c r="L1044" s="1002" t="s">
        <v>113</v>
      </c>
      <c r="M1044" s="1086">
        <v>15</v>
      </c>
      <c r="N1044" s="1081">
        <v>574074.06999999995</v>
      </c>
      <c r="O1044" s="1082">
        <f t="shared" si="191"/>
        <v>8611111.0499999989</v>
      </c>
      <c r="P1044" s="1082">
        <f t="shared" si="192"/>
        <v>688888.88399999996</v>
      </c>
      <c r="Q1044" s="1206">
        <f t="shared" si="193"/>
        <v>9299999.9339999985</v>
      </c>
      <c r="R1044" s="1083"/>
      <c r="S1044" s="1083"/>
      <c r="T1044" s="1083"/>
      <c r="U1044" s="1083"/>
      <c r="V1044" s="1083">
        <f t="shared" ref="V1044:V1108" si="194">Q1044-R1044-S1044-T1044-U1044</f>
        <v>9299999.9339999985</v>
      </c>
      <c r="X1044" s="1211"/>
      <c r="Y1044" s="1212"/>
      <c r="Z1044" s="1212"/>
      <c r="AA1044" s="1212"/>
      <c r="AB1044" s="1212"/>
      <c r="AC1044" s="1213"/>
    </row>
    <row r="1045" spans="1:29" s="1002" customFormat="1" hidden="1">
      <c r="A1045" s="1000" t="s">
        <v>761</v>
      </c>
      <c r="B1045" s="1028" t="s">
        <v>1496</v>
      </c>
      <c r="C1045" s="1066">
        <v>46238</v>
      </c>
      <c r="D1045" s="1066"/>
      <c r="E1045" s="1002" t="s">
        <v>665</v>
      </c>
      <c r="F1045" s="1077">
        <v>46295</v>
      </c>
      <c r="G1045" s="1002" t="s">
        <v>1382</v>
      </c>
      <c r="H1045" s="1005"/>
      <c r="I1045" s="1002" t="s">
        <v>1497</v>
      </c>
      <c r="J1045" s="1007" t="s">
        <v>651</v>
      </c>
      <c r="K1045" s="1052" t="s">
        <v>652</v>
      </c>
      <c r="L1045" s="1002" t="s">
        <v>113</v>
      </c>
      <c r="M1045" s="1086">
        <v>15</v>
      </c>
      <c r="N1045" s="1081">
        <v>694444.44</v>
      </c>
      <c r="O1045" s="1082">
        <f t="shared" si="191"/>
        <v>10416666.6</v>
      </c>
      <c r="P1045" s="1082">
        <f t="shared" si="192"/>
        <v>833333.32799999998</v>
      </c>
      <c r="Q1045" s="1206">
        <f t="shared" si="193"/>
        <v>11249999.927999999</v>
      </c>
      <c r="R1045" s="1083"/>
      <c r="S1045" s="1083"/>
      <c r="T1045" s="1083"/>
      <c r="U1045" s="1083"/>
      <c r="V1045" s="1083">
        <f t="shared" si="194"/>
        <v>11249999.927999999</v>
      </c>
      <c r="X1045" s="1211"/>
      <c r="Y1045" s="1212"/>
      <c r="Z1045" s="1212"/>
      <c r="AA1045" s="1212"/>
      <c r="AB1045" s="1212"/>
      <c r="AC1045" s="1213"/>
    </row>
    <row r="1046" spans="1:29" s="1002" customFormat="1" hidden="1">
      <c r="A1046" s="1000" t="s">
        <v>761</v>
      </c>
      <c r="B1046" s="1028" t="s">
        <v>1496</v>
      </c>
      <c r="C1046" s="1066">
        <v>46238</v>
      </c>
      <c r="D1046" s="1066"/>
      <c r="E1046" s="1002" t="s">
        <v>665</v>
      </c>
      <c r="F1046" s="1077">
        <v>46295</v>
      </c>
      <c r="G1046" s="1002" t="s">
        <v>1382</v>
      </c>
      <c r="H1046" s="1005"/>
      <c r="I1046" s="1002" t="s">
        <v>1497</v>
      </c>
      <c r="J1046" s="1007" t="s">
        <v>653</v>
      </c>
      <c r="K1046" s="1052" t="s">
        <v>654</v>
      </c>
      <c r="L1046" s="1002" t="s">
        <v>113</v>
      </c>
      <c r="M1046" s="1086">
        <v>15</v>
      </c>
      <c r="N1046" s="1081">
        <v>481481.48</v>
      </c>
      <c r="O1046" s="1082">
        <f t="shared" si="191"/>
        <v>7222222.1999999993</v>
      </c>
      <c r="P1046" s="1082">
        <f t="shared" si="192"/>
        <v>577777.77599999995</v>
      </c>
      <c r="Q1046" s="1206">
        <f t="shared" si="193"/>
        <v>7799999.9759999989</v>
      </c>
      <c r="R1046" s="1083"/>
      <c r="S1046" s="1083"/>
      <c r="T1046" s="1083"/>
      <c r="U1046" s="1083"/>
      <c r="V1046" s="1083">
        <f t="shared" si="194"/>
        <v>7799999.9759999989</v>
      </c>
      <c r="X1046" s="1211"/>
      <c r="Y1046" s="1212"/>
      <c r="Z1046" s="1212"/>
      <c r="AA1046" s="1212"/>
      <c r="AB1046" s="1212"/>
      <c r="AC1046" s="1213"/>
    </row>
    <row r="1047" spans="1:29" s="1002" customFormat="1" hidden="1">
      <c r="A1047" s="1000" t="s">
        <v>761</v>
      </c>
      <c r="B1047" s="1028" t="s">
        <v>1496</v>
      </c>
      <c r="C1047" s="1066">
        <v>46238</v>
      </c>
      <c r="D1047" s="1066"/>
      <c r="E1047" s="1002" t="s">
        <v>665</v>
      </c>
      <c r="F1047" s="1077">
        <v>46295</v>
      </c>
      <c r="G1047" s="1002" t="s">
        <v>1382</v>
      </c>
      <c r="H1047" s="1005"/>
      <c r="I1047" s="1002" t="s">
        <v>1497</v>
      </c>
      <c r="J1047" s="1007" t="s">
        <v>655</v>
      </c>
      <c r="K1047" s="1052" t="s">
        <v>656</v>
      </c>
      <c r="L1047" s="1002" t="s">
        <v>113</v>
      </c>
      <c r="M1047" s="1086">
        <v>15</v>
      </c>
      <c r="N1047" s="1081">
        <v>574074.06999999995</v>
      </c>
      <c r="O1047" s="1082">
        <f t="shared" si="191"/>
        <v>8611111.0499999989</v>
      </c>
      <c r="P1047" s="1082">
        <f t="shared" si="192"/>
        <v>688888.88399999996</v>
      </c>
      <c r="Q1047" s="1206">
        <f t="shared" si="193"/>
        <v>9299999.9339999985</v>
      </c>
      <c r="R1047" s="1083"/>
      <c r="S1047" s="1083"/>
      <c r="T1047" s="1083"/>
      <c r="U1047" s="1083"/>
      <c r="V1047" s="1083">
        <f t="shared" si="194"/>
        <v>9299999.9339999985</v>
      </c>
      <c r="X1047" s="1211"/>
      <c r="Y1047" s="1212"/>
      <c r="Z1047" s="1212"/>
      <c r="AA1047" s="1212"/>
      <c r="AB1047" s="1212"/>
      <c r="AC1047" s="1213"/>
    </row>
    <row r="1048" spans="1:29" s="1002" customFormat="1" hidden="1">
      <c r="A1048" s="1000" t="s">
        <v>761</v>
      </c>
      <c r="B1048" s="1028" t="s">
        <v>1496</v>
      </c>
      <c r="C1048" s="1066">
        <v>46238</v>
      </c>
      <c r="D1048" s="1066"/>
      <c r="E1048" s="1002" t="s">
        <v>665</v>
      </c>
      <c r="F1048" s="1077">
        <v>46240</v>
      </c>
      <c r="G1048" s="1002" t="s">
        <v>704</v>
      </c>
      <c r="H1048" s="1111" t="s">
        <v>703</v>
      </c>
      <c r="I1048" s="1002" t="s">
        <v>1497</v>
      </c>
      <c r="J1048" s="1007" t="s">
        <v>90</v>
      </c>
      <c r="K1048" s="1052" t="s">
        <v>91</v>
      </c>
      <c r="L1048" s="1002" t="s">
        <v>113</v>
      </c>
      <c r="M1048" s="1086">
        <v>30</v>
      </c>
      <c r="N1048" s="1081">
        <v>814814.81</v>
      </c>
      <c r="O1048" s="1082">
        <f t="shared" si="191"/>
        <v>24444444.300000001</v>
      </c>
      <c r="P1048" s="1082">
        <f t="shared" si="192"/>
        <v>1955555.544</v>
      </c>
      <c r="Q1048" s="1206">
        <f t="shared" si="193"/>
        <v>26399999.844000001</v>
      </c>
      <c r="R1048" s="1083"/>
      <c r="S1048" s="1083"/>
      <c r="T1048" s="1083"/>
      <c r="U1048" s="1083"/>
      <c r="V1048" s="1083">
        <f t="shared" si="194"/>
        <v>26399999.844000001</v>
      </c>
      <c r="X1048" s="1211"/>
      <c r="Y1048" s="1212"/>
      <c r="Z1048" s="1212"/>
      <c r="AA1048" s="1212"/>
      <c r="AB1048" s="1212"/>
      <c r="AC1048" s="1213"/>
    </row>
    <row r="1049" spans="1:29" s="1002" customFormat="1" hidden="1">
      <c r="A1049" s="1000" t="s">
        <v>761</v>
      </c>
      <c r="B1049" s="1028" t="s">
        <v>1496</v>
      </c>
      <c r="C1049" s="1066">
        <v>46238</v>
      </c>
      <c r="D1049" s="1066"/>
      <c r="E1049" s="1002" t="s">
        <v>665</v>
      </c>
      <c r="F1049" s="1077">
        <v>46295</v>
      </c>
      <c r="G1049" s="1002" t="s">
        <v>1382</v>
      </c>
      <c r="H1049" s="1138" t="s">
        <v>1381</v>
      </c>
      <c r="I1049" s="1008" t="s">
        <v>892</v>
      </c>
      <c r="J1049" s="1007" t="s">
        <v>639</v>
      </c>
      <c r="K1049" s="1052" t="s">
        <v>640</v>
      </c>
      <c r="L1049" s="1002" t="s">
        <v>113</v>
      </c>
      <c r="M1049" s="1086">
        <v>1</v>
      </c>
      <c r="N1049" s="1081">
        <v>0</v>
      </c>
      <c r="O1049" s="1082">
        <f t="shared" si="191"/>
        <v>0</v>
      </c>
      <c r="P1049" s="1082">
        <f t="shared" si="192"/>
        <v>0</v>
      </c>
      <c r="Q1049" s="1206">
        <f t="shared" si="193"/>
        <v>0</v>
      </c>
      <c r="R1049" s="1083"/>
      <c r="S1049" s="1083"/>
      <c r="T1049" s="1083"/>
      <c r="U1049" s="1083"/>
      <c r="V1049" s="1083">
        <f t="shared" si="194"/>
        <v>0</v>
      </c>
      <c r="X1049" s="1211"/>
      <c r="Y1049" s="1212"/>
      <c r="Z1049" s="1212"/>
      <c r="AA1049" s="1212"/>
      <c r="AB1049" s="1212"/>
      <c r="AC1049" s="1213"/>
    </row>
    <row r="1050" spans="1:29" s="1002" customFormat="1" hidden="1">
      <c r="A1050" s="1000" t="s">
        <v>761</v>
      </c>
      <c r="B1050" s="1028" t="s">
        <v>1496</v>
      </c>
      <c r="C1050" s="1066">
        <v>46238</v>
      </c>
      <c r="D1050" s="1066"/>
      <c r="E1050" s="1002" t="s">
        <v>665</v>
      </c>
      <c r="F1050" s="1077"/>
      <c r="H1050" s="1111"/>
      <c r="I1050" s="1008" t="s">
        <v>892</v>
      </c>
      <c r="J1050" s="1007" t="s">
        <v>641</v>
      </c>
      <c r="K1050" s="1052" t="s">
        <v>657</v>
      </c>
      <c r="L1050" s="1002" t="s">
        <v>113</v>
      </c>
      <c r="M1050" s="1086">
        <v>1</v>
      </c>
      <c r="N1050" s="1081">
        <v>0</v>
      </c>
      <c r="O1050" s="1082">
        <f t="shared" si="191"/>
        <v>0</v>
      </c>
      <c r="P1050" s="1082">
        <f t="shared" si="192"/>
        <v>0</v>
      </c>
      <c r="Q1050" s="1206">
        <f t="shared" si="193"/>
        <v>0</v>
      </c>
      <c r="R1050" s="1083"/>
      <c r="S1050" s="1083"/>
      <c r="T1050" s="1083"/>
      <c r="U1050" s="1083"/>
      <c r="V1050" s="1083">
        <f t="shared" si="194"/>
        <v>0</v>
      </c>
      <c r="X1050" s="1211"/>
      <c r="Y1050" s="1212"/>
      <c r="Z1050" s="1212"/>
      <c r="AA1050" s="1212"/>
      <c r="AB1050" s="1212"/>
      <c r="AC1050" s="1213"/>
    </row>
    <row r="1051" spans="1:29" s="1002" customFormat="1" hidden="1">
      <c r="A1051" s="1000" t="s">
        <v>761</v>
      </c>
      <c r="B1051" s="1028" t="s">
        <v>1496</v>
      </c>
      <c r="C1051" s="1066">
        <v>46238</v>
      </c>
      <c r="D1051" s="1066"/>
      <c r="E1051" s="1002" t="s">
        <v>665</v>
      </c>
      <c r="F1051" s="1077">
        <v>46295</v>
      </c>
      <c r="G1051" s="1002" t="s">
        <v>1382</v>
      </c>
      <c r="H1051" s="1111" t="s">
        <v>1381</v>
      </c>
      <c r="I1051" s="1008" t="s">
        <v>892</v>
      </c>
      <c r="J1051" s="1007" t="s">
        <v>643</v>
      </c>
      <c r="K1051" s="1052" t="s">
        <v>644</v>
      </c>
      <c r="L1051" s="1002" t="s">
        <v>113</v>
      </c>
      <c r="M1051" s="1086">
        <v>1</v>
      </c>
      <c r="N1051" s="1081">
        <v>0</v>
      </c>
      <c r="O1051" s="1082">
        <f t="shared" si="191"/>
        <v>0</v>
      </c>
      <c r="P1051" s="1082">
        <f t="shared" si="192"/>
        <v>0</v>
      </c>
      <c r="Q1051" s="1206">
        <f t="shared" si="193"/>
        <v>0</v>
      </c>
      <c r="R1051" s="1083"/>
      <c r="S1051" s="1083"/>
      <c r="T1051" s="1083"/>
      <c r="U1051" s="1083"/>
      <c r="V1051" s="1083">
        <f t="shared" si="194"/>
        <v>0</v>
      </c>
      <c r="X1051" s="1211"/>
      <c r="Y1051" s="1212"/>
      <c r="Z1051" s="1212"/>
      <c r="AA1051" s="1212"/>
      <c r="AB1051" s="1212"/>
      <c r="AC1051" s="1213"/>
    </row>
    <row r="1052" spans="1:29" s="1002" customFormat="1" hidden="1">
      <c r="A1052" s="1000" t="s">
        <v>761</v>
      </c>
      <c r="B1052" s="1028" t="s">
        <v>1496</v>
      </c>
      <c r="C1052" s="1066">
        <v>46238</v>
      </c>
      <c r="D1052" s="1066"/>
      <c r="E1052" s="1002" t="s">
        <v>665</v>
      </c>
      <c r="F1052" s="1077">
        <v>46295</v>
      </c>
      <c r="G1052" s="1002" t="s">
        <v>1382</v>
      </c>
      <c r="H1052" s="1111" t="s">
        <v>1381</v>
      </c>
      <c r="I1052" s="1008" t="s">
        <v>892</v>
      </c>
      <c r="J1052" s="1007" t="s">
        <v>645</v>
      </c>
      <c r="K1052" s="1052" t="s">
        <v>646</v>
      </c>
      <c r="L1052" s="1002" t="s">
        <v>113</v>
      </c>
      <c r="M1052" s="1086">
        <v>1</v>
      </c>
      <c r="N1052" s="1081">
        <v>0</v>
      </c>
      <c r="O1052" s="1082">
        <f t="shared" si="191"/>
        <v>0</v>
      </c>
      <c r="P1052" s="1082">
        <f t="shared" si="192"/>
        <v>0</v>
      </c>
      <c r="Q1052" s="1206">
        <f t="shared" si="193"/>
        <v>0</v>
      </c>
      <c r="R1052" s="1083"/>
      <c r="S1052" s="1083"/>
      <c r="T1052" s="1083"/>
      <c r="U1052" s="1083"/>
      <c r="V1052" s="1083">
        <f t="shared" si="194"/>
        <v>0</v>
      </c>
      <c r="X1052" s="1211"/>
      <c r="Y1052" s="1212"/>
      <c r="Z1052" s="1212"/>
      <c r="AA1052" s="1212"/>
      <c r="AB1052" s="1212"/>
      <c r="AC1052" s="1213"/>
    </row>
    <row r="1053" spans="1:29" s="1002" customFormat="1" hidden="1">
      <c r="A1053" s="1000" t="s">
        <v>761</v>
      </c>
      <c r="B1053" s="1028" t="s">
        <v>1496</v>
      </c>
      <c r="C1053" s="1066">
        <v>46238</v>
      </c>
      <c r="D1053" s="1066"/>
      <c r="E1053" s="1002" t="s">
        <v>665</v>
      </c>
      <c r="F1053" s="1077">
        <v>46295</v>
      </c>
      <c r="G1053" s="1002" t="s">
        <v>1382</v>
      </c>
      <c r="H1053" s="1111" t="s">
        <v>1381</v>
      </c>
      <c r="I1053" s="1008" t="s">
        <v>892</v>
      </c>
      <c r="J1053" s="1007" t="s">
        <v>649</v>
      </c>
      <c r="K1053" s="1052" t="s">
        <v>650</v>
      </c>
      <c r="L1053" s="1002" t="s">
        <v>113</v>
      </c>
      <c r="M1053" s="1086">
        <v>1</v>
      </c>
      <c r="N1053" s="1081">
        <v>0</v>
      </c>
      <c r="O1053" s="1082">
        <f t="shared" si="191"/>
        <v>0</v>
      </c>
      <c r="P1053" s="1082">
        <f t="shared" si="192"/>
        <v>0</v>
      </c>
      <c r="Q1053" s="1206">
        <f t="shared" si="193"/>
        <v>0</v>
      </c>
      <c r="R1053" s="1083"/>
      <c r="S1053" s="1083"/>
      <c r="T1053" s="1083"/>
      <c r="U1053" s="1083"/>
      <c r="V1053" s="1083">
        <f t="shared" si="194"/>
        <v>0</v>
      </c>
      <c r="X1053" s="1211"/>
      <c r="Y1053" s="1212"/>
      <c r="Z1053" s="1212"/>
      <c r="AA1053" s="1212"/>
      <c r="AB1053" s="1212"/>
      <c r="AC1053" s="1213"/>
    </row>
    <row r="1054" spans="1:29" s="1002" customFormat="1" hidden="1">
      <c r="A1054" s="1000" t="s">
        <v>761</v>
      </c>
      <c r="B1054" s="1028" t="s">
        <v>1496</v>
      </c>
      <c r="C1054" s="1066">
        <v>46238</v>
      </c>
      <c r="D1054" s="1066"/>
      <c r="E1054" s="1002" t="s">
        <v>665</v>
      </c>
      <c r="F1054" s="1077">
        <v>46295</v>
      </c>
      <c r="G1054" s="1002" t="s">
        <v>1382</v>
      </c>
      <c r="H1054" s="1111" t="s">
        <v>1381</v>
      </c>
      <c r="I1054" s="1008" t="s">
        <v>892</v>
      </c>
      <c r="J1054" s="1007" t="s">
        <v>651</v>
      </c>
      <c r="K1054" s="1052" t="s">
        <v>652</v>
      </c>
      <c r="L1054" s="1002" t="s">
        <v>113</v>
      </c>
      <c r="M1054" s="1086">
        <v>1</v>
      </c>
      <c r="N1054" s="1081">
        <v>0</v>
      </c>
      <c r="O1054" s="1082">
        <f t="shared" si="191"/>
        <v>0</v>
      </c>
      <c r="P1054" s="1082">
        <f t="shared" si="192"/>
        <v>0</v>
      </c>
      <c r="Q1054" s="1206">
        <f t="shared" si="193"/>
        <v>0</v>
      </c>
      <c r="R1054" s="1083"/>
      <c r="S1054" s="1083"/>
      <c r="T1054" s="1083"/>
      <c r="U1054" s="1083"/>
      <c r="V1054" s="1083">
        <f t="shared" si="194"/>
        <v>0</v>
      </c>
      <c r="X1054" s="1211"/>
      <c r="Y1054" s="1212"/>
      <c r="Z1054" s="1212"/>
      <c r="AA1054" s="1212"/>
      <c r="AB1054" s="1212"/>
      <c r="AC1054" s="1213"/>
    </row>
    <row r="1055" spans="1:29" s="1002" customFormat="1" hidden="1">
      <c r="A1055" s="1000" t="s">
        <v>761</v>
      </c>
      <c r="B1055" s="1028" t="s">
        <v>1496</v>
      </c>
      <c r="C1055" s="1066">
        <v>46238</v>
      </c>
      <c r="D1055" s="1066"/>
      <c r="E1055" s="1002" t="s">
        <v>665</v>
      </c>
      <c r="F1055" s="1077">
        <v>46295</v>
      </c>
      <c r="G1055" s="1002" t="s">
        <v>1382</v>
      </c>
      <c r="H1055" s="1111" t="s">
        <v>1381</v>
      </c>
      <c r="I1055" s="1008" t="s">
        <v>892</v>
      </c>
      <c r="J1055" s="1007" t="s">
        <v>653</v>
      </c>
      <c r="K1055" s="1052" t="s">
        <v>654</v>
      </c>
      <c r="L1055" s="1002" t="s">
        <v>113</v>
      </c>
      <c r="M1055" s="1086">
        <v>1</v>
      </c>
      <c r="N1055" s="1081">
        <v>0</v>
      </c>
      <c r="O1055" s="1082">
        <f t="shared" si="191"/>
        <v>0</v>
      </c>
      <c r="P1055" s="1082">
        <f t="shared" si="192"/>
        <v>0</v>
      </c>
      <c r="Q1055" s="1206">
        <f t="shared" si="193"/>
        <v>0</v>
      </c>
      <c r="R1055" s="1083"/>
      <c r="S1055" s="1083"/>
      <c r="T1055" s="1083"/>
      <c r="U1055" s="1083"/>
      <c r="V1055" s="1083">
        <f t="shared" si="194"/>
        <v>0</v>
      </c>
      <c r="X1055" s="1211"/>
      <c r="Y1055" s="1212"/>
      <c r="Z1055" s="1212"/>
      <c r="AA1055" s="1212"/>
      <c r="AB1055" s="1212"/>
      <c r="AC1055" s="1213"/>
    </row>
    <row r="1056" spans="1:29" s="1002" customFormat="1" hidden="1">
      <c r="A1056" s="1000" t="s">
        <v>761</v>
      </c>
      <c r="B1056" s="1028" t="s">
        <v>1496</v>
      </c>
      <c r="C1056" s="1066">
        <v>46238</v>
      </c>
      <c r="D1056" s="1066"/>
      <c r="E1056" s="1002" t="s">
        <v>665</v>
      </c>
      <c r="F1056" s="1077">
        <v>46295</v>
      </c>
      <c r="G1056" s="1002" t="s">
        <v>1382</v>
      </c>
      <c r="H1056" s="1111" t="s">
        <v>1381</v>
      </c>
      <c r="I1056" s="1008" t="s">
        <v>892</v>
      </c>
      <c r="J1056" s="1007" t="s">
        <v>655</v>
      </c>
      <c r="K1056" s="1052" t="s">
        <v>656</v>
      </c>
      <c r="L1056" s="1002" t="s">
        <v>113</v>
      </c>
      <c r="M1056" s="1086">
        <v>1</v>
      </c>
      <c r="N1056" s="1081">
        <v>0</v>
      </c>
      <c r="O1056" s="1082">
        <f t="shared" si="191"/>
        <v>0</v>
      </c>
      <c r="P1056" s="1082">
        <f t="shared" si="192"/>
        <v>0</v>
      </c>
      <c r="Q1056" s="1206">
        <f t="shared" si="193"/>
        <v>0</v>
      </c>
      <c r="R1056" s="1083"/>
      <c r="S1056" s="1083"/>
      <c r="T1056" s="1083"/>
      <c r="U1056" s="1083"/>
      <c r="V1056" s="1083">
        <f t="shared" si="194"/>
        <v>0</v>
      </c>
      <c r="X1056" s="1211"/>
      <c r="Y1056" s="1212"/>
      <c r="Z1056" s="1212"/>
      <c r="AA1056" s="1212"/>
      <c r="AB1056" s="1212"/>
      <c r="AC1056" s="1213"/>
    </row>
    <row r="1057" spans="1:29" s="1002" customFormat="1" hidden="1">
      <c r="A1057" s="1000" t="s">
        <v>761</v>
      </c>
      <c r="B1057" s="1028" t="s">
        <v>1496</v>
      </c>
      <c r="C1057" s="1066">
        <v>46238</v>
      </c>
      <c r="D1057" s="1066"/>
      <c r="E1057" s="1002" t="s">
        <v>665</v>
      </c>
      <c r="F1057" s="1077">
        <v>46295</v>
      </c>
      <c r="G1057" s="1002" t="s">
        <v>1382</v>
      </c>
      <c r="H1057" s="1111" t="s">
        <v>1381</v>
      </c>
      <c r="I1057" s="1002" t="s">
        <v>1497</v>
      </c>
      <c r="J1057" s="1007" t="s">
        <v>647</v>
      </c>
      <c r="K1057" s="1052" t="s">
        <v>648</v>
      </c>
      <c r="L1057" s="1002" t="s">
        <v>113</v>
      </c>
      <c r="M1057" s="1086">
        <v>4</v>
      </c>
      <c r="N1057" s="1081">
        <v>601851.85</v>
      </c>
      <c r="O1057" s="1082">
        <f t="shared" si="191"/>
        <v>2407407.4</v>
      </c>
      <c r="P1057" s="1082">
        <f t="shared" si="192"/>
        <v>192592.592</v>
      </c>
      <c r="Q1057" s="1206">
        <f t="shared" si="193"/>
        <v>2599999.9920000001</v>
      </c>
      <c r="R1057" s="1083"/>
      <c r="S1057" s="1083"/>
      <c r="T1057" s="1083"/>
      <c r="U1057" s="1083"/>
      <c r="V1057" s="1083">
        <f t="shared" si="194"/>
        <v>2599999.9920000001</v>
      </c>
      <c r="X1057" s="1214"/>
      <c r="Y1057" s="1215"/>
      <c r="Z1057" s="1215"/>
      <c r="AA1057" s="1215"/>
      <c r="AB1057" s="1215"/>
      <c r="AC1057" s="1216"/>
    </row>
    <row r="1058" spans="1:29" s="1002" customFormat="1" hidden="1">
      <c r="A1058" s="1000" t="s">
        <v>1005</v>
      </c>
      <c r="B1058" s="1028" t="s">
        <v>1498</v>
      </c>
      <c r="C1058" s="1066">
        <v>46238</v>
      </c>
      <c r="D1058" s="1066"/>
      <c r="E1058" s="1002" t="s">
        <v>667</v>
      </c>
      <c r="F1058" s="1077">
        <v>46238</v>
      </c>
      <c r="G1058" s="1002" t="s">
        <v>667</v>
      </c>
      <c r="H1058" s="1111" t="s">
        <v>669</v>
      </c>
      <c r="I1058" s="1002" t="s">
        <v>1499</v>
      </c>
      <c r="J1058" s="1007" t="s">
        <v>98</v>
      </c>
      <c r="K1058" s="1052" t="s">
        <v>251</v>
      </c>
      <c r="L1058" s="1002" t="s">
        <v>113</v>
      </c>
      <c r="M1058" s="1086">
        <v>1</v>
      </c>
      <c r="N1058" s="1081">
        <v>740740.74</v>
      </c>
      <c r="O1058" s="1082">
        <f t="shared" si="191"/>
        <v>740740.74</v>
      </c>
      <c r="P1058" s="1082">
        <f t="shared" si="192"/>
        <v>59259.2592</v>
      </c>
      <c r="Q1058" s="1206">
        <f t="shared" si="193"/>
        <v>799999.99919999996</v>
      </c>
      <c r="R1058" s="1083"/>
      <c r="S1058" s="1083"/>
      <c r="T1058" s="1083"/>
      <c r="U1058" s="1083"/>
      <c r="V1058" s="1083">
        <f t="shared" si="194"/>
        <v>799999.99919999996</v>
      </c>
    </row>
    <row r="1059" spans="1:29" s="1002" customFormat="1" hidden="1">
      <c r="A1059" s="1000" t="s">
        <v>753</v>
      </c>
      <c r="B1059" s="1001" t="s">
        <v>754</v>
      </c>
      <c r="C1059" s="1066">
        <v>46238</v>
      </c>
      <c r="D1059" s="1066"/>
      <c r="E1059" s="1002" t="s">
        <v>668</v>
      </c>
      <c r="F1059" s="1077"/>
      <c r="H1059" s="1111"/>
      <c r="I1059" s="1002" t="s">
        <v>844</v>
      </c>
      <c r="J1059" s="1007"/>
      <c r="M1059" s="1086"/>
      <c r="N1059" s="1081"/>
      <c r="O1059" s="1082">
        <f t="shared" si="191"/>
        <v>0</v>
      </c>
      <c r="P1059" s="1082">
        <f t="shared" si="192"/>
        <v>0</v>
      </c>
      <c r="Q1059" s="1082">
        <f t="shared" si="193"/>
        <v>0</v>
      </c>
      <c r="R1059" s="1083">
        <v>100000000</v>
      </c>
      <c r="S1059" s="1083"/>
      <c r="T1059" s="1083"/>
      <c r="U1059" s="1083"/>
      <c r="V1059" s="1083">
        <f t="shared" si="194"/>
        <v>-100000000</v>
      </c>
    </row>
    <row r="1060" spans="1:29" s="1002" customFormat="1" hidden="1">
      <c r="A1060" s="1000" t="s">
        <v>1005</v>
      </c>
      <c r="B1060" s="1028" t="s">
        <v>1498</v>
      </c>
      <c r="C1060" s="1066">
        <v>46238</v>
      </c>
      <c r="D1060" s="1066"/>
      <c r="E1060" s="1002" t="s">
        <v>673</v>
      </c>
      <c r="F1060" s="1077"/>
      <c r="H1060" s="1111"/>
      <c r="I1060" s="1002" t="s">
        <v>844</v>
      </c>
      <c r="J1060" s="1007"/>
      <c r="M1060" s="1086"/>
      <c r="N1060" s="1081"/>
      <c r="O1060" s="1082">
        <f t="shared" si="191"/>
        <v>0</v>
      </c>
      <c r="P1060" s="1082">
        <f t="shared" si="192"/>
        <v>0</v>
      </c>
      <c r="Q1060" s="1082">
        <f t="shared" si="193"/>
        <v>0</v>
      </c>
      <c r="R1060" s="1083">
        <v>800000</v>
      </c>
      <c r="S1060" s="1083"/>
      <c r="T1060" s="1083"/>
      <c r="U1060" s="1083"/>
      <c r="V1060" s="1083">
        <f t="shared" si="194"/>
        <v>-800000</v>
      </c>
    </row>
    <row r="1061" spans="1:29" s="1002" customFormat="1" ht="31.5" hidden="1">
      <c r="A1061" s="1000" t="s">
        <v>1006</v>
      </c>
      <c r="B1061" s="1001" t="s">
        <v>1500</v>
      </c>
      <c r="C1061" s="1066">
        <v>46238</v>
      </c>
      <c r="D1061" s="1066"/>
      <c r="E1061" s="1002" t="s">
        <v>674</v>
      </c>
      <c r="F1061" s="1077"/>
      <c r="H1061" s="1111"/>
      <c r="I1061" s="1002" t="s">
        <v>844</v>
      </c>
      <c r="J1061" s="1007"/>
      <c r="M1061" s="1086"/>
      <c r="N1061" s="1081"/>
      <c r="O1061" s="1082">
        <f t="shared" si="191"/>
        <v>0</v>
      </c>
      <c r="P1061" s="1082">
        <f t="shared" si="192"/>
        <v>0</v>
      </c>
      <c r="Q1061" s="1082">
        <f t="shared" si="193"/>
        <v>0</v>
      </c>
      <c r="R1061" s="1083">
        <v>7120000</v>
      </c>
      <c r="S1061" s="1083"/>
      <c r="T1061" s="1083"/>
      <c r="U1061" s="1083"/>
      <c r="V1061" s="1083">
        <f t="shared" si="194"/>
        <v>-7120000</v>
      </c>
      <c r="W1061" s="1217" t="s">
        <v>678</v>
      </c>
    </row>
    <row r="1062" spans="1:29" s="1002" customFormat="1" hidden="1">
      <c r="A1062" s="1000" t="s">
        <v>752</v>
      </c>
      <c r="B1062" s="1028" t="s">
        <v>1494</v>
      </c>
      <c r="C1062" s="1066"/>
      <c r="D1062" s="1066"/>
      <c r="F1062" s="1077"/>
      <c r="H1062" s="1111"/>
      <c r="I1062" s="1002" t="s">
        <v>760</v>
      </c>
      <c r="J1062" s="1007"/>
      <c r="M1062" s="1086"/>
      <c r="N1062" s="1081"/>
      <c r="O1062" s="1082"/>
      <c r="P1062" s="1082"/>
      <c r="Q1062" s="1082"/>
      <c r="R1062" s="1083"/>
      <c r="S1062" s="1083">
        <v>600000</v>
      </c>
      <c r="T1062" s="1083"/>
      <c r="U1062" s="1083"/>
      <c r="V1062" s="1083">
        <f t="shared" si="194"/>
        <v>-600000</v>
      </c>
    </row>
    <row r="1063" spans="1:29" s="1002" customFormat="1" hidden="1">
      <c r="A1063" s="1000" t="s">
        <v>1005</v>
      </c>
      <c r="B1063" s="1028" t="s">
        <v>1498</v>
      </c>
      <c r="C1063" s="1066">
        <v>46239</v>
      </c>
      <c r="D1063" s="1066"/>
      <c r="E1063" s="1002" t="s">
        <v>676</v>
      </c>
      <c r="F1063" s="1077">
        <v>46290</v>
      </c>
      <c r="G1063" s="1002" t="s">
        <v>1321</v>
      </c>
      <c r="H1063" s="1111" t="s">
        <v>1320</v>
      </c>
      <c r="I1063" s="1002" t="s">
        <v>1499</v>
      </c>
      <c r="J1063" s="1007" t="s">
        <v>46</v>
      </c>
      <c r="K1063" s="1052" t="s">
        <v>47</v>
      </c>
      <c r="L1063" s="1002" t="s">
        <v>113</v>
      </c>
      <c r="M1063" s="1086">
        <v>2</v>
      </c>
      <c r="N1063" s="1081">
        <v>240740.74</v>
      </c>
      <c r="O1063" s="1082">
        <f t="shared" si="191"/>
        <v>481481.48</v>
      </c>
      <c r="P1063" s="1082">
        <f t="shared" si="192"/>
        <v>38518.518400000001</v>
      </c>
      <c r="Q1063" s="1206">
        <f t="shared" si="193"/>
        <v>519999.99839999998</v>
      </c>
      <c r="R1063" s="1083"/>
      <c r="S1063" s="1083"/>
      <c r="T1063" s="1083"/>
      <c r="U1063" s="1083"/>
      <c r="V1063" s="1083">
        <f t="shared" si="194"/>
        <v>519999.99839999998</v>
      </c>
    </row>
    <row r="1064" spans="1:29" s="1002" customFormat="1" ht="31.5" hidden="1">
      <c r="A1064" s="1000" t="s">
        <v>1005</v>
      </c>
      <c r="B1064" s="1028" t="s">
        <v>1498</v>
      </c>
      <c r="C1064" s="1066">
        <v>46239</v>
      </c>
      <c r="D1064" s="1066"/>
      <c r="E1064" s="1002" t="s">
        <v>676</v>
      </c>
      <c r="F1064" s="1077">
        <v>46290</v>
      </c>
      <c r="G1064" s="1002" t="s">
        <v>1321</v>
      </c>
      <c r="H1064" s="1111" t="s">
        <v>1320</v>
      </c>
      <c r="I1064" s="1002" t="s">
        <v>1499</v>
      </c>
      <c r="J1064" s="1007" t="s">
        <v>40</v>
      </c>
      <c r="K1064" s="1052" t="s">
        <v>41</v>
      </c>
      <c r="L1064" s="1002" t="s">
        <v>113</v>
      </c>
      <c r="M1064" s="1086">
        <v>2</v>
      </c>
      <c r="N1064" s="1081">
        <v>844444.44</v>
      </c>
      <c r="O1064" s="1082">
        <f t="shared" si="191"/>
        <v>1688888.88</v>
      </c>
      <c r="P1064" s="1082">
        <f t="shared" si="192"/>
        <v>135111.11040000001</v>
      </c>
      <c r="Q1064" s="1206">
        <f t="shared" si="193"/>
        <v>1823999.9904</v>
      </c>
      <c r="R1064" s="1083"/>
      <c r="S1064" s="1083"/>
      <c r="T1064" s="1083"/>
      <c r="U1064" s="1083"/>
      <c r="V1064" s="1083">
        <f t="shared" si="194"/>
        <v>1823999.9904</v>
      </c>
    </row>
    <row r="1065" spans="1:29" s="1002" customFormat="1" hidden="1">
      <c r="A1065" s="1000" t="s">
        <v>753</v>
      </c>
      <c r="B1065" s="1001" t="s">
        <v>754</v>
      </c>
      <c r="C1065" s="1066">
        <v>46239</v>
      </c>
      <c r="D1065" s="1066"/>
      <c r="E1065" s="1002" t="s">
        <v>679</v>
      </c>
      <c r="F1065" s="1077">
        <v>46240</v>
      </c>
      <c r="G1065" s="1002" t="s">
        <v>705</v>
      </c>
      <c r="H1065" s="1111" t="s">
        <v>706</v>
      </c>
      <c r="I1065" s="1002" t="s">
        <v>811</v>
      </c>
      <c r="J1065" s="1007" t="s">
        <v>90</v>
      </c>
      <c r="K1065" s="1052" t="s">
        <v>91</v>
      </c>
      <c r="L1065" s="1002" t="s">
        <v>113</v>
      </c>
      <c r="M1065" s="1086">
        <v>30</v>
      </c>
      <c r="N1065" s="1081">
        <v>814814.81</v>
      </c>
      <c r="O1065" s="1082">
        <f t="shared" si="191"/>
        <v>24444444.300000001</v>
      </c>
      <c r="P1065" s="1082">
        <f t="shared" si="192"/>
        <v>1955555.544</v>
      </c>
      <c r="Q1065" s="1206">
        <f t="shared" si="193"/>
        <v>26399999.844000001</v>
      </c>
      <c r="R1065" s="1083"/>
      <c r="S1065" s="1083"/>
      <c r="T1065" s="1083"/>
      <c r="U1065" s="1083"/>
      <c r="V1065" s="1083">
        <f t="shared" si="194"/>
        <v>26399999.844000001</v>
      </c>
    </row>
    <row r="1066" spans="1:29" s="1002" customFormat="1" hidden="1">
      <c r="A1066" s="1000" t="s">
        <v>753</v>
      </c>
      <c r="B1066" s="1001" t="s">
        <v>754</v>
      </c>
      <c r="C1066" s="1066">
        <v>46239</v>
      </c>
      <c r="D1066" s="1066"/>
      <c r="E1066" s="1002" t="s">
        <v>679</v>
      </c>
      <c r="F1066" s="1077">
        <v>46295</v>
      </c>
      <c r="G1066" s="1002" t="s">
        <v>1327</v>
      </c>
      <c r="H1066" s="1111" t="s">
        <v>1326</v>
      </c>
      <c r="I1066" s="1002" t="s">
        <v>811</v>
      </c>
      <c r="J1066" s="1007" t="s">
        <v>639</v>
      </c>
      <c r="K1066" s="1052" t="s">
        <v>640</v>
      </c>
      <c r="L1066" s="1002" t="s">
        <v>113</v>
      </c>
      <c r="M1066" s="1086">
        <v>15</v>
      </c>
      <c r="N1066" s="1081">
        <v>537037.04</v>
      </c>
      <c r="O1066" s="1082">
        <f t="shared" si="191"/>
        <v>8055555.6000000006</v>
      </c>
      <c r="P1066" s="1082">
        <f t="shared" si="192"/>
        <v>644444.44800000009</v>
      </c>
      <c r="Q1066" s="1206">
        <f t="shared" si="193"/>
        <v>8700000.0480000004</v>
      </c>
      <c r="R1066" s="1083"/>
      <c r="S1066" s="1083"/>
      <c r="T1066" s="1083"/>
      <c r="U1066" s="1083"/>
      <c r="V1066" s="1083">
        <f t="shared" si="194"/>
        <v>8700000.0480000004</v>
      </c>
    </row>
    <row r="1067" spans="1:29" s="1002" customFormat="1" hidden="1">
      <c r="A1067" s="1000" t="s">
        <v>753</v>
      </c>
      <c r="B1067" s="1001" t="s">
        <v>754</v>
      </c>
      <c r="C1067" s="1066">
        <v>46239</v>
      </c>
      <c r="D1067" s="1066"/>
      <c r="E1067" s="1002" t="s">
        <v>679</v>
      </c>
      <c r="F1067" s="1077">
        <v>46295</v>
      </c>
      <c r="G1067" s="1002" t="s">
        <v>1327</v>
      </c>
      <c r="H1067" s="1111" t="s">
        <v>1326</v>
      </c>
      <c r="I1067" s="1002" t="s">
        <v>811</v>
      </c>
      <c r="J1067" s="1007" t="s">
        <v>641</v>
      </c>
      <c r="K1067" s="1052" t="s">
        <v>657</v>
      </c>
      <c r="L1067" s="1002" t="s">
        <v>113</v>
      </c>
      <c r="M1067" s="1086">
        <v>15</v>
      </c>
      <c r="N1067" s="1081">
        <v>638888.89</v>
      </c>
      <c r="O1067" s="1082">
        <f t="shared" si="191"/>
        <v>9583333.3499999996</v>
      </c>
      <c r="P1067" s="1082">
        <f t="shared" si="192"/>
        <v>766666.66799999995</v>
      </c>
      <c r="Q1067" s="1206">
        <f t="shared" si="193"/>
        <v>10350000.017999999</v>
      </c>
      <c r="R1067" s="1083"/>
      <c r="S1067" s="1083"/>
      <c r="T1067" s="1083"/>
      <c r="U1067" s="1083"/>
      <c r="V1067" s="1083">
        <f t="shared" si="194"/>
        <v>10350000.017999999</v>
      </c>
    </row>
    <row r="1068" spans="1:29" s="1002" customFormat="1" hidden="1">
      <c r="A1068" s="1000" t="s">
        <v>753</v>
      </c>
      <c r="B1068" s="1001" t="s">
        <v>754</v>
      </c>
      <c r="C1068" s="1066">
        <v>46239</v>
      </c>
      <c r="D1068" s="1066"/>
      <c r="E1068" s="1002" t="s">
        <v>679</v>
      </c>
      <c r="F1068" s="1077">
        <v>46295</v>
      </c>
      <c r="G1068" s="1002" t="s">
        <v>1327</v>
      </c>
      <c r="H1068" s="1111" t="s">
        <v>1326</v>
      </c>
      <c r="I1068" s="1002" t="s">
        <v>811</v>
      </c>
      <c r="J1068" s="1007" t="s">
        <v>643</v>
      </c>
      <c r="K1068" s="1052" t="s">
        <v>644</v>
      </c>
      <c r="L1068" s="1002" t="s">
        <v>113</v>
      </c>
      <c r="M1068" s="1086">
        <v>15</v>
      </c>
      <c r="N1068" s="1081">
        <v>527777.78</v>
      </c>
      <c r="O1068" s="1082">
        <f t="shared" si="191"/>
        <v>7916666.7000000002</v>
      </c>
      <c r="P1068" s="1082">
        <f t="shared" si="192"/>
        <v>633333.33600000001</v>
      </c>
      <c r="Q1068" s="1206">
        <f t="shared" si="193"/>
        <v>8550000.0360000003</v>
      </c>
      <c r="R1068" s="1083"/>
      <c r="S1068" s="1083"/>
      <c r="T1068" s="1083"/>
      <c r="U1068" s="1083"/>
      <c r="V1068" s="1083">
        <f t="shared" si="194"/>
        <v>8550000.0360000003</v>
      </c>
    </row>
    <row r="1069" spans="1:29" s="1002" customFormat="1" hidden="1">
      <c r="A1069" s="1000" t="s">
        <v>753</v>
      </c>
      <c r="B1069" s="1001" t="s">
        <v>754</v>
      </c>
      <c r="C1069" s="1066">
        <v>46239</v>
      </c>
      <c r="D1069" s="1066"/>
      <c r="E1069" s="1002" t="s">
        <v>679</v>
      </c>
      <c r="F1069" s="1077">
        <v>46295</v>
      </c>
      <c r="G1069" s="1002" t="s">
        <v>1327</v>
      </c>
      <c r="H1069" s="1111" t="s">
        <v>1326</v>
      </c>
      <c r="I1069" s="1002" t="s">
        <v>811</v>
      </c>
      <c r="J1069" s="1007" t="s">
        <v>645</v>
      </c>
      <c r="K1069" s="1052" t="s">
        <v>646</v>
      </c>
      <c r="L1069" s="1002" t="s">
        <v>113</v>
      </c>
      <c r="M1069" s="1086">
        <v>15</v>
      </c>
      <c r="N1069" s="1081">
        <v>629629.63</v>
      </c>
      <c r="O1069" s="1082">
        <f t="shared" si="191"/>
        <v>9444444.4499999993</v>
      </c>
      <c r="P1069" s="1082">
        <f t="shared" si="192"/>
        <v>755555.55599999998</v>
      </c>
      <c r="Q1069" s="1206">
        <f t="shared" si="193"/>
        <v>10200000.005999999</v>
      </c>
      <c r="R1069" s="1083"/>
      <c r="S1069" s="1083"/>
      <c r="T1069" s="1083"/>
      <c r="U1069" s="1083"/>
      <c r="V1069" s="1083">
        <f t="shared" si="194"/>
        <v>10200000.005999999</v>
      </c>
    </row>
    <row r="1070" spans="1:29" s="1002" customFormat="1" hidden="1">
      <c r="A1070" s="1000" t="s">
        <v>753</v>
      </c>
      <c r="B1070" s="1001" t="s">
        <v>754</v>
      </c>
      <c r="C1070" s="1066">
        <v>46239</v>
      </c>
      <c r="D1070" s="1066"/>
      <c r="E1070" s="1002" t="s">
        <v>679</v>
      </c>
      <c r="F1070" s="1077">
        <v>46295</v>
      </c>
      <c r="G1070" s="1002" t="s">
        <v>1327</v>
      </c>
      <c r="H1070" s="1111" t="s">
        <v>1326</v>
      </c>
      <c r="I1070" s="1002" t="s">
        <v>811</v>
      </c>
      <c r="J1070" s="1007" t="s">
        <v>649</v>
      </c>
      <c r="K1070" s="1052" t="s">
        <v>650</v>
      </c>
      <c r="L1070" s="1002" t="s">
        <v>113</v>
      </c>
      <c r="M1070" s="1086">
        <v>15</v>
      </c>
      <c r="N1070" s="1081">
        <v>574074.06999999995</v>
      </c>
      <c r="O1070" s="1082">
        <f t="shared" si="191"/>
        <v>8611111.0499999989</v>
      </c>
      <c r="P1070" s="1082">
        <f t="shared" si="192"/>
        <v>688888.88399999996</v>
      </c>
      <c r="Q1070" s="1206">
        <f t="shared" si="193"/>
        <v>9299999.9339999985</v>
      </c>
      <c r="R1070" s="1083"/>
      <c r="S1070" s="1083"/>
      <c r="T1070" s="1083"/>
      <c r="U1070" s="1083"/>
      <c r="V1070" s="1083">
        <f t="shared" si="194"/>
        <v>9299999.9339999985</v>
      </c>
    </row>
    <row r="1071" spans="1:29" s="1002" customFormat="1" hidden="1">
      <c r="A1071" s="1000" t="s">
        <v>753</v>
      </c>
      <c r="B1071" s="1001" t="s">
        <v>754</v>
      </c>
      <c r="C1071" s="1066">
        <v>46239</v>
      </c>
      <c r="D1071" s="1066"/>
      <c r="E1071" s="1002" t="s">
        <v>679</v>
      </c>
      <c r="F1071" s="1077">
        <v>46295</v>
      </c>
      <c r="G1071" s="1002" t="s">
        <v>1327</v>
      </c>
      <c r="H1071" s="1111" t="s">
        <v>1326</v>
      </c>
      <c r="I1071" s="1002" t="s">
        <v>811</v>
      </c>
      <c r="J1071" s="1007" t="s">
        <v>651</v>
      </c>
      <c r="K1071" s="1052" t="s">
        <v>652</v>
      </c>
      <c r="L1071" s="1002" t="s">
        <v>113</v>
      </c>
      <c r="M1071" s="1086">
        <v>15</v>
      </c>
      <c r="N1071" s="1081">
        <v>694444.44</v>
      </c>
      <c r="O1071" s="1082">
        <f t="shared" si="191"/>
        <v>10416666.6</v>
      </c>
      <c r="P1071" s="1082">
        <f t="shared" si="192"/>
        <v>833333.32799999998</v>
      </c>
      <c r="Q1071" s="1206">
        <f t="shared" si="193"/>
        <v>11249999.927999999</v>
      </c>
      <c r="R1071" s="1083"/>
      <c r="S1071" s="1083"/>
      <c r="T1071" s="1083"/>
      <c r="U1071" s="1083"/>
      <c r="V1071" s="1083">
        <f t="shared" si="194"/>
        <v>11249999.927999999</v>
      </c>
    </row>
    <row r="1072" spans="1:29" s="1002" customFormat="1" hidden="1">
      <c r="A1072" s="1000" t="s">
        <v>753</v>
      </c>
      <c r="B1072" s="1001" t="s">
        <v>754</v>
      </c>
      <c r="C1072" s="1066">
        <v>46239</v>
      </c>
      <c r="D1072" s="1066"/>
      <c r="E1072" s="1002" t="s">
        <v>679</v>
      </c>
      <c r="F1072" s="1077">
        <v>46295</v>
      </c>
      <c r="G1072" s="1002" t="s">
        <v>1327</v>
      </c>
      <c r="H1072" s="1111" t="s">
        <v>1326</v>
      </c>
      <c r="I1072" s="1002" t="s">
        <v>811</v>
      </c>
      <c r="J1072" s="1007" t="s">
        <v>653</v>
      </c>
      <c r="K1072" s="1052" t="s">
        <v>654</v>
      </c>
      <c r="L1072" s="1002" t="s">
        <v>113</v>
      </c>
      <c r="M1072" s="1086">
        <v>15</v>
      </c>
      <c r="N1072" s="1081">
        <v>481481.48</v>
      </c>
      <c r="O1072" s="1082">
        <f t="shared" si="191"/>
        <v>7222222.1999999993</v>
      </c>
      <c r="P1072" s="1082">
        <f t="shared" si="192"/>
        <v>577777.77599999995</v>
      </c>
      <c r="Q1072" s="1206">
        <f t="shared" si="193"/>
        <v>7799999.9759999989</v>
      </c>
      <c r="R1072" s="1083"/>
      <c r="S1072" s="1083"/>
      <c r="T1072" s="1083"/>
      <c r="U1072" s="1083"/>
      <c r="V1072" s="1083">
        <f t="shared" si="194"/>
        <v>7799999.9759999989</v>
      </c>
    </row>
    <row r="1073" spans="1:35" s="1002" customFormat="1" hidden="1">
      <c r="A1073" s="1000" t="s">
        <v>753</v>
      </c>
      <c r="B1073" s="1001" t="s">
        <v>754</v>
      </c>
      <c r="C1073" s="1066">
        <v>46239</v>
      </c>
      <c r="D1073" s="1066"/>
      <c r="E1073" s="1002" t="s">
        <v>679</v>
      </c>
      <c r="F1073" s="1077">
        <v>46295</v>
      </c>
      <c r="G1073" s="1002" t="s">
        <v>1327</v>
      </c>
      <c r="H1073" s="1111" t="s">
        <v>1326</v>
      </c>
      <c r="I1073" s="1002" t="s">
        <v>811</v>
      </c>
      <c r="J1073" s="1007" t="s">
        <v>655</v>
      </c>
      <c r="K1073" s="1052" t="s">
        <v>656</v>
      </c>
      <c r="L1073" s="1002" t="s">
        <v>113</v>
      </c>
      <c r="M1073" s="1086">
        <v>15</v>
      </c>
      <c r="N1073" s="1081">
        <v>574074.06999999995</v>
      </c>
      <c r="O1073" s="1082">
        <f t="shared" si="191"/>
        <v>8611111.0499999989</v>
      </c>
      <c r="P1073" s="1082">
        <f t="shared" si="192"/>
        <v>688888.88399999996</v>
      </c>
      <c r="Q1073" s="1206">
        <f t="shared" si="193"/>
        <v>9299999.9339999985</v>
      </c>
      <c r="R1073" s="1083"/>
      <c r="S1073" s="1083"/>
      <c r="T1073" s="1083"/>
      <c r="U1073" s="1083"/>
      <c r="V1073" s="1083">
        <f t="shared" si="194"/>
        <v>9299999.9339999985</v>
      </c>
    </row>
    <row r="1074" spans="1:35" s="1002" customFormat="1" hidden="1">
      <c r="A1074" s="1000" t="s">
        <v>753</v>
      </c>
      <c r="B1074" s="1001" t="s">
        <v>754</v>
      </c>
      <c r="C1074" s="1066">
        <v>46239</v>
      </c>
      <c r="D1074" s="1066"/>
      <c r="E1074" s="1002" t="s">
        <v>679</v>
      </c>
      <c r="F1074" s="1077">
        <v>46295</v>
      </c>
      <c r="G1074" s="1002" t="s">
        <v>1327</v>
      </c>
      <c r="H1074" s="1111" t="s">
        <v>1326</v>
      </c>
      <c r="I1074" s="1008" t="s">
        <v>892</v>
      </c>
      <c r="J1074" s="1007" t="s">
        <v>639</v>
      </c>
      <c r="K1074" s="1052" t="s">
        <v>640</v>
      </c>
      <c r="L1074" s="1002" t="s">
        <v>113</v>
      </c>
      <c r="M1074" s="1086">
        <v>1</v>
      </c>
      <c r="N1074" s="1081">
        <v>0</v>
      </c>
      <c r="O1074" s="1082">
        <f t="shared" si="191"/>
        <v>0</v>
      </c>
      <c r="P1074" s="1082">
        <f t="shared" si="192"/>
        <v>0</v>
      </c>
      <c r="Q1074" s="1206">
        <f t="shared" si="193"/>
        <v>0</v>
      </c>
      <c r="R1074" s="1083"/>
      <c r="S1074" s="1083"/>
      <c r="T1074" s="1083"/>
      <c r="U1074" s="1083"/>
      <c r="V1074" s="1083">
        <f t="shared" si="194"/>
        <v>0</v>
      </c>
    </row>
    <row r="1075" spans="1:35" s="1002" customFormat="1" hidden="1">
      <c r="A1075" s="1000" t="s">
        <v>753</v>
      </c>
      <c r="B1075" s="1001" t="s">
        <v>754</v>
      </c>
      <c r="C1075" s="1066">
        <v>46239</v>
      </c>
      <c r="D1075" s="1066"/>
      <c r="E1075" s="1002" t="s">
        <v>679</v>
      </c>
      <c r="F1075" s="1077">
        <v>46295</v>
      </c>
      <c r="G1075" s="1002" t="s">
        <v>1327</v>
      </c>
      <c r="H1075" s="1111" t="s">
        <v>1326</v>
      </c>
      <c r="I1075" s="1008" t="s">
        <v>892</v>
      </c>
      <c r="J1075" s="1007" t="s">
        <v>641</v>
      </c>
      <c r="K1075" s="1052" t="s">
        <v>657</v>
      </c>
      <c r="L1075" s="1002" t="s">
        <v>113</v>
      </c>
      <c r="M1075" s="1086">
        <v>1</v>
      </c>
      <c r="N1075" s="1081">
        <v>0</v>
      </c>
      <c r="O1075" s="1082">
        <f t="shared" si="191"/>
        <v>0</v>
      </c>
      <c r="P1075" s="1082">
        <f t="shared" si="192"/>
        <v>0</v>
      </c>
      <c r="Q1075" s="1206">
        <f t="shared" si="193"/>
        <v>0</v>
      </c>
      <c r="R1075" s="1083"/>
      <c r="S1075" s="1083"/>
      <c r="T1075" s="1083"/>
      <c r="U1075" s="1083"/>
      <c r="V1075" s="1083">
        <f t="shared" si="194"/>
        <v>0</v>
      </c>
    </row>
    <row r="1076" spans="1:35" s="1002" customFormat="1" hidden="1">
      <c r="A1076" s="1000" t="s">
        <v>753</v>
      </c>
      <c r="B1076" s="1001" t="s">
        <v>754</v>
      </c>
      <c r="C1076" s="1066">
        <v>46239</v>
      </c>
      <c r="D1076" s="1066"/>
      <c r="E1076" s="1002" t="s">
        <v>679</v>
      </c>
      <c r="F1076" s="1077">
        <v>46295</v>
      </c>
      <c r="G1076" s="1002" t="s">
        <v>1327</v>
      </c>
      <c r="H1076" s="1111" t="s">
        <v>1326</v>
      </c>
      <c r="I1076" s="1008" t="s">
        <v>892</v>
      </c>
      <c r="J1076" s="1007" t="s">
        <v>643</v>
      </c>
      <c r="K1076" s="1052" t="s">
        <v>644</v>
      </c>
      <c r="L1076" s="1002" t="s">
        <v>113</v>
      </c>
      <c r="M1076" s="1086">
        <v>1</v>
      </c>
      <c r="N1076" s="1081">
        <v>0</v>
      </c>
      <c r="O1076" s="1082">
        <f t="shared" si="191"/>
        <v>0</v>
      </c>
      <c r="P1076" s="1082">
        <f t="shared" si="192"/>
        <v>0</v>
      </c>
      <c r="Q1076" s="1206">
        <f t="shared" si="193"/>
        <v>0</v>
      </c>
      <c r="R1076" s="1083"/>
      <c r="S1076" s="1083"/>
      <c r="T1076" s="1083"/>
      <c r="U1076" s="1083"/>
      <c r="V1076" s="1083">
        <f t="shared" si="194"/>
        <v>0</v>
      </c>
    </row>
    <row r="1077" spans="1:35" s="1002" customFormat="1" hidden="1">
      <c r="A1077" s="1000" t="s">
        <v>753</v>
      </c>
      <c r="B1077" s="1001" t="s">
        <v>754</v>
      </c>
      <c r="C1077" s="1066">
        <v>46239</v>
      </c>
      <c r="D1077" s="1066"/>
      <c r="E1077" s="1002" t="s">
        <v>679</v>
      </c>
      <c r="F1077" s="1077">
        <v>46295</v>
      </c>
      <c r="G1077" s="1002" t="s">
        <v>1327</v>
      </c>
      <c r="H1077" s="1111" t="s">
        <v>1326</v>
      </c>
      <c r="I1077" s="1008" t="s">
        <v>892</v>
      </c>
      <c r="J1077" s="1007" t="s">
        <v>645</v>
      </c>
      <c r="K1077" s="1052" t="s">
        <v>646</v>
      </c>
      <c r="L1077" s="1002" t="s">
        <v>113</v>
      </c>
      <c r="M1077" s="1086">
        <v>1</v>
      </c>
      <c r="N1077" s="1081">
        <v>0</v>
      </c>
      <c r="O1077" s="1082">
        <f t="shared" ref="O1077:O1167" si="195">M1077*N1077</f>
        <v>0</v>
      </c>
      <c r="P1077" s="1082">
        <f t="shared" ref="P1077:P1167" si="196">O1077*8%</f>
        <v>0</v>
      </c>
      <c r="Q1077" s="1206">
        <f t="shared" ref="Q1077:Q1167" si="197">O1077+P1077</f>
        <v>0</v>
      </c>
      <c r="R1077" s="1083"/>
      <c r="S1077" s="1083"/>
      <c r="T1077" s="1083"/>
      <c r="U1077" s="1083"/>
      <c r="V1077" s="1083">
        <f t="shared" si="194"/>
        <v>0</v>
      </c>
    </row>
    <row r="1078" spans="1:35" s="1002" customFormat="1" hidden="1">
      <c r="A1078" s="1000" t="s">
        <v>753</v>
      </c>
      <c r="B1078" s="1001" t="s">
        <v>754</v>
      </c>
      <c r="C1078" s="1066">
        <v>46239</v>
      </c>
      <c r="D1078" s="1066"/>
      <c r="E1078" s="1002" t="s">
        <v>679</v>
      </c>
      <c r="F1078" s="1077">
        <v>46295</v>
      </c>
      <c r="G1078" s="1002" t="s">
        <v>1327</v>
      </c>
      <c r="H1078" s="1111" t="s">
        <v>1326</v>
      </c>
      <c r="I1078" s="1008" t="s">
        <v>892</v>
      </c>
      <c r="J1078" s="1007" t="s">
        <v>649</v>
      </c>
      <c r="K1078" s="1052" t="s">
        <v>650</v>
      </c>
      <c r="L1078" s="1002" t="s">
        <v>113</v>
      </c>
      <c r="M1078" s="1086">
        <v>1</v>
      </c>
      <c r="N1078" s="1081">
        <v>0</v>
      </c>
      <c r="O1078" s="1082">
        <f t="shared" si="195"/>
        <v>0</v>
      </c>
      <c r="P1078" s="1082">
        <f t="shared" si="196"/>
        <v>0</v>
      </c>
      <c r="Q1078" s="1206">
        <f t="shared" si="197"/>
        <v>0</v>
      </c>
      <c r="R1078" s="1083"/>
      <c r="S1078" s="1083"/>
      <c r="T1078" s="1083"/>
      <c r="U1078" s="1083"/>
      <c r="V1078" s="1083">
        <f t="shared" si="194"/>
        <v>0</v>
      </c>
    </row>
    <row r="1079" spans="1:35" s="1002" customFormat="1" hidden="1">
      <c r="A1079" s="1000" t="s">
        <v>753</v>
      </c>
      <c r="B1079" s="1001" t="s">
        <v>754</v>
      </c>
      <c r="C1079" s="1066">
        <v>46239</v>
      </c>
      <c r="D1079" s="1066"/>
      <c r="E1079" s="1002" t="s">
        <v>679</v>
      </c>
      <c r="F1079" s="1077">
        <v>46295</v>
      </c>
      <c r="G1079" s="1002" t="s">
        <v>1327</v>
      </c>
      <c r="H1079" s="1111" t="s">
        <v>1326</v>
      </c>
      <c r="I1079" s="1008" t="s">
        <v>892</v>
      </c>
      <c r="J1079" s="1007" t="s">
        <v>651</v>
      </c>
      <c r="K1079" s="1052" t="s">
        <v>652</v>
      </c>
      <c r="L1079" s="1002" t="s">
        <v>113</v>
      </c>
      <c r="M1079" s="1086">
        <v>1</v>
      </c>
      <c r="N1079" s="1081">
        <v>0</v>
      </c>
      <c r="O1079" s="1082">
        <f t="shared" si="195"/>
        <v>0</v>
      </c>
      <c r="P1079" s="1082">
        <f t="shared" si="196"/>
        <v>0</v>
      </c>
      <c r="Q1079" s="1206">
        <f t="shared" si="197"/>
        <v>0</v>
      </c>
      <c r="R1079" s="1083"/>
      <c r="S1079" s="1083"/>
      <c r="T1079" s="1083"/>
      <c r="U1079" s="1083"/>
      <c r="V1079" s="1083">
        <f t="shared" si="194"/>
        <v>0</v>
      </c>
    </row>
    <row r="1080" spans="1:35" s="1002" customFormat="1" hidden="1">
      <c r="A1080" s="1000" t="s">
        <v>753</v>
      </c>
      <c r="B1080" s="1001" t="s">
        <v>754</v>
      </c>
      <c r="C1080" s="1066">
        <v>46239</v>
      </c>
      <c r="D1080" s="1066"/>
      <c r="E1080" s="1002" t="s">
        <v>679</v>
      </c>
      <c r="F1080" s="1077">
        <v>46295</v>
      </c>
      <c r="G1080" s="1002" t="s">
        <v>1327</v>
      </c>
      <c r="H1080" s="1111" t="s">
        <v>1326</v>
      </c>
      <c r="I1080" s="1008" t="s">
        <v>892</v>
      </c>
      <c r="J1080" s="1007" t="s">
        <v>653</v>
      </c>
      <c r="K1080" s="1052" t="s">
        <v>654</v>
      </c>
      <c r="L1080" s="1002" t="s">
        <v>113</v>
      </c>
      <c r="M1080" s="1086">
        <v>1</v>
      </c>
      <c r="N1080" s="1081">
        <v>0</v>
      </c>
      <c r="O1080" s="1082">
        <f t="shared" si="195"/>
        <v>0</v>
      </c>
      <c r="P1080" s="1082">
        <f t="shared" si="196"/>
        <v>0</v>
      </c>
      <c r="Q1080" s="1206">
        <f t="shared" si="197"/>
        <v>0</v>
      </c>
      <c r="R1080" s="1083"/>
      <c r="S1080" s="1083"/>
      <c r="T1080" s="1083"/>
      <c r="U1080" s="1083"/>
      <c r="V1080" s="1083">
        <f t="shared" si="194"/>
        <v>0</v>
      </c>
    </row>
    <row r="1081" spans="1:35" s="1002" customFormat="1" hidden="1">
      <c r="A1081" s="1000" t="s">
        <v>753</v>
      </c>
      <c r="B1081" s="1001" t="s">
        <v>754</v>
      </c>
      <c r="C1081" s="1066">
        <v>46239</v>
      </c>
      <c r="D1081" s="1066"/>
      <c r="E1081" s="1002" t="s">
        <v>679</v>
      </c>
      <c r="F1081" s="1077">
        <v>46295</v>
      </c>
      <c r="G1081" s="1002" t="s">
        <v>1327</v>
      </c>
      <c r="H1081" s="1111" t="s">
        <v>1326</v>
      </c>
      <c r="I1081" s="1008" t="s">
        <v>892</v>
      </c>
      <c r="J1081" s="1007" t="s">
        <v>655</v>
      </c>
      <c r="K1081" s="1052" t="s">
        <v>656</v>
      </c>
      <c r="L1081" s="1002" t="s">
        <v>113</v>
      </c>
      <c r="M1081" s="1086">
        <v>1</v>
      </c>
      <c r="N1081" s="1081">
        <v>0</v>
      </c>
      <c r="O1081" s="1082">
        <f t="shared" si="195"/>
        <v>0</v>
      </c>
      <c r="P1081" s="1082">
        <f t="shared" si="196"/>
        <v>0</v>
      </c>
      <c r="Q1081" s="1206">
        <f t="shared" si="197"/>
        <v>0</v>
      </c>
      <c r="R1081" s="1083"/>
      <c r="S1081" s="1083"/>
      <c r="T1081" s="1083"/>
      <c r="U1081" s="1083"/>
      <c r="V1081" s="1083">
        <f t="shared" si="194"/>
        <v>0</v>
      </c>
    </row>
    <row r="1082" spans="1:35" s="1002" customFormat="1" hidden="1">
      <c r="A1082" s="1000" t="s">
        <v>761</v>
      </c>
      <c r="B1082" s="1028" t="s">
        <v>1496</v>
      </c>
      <c r="C1082" s="1066">
        <v>46240</v>
      </c>
      <c r="D1082" s="1066"/>
      <c r="E1082" s="1002" t="s">
        <v>680</v>
      </c>
      <c r="F1082" s="1077">
        <v>46295</v>
      </c>
      <c r="G1082" s="1002" t="s">
        <v>1382</v>
      </c>
      <c r="H1082" s="1111" t="s">
        <v>1381</v>
      </c>
      <c r="I1082" s="1002" t="s">
        <v>1497</v>
      </c>
      <c r="J1082" s="1007" t="s">
        <v>639</v>
      </c>
      <c r="K1082" s="1052" t="s">
        <v>640</v>
      </c>
      <c r="L1082" s="1002" t="s">
        <v>113</v>
      </c>
      <c r="M1082" s="1086">
        <v>15</v>
      </c>
      <c r="N1082" s="1081">
        <v>542592.59</v>
      </c>
      <c r="O1082" s="1082">
        <f t="shared" si="195"/>
        <v>8138888.8499999996</v>
      </c>
      <c r="P1082" s="1082">
        <f t="shared" si="196"/>
        <v>651111.10800000001</v>
      </c>
      <c r="Q1082" s="1206">
        <f t="shared" si="197"/>
        <v>8789999.9580000006</v>
      </c>
      <c r="R1082" s="1083"/>
      <c r="S1082" s="1083"/>
      <c r="T1082" s="1083"/>
      <c r="U1082" s="1083"/>
      <c r="V1082" s="1083">
        <f t="shared" si="194"/>
        <v>8789999.9580000006</v>
      </c>
      <c r="W1082" s="1049" t="s">
        <v>680</v>
      </c>
      <c r="X1082" s="1208"/>
      <c r="Y1082" s="1209"/>
      <c r="Z1082" s="1209"/>
      <c r="AA1082" s="1209"/>
      <c r="AB1082" s="1210"/>
      <c r="AC1082" s="1208"/>
      <c r="AD1082" s="1209"/>
      <c r="AE1082" s="1209"/>
      <c r="AF1082" s="1209"/>
      <c r="AG1082" s="1209"/>
      <c r="AH1082" s="1209"/>
      <c r="AI1082" s="1210"/>
    </row>
    <row r="1083" spans="1:35" s="1002" customFormat="1" hidden="1">
      <c r="A1083" s="1000" t="s">
        <v>761</v>
      </c>
      <c r="B1083" s="1028" t="s">
        <v>1496</v>
      </c>
      <c r="C1083" s="1066">
        <v>46240</v>
      </c>
      <c r="D1083" s="1066"/>
      <c r="E1083" s="1002" t="s">
        <v>680</v>
      </c>
      <c r="F1083" s="1077">
        <v>46295</v>
      </c>
      <c r="G1083" s="1002" t="s">
        <v>1382</v>
      </c>
      <c r="H1083" s="1111" t="s">
        <v>1381</v>
      </c>
      <c r="I1083" s="1002" t="s">
        <v>1497</v>
      </c>
      <c r="J1083" s="1007" t="s">
        <v>641</v>
      </c>
      <c r="K1083" s="1052" t="s">
        <v>657</v>
      </c>
      <c r="L1083" s="1002" t="s">
        <v>113</v>
      </c>
      <c r="M1083" s="1086">
        <v>15</v>
      </c>
      <c r="N1083" s="1081">
        <v>644444.43999999994</v>
      </c>
      <c r="O1083" s="1082">
        <f t="shared" si="195"/>
        <v>9666666.5999999996</v>
      </c>
      <c r="P1083" s="1082">
        <f t="shared" si="196"/>
        <v>773333.32799999998</v>
      </c>
      <c r="Q1083" s="1206">
        <f t="shared" si="197"/>
        <v>10439999.927999999</v>
      </c>
      <c r="R1083" s="1083"/>
      <c r="S1083" s="1083"/>
      <c r="T1083" s="1083"/>
      <c r="U1083" s="1083"/>
      <c r="V1083" s="1083">
        <f t="shared" si="194"/>
        <v>10439999.927999999</v>
      </c>
      <c r="W1083" s="1049" t="s">
        <v>681</v>
      </c>
      <c r="X1083" s="1211"/>
      <c r="Y1083" s="1212"/>
      <c r="Z1083" s="1212"/>
      <c r="AA1083" s="1212"/>
      <c r="AB1083" s="1213"/>
      <c r="AC1083" s="1211"/>
      <c r="AD1083" s="1212"/>
      <c r="AE1083" s="1212"/>
      <c r="AF1083" s="1212"/>
      <c r="AG1083" s="1212"/>
      <c r="AH1083" s="1212"/>
      <c r="AI1083" s="1213"/>
    </row>
    <row r="1084" spans="1:35" s="1002" customFormat="1" hidden="1">
      <c r="A1084" s="1000" t="s">
        <v>761</v>
      </c>
      <c r="B1084" s="1028" t="s">
        <v>1496</v>
      </c>
      <c r="C1084" s="1066">
        <v>46240</v>
      </c>
      <c r="D1084" s="1066"/>
      <c r="E1084" s="1002" t="s">
        <v>680</v>
      </c>
      <c r="F1084" s="1077">
        <v>46295</v>
      </c>
      <c r="G1084" s="1002" t="s">
        <v>1382</v>
      </c>
      <c r="H1084" s="1111" t="s">
        <v>1381</v>
      </c>
      <c r="I1084" s="1002" t="s">
        <v>1497</v>
      </c>
      <c r="J1084" s="1007" t="s">
        <v>643</v>
      </c>
      <c r="K1084" s="1052" t="s">
        <v>644</v>
      </c>
      <c r="L1084" s="1002" t="s">
        <v>113</v>
      </c>
      <c r="M1084" s="1086">
        <v>15</v>
      </c>
      <c r="N1084" s="1081">
        <v>527777.77</v>
      </c>
      <c r="O1084" s="1082">
        <f t="shared" si="195"/>
        <v>7916666.5500000007</v>
      </c>
      <c r="P1084" s="1082">
        <f t="shared" si="196"/>
        <v>633333.32400000002</v>
      </c>
      <c r="Q1084" s="1206">
        <f t="shared" si="197"/>
        <v>8549999.8740000017</v>
      </c>
      <c r="R1084" s="1083"/>
      <c r="S1084" s="1083"/>
      <c r="T1084" s="1083"/>
      <c r="U1084" s="1083"/>
      <c r="V1084" s="1083">
        <f t="shared" si="194"/>
        <v>8549999.8740000017</v>
      </c>
      <c r="W1084" s="1049" t="s">
        <v>684</v>
      </c>
      <c r="X1084" s="1211"/>
      <c r="Y1084" s="1212"/>
      <c r="Z1084" s="1212"/>
      <c r="AA1084" s="1212"/>
      <c r="AB1084" s="1213"/>
      <c r="AC1084" s="1211"/>
      <c r="AD1084" s="1212"/>
      <c r="AE1084" s="1212"/>
      <c r="AF1084" s="1212"/>
      <c r="AG1084" s="1212"/>
      <c r="AH1084" s="1212"/>
      <c r="AI1084" s="1213"/>
    </row>
    <row r="1085" spans="1:35" s="1002" customFormat="1" hidden="1">
      <c r="A1085" s="1000" t="s">
        <v>761</v>
      </c>
      <c r="B1085" s="1028" t="s">
        <v>1496</v>
      </c>
      <c r="C1085" s="1066">
        <v>46240</v>
      </c>
      <c r="D1085" s="1066"/>
      <c r="E1085" s="1002" t="s">
        <v>680</v>
      </c>
      <c r="F1085" s="1077">
        <v>46295</v>
      </c>
      <c r="G1085" s="1002" t="s">
        <v>1382</v>
      </c>
      <c r="H1085" s="1111" t="s">
        <v>1381</v>
      </c>
      <c r="I1085" s="1002" t="s">
        <v>1497</v>
      </c>
      <c r="J1085" s="1007" t="s">
        <v>645</v>
      </c>
      <c r="K1085" s="1052" t="s">
        <v>646</v>
      </c>
      <c r="L1085" s="1002" t="s">
        <v>113</v>
      </c>
      <c r="M1085" s="1086">
        <v>15</v>
      </c>
      <c r="N1085" s="1081">
        <v>629629.63</v>
      </c>
      <c r="O1085" s="1082">
        <f t="shared" si="195"/>
        <v>9444444.4499999993</v>
      </c>
      <c r="P1085" s="1082">
        <f t="shared" si="196"/>
        <v>755555.55599999998</v>
      </c>
      <c r="Q1085" s="1206">
        <f t="shared" si="197"/>
        <v>10200000.005999999</v>
      </c>
      <c r="R1085" s="1083"/>
      <c r="S1085" s="1083"/>
      <c r="T1085" s="1083"/>
      <c r="U1085" s="1083"/>
      <c r="V1085" s="1083">
        <f t="shared" si="194"/>
        <v>10200000.005999999</v>
      </c>
      <c r="W1085" s="1049" t="s">
        <v>688</v>
      </c>
      <c r="X1085" s="1211"/>
      <c r="Y1085" s="1212"/>
      <c r="Z1085" s="1212"/>
      <c r="AA1085" s="1212"/>
      <c r="AB1085" s="1213"/>
      <c r="AC1085" s="1211"/>
      <c r="AD1085" s="1212"/>
      <c r="AE1085" s="1212"/>
      <c r="AF1085" s="1212"/>
      <c r="AG1085" s="1212"/>
      <c r="AH1085" s="1212"/>
      <c r="AI1085" s="1213"/>
    </row>
    <row r="1086" spans="1:35" s="1002" customFormat="1" hidden="1">
      <c r="A1086" s="1000" t="s">
        <v>761</v>
      </c>
      <c r="B1086" s="1028" t="s">
        <v>1496</v>
      </c>
      <c r="C1086" s="1066">
        <v>46240</v>
      </c>
      <c r="D1086" s="1066"/>
      <c r="E1086" s="1002" t="s">
        <v>680</v>
      </c>
      <c r="F1086" s="1077">
        <v>46295</v>
      </c>
      <c r="G1086" s="1002" t="s">
        <v>1382</v>
      </c>
      <c r="H1086" s="1111" t="s">
        <v>1381</v>
      </c>
      <c r="I1086" s="1002" t="s">
        <v>1497</v>
      </c>
      <c r="J1086" s="1007" t="s">
        <v>649</v>
      </c>
      <c r="K1086" s="1052" t="s">
        <v>650</v>
      </c>
      <c r="L1086" s="1002" t="s">
        <v>113</v>
      </c>
      <c r="M1086" s="1086">
        <v>15</v>
      </c>
      <c r="N1086" s="1081">
        <v>574074.06999999995</v>
      </c>
      <c r="O1086" s="1082">
        <f t="shared" si="195"/>
        <v>8611111.0499999989</v>
      </c>
      <c r="P1086" s="1082">
        <f t="shared" si="196"/>
        <v>688888.88399999996</v>
      </c>
      <c r="Q1086" s="1206">
        <f t="shared" si="197"/>
        <v>9299999.9339999985</v>
      </c>
      <c r="R1086" s="1083"/>
      <c r="S1086" s="1083"/>
      <c r="T1086" s="1083"/>
      <c r="U1086" s="1083"/>
      <c r="V1086" s="1083">
        <f t="shared" si="194"/>
        <v>9299999.9339999985</v>
      </c>
      <c r="X1086" s="1211"/>
      <c r="Y1086" s="1212"/>
      <c r="Z1086" s="1212"/>
      <c r="AA1086" s="1212"/>
      <c r="AB1086" s="1213"/>
      <c r="AC1086" s="1211"/>
      <c r="AD1086" s="1212"/>
      <c r="AE1086" s="1212"/>
      <c r="AF1086" s="1212"/>
      <c r="AG1086" s="1212"/>
      <c r="AH1086" s="1212"/>
      <c r="AI1086" s="1213"/>
    </row>
    <row r="1087" spans="1:35" s="1002" customFormat="1" hidden="1">
      <c r="A1087" s="1000" t="s">
        <v>761</v>
      </c>
      <c r="B1087" s="1028" t="s">
        <v>1496</v>
      </c>
      <c r="C1087" s="1066">
        <v>46240</v>
      </c>
      <c r="D1087" s="1066"/>
      <c r="E1087" s="1002" t="s">
        <v>680</v>
      </c>
      <c r="F1087" s="1077">
        <v>46295</v>
      </c>
      <c r="G1087" s="1002" t="s">
        <v>1382</v>
      </c>
      <c r="H1087" s="1111" t="s">
        <v>1381</v>
      </c>
      <c r="I1087" s="1002" t="s">
        <v>1497</v>
      </c>
      <c r="J1087" s="1007" t="s">
        <v>651</v>
      </c>
      <c r="K1087" s="1052" t="s">
        <v>652</v>
      </c>
      <c r="L1087" s="1002" t="s">
        <v>113</v>
      </c>
      <c r="M1087" s="1086">
        <v>15</v>
      </c>
      <c r="N1087" s="1081">
        <v>694444.44</v>
      </c>
      <c r="O1087" s="1082">
        <f t="shared" si="195"/>
        <v>10416666.6</v>
      </c>
      <c r="P1087" s="1082">
        <f t="shared" si="196"/>
        <v>833333.32799999998</v>
      </c>
      <c r="Q1087" s="1206">
        <f t="shared" si="197"/>
        <v>11249999.927999999</v>
      </c>
      <c r="R1087" s="1083"/>
      <c r="S1087" s="1083"/>
      <c r="T1087" s="1083"/>
      <c r="U1087" s="1083"/>
      <c r="V1087" s="1083">
        <f t="shared" si="194"/>
        <v>11249999.927999999</v>
      </c>
      <c r="X1087" s="1211"/>
      <c r="Y1087" s="1212"/>
      <c r="Z1087" s="1212"/>
      <c r="AA1087" s="1212"/>
      <c r="AB1087" s="1213"/>
      <c r="AC1087" s="1211"/>
      <c r="AD1087" s="1212"/>
      <c r="AE1087" s="1212"/>
      <c r="AF1087" s="1212"/>
      <c r="AG1087" s="1212"/>
      <c r="AH1087" s="1212"/>
      <c r="AI1087" s="1213"/>
    </row>
    <row r="1088" spans="1:35" s="1002" customFormat="1" hidden="1">
      <c r="A1088" s="1000" t="s">
        <v>761</v>
      </c>
      <c r="B1088" s="1028" t="s">
        <v>1496</v>
      </c>
      <c r="C1088" s="1066">
        <v>46240</v>
      </c>
      <c r="D1088" s="1066"/>
      <c r="E1088" s="1002" t="s">
        <v>680</v>
      </c>
      <c r="F1088" s="1077">
        <v>46295</v>
      </c>
      <c r="G1088" s="1002" t="s">
        <v>1382</v>
      </c>
      <c r="H1088" s="1111" t="s">
        <v>1381</v>
      </c>
      <c r="I1088" s="1002" t="s">
        <v>1497</v>
      </c>
      <c r="J1088" s="1007" t="s">
        <v>653</v>
      </c>
      <c r="K1088" s="1052" t="s">
        <v>654</v>
      </c>
      <c r="L1088" s="1002" t="s">
        <v>113</v>
      </c>
      <c r="M1088" s="1086">
        <v>15</v>
      </c>
      <c r="N1088" s="1081">
        <v>481481.48</v>
      </c>
      <c r="O1088" s="1082">
        <f t="shared" si="195"/>
        <v>7222222.1999999993</v>
      </c>
      <c r="P1088" s="1082">
        <f t="shared" si="196"/>
        <v>577777.77599999995</v>
      </c>
      <c r="Q1088" s="1206">
        <f t="shared" si="197"/>
        <v>7799999.9759999989</v>
      </c>
      <c r="R1088" s="1083"/>
      <c r="S1088" s="1083"/>
      <c r="T1088" s="1083"/>
      <c r="U1088" s="1083"/>
      <c r="V1088" s="1083">
        <f t="shared" si="194"/>
        <v>7799999.9759999989</v>
      </c>
      <c r="X1088" s="1211"/>
      <c r="Y1088" s="1212"/>
      <c r="Z1088" s="1212"/>
      <c r="AA1088" s="1212"/>
      <c r="AB1088" s="1213"/>
      <c r="AC1088" s="1211"/>
      <c r="AD1088" s="1212"/>
      <c r="AE1088" s="1212"/>
      <c r="AF1088" s="1212"/>
      <c r="AG1088" s="1212"/>
      <c r="AH1088" s="1212"/>
      <c r="AI1088" s="1213"/>
    </row>
    <row r="1089" spans="1:35" s="1002" customFormat="1" hidden="1">
      <c r="A1089" s="1000" t="s">
        <v>761</v>
      </c>
      <c r="B1089" s="1028" t="s">
        <v>1496</v>
      </c>
      <c r="C1089" s="1066">
        <v>46240</v>
      </c>
      <c r="D1089" s="1066"/>
      <c r="E1089" s="1002" t="s">
        <v>680</v>
      </c>
      <c r="F1089" s="1077">
        <v>46295</v>
      </c>
      <c r="G1089" s="1002" t="s">
        <v>1382</v>
      </c>
      <c r="H1089" s="1111" t="s">
        <v>1381</v>
      </c>
      <c r="I1089" s="1002" t="s">
        <v>1497</v>
      </c>
      <c r="J1089" s="1007" t="s">
        <v>655</v>
      </c>
      <c r="K1089" s="1052" t="s">
        <v>656</v>
      </c>
      <c r="L1089" s="1002" t="s">
        <v>113</v>
      </c>
      <c r="M1089" s="1086">
        <v>15</v>
      </c>
      <c r="N1089" s="1081">
        <v>574074.06999999995</v>
      </c>
      <c r="O1089" s="1082">
        <f t="shared" si="195"/>
        <v>8611111.0499999989</v>
      </c>
      <c r="P1089" s="1082">
        <f t="shared" si="196"/>
        <v>688888.88399999996</v>
      </c>
      <c r="Q1089" s="1206">
        <f t="shared" si="197"/>
        <v>9299999.9339999985</v>
      </c>
      <c r="R1089" s="1083"/>
      <c r="S1089" s="1083"/>
      <c r="T1089" s="1083"/>
      <c r="U1089" s="1083"/>
      <c r="V1089" s="1083">
        <f t="shared" si="194"/>
        <v>9299999.9339999985</v>
      </c>
      <c r="X1089" s="1211"/>
      <c r="Y1089" s="1212"/>
      <c r="Z1089" s="1212"/>
      <c r="AA1089" s="1212"/>
      <c r="AB1089" s="1213"/>
      <c r="AC1089" s="1211"/>
      <c r="AD1089" s="1212"/>
      <c r="AE1089" s="1212"/>
      <c r="AF1089" s="1212"/>
      <c r="AG1089" s="1212"/>
      <c r="AH1089" s="1212"/>
      <c r="AI1089" s="1213"/>
    </row>
    <row r="1090" spans="1:35" s="1002" customFormat="1" hidden="1">
      <c r="A1090" s="1000" t="s">
        <v>761</v>
      </c>
      <c r="B1090" s="1028" t="s">
        <v>1496</v>
      </c>
      <c r="C1090" s="1066">
        <v>46240</v>
      </c>
      <c r="D1090" s="1066"/>
      <c r="E1090" s="1002" t="s">
        <v>680</v>
      </c>
      <c r="F1090" s="1077">
        <v>46295</v>
      </c>
      <c r="G1090" s="1002" t="s">
        <v>1382</v>
      </c>
      <c r="H1090" s="1111" t="s">
        <v>1381</v>
      </c>
      <c r="I1090" s="1008" t="s">
        <v>892</v>
      </c>
      <c r="J1090" s="1007" t="s">
        <v>639</v>
      </c>
      <c r="K1090" s="1052" t="s">
        <v>640</v>
      </c>
      <c r="L1090" s="1002" t="s">
        <v>113</v>
      </c>
      <c r="M1090" s="1086">
        <v>1</v>
      </c>
      <c r="N1090" s="1081">
        <v>0</v>
      </c>
      <c r="O1090" s="1082">
        <f t="shared" si="195"/>
        <v>0</v>
      </c>
      <c r="P1090" s="1082">
        <f t="shared" si="196"/>
        <v>0</v>
      </c>
      <c r="Q1090" s="1206">
        <f t="shared" si="197"/>
        <v>0</v>
      </c>
      <c r="R1090" s="1083"/>
      <c r="S1090" s="1083"/>
      <c r="T1090" s="1083"/>
      <c r="U1090" s="1083"/>
      <c r="V1090" s="1083">
        <f t="shared" si="194"/>
        <v>0</v>
      </c>
      <c r="X1090" s="1211"/>
      <c r="Y1090" s="1212"/>
      <c r="Z1090" s="1212"/>
      <c r="AA1090" s="1212"/>
      <c r="AB1090" s="1213"/>
      <c r="AC1090" s="1211"/>
      <c r="AD1090" s="1212"/>
      <c r="AE1090" s="1212"/>
      <c r="AF1090" s="1212"/>
      <c r="AG1090" s="1212"/>
      <c r="AH1090" s="1212"/>
      <c r="AI1090" s="1213"/>
    </row>
    <row r="1091" spans="1:35" s="1002" customFormat="1" hidden="1">
      <c r="A1091" s="1000" t="s">
        <v>761</v>
      </c>
      <c r="B1091" s="1028" t="s">
        <v>1496</v>
      </c>
      <c r="C1091" s="1066">
        <v>46240</v>
      </c>
      <c r="D1091" s="1066"/>
      <c r="E1091" s="1002" t="s">
        <v>680</v>
      </c>
      <c r="F1091" s="1077">
        <v>46295</v>
      </c>
      <c r="G1091" s="1002" t="s">
        <v>1382</v>
      </c>
      <c r="H1091" s="1111" t="s">
        <v>1381</v>
      </c>
      <c r="I1091" s="1008" t="s">
        <v>892</v>
      </c>
      <c r="J1091" s="1007" t="s">
        <v>641</v>
      </c>
      <c r="K1091" s="1052" t="s">
        <v>657</v>
      </c>
      <c r="L1091" s="1002" t="s">
        <v>113</v>
      </c>
      <c r="M1091" s="1086">
        <v>1</v>
      </c>
      <c r="N1091" s="1081">
        <v>0</v>
      </c>
      <c r="O1091" s="1082">
        <f t="shared" si="195"/>
        <v>0</v>
      </c>
      <c r="P1091" s="1082">
        <f t="shared" si="196"/>
        <v>0</v>
      </c>
      <c r="Q1091" s="1206">
        <f t="shared" si="197"/>
        <v>0</v>
      </c>
      <c r="R1091" s="1083"/>
      <c r="S1091" s="1083"/>
      <c r="T1091" s="1083"/>
      <c r="U1091" s="1083"/>
      <c r="V1091" s="1083">
        <f t="shared" si="194"/>
        <v>0</v>
      </c>
      <c r="X1091" s="1211"/>
      <c r="Y1091" s="1212"/>
      <c r="Z1091" s="1212"/>
      <c r="AA1091" s="1212"/>
      <c r="AB1091" s="1213"/>
      <c r="AC1091" s="1211"/>
      <c r="AD1091" s="1212"/>
      <c r="AE1091" s="1212"/>
      <c r="AF1091" s="1212"/>
      <c r="AG1091" s="1212"/>
      <c r="AH1091" s="1212"/>
      <c r="AI1091" s="1213"/>
    </row>
    <row r="1092" spans="1:35" s="1002" customFormat="1" hidden="1">
      <c r="A1092" s="1000" t="s">
        <v>761</v>
      </c>
      <c r="B1092" s="1028" t="s">
        <v>1496</v>
      </c>
      <c r="C1092" s="1066">
        <v>46240</v>
      </c>
      <c r="D1092" s="1066"/>
      <c r="E1092" s="1002" t="s">
        <v>680</v>
      </c>
      <c r="F1092" s="1077">
        <v>46295</v>
      </c>
      <c r="G1092" s="1002" t="s">
        <v>1382</v>
      </c>
      <c r="H1092" s="1111" t="s">
        <v>1381</v>
      </c>
      <c r="I1092" s="1008" t="s">
        <v>892</v>
      </c>
      <c r="J1092" s="1007" t="s">
        <v>643</v>
      </c>
      <c r="K1092" s="1052" t="s">
        <v>644</v>
      </c>
      <c r="L1092" s="1002" t="s">
        <v>113</v>
      </c>
      <c r="M1092" s="1086">
        <v>1</v>
      </c>
      <c r="N1092" s="1081">
        <v>0</v>
      </c>
      <c r="O1092" s="1082">
        <f t="shared" si="195"/>
        <v>0</v>
      </c>
      <c r="P1092" s="1082">
        <f t="shared" si="196"/>
        <v>0</v>
      </c>
      <c r="Q1092" s="1206">
        <f t="shared" si="197"/>
        <v>0</v>
      </c>
      <c r="R1092" s="1083"/>
      <c r="S1092" s="1083"/>
      <c r="T1092" s="1083"/>
      <c r="U1092" s="1083"/>
      <c r="V1092" s="1083">
        <f t="shared" si="194"/>
        <v>0</v>
      </c>
      <c r="X1092" s="1211"/>
      <c r="Y1092" s="1212"/>
      <c r="Z1092" s="1212"/>
      <c r="AA1092" s="1212"/>
      <c r="AB1092" s="1213"/>
      <c r="AC1092" s="1211"/>
      <c r="AD1092" s="1212"/>
      <c r="AE1092" s="1212"/>
      <c r="AF1092" s="1212"/>
      <c r="AG1092" s="1212"/>
      <c r="AH1092" s="1212"/>
      <c r="AI1092" s="1213"/>
    </row>
    <row r="1093" spans="1:35" s="1002" customFormat="1" hidden="1">
      <c r="A1093" s="1000" t="s">
        <v>761</v>
      </c>
      <c r="B1093" s="1028" t="s">
        <v>1496</v>
      </c>
      <c r="C1093" s="1066">
        <v>46240</v>
      </c>
      <c r="D1093" s="1066"/>
      <c r="E1093" s="1002" t="s">
        <v>680</v>
      </c>
      <c r="F1093" s="1077">
        <v>46295</v>
      </c>
      <c r="G1093" s="1002" t="s">
        <v>1382</v>
      </c>
      <c r="H1093" s="1111" t="s">
        <v>1381</v>
      </c>
      <c r="I1093" s="1008" t="s">
        <v>892</v>
      </c>
      <c r="J1093" s="1007" t="s">
        <v>645</v>
      </c>
      <c r="K1093" s="1052" t="s">
        <v>646</v>
      </c>
      <c r="L1093" s="1002" t="s">
        <v>113</v>
      </c>
      <c r="M1093" s="1086">
        <v>1</v>
      </c>
      <c r="N1093" s="1081">
        <v>0</v>
      </c>
      <c r="O1093" s="1082">
        <f t="shared" si="195"/>
        <v>0</v>
      </c>
      <c r="P1093" s="1082">
        <f t="shared" si="196"/>
        <v>0</v>
      </c>
      <c r="Q1093" s="1206">
        <f t="shared" si="197"/>
        <v>0</v>
      </c>
      <c r="R1093" s="1083"/>
      <c r="S1093" s="1083"/>
      <c r="T1093" s="1083"/>
      <c r="U1093" s="1083"/>
      <c r="V1093" s="1083">
        <f t="shared" si="194"/>
        <v>0</v>
      </c>
      <c r="X1093" s="1211"/>
      <c r="Y1093" s="1212"/>
      <c r="Z1093" s="1212"/>
      <c r="AA1093" s="1212"/>
      <c r="AB1093" s="1213"/>
      <c r="AC1093" s="1211"/>
      <c r="AD1093" s="1212"/>
      <c r="AE1093" s="1212"/>
      <c r="AF1093" s="1212"/>
      <c r="AG1093" s="1212"/>
      <c r="AH1093" s="1212"/>
      <c r="AI1093" s="1213"/>
    </row>
    <row r="1094" spans="1:35" s="1002" customFormat="1" hidden="1">
      <c r="A1094" s="1000" t="s">
        <v>761</v>
      </c>
      <c r="B1094" s="1028" t="s">
        <v>1496</v>
      </c>
      <c r="C1094" s="1066">
        <v>46240</v>
      </c>
      <c r="D1094" s="1066"/>
      <c r="E1094" s="1002" t="s">
        <v>680</v>
      </c>
      <c r="F1094" s="1077">
        <v>46295</v>
      </c>
      <c r="G1094" s="1002" t="s">
        <v>1382</v>
      </c>
      <c r="H1094" s="1111" t="s">
        <v>1381</v>
      </c>
      <c r="I1094" s="1008" t="s">
        <v>892</v>
      </c>
      <c r="J1094" s="1007" t="s">
        <v>649</v>
      </c>
      <c r="K1094" s="1052" t="s">
        <v>650</v>
      </c>
      <c r="L1094" s="1002" t="s">
        <v>113</v>
      </c>
      <c r="M1094" s="1086">
        <v>1</v>
      </c>
      <c r="N1094" s="1081">
        <v>0</v>
      </c>
      <c r="O1094" s="1082">
        <f t="shared" si="195"/>
        <v>0</v>
      </c>
      <c r="P1094" s="1082">
        <f t="shared" si="196"/>
        <v>0</v>
      </c>
      <c r="Q1094" s="1206">
        <f t="shared" si="197"/>
        <v>0</v>
      </c>
      <c r="R1094" s="1083"/>
      <c r="S1094" s="1083"/>
      <c r="T1094" s="1083"/>
      <c r="U1094" s="1083"/>
      <c r="V1094" s="1083">
        <f t="shared" si="194"/>
        <v>0</v>
      </c>
      <c r="X1094" s="1211"/>
      <c r="Y1094" s="1212"/>
      <c r="Z1094" s="1212"/>
      <c r="AA1094" s="1212"/>
      <c r="AB1094" s="1213"/>
      <c r="AC1094" s="1211"/>
      <c r="AD1094" s="1212"/>
      <c r="AE1094" s="1212"/>
      <c r="AF1094" s="1212"/>
      <c r="AG1094" s="1212"/>
      <c r="AH1094" s="1212"/>
      <c r="AI1094" s="1213"/>
    </row>
    <row r="1095" spans="1:35" s="1002" customFormat="1" hidden="1">
      <c r="A1095" s="1000" t="s">
        <v>761</v>
      </c>
      <c r="B1095" s="1028" t="s">
        <v>1496</v>
      </c>
      <c r="C1095" s="1066">
        <v>46240</v>
      </c>
      <c r="D1095" s="1066"/>
      <c r="E1095" s="1002" t="s">
        <v>680</v>
      </c>
      <c r="F1095" s="1077">
        <v>46295</v>
      </c>
      <c r="G1095" s="1002" t="s">
        <v>1382</v>
      </c>
      <c r="H1095" s="1111" t="s">
        <v>1381</v>
      </c>
      <c r="I1095" s="1008" t="s">
        <v>892</v>
      </c>
      <c r="J1095" s="1007" t="s">
        <v>651</v>
      </c>
      <c r="K1095" s="1052" t="s">
        <v>652</v>
      </c>
      <c r="L1095" s="1002" t="s">
        <v>113</v>
      </c>
      <c r="M1095" s="1086">
        <v>1</v>
      </c>
      <c r="N1095" s="1081">
        <v>0</v>
      </c>
      <c r="O1095" s="1082">
        <f t="shared" si="195"/>
        <v>0</v>
      </c>
      <c r="P1095" s="1082">
        <f t="shared" si="196"/>
        <v>0</v>
      </c>
      <c r="Q1095" s="1206">
        <f t="shared" si="197"/>
        <v>0</v>
      </c>
      <c r="R1095" s="1083"/>
      <c r="S1095" s="1083"/>
      <c r="T1095" s="1083"/>
      <c r="U1095" s="1083"/>
      <c r="V1095" s="1083">
        <f t="shared" si="194"/>
        <v>0</v>
      </c>
      <c r="X1095" s="1211"/>
      <c r="Y1095" s="1212"/>
      <c r="Z1095" s="1212"/>
      <c r="AA1095" s="1212"/>
      <c r="AB1095" s="1213"/>
      <c r="AC1095" s="1211"/>
      <c r="AD1095" s="1212"/>
      <c r="AE1095" s="1212"/>
      <c r="AF1095" s="1212"/>
      <c r="AG1095" s="1212"/>
      <c r="AH1095" s="1212"/>
      <c r="AI1095" s="1213"/>
    </row>
    <row r="1096" spans="1:35" s="1002" customFormat="1" hidden="1">
      <c r="A1096" s="1000" t="s">
        <v>761</v>
      </c>
      <c r="B1096" s="1028" t="s">
        <v>1496</v>
      </c>
      <c r="C1096" s="1066">
        <v>46240</v>
      </c>
      <c r="D1096" s="1066"/>
      <c r="E1096" s="1002" t="s">
        <v>680</v>
      </c>
      <c r="F1096" s="1077">
        <v>46295</v>
      </c>
      <c r="G1096" s="1002" t="s">
        <v>1382</v>
      </c>
      <c r="H1096" s="1111" t="s">
        <v>1381</v>
      </c>
      <c r="I1096" s="1008" t="s">
        <v>892</v>
      </c>
      <c r="J1096" s="1007" t="s">
        <v>653</v>
      </c>
      <c r="K1096" s="1052" t="s">
        <v>654</v>
      </c>
      <c r="L1096" s="1002" t="s">
        <v>113</v>
      </c>
      <c r="M1096" s="1086">
        <v>1</v>
      </c>
      <c r="N1096" s="1081">
        <v>0</v>
      </c>
      <c r="O1096" s="1082">
        <f t="shared" si="195"/>
        <v>0</v>
      </c>
      <c r="P1096" s="1082">
        <f t="shared" si="196"/>
        <v>0</v>
      </c>
      <c r="Q1096" s="1206">
        <f t="shared" si="197"/>
        <v>0</v>
      </c>
      <c r="R1096" s="1083"/>
      <c r="S1096" s="1083"/>
      <c r="T1096" s="1083"/>
      <c r="U1096" s="1083"/>
      <c r="V1096" s="1083">
        <f t="shared" si="194"/>
        <v>0</v>
      </c>
      <c r="X1096" s="1211"/>
      <c r="Y1096" s="1212"/>
      <c r="Z1096" s="1212"/>
      <c r="AA1096" s="1212"/>
      <c r="AB1096" s="1213"/>
      <c r="AC1096" s="1211"/>
      <c r="AD1096" s="1212"/>
      <c r="AE1096" s="1212"/>
      <c r="AF1096" s="1212"/>
      <c r="AG1096" s="1212"/>
      <c r="AH1096" s="1212"/>
      <c r="AI1096" s="1213"/>
    </row>
    <row r="1097" spans="1:35" s="1002" customFormat="1" hidden="1">
      <c r="A1097" s="1000" t="s">
        <v>761</v>
      </c>
      <c r="B1097" s="1028" t="s">
        <v>1496</v>
      </c>
      <c r="C1097" s="1066">
        <v>46240</v>
      </c>
      <c r="D1097" s="1066"/>
      <c r="E1097" s="1002" t="s">
        <v>680</v>
      </c>
      <c r="F1097" s="1077">
        <v>46295</v>
      </c>
      <c r="G1097" s="1002" t="s">
        <v>1382</v>
      </c>
      <c r="H1097" s="1111" t="s">
        <v>1381</v>
      </c>
      <c r="I1097" s="1008" t="s">
        <v>892</v>
      </c>
      <c r="J1097" s="1007" t="s">
        <v>655</v>
      </c>
      <c r="K1097" s="1052" t="s">
        <v>656</v>
      </c>
      <c r="L1097" s="1002" t="s">
        <v>113</v>
      </c>
      <c r="M1097" s="1086">
        <v>1</v>
      </c>
      <c r="N1097" s="1081">
        <v>0</v>
      </c>
      <c r="O1097" s="1082">
        <f t="shared" si="195"/>
        <v>0</v>
      </c>
      <c r="P1097" s="1082">
        <f t="shared" si="196"/>
        <v>0</v>
      </c>
      <c r="Q1097" s="1206">
        <f t="shared" si="197"/>
        <v>0</v>
      </c>
      <c r="R1097" s="1083"/>
      <c r="S1097" s="1083"/>
      <c r="T1097" s="1083"/>
      <c r="U1097" s="1083"/>
      <c r="V1097" s="1083">
        <f t="shared" si="194"/>
        <v>0</v>
      </c>
      <c r="X1097" s="1211"/>
      <c r="Y1097" s="1212"/>
      <c r="Z1097" s="1212"/>
      <c r="AA1097" s="1212"/>
      <c r="AB1097" s="1213"/>
      <c r="AC1097" s="1211"/>
      <c r="AD1097" s="1212"/>
      <c r="AE1097" s="1212"/>
      <c r="AF1097" s="1212"/>
      <c r="AG1097" s="1212"/>
      <c r="AH1097" s="1212"/>
      <c r="AI1097" s="1213"/>
    </row>
    <row r="1098" spans="1:35" s="1002" customFormat="1" hidden="1">
      <c r="A1098" s="1000" t="s">
        <v>761</v>
      </c>
      <c r="B1098" s="1028" t="s">
        <v>1496</v>
      </c>
      <c r="C1098" s="1066">
        <v>46240</v>
      </c>
      <c r="D1098" s="1066"/>
      <c r="E1098" s="1002" t="s">
        <v>680</v>
      </c>
      <c r="F1098" s="1077">
        <v>46295</v>
      </c>
      <c r="G1098" s="1002" t="s">
        <v>1382</v>
      </c>
      <c r="H1098" s="1111" t="s">
        <v>1381</v>
      </c>
      <c r="I1098" s="1002" t="s">
        <v>1497</v>
      </c>
      <c r="J1098" s="1007" t="s">
        <v>647</v>
      </c>
      <c r="K1098" s="1052" t="s">
        <v>648</v>
      </c>
      <c r="L1098" s="1002" t="s">
        <v>113</v>
      </c>
      <c r="M1098" s="1086">
        <v>4</v>
      </c>
      <c r="N1098" s="1081">
        <v>601851.85</v>
      </c>
      <c r="O1098" s="1082">
        <f t="shared" si="195"/>
        <v>2407407.4</v>
      </c>
      <c r="P1098" s="1082">
        <f t="shared" si="196"/>
        <v>192592.592</v>
      </c>
      <c r="Q1098" s="1206">
        <f t="shared" si="197"/>
        <v>2599999.9920000001</v>
      </c>
      <c r="R1098" s="1083"/>
      <c r="S1098" s="1083"/>
      <c r="T1098" s="1083"/>
      <c r="U1098" s="1083"/>
      <c r="V1098" s="1083">
        <f t="shared" si="194"/>
        <v>2599999.9920000001</v>
      </c>
      <c r="X1098" s="1214"/>
      <c r="Y1098" s="1215"/>
      <c r="Z1098" s="1215"/>
      <c r="AA1098" s="1215"/>
      <c r="AB1098" s="1216"/>
      <c r="AC1098" s="1214"/>
      <c r="AD1098" s="1215"/>
      <c r="AE1098" s="1215"/>
      <c r="AF1098" s="1215"/>
      <c r="AG1098" s="1215"/>
      <c r="AH1098" s="1215"/>
      <c r="AI1098" s="1216"/>
    </row>
    <row r="1099" spans="1:35" s="1002" customFormat="1" hidden="1">
      <c r="A1099" s="1000" t="s">
        <v>761</v>
      </c>
      <c r="B1099" s="1028" t="s">
        <v>1496</v>
      </c>
      <c r="C1099" s="1066">
        <v>46240</v>
      </c>
      <c r="D1099" s="1066"/>
      <c r="E1099" s="1002" t="s">
        <v>682</v>
      </c>
      <c r="F1099" s="1077"/>
      <c r="H1099" s="1111"/>
      <c r="I1099" s="1002" t="s">
        <v>844</v>
      </c>
      <c r="J1099" s="1007"/>
      <c r="M1099" s="1086"/>
      <c r="N1099" s="1081"/>
      <c r="O1099" s="1082">
        <f t="shared" si="195"/>
        <v>0</v>
      </c>
      <c r="P1099" s="1082">
        <f t="shared" si="196"/>
        <v>0</v>
      </c>
      <c r="Q1099" s="1082">
        <f t="shared" si="197"/>
        <v>0</v>
      </c>
      <c r="R1099" s="1083">
        <v>100000000</v>
      </c>
      <c r="S1099" s="1083"/>
      <c r="T1099" s="1083"/>
      <c r="U1099" s="1083"/>
      <c r="V1099" s="1083">
        <f t="shared" si="194"/>
        <v>-100000000</v>
      </c>
    </row>
    <row r="1100" spans="1:35" s="1002" customFormat="1" hidden="1">
      <c r="A1100" s="1000" t="s">
        <v>685</v>
      </c>
      <c r="B1100" s="1001" t="s">
        <v>707</v>
      </c>
      <c r="C1100" s="1066">
        <v>46242</v>
      </c>
      <c r="D1100" s="1066"/>
      <c r="E1100" s="1002" t="s">
        <v>686</v>
      </c>
      <c r="F1100" s="1077"/>
      <c r="H1100" s="1111"/>
      <c r="I1100" s="1002" t="s">
        <v>1501</v>
      </c>
      <c r="J1100" s="1007" t="s">
        <v>74</v>
      </c>
      <c r="K1100" s="1052" t="s">
        <v>141</v>
      </c>
      <c r="L1100" s="1002" t="s">
        <v>113</v>
      </c>
      <c r="M1100" s="1086">
        <v>1</v>
      </c>
      <c r="N1100" s="1081">
        <v>361111.11</v>
      </c>
      <c r="O1100" s="1082">
        <f t="shared" si="195"/>
        <v>361111.11</v>
      </c>
      <c r="P1100" s="1082">
        <f t="shared" si="196"/>
        <v>28888.888800000001</v>
      </c>
      <c r="Q1100" s="1206">
        <f t="shared" si="197"/>
        <v>389999.9988</v>
      </c>
      <c r="R1100" s="1083"/>
      <c r="S1100" s="1083"/>
      <c r="T1100" s="1083"/>
      <c r="U1100" s="1083"/>
      <c r="V1100" s="1083">
        <f t="shared" si="194"/>
        <v>389999.9988</v>
      </c>
      <c r="W1100" s="1049" t="s">
        <v>687</v>
      </c>
    </row>
    <row r="1101" spans="1:35" s="1002" customFormat="1" hidden="1">
      <c r="A1101" s="1000" t="s">
        <v>685</v>
      </c>
      <c r="B1101" s="1001" t="s">
        <v>707</v>
      </c>
      <c r="C1101" s="1066">
        <v>46244</v>
      </c>
      <c r="D1101" s="1066"/>
      <c r="E1101" s="1002" t="s">
        <v>699</v>
      </c>
      <c r="F1101" s="1077"/>
      <c r="H1101" s="1111"/>
      <c r="I1101" s="1002" t="s">
        <v>702</v>
      </c>
      <c r="J1101" s="1007"/>
      <c r="M1101" s="1086"/>
      <c r="N1101" s="1081"/>
      <c r="O1101" s="1082">
        <f t="shared" si="195"/>
        <v>0</v>
      </c>
      <c r="P1101" s="1082">
        <f t="shared" si="196"/>
        <v>0</v>
      </c>
      <c r="Q1101" s="1082">
        <f t="shared" si="197"/>
        <v>0</v>
      </c>
      <c r="R1101" s="1083">
        <v>390000</v>
      </c>
      <c r="S1101" s="1083"/>
      <c r="T1101" s="1083"/>
      <c r="U1101" s="1083"/>
      <c r="V1101" s="1083">
        <f t="shared" si="194"/>
        <v>-390000</v>
      </c>
      <c r="W1101" s="1049" t="s">
        <v>767</v>
      </c>
    </row>
    <row r="1102" spans="1:35" s="1002" customFormat="1" hidden="1">
      <c r="A1102" s="1000" t="s">
        <v>1007</v>
      </c>
      <c r="B1102" s="1001" t="s">
        <v>708</v>
      </c>
      <c r="C1102" s="1066">
        <v>46244</v>
      </c>
      <c r="D1102" s="1066"/>
      <c r="E1102" s="1002" t="s">
        <v>700</v>
      </c>
      <c r="F1102" s="1077"/>
      <c r="H1102" s="1111"/>
      <c r="I1102" s="1002" t="s">
        <v>702</v>
      </c>
      <c r="J1102" s="1007"/>
      <c r="M1102" s="1086"/>
      <c r="N1102" s="1081"/>
      <c r="O1102" s="1082">
        <f t="shared" si="195"/>
        <v>0</v>
      </c>
      <c r="P1102" s="1082">
        <f t="shared" si="196"/>
        <v>0</v>
      </c>
      <c r="Q1102" s="1082">
        <f t="shared" si="197"/>
        <v>0</v>
      </c>
      <c r="R1102" s="1083">
        <v>2520000</v>
      </c>
      <c r="S1102" s="1083"/>
      <c r="T1102" s="1083"/>
      <c r="U1102" s="1083"/>
      <c r="V1102" s="1083">
        <f t="shared" si="194"/>
        <v>-2520000</v>
      </c>
      <c r="W1102" s="1049" t="s">
        <v>767</v>
      </c>
    </row>
    <row r="1103" spans="1:35" s="1008" customFormat="1" hidden="1">
      <c r="A1103" s="1001" t="s">
        <v>792</v>
      </c>
      <c r="B1103" s="1001" t="s">
        <v>714</v>
      </c>
      <c r="C1103" s="1066">
        <v>46244</v>
      </c>
      <c r="D1103" s="1066"/>
      <c r="E1103" s="1008" t="s">
        <v>709</v>
      </c>
      <c r="F1103" s="1077">
        <v>46248</v>
      </c>
      <c r="G1103" s="1002" t="s">
        <v>785</v>
      </c>
      <c r="H1103" s="1111" t="s">
        <v>786</v>
      </c>
      <c r="I1103" s="1002" t="s">
        <v>821</v>
      </c>
      <c r="J1103" s="1007" t="s">
        <v>208</v>
      </c>
      <c r="K1103" s="1008" t="s">
        <v>209</v>
      </c>
      <c r="L1103" s="1008" t="s">
        <v>25</v>
      </c>
      <c r="M1103" s="1093">
        <v>6</v>
      </c>
      <c r="N1103" s="1081">
        <v>647222.22</v>
      </c>
      <c r="O1103" s="1082">
        <f t="shared" si="195"/>
        <v>3883333.32</v>
      </c>
      <c r="P1103" s="1082">
        <f t="shared" si="196"/>
        <v>310666.66560000001</v>
      </c>
      <c r="Q1103" s="1206">
        <f t="shared" si="197"/>
        <v>4193999.9855999998</v>
      </c>
      <c r="R1103" s="1082"/>
      <c r="S1103" s="1082"/>
      <c r="T1103" s="1082"/>
      <c r="U1103" s="1082"/>
      <c r="V1103" s="1082">
        <f t="shared" si="194"/>
        <v>4193999.9855999998</v>
      </c>
    </row>
    <row r="1104" spans="1:35" s="1008" customFormat="1" hidden="1">
      <c r="A1104" s="1001" t="s">
        <v>792</v>
      </c>
      <c r="B1104" s="1001" t="s">
        <v>714</v>
      </c>
      <c r="C1104" s="1066">
        <v>46244</v>
      </c>
      <c r="D1104" s="1066"/>
      <c r="E1104" s="1008" t="s">
        <v>709</v>
      </c>
      <c r="F1104" s="1077">
        <v>46248</v>
      </c>
      <c r="G1104" s="1002" t="s">
        <v>785</v>
      </c>
      <c r="H1104" s="1111" t="s">
        <v>786</v>
      </c>
      <c r="I1104" s="1002" t="s">
        <v>821</v>
      </c>
      <c r="J1104" s="1007" t="s">
        <v>77</v>
      </c>
      <c r="K1104" s="1008" t="s">
        <v>78</v>
      </c>
      <c r="L1104" s="1008" t="s">
        <v>25</v>
      </c>
      <c r="M1104" s="1093">
        <v>20</v>
      </c>
      <c r="N1104" s="1081">
        <v>333333.33</v>
      </c>
      <c r="O1104" s="1082">
        <f t="shared" si="195"/>
        <v>6666666.6000000006</v>
      </c>
      <c r="P1104" s="1082">
        <f t="shared" si="196"/>
        <v>533333.3280000001</v>
      </c>
      <c r="Q1104" s="1206">
        <f t="shared" si="197"/>
        <v>7199999.9280000003</v>
      </c>
      <c r="R1104" s="1082"/>
      <c r="S1104" s="1082"/>
      <c r="T1104" s="1082"/>
      <c r="U1104" s="1082"/>
      <c r="V1104" s="1082">
        <f t="shared" si="194"/>
        <v>7199999.9280000003</v>
      </c>
    </row>
    <row r="1105" spans="1:23" s="1008" customFormat="1" hidden="1">
      <c r="A1105" s="1001" t="s">
        <v>792</v>
      </c>
      <c r="B1105" s="1001" t="s">
        <v>714</v>
      </c>
      <c r="C1105" s="1066">
        <v>46244</v>
      </c>
      <c r="D1105" s="1066"/>
      <c r="E1105" s="1008" t="s">
        <v>709</v>
      </c>
      <c r="F1105" s="1077">
        <v>46248</v>
      </c>
      <c r="G1105" s="1002" t="s">
        <v>785</v>
      </c>
      <c r="H1105" s="1111" t="s">
        <v>786</v>
      </c>
      <c r="I1105" s="1002" t="s">
        <v>821</v>
      </c>
      <c r="J1105" s="1007" t="s">
        <v>206</v>
      </c>
      <c r="K1105" s="1008" t="s">
        <v>369</v>
      </c>
      <c r="L1105" s="1008" t="s">
        <v>25</v>
      </c>
      <c r="M1105" s="1093">
        <v>10</v>
      </c>
      <c r="N1105" s="1081">
        <v>483333.33</v>
      </c>
      <c r="O1105" s="1082">
        <f t="shared" si="195"/>
        <v>4833333.3</v>
      </c>
      <c r="P1105" s="1082">
        <f t="shared" si="196"/>
        <v>386666.66399999999</v>
      </c>
      <c r="Q1105" s="1206">
        <f t="shared" si="197"/>
        <v>5219999.9639999997</v>
      </c>
      <c r="R1105" s="1082"/>
      <c r="S1105" s="1082"/>
      <c r="T1105" s="1082"/>
      <c r="U1105" s="1082"/>
      <c r="V1105" s="1082">
        <f t="shared" si="194"/>
        <v>5219999.9639999997</v>
      </c>
    </row>
    <row r="1106" spans="1:23" s="1008" customFormat="1" hidden="1">
      <c r="A1106" s="1001" t="s">
        <v>792</v>
      </c>
      <c r="B1106" s="1001" t="s">
        <v>714</v>
      </c>
      <c r="C1106" s="1066">
        <v>46244</v>
      </c>
      <c r="D1106" s="1066"/>
      <c r="E1106" s="1008" t="s">
        <v>709</v>
      </c>
      <c r="F1106" s="1077">
        <v>46248</v>
      </c>
      <c r="G1106" s="1002" t="s">
        <v>785</v>
      </c>
      <c r="H1106" s="1111" t="s">
        <v>786</v>
      </c>
      <c r="I1106" s="1002" t="s">
        <v>821</v>
      </c>
      <c r="J1106" s="1007" t="s">
        <v>80</v>
      </c>
      <c r="K1106" s="1002" t="s">
        <v>81</v>
      </c>
      <c r="L1106" s="1002" t="s">
        <v>18</v>
      </c>
      <c r="M1106" s="1093">
        <v>6</v>
      </c>
      <c r="N1106" s="1081">
        <v>824074.07</v>
      </c>
      <c r="O1106" s="1082">
        <f t="shared" si="195"/>
        <v>4944444.42</v>
      </c>
      <c r="P1106" s="1082">
        <f t="shared" si="196"/>
        <v>395555.55359999998</v>
      </c>
      <c r="Q1106" s="1206">
        <f t="shared" si="197"/>
        <v>5339999.9736000001</v>
      </c>
      <c r="R1106" s="1082"/>
      <c r="S1106" s="1082"/>
      <c r="T1106" s="1082"/>
      <c r="U1106" s="1082"/>
      <c r="V1106" s="1082">
        <f t="shared" si="194"/>
        <v>5339999.9736000001</v>
      </c>
    </row>
    <row r="1107" spans="1:23" s="1008" customFormat="1" hidden="1">
      <c r="A1107" s="1001" t="s">
        <v>792</v>
      </c>
      <c r="B1107" s="1001" t="s">
        <v>714</v>
      </c>
      <c r="C1107" s="1066">
        <v>46244</v>
      </c>
      <c r="D1107" s="1066"/>
      <c r="E1107" s="1008" t="s">
        <v>709</v>
      </c>
      <c r="F1107" s="1077">
        <v>46248</v>
      </c>
      <c r="G1107" s="1002" t="s">
        <v>785</v>
      </c>
      <c r="H1107" s="1111" t="s">
        <v>786</v>
      </c>
      <c r="I1107" s="1002" t="s">
        <v>821</v>
      </c>
      <c r="J1107" s="1007" t="s">
        <v>184</v>
      </c>
      <c r="K1107" s="1008" t="s">
        <v>272</v>
      </c>
      <c r="L1107" s="1008" t="s">
        <v>113</v>
      </c>
      <c r="M1107" s="1093">
        <v>10</v>
      </c>
      <c r="N1107" s="1081">
        <v>240740.74</v>
      </c>
      <c r="O1107" s="1082">
        <f t="shared" si="195"/>
        <v>2407407.4</v>
      </c>
      <c r="P1107" s="1082">
        <f t="shared" si="196"/>
        <v>192592.592</v>
      </c>
      <c r="Q1107" s="1206">
        <f t="shared" si="197"/>
        <v>2599999.9920000001</v>
      </c>
      <c r="R1107" s="1082"/>
      <c r="S1107" s="1082"/>
      <c r="T1107" s="1082"/>
      <c r="U1107" s="1082"/>
      <c r="V1107" s="1082">
        <f t="shared" si="194"/>
        <v>2599999.9920000001</v>
      </c>
    </row>
    <row r="1108" spans="1:23" s="1008" customFormat="1" hidden="1">
      <c r="A1108" s="1001" t="s">
        <v>792</v>
      </c>
      <c r="B1108" s="1001" t="s">
        <v>714</v>
      </c>
      <c r="C1108" s="1066">
        <v>46244</v>
      </c>
      <c r="D1108" s="1066"/>
      <c r="E1108" s="1008" t="s">
        <v>709</v>
      </c>
      <c r="F1108" s="1077">
        <v>46248</v>
      </c>
      <c r="G1108" s="1002" t="s">
        <v>785</v>
      </c>
      <c r="H1108" s="1111" t="s">
        <v>786</v>
      </c>
      <c r="I1108" s="1002" t="s">
        <v>821</v>
      </c>
      <c r="J1108" s="1007" t="s">
        <v>30</v>
      </c>
      <c r="K1108" s="1008" t="s">
        <v>31</v>
      </c>
      <c r="L1108" s="1008" t="s">
        <v>113</v>
      </c>
      <c r="M1108" s="1093">
        <v>10</v>
      </c>
      <c r="N1108" s="1081">
        <v>259259.26</v>
      </c>
      <c r="O1108" s="1082">
        <f t="shared" si="195"/>
        <v>2592592.6</v>
      </c>
      <c r="P1108" s="1082">
        <f t="shared" si="196"/>
        <v>207407.40800000002</v>
      </c>
      <c r="Q1108" s="1206">
        <f t="shared" si="197"/>
        <v>2800000.0079999999</v>
      </c>
      <c r="R1108" s="1082"/>
      <c r="S1108" s="1082"/>
      <c r="T1108" s="1082"/>
      <c r="U1108" s="1082"/>
      <c r="V1108" s="1082">
        <f t="shared" si="194"/>
        <v>2800000.0079999999</v>
      </c>
    </row>
    <row r="1109" spans="1:23" s="1008" customFormat="1" hidden="1">
      <c r="A1109" s="1001" t="s">
        <v>792</v>
      </c>
      <c r="B1109" s="1001" t="s">
        <v>714</v>
      </c>
      <c r="C1109" s="1066">
        <v>46244</v>
      </c>
      <c r="D1109" s="1066"/>
      <c r="E1109" s="1008" t="s">
        <v>709</v>
      </c>
      <c r="F1109" s="1077">
        <v>46248</v>
      </c>
      <c r="G1109" s="1002" t="s">
        <v>785</v>
      </c>
      <c r="H1109" s="1111" t="s">
        <v>786</v>
      </c>
      <c r="I1109" s="1002" t="s">
        <v>821</v>
      </c>
      <c r="J1109" s="1007" t="s">
        <v>301</v>
      </c>
      <c r="K1109" s="1008" t="s">
        <v>361</v>
      </c>
      <c r="L1109" s="1008" t="s">
        <v>113</v>
      </c>
      <c r="M1109" s="1093">
        <v>10</v>
      </c>
      <c r="N1109" s="1081">
        <v>277777.78000000003</v>
      </c>
      <c r="O1109" s="1082">
        <f t="shared" si="195"/>
        <v>2777777.8000000003</v>
      </c>
      <c r="P1109" s="1082">
        <f t="shared" si="196"/>
        <v>222222.22400000002</v>
      </c>
      <c r="Q1109" s="1206">
        <f t="shared" si="197"/>
        <v>3000000.0240000002</v>
      </c>
      <c r="R1109" s="1082"/>
      <c r="S1109" s="1082"/>
      <c r="T1109" s="1082"/>
      <c r="U1109" s="1082"/>
      <c r="V1109" s="1082">
        <f t="shared" ref="V1109:V1172" si="198">Q1109-R1109-S1109-T1109-U1109</f>
        <v>3000000.0240000002</v>
      </c>
    </row>
    <row r="1110" spans="1:23" s="1008" customFormat="1" hidden="1">
      <c r="A1110" s="1001" t="s">
        <v>792</v>
      </c>
      <c r="B1110" s="1001" t="s">
        <v>714</v>
      </c>
      <c r="C1110" s="1066">
        <v>46244</v>
      </c>
      <c r="D1110" s="1066"/>
      <c r="E1110" s="1008" t="s">
        <v>709</v>
      </c>
      <c r="F1110" s="1077">
        <v>46248</v>
      </c>
      <c r="G1110" s="1002" t="s">
        <v>785</v>
      </c>
      <c r="H1110" s="1111" t="s">
        <v>786</v>
      </c>
      <c r="I1110" s="1002" t="s">
        <v>821</v>
      </c>
      <c r="J1110" s="1007" t="s">
        <v>34</v>
      </c>
      <c r="K1110" s="1008" t="s">
        <v>35</v>
      </c>
      <c r="L1110" s="1008" t="s">
        <v>113</v>
      </c>
      <c r="M1110" s="1093">
        <v>5</v>
      </c>
      <c r="N1110" s="1081">
        <v>240740.74</v>
      </c>
      <c r="O1110" s="1082">
        <f t="shared" si="195"/>
        <v>1203703.7</v>
      </c>
      <c r="P1110" s="1082">
        <f t="shared" si="196"/>
        <v>96296.296000000002</v>
      </c>
      <c r="Q1110" s="1206">
        <f t="shared" si="197"/>
        <v>1299999.996</v>
      </c>
      <c r="R1110" s="1082"/>
      <c r="S1110" s="1082"/>
      <c r="T1110" s="1082"/>
      <c r="U1110" s="1082"/>
      <c r="V1110" s="1082">
        <f t="shared" si="198"/>
        <v>1299999.996</v>
      </c>
    </row>
    <row r="1111" spans="1:23" s="1008" customFormat="1" hidden="1">
      <c r="A1111" s="1001" t="s">
        <v>792</v>
      </c>
      <c r="B1111" s="1001" t="s">
        <v>714</v>
      </c>
      <c r="C1111" s="1066">
        <v>46244</v>
      </c>
      <c r="D1111" s="1066"/>
      <c r="E1111" s="1008" t="s">
        <v>709</v>
      </c>
      <c r="F1111" s="1077">
        <v>46248</v>
      </c>
      <c r="G1111" s="1002" t="s">
        <v>785</v>
      </c>
      <c r="H1111" s="1111" t="s">
        <v>786</v>
      </c>
      <c r="I1111" s="1002" t="s">
        <v>821</v>
      </c>
      <c r="J1111" s="1007" t="s">
        <v>36</v>
      </c>
      <c r="K1111" s="1008" t="s">
        <v>37</v>
      </c>
      <c r="L1111" s="1008" t="s">
        <v>113</v>
      </c>
      <c r="M1111" s="1093">
        <v>10</v>
      </c>
      <c r="N1111" s="1081">
        <v>259259.26</v>
      </c>
      <c r="O1111" s="1082">
        <f t="shared" si="195"/>
        <v>2592592.6</v>
      </c>
      <c r="P1111" s="1082">
        <f t="shared" si="196"/>
        <v>207407.40800000002</v>
      </c>
      <c r="Q1111" s="1206">
        <f t="shared" si="197"/>
        <v>2800000.0079999999</v>
      </c>
      <c r="R1111" s="1082"/>
      <c r="S1111" s="1082"/>
      <c r="T1111" s="1082"/>
      <c r="U1111" s="1082"/>
      <c r="V1111" s="1082">
        <f t="shared" si="198"/>
        <v>2800000.0079999999</v>
      </c>
    </row>
    <row r="1112" spans="1:23" s="1008" customFormat="1" hidden="1">
      <c r="A1112" s="1001" t="s">
        <v>792</v>
      </c>
      <c r="B1112" s="1001" t="s">
        <v>714</v>
      </c>
      <c r="C1112" s="1066">
        <v>46244</v>
      </c>
      <c r="D1112" s="1066"/>
      <c r="E1112" s="1008" t="s">
        <v>709</v>
      </c>
      <c r="F1112" s="1077"/>
      <c r="G1112" s="1002"/>
      <c r="H1112" s="1111"/>
      <c r="I1112" s="1002" t="s">
        <v>821</v>
      </c>
      <c r="J1112" s="1007" t="s">
        <v>38</v>
      </c>
      <c r="K1112" s="1008" t="s">
        <v>39</v>
      </c>
      <c r="L1112" s="1008" t="s">
        <v>113</v>
      </c>
      <c r="M1112" s="1093">
        <v>10</v>
      </c>
      <c r="N1112" s="1081">
        <v>277777.78000000003</v>
      </c>
      <c r="O1112" s="1082">
        <f t="shared" si="195"/>
        <v>2777777.8000000003</v>
      </c>
      <c r="P1112" s="1082">
        <f t="shared" si="196"/>
        <v>222222.22400000002</v>
      </c>
      <c r="Q1112" s="1206">
        <f t="shared" si="197"/>
        <v>3000000.0240000002</v>
      </c>
      <c r="R1112" s="1082"/>
      <c r="S1112" s="1082"/>
      <c r="T1112" s="1082"/>
      <c r="U1112" s="1082"/>
      <c r="V1112" s="1082">
        <f t="shared" si="198"/>
        <v>3000000.0240000002</v>
      </c>
    </row>
    <row r="1113" spans="1:23" s="1008" customFormat="1" hidden="1">
      <c r="A1113" s="1001" t="s">
        <v>792</v>
      </c>
      <c r="B1113" s="1001" t="s">
        <v>714</v>
      </c>
      <c r="C1113" s="1066">
        <v>46244</v>
      </c>
      <c r="D1113" s="1066"/>
      <c r="E1113" s="1008" t="s">
        <v>709</v>
      </c>
      <c r="F1113" s="1077">
        <v>46295</v>
      </c>
      <c r="G1113" s="1002"/>
      <c r="H1113" s="1111" t="s">
        <v>1308</v>
      </c>
      <c r="I1113" s="1002" t="s">
        <v>821</v>
      </c>
      <c r="J1113" s="1007" t="s">
        <v>639</v>
      </c>
      <c r="K1113" s="1008" t="s">
        <v>640</v>
      </c>
      <c r="L1113" s="1008" t="s">
        <v>113</v>
      </c>
      <c r="M1113" s="1093">
        <v>15</v>
      </c>
      <c r="N1113" s="1081">
        <v>537037.04</v>
      </c>
      <c r="O1113" s="1082">
        <f t="shared" si="195"/>
        <v>8055555.6000000006</v>
      </c>
      <c r="P1113" s="1082">
        <f t="shared" si="196"/>
        <v>644444.44800000009</v>
      </c>
      <c r="Q1113" s="1206">
        <f t="shared" si="197"/>
        <v>8700000.0480000004</v>
      </c>
      <c r="R1113" s="1082"/>
      <c r="S1113" s="1082"/>
      <c r="T1113" s="1082"/>
      <c r="U1113" s="1082"/>
      <c r="V1113" s="1082">
        <f t="shared" si="198"/>
        <v>8700000.0480000004</v>
      </c>
    </row>
    <row r="1114" spans="1:23" s="1008" customFormat="1" hidden="1">
      <c r="A1114" s="1001" t="s">
        <v>792</v>
      </c>
      <c r="B1114" s="1001" t="s">
        <v>714</v>
      </c>
      <c r="C1114" s="1066">
        <v>46244</v>
      </c>
      <c r="D1114" s="1066"/>
      <c r="E1114" s="1008" t="s">
        <v>709</v>
      </c>
      <c r="F1114" s="1077">
        <v>46295</v>
      </c>
      <c r="G1114" s="1002"/>
      <c r="H1114" s="1111" t="s">
        <v>1308</v>
      </c>
      <c r="I1114" s="1002" t="s">
        <v>821</v>
      </c>
      <c r="J1114" s="1007" t="s">
        <v>641</v>
      </c>
      <c r="K1114" s="1008" t="s">
        <v>657</v>
      </c>
      <c r="L1114" s="1008" t="s">
        <v>113</v>
      </c>
      <c r="M1114" s="1093">
        <v>15</v>
      </c>
      <c r="N1114" s="1081">
        <v>638888.89</v>
      </c>
      <c r="O1114" s="1082">
        <f t="shared" si="195"/>
        <v>9583333.3499999996</v>
      </c>
      <c r="P1114" s="1082">
        <f t="shared" si="196"/>
        <v>766666.66799999995</v>
      </c>
      <c r="Q1114" s="1206">
        <f t="shared" si="197"/>
        <v>10350000.017999999</v>
      </c>
      <c r="R1114" s="1082"/>
      <c r="S1114" s="1082"/>
      <c r="T1114" s="1082"/>
      <c r="U1114" s="1082"/>
      <c r="V1114" s="1082">
        <f t="shared" si="198"/>
        <v>10350000.017999999</v>
      </c>
    </row>
    <row r="1115" spans="1:23" s="1008" customFormat="1" hidden="1">
      <c r="A1115" s="1001" t="s">
        <v>792</v>
      </c>
      <c r="B1115" s="1001" t="s">
        <v>714</v>
      </c>
      <c r="C1115" s="1066">
        <v>46244</v>
      </c>
      <c r="D1115" s="1066"/>
      <c r="E1115" s="1008" t="s">
        <v>709</v>
      </c>
      <c r="F1115" s="1077">
        <v>46295</v>
      </c>
      <c r="G1115" s="1002"/>
      <c r="H1115" s="1111" t="s">
        <v>1308</v>
      </c>
      <c r="I1115" s="1002" t="s">
        <v>821</v>
      </c>
      <c r="J1115" s="1007" t="s">
        <v>643</v>
      </c>
      <c r="K1115" s="1008" t="s">
        <v>644</v>
      </c>
      <c r="L1115" s="1008" t="s">
        <v>113</v>
      </c>
      <c r="M1115" s="1093">
        <v>15</v>
      </c>
      <c r="N1115" s="1081">
        <v>527777.78</v>
      </c>
      <c r="O1115" s="1082">
        <f t="shared" si="195"/>
        <v>7916666.7000000002</v>
      </c>
      <c r="P1115" s="1082">
        <f t="shared" si="196"/>
        <v>633333.33600000001</v>
      </c>
      <c r="Q1115" s="1206">
        <f t="shared" si="197"/>
        <v>8550000.0360000003</v>
      </c>
      <c r="R1115" s="1082"/>
      <c r="S1115" s="1082"/>
      <c r="T1115" s="1082"/>
      <c r="U1115" s="1082"/>
      <c r="V1115" s="1082">
        <f t="shared" si="198"/>
        <v>8550000.0360000003</v>
      </c>
    </row>
    <row r="1116" spans="1:23" s="1008" customFormat="1" ht="47.25" hidden="1">
      <c r="A1116" s="1001" t="s">
        <v>792</v>
      </c>
      <c r="B1116" s="1001" t="s">
        <v>714</v>
      </c>
      <c r="C1116" s="1066">
        <v>46244</v>
      </c>
      <c r="D1116" s="1066"/>
      <c r="E1116" s="1008" t="s">
        <v>709</v>
      </c>
      <c r="F1116" s="1077">
        <v>46295</v>
      </c>
      <c r="G1116" s="1002"/>
      <c r="H1116" s="1111" t="s">
        <v>1308</v>
      </c>
      <c r="I1116" s="1002" t="s">
        <v>821</v>
      </c>
      <c r="J1116" s="1007" t="s">
        <v>645</v>
      </c>
      <c r="K1116" s="1008" t="s">
        <v>646</v>
      </c>
      <c r="L1116" s="1008" t="s">
        <v>113</v>
      </c>
      <c r="M1116" s="1093">
        <v>4</v>
      </c>
      <c r="N1116" s="1081">
        <v>629629.63</v>
      </c>
      <c r="O1116" s="1082">
        <f t="shared" si="195"/>
        <v>2518518.52</v>
      </c>
      <c r="P1116" s="1082">
        <f t="shared" si="196"/>
        <v>201481.4816</v>
      </c>
      <c r="Q1116" s="1206">
        <f t="shared" si="197"/>
        <v>2720000.0016000001</v>
      </c>
      <c r="R1116" s="1082"/>
      <c r="S1116" s="1082"/>
      <c r="T1116" s="1082"/>
      <c r="U1116" s="1082"/>
      <c r="V1116" s="1082">
        <f t="shared" si="198"/>
        <v>2720000.0016000001</v>
      </c>
      <c r="W1116" s="1052" t="s">
        <v>765</v>
      </c>
    </row>
    <row r="1117" spans="1:23" s="1008" customFormat="1" hidden="1">
      <c r="A1117" s="1001" t="s">
        <v>792</v>
      </c>
      <c r="B1117" s="1001" t="s">
        <v>714</v>
      </c>
      <c r="C1117" s="1066">
        <v>46244</v>
      </c>
      <c r="D1117" s="1066"/>
      <c r="E1117" s="1008" t="s">
        <v>709</v>
      </c>
      <c r="F1117" s="1077">
        <v>46295</v>
      </c>
      <c r="G1117" s="1002"/>
      <c r="H1117" s="1111" t="s">
        <v>1308</v>
      </c>
      <c r="I1117" s="1002" t="s">
        <v>821</v>
      </c>
      <c r="J1117" s="1007" t="s">
        <v>649</v>
      </c>
      <c r="K1117" s="1008" t="s">
        <v>650</v>
      </c>
      <c r="L1117" s="1008" t="s">
        <v>113</v>
      </c>
      <c r="M1117" s="1093">
        <v>15</v>
      </c>
      <c r="N1117" s="1081">
        <v>574074.06999999995</v>
      </c>
      <c r="O1117" s="1082">
        <f t="shared" si="195"/>
        <v>8611111.0499999989</v>
      </c>
      <c r="P1117" s="1082">
        <f t="shared" si="196"/>
        <v>688888.88399999996</v>
      </c>
      <c r="Q1117" s="1206">
        <f t="shared" si="197"/>
        <v>9299999.9339999985</v>
      </c>
      <c r="R1117" s="1082"/>
      <c r="S1117" s="1082"/>
      <c r="T1117" s="1082"/>
      <c r="U1117" s="1082"/>
      <c r="V1117" s="1082">
        <f t="shared" si="198"/>
        <v>9299999.9339999985</v>
      </c>
    </row>
    <row r="1118" spans="1:23" s="1008" customFormat="1" hidden="1">
      <c r="A1118" s="1001" t="s">
        <v>792</v>
      </c>
      <c r="B1118" s="1001" t="s">
        <v>714</v>
      </c>
      <c r="C1118" s="1066">
        <v>46244</v>
      </c>
      <c r="D1118" s="1066"/>
      <c r="E1118" s="1008" t="s">
        <v>709</v>
      </c>
      <c r="F1118" s="1077">
        <v>46295</v>
      </c>
      <c r="G1118" s="1002"/>
      <c r="H1118" s="1111" t="s">
        <v>1308</v>
      </c>
      <c r="I1118" s="1002" t="s">
        <v>821</v>
      </c>
      <c r="J1118" s="1007" t="s">
        <v>651</v>
      </c>
      <c r="K1118" s="1008" t="s">
        <v>652</v>
      </c>
      <c r="L1118" s="1008" t="s">
        <v>113</v>
      </c>
      <c r="M1118" s="1093">
        <v>15</v>
      </c>
      <c r="N1118" s="1081">
        <v>694444.44</v>
      </c>
      <c r="O1118" s="1082">
        <f t="shared" si="195"/>
        <v>10416666.6</v>
      </c>
      <c r="P1118" s="1082">
        <f t="shared" si="196"/>
        <v>833333.32799999998</v>
      </c>
      <c r="Q1118" s="1206">
        <f t="shared" si="197"/>
        <v>11249999.927999999</v>
      </c>
      <c r="R1118" s="1082"/>
      <c r="S1118" s="1082"/>
      <c r="T1118" s="1082"/>
      <c r="U1118" s="1082"/>
      <c r="V1118" s="1082">
        <f t="shared" si="198"/>
        <v>11249999.927999999</v>
      </c>
    </row>
    <row r="1119" spans="1:23" s="1008" customFormat="1" hidden="1">
      <c r="A1119" s="1001" t="s">
        <v>792</v>
      </c>
      <c r="B1119" s="1001" t="s">
        <v>714</v>
      </c>
      <c r="C1119" s="1066">
        <v>46244</v>
      </c>
      <c r="D1119" s="1066"/>
      <c r="E1119" s="1008" t="s">
        <v>709</v>
      </c>
      <c r="F1119" s="1077">
        <v>46295</v>
      </c>
      <c r="G1119" s="1002"/>
      <c r="H1119" s="1111" t="s">
        <v>1308</v>
      </c>
      <c r="I1119" s="1002" t="s">
        <v>821</v>
      </c>
      <c r="J1119" s="1007" t="s">
        <v>653</v>
      </c>
      <c r="K1119" s="1008" t="s">
        <v>654</v>
      </c>
      <c r="L1119" s="1008" t="s">
        <v>113</v>
      </c>
      <c r="M1119" s="1093">
        <v>15</v>
      </c>
      <c r="N1119" s="1081">
        <v>481481.48</v>
      </c>
      <c r="O1119" s="1082">
        <f t="shared" si="195"/>
        <v>7222222.1999999993</v>
      </c>
      <c r="P1119" s="1082">
        <f t="shared" si="196"/>
        <v>577777.77599999995</v>
      </c>
      <c r="Q1119" s="1206">
        <f t="shared" si="197"/>
        <v>7799999.9759999989</v>
      </c>
      <c r="R1119" s="1082"/>
      <c r="S1119" s="1082"/>
      <c r="T1119" s="1082"/>
      <c r="U1119" s="1082"/>
      <c r="V1119" s="1082">
        <f t="shared" si="198"/>
        <v>7799999.9759999989</v>
      </c>
    </row>
    <row r="1120" spans="1:23" s="1008" customFormat="1" hidden="1">
      <c r="A1120" s="1001" t="s">
        <v>792</v>
      </c>
      <c r="B1120" s="1001" t="s">
        <v>714</v>
      </c>
      <c r="C1120" s="1066">
        <v>46244</v>
      </c>
      <c r="D1120" s="1066"/>
      <c r="E1120" s="1008" t="s">
        <v>709</v>
      </c>
      <c r="F1120" s="1077">
        <v>46295</v>
      </c>
      <c r="G1120" s="1002"/>
      <c r="H1120" s="1111" t="s">
        <v>1308</v>
      </c>
      <c r="I1120" s="1002" t="s">
        <v>821</v>
      </c>
      <c r="J1120" s="1007" t="s">
        <v>655</v>
      </c>
      <c r="K1120" s="1008" t="s">
        <v>656</v>
      </c>
      <c r="L1120" s="1008" t="s">
        <v>113</v>
      </c>
      <c r="M1120" s="1093">
        <v>26</v>
      </c>
      <c r="N1120" s="1081">
        <v>574074.06999999995</v>
      </c>
      <c r="O1120" s="1082">
        <f t="shared" si="195"/>
        <v>14925925.819999998</v>
      </c>
      <c r="P1120" s="1082">
        <f t="shared" si="196"/>
        <v>1194074.0655999999</v>
      </c>
      <c r="Q1120" s="1206">
        <f t="shared" si="197"/>
        <v>16119999.885599999</v>
      </c>
      <c r="R1120" s="1082"/>
      <c r="S1120" s="1082"/>
      <c r="T1120" s="1082"/>
      <c r="U1120" s="1082"/>
      <c r="V1120" s="1082">
        <f t="shared" si="198"/>
        <v>16119999.885599999</v>
      </c>
    </row>
    <row r="1121" spans="1:22" s="1008" customFormat="1" hidden="1">
      <c r="A1121" s="1001" t="s">
        <v>792</v>
      </c>
      <c r="B1121" s="1001" t="s">
        <v>714</v>
      </c>
      <c r="C1121" s="1066">
        <v>46244</v>
      </c>
      <c r="D1121" s="1066"/>
      <c r="E1121" s="1008" t="s">
        <v>709</v>
      </c>
      <c r="F1121" s="1077">
        <v>46287</v>
      </c>
      <c r="G1121" s="1002" t="s">
        <v>1315</v>
      </c>
      <c r="H1121" s="1111" t="s">
        <v>1314</v>
      </c>
      <c r="I1121" s="1002" t="s">
        <v>821</v>
      </c>
      <c r="J1121" s="1007" t="s">
        <v>101</v>
      </c>
      <c r="K1121" s="1008" t="s">
        <v>102</v>
      </c>
      <c r="L1121" s="1008" t="s">
        <v>113</v>
      </c>
      <c r="M1121" s="1093">
        <v>6</v>
      </c>
      <c r="N1121" s="1081">
        <v>861111.11</v>
      </c>
      <c r="O1121" s="1082">
        <f t="shared" si="195"/>
        <v>5166666.66</v>
      </c>
      <c r="P1121" s="1082">
        <f t="shared" si="196"/>
        <v>413333.33280000003</v>
      </c>
      <c r="Q1121" s="1206">
        <f t="shared" si="197"/>
        <v>5579999.9928000001</v>
      </c>
      <c r="R1121" s="1082"/>
      <c r="S1121" s="1082"/>
      <c r="T1121" s="1082"/>
      <c r="U1121" s="1082"/>
      <c r="V1121" s="1082">
        <f t="shared" si="198"/>
        <v>5579999.9928000001</v>
      </c>
    </row>
    <row r="1122" spans="1:22" s="1008" customFormat="1" hidden="1">
      <c r="A1122" s="1001" t="s">
        <v>792</v>
      </c>
      <c r="B1122" s="1001" t="s">
        <v>714</v>
      </c>
      <c r="C1122" s="1066">
        <v>46244</v>
      </c>
      <c r="D1122" s="1066"/>
      <c r="E1122" s="1008" t="s">
        <v>709</v>
      </c>
      <c r="F1122" s="1077">
        <v>46248</v>
      </c>
      <c r="G1122" s="1002" t="s">
        <v>785</v>
      </c>
      <c r="H1122" s="1111" t="s">
        <v>786</v>
      </c>
      <c r="I1122" s="1002" t="s">
        <v>821</v>
      </c>
      <c r="J1122" s="1007" t="s">
        <v>93</v>
      </c>
      <c r="K1122" s="1008" t="s">
        <v>94</v>
      </c>
      <c r="L1122" s="1008" t="s">
        <v>113</v>
      </c>
      <c r="M1122" s="1093">
        <v>6</v>
      </c>
      <c r="N1122" s="1081">
        <v>907407.41</v>
      </c>
      <c r="O1122" s="1082">
        <f t="shared" si="195"/>
        <v>5444444.46</v>
      </c>
      <c r="P1122" s="1082">
        <f t="shared" si="196"/>
        <v>435555.55680000002</v>
      </c>
      <c r="Q1122" s="1206">
        <f t="shared" si="197"/>
        <v>5880000.0168000003</v>
      </c>
      <c r="R1122" s="1082"/>
      <c r="S1122" s="1082"/>
      <c r="T1122" s="1082"/>
      <c r="U1122" s="1082"/>
      <c r="V1122" s="1082">
        <f t="shared" si="198"/>
        <v>5880000.0168000003</v>
      </c>
    </row>
    <row r="1123" spans="1:22" s="1008" customFormat="1" hidden="1">
      <c r="A1123" s="1001" t="s">
        <v>792</v>
      </c>
      <c r="B1123" s="1001" t="s">
        <v>714</v>
      </c>
      <c r="C1123" s="1066">
        <v>46244</v>
      </c>
      <c r="D1123" s="1066"/>
      <c r="E1123" s="1008" t="s">
        <v>709</v>
      </c>
      <c r="F1123" s="1077">
        <v>46248</v>
      </c>
      <c r="G1123" s="1002" t="s">
        <v>785</v>
      </c>
      <c r="H1123" s="1111" t="s">
        <v>786</v>
      </c>
      <c r="I1123" s="1002" t="s">
        <v>821</v>
      </c>
      <c r="J1123" s="1007" t="s">
        <v>48</v>
      </c>
      <c r="K1123" s="1008" t="s">
        <v>49</v>
      </c>
      <c r="L1123" s="1008" t="s">
        <v>113</v>
      </c>
      <c r="M1123" s="1093">
        <v>6</v>
      </c>
      <c r="N1123" s="1081">
        <v>601851.85</v>
      </c>
      <c r="O1123" s="1082">
        <f t="shared" si="195"/>
        <v>3611111.0999999996</v>
      </c>
      <c r="P1123" s="1082">
        <f t="shared" si="196"/>
        <v>288888.88799999998</v>
      </c>
      <c r="Q1123" s="1206">
        <f t="shared" si="197"/>
        <v>3899999.9879999994</v>
      </c>
      <c r="R1123" s="1082"/>
      <c r="S1123" s="1082"/>
      <c r="T1123" s="1082"/>
      <c r="U1123" s="1082"/>
      <c r="V1123" s="1082">
        <f t="shared" si="198"/>
        <v>3899999.9879999994</v>
      </c>
    </row>
    <row r="1124" spans="1:22" s="1008" customFormat="1" hidden="1">
      <c r="A1124" s="1001" t="s">
        <v>792</v>
      </c>
      <c r="B1124" s="1001" t="s">
        <v>714</v>
      </c>
      <c r="C1124" s="1066">
        <v>46244</v>
      </c>
      <c r="D1124" s="1066"/>
      <c r="E1124" s="1008" t="s">
        <v>709</v>
      </c>
      <c r="F1124" s="1077">
        <v>46248</v>
      </c>
      <c r="G1124" s="1002" t="s">
        <v>785</v>
      </c>
      <c r="H1124" s="1111" t="s">
        <v>786</v>
      </c>
      <c r="I1124" s="1002" t="s">
        <v>821</v>
      </c>
      <c r="J1124" s="1007" t="s">
        <v>226</v>
      </c>
      <c r="K1124" s="1008" t="s">
        <v>227</v>
      </c>
      <c r="L1124" s="1008" t="s">
        <v>113</v>
      </c>
      <c r="M1124" s="1093">
        <v>6</v>
      </c>
      <c r="N1124" s="1081">
        <v>799074.07</v>
      </c>
      <c r="O1124" s="1082">
        <f t="shared" si="195"/>
        <v>4794444.42</v>
      </c>
      <c r="P1124" s="1082">
        <f t="shared" si="196"/>
        <v>383555.55359999998</v>
      </c>
      <c r="Q1124" s="1206">
        <f t="shared" si="197"/>
        <v>5177999.9736000001</v>
      </c>
      <c r="R1124" s="1082"/>
      <c r="S1124" s="1082"/>
      <c r="T1124" s="1082"/>
      <c r="U1124" s="1082"/>
      <c r="V1124" s="1082">
        <f t="shared" si="198"/>
        <v>5177999.9736000001</v>
      </c>
    </row>
    <row r="1125" spans="1:22" s="1008" customFormat="1" hidden="1">
      <c r="A1125" s="1001" t="s">
        <v>792</v>
      </c>
      <c r="B1125" s="1001" t="s">
        <v>714</v>
      </c>
      <c r="C1125" s="1066">
        <v>46244</v>
      </c>
      <c r="D1125" s="1066"/>
      <c r="E1125" s="1008" t="s">
        <v>709</v>
      </c>
      <c r="F1125" s="1077"/>
      <c r="G1125" s="1002"/>
      <c r="H1125" s="1111"/>
      <c r="I1125" s="1002" t="s">
        <v>821</v>
      </c>
      <c r="J1125" s="1007" t="s">
        <v>103</v>
      </c>
      <c r="K1125" s="1008" t="s">
        <v>104</v>
      </c>
      <c r="L1125" s="1008" t="s">
        <v>113</v>
      </c>
      <c r="M1125" s="1093">
        <v>6</v>
      </c>
      <c r="N1125" s="1081">
        <v>675925.93</v>
      </c>
      <c r="O1125" s="1082">
        <f t="shared" si="195"/>
        <v>4055555.58</v>
      </c>
      <c r="P1125" s="1082">
        <f t="shared" si="196"/>
        <v>324444.44640000002</v>
      </c>
      <c r="Q1125" s="1206">
        <f t="shared" si="197"/>
        <v>4380000.0263999999</v>
      </c>
      <c r="R1125" s="1082"/>
      <c r="S1125" s="1082"/>
      <c r="T1125" s="1082"/>
      <c r="U1125" s="1082"/>
      <c r="V1125" s="1082">
        <f t="shared" si="198"/>
        <v>4380000.0263999999</v>
      </c>
    </row>
    <row r="1126" spans="1:22" s="1008" customFormat="1" hidden="1">
      <c r="A1126" s="1001" t="s">
        <v>792</v>
      </c>
      <c r="B1126" s="1001" t="s">
        <v>714</v>
      </c>
      <c r="C1126" s="1066">
        <v>46244</v>
      </c>
      <c r="D1126" s="1066"/>
      <c r="E1126" s="1008" t="s">
        <v>709</v>
      </c>
      <c r="F1126" s="1077">
        <v>46248</v>
      </c>
      <c r="G1126" s="1002" t="s">
        <v>785</v>
      </c>
      <c r="H1126" s="1111" t="s">
        <v>786</v>
      </c>
      <c r="I1126" s="1002" t="s">
        <v>821</v>
      </c>
      <c r="J1126" s="1007" t="s">
        <v>260</v>
      </c>
      <c r="K1126" s="1008" t="s">
        <v>261</v>
      </c>
      <c r="L1126" s="1008" t="s">
        <v>113</v>
      </c>
      <c r="M1126" s="1093">
        <v>10</v>
      </c>
      <c r="N1126" s="1081">
        <v>492592.59</v>
      </c>
      <c r="O1126" s="1082">
        <f t="shared" si="195"/>
        <v>4925925.9000000004</v>
      </c>
      <c r="P1126" s="1082">
        <f t="shared" si="196"/>
        <v>394074.07200000004</v>
      </c>
      <c r="Q1126" s="1206">
        <f t="shared" si="197"/>
        <v>5319999.9720000001</v>
      </c>
      <c r="R1126" s="1082"/>
      <c r="S1126" s="1082"/>
      <c r="T1126" s="1082"/>
      <c r="U1126" s="1082"/>
      <c r="V1126" s="1082">
        <f t="shared" si="198"/>
        <v>5319999.9720000001</v>
      </c>
    </row>
    <row r="1127" spans="1:22" s="1008" customFormat="1" hidden="1">
      <c r="A1127" s="1001" t="s">
        <v>792</v>
      </c>
      <c r="B1127" s="1001" t="s">
        <v>714</v>
      </c>
      <c r="C1127" s="1066">
        <v>46244</v>
      </c>
      <c r="D1127" s="1066"/>
      <c r="E1127" s="1008" t="s">
        <v>709</v>
      </c>
      <c r="F1127" s="1077">
        <v>46295</v>
      </c>
      <c r="G1127" s="1002"/>
      <c r="H1127" s="1111" t="s">
        <v>1308</v>
      </c>
      <c r="I1127" s="1008" t="s">
        <v>892</v>
      </c>
      <c r="J1127" s="1007" t="s">
        <v>639</v>
      </c>
      <c r="K1127" s="1008" t="s">
        <v>640</v>
      </c>
      <c r="L1127" s="1008" t="s">
        <v>113</v>
      </c>
      <c r="M1127" s="1093">
        <v>1</v>
      </c>
      <c r="N1127" s="1081">
        <v>0</v>
      </c>
      <c r="O1127" s="1082">
        <f t="shared" si="195"/>
        <v>0</v>
      </c>
      <c r="P1127" s="1082">
        <f t="shared" si="196"/>
        <v>0</v>
      </c>
      <c r="Q1127" s="1206">
        <f t="shared" si="197"/>
        <v>0</v>
      </c>
      <c r="R1127" s="1082"/>
      <c r="S1127" s="1082"/>
      <c r="T1127" s="1082"/>
      <c r="U1127" s="1082"/>
      <c r="V1127" s="1082">
        <f t="shared" si="198"/>
        <v>0</v>
      </c>
    </row>
    <row r="1128" spans="1:22" s="1008" customFormat="1" hidden="1">
      <c r="A1128" s="1001" t="s">
        <v>792</v>
      </c>
      <c r="B1128" s="1001" t="s">
        <v>714</v>
      </c>
      <c r="C1128" s="1066">
        <v>46244</v>
      </c>
      <c r="D1128" s="1066"/>
      <c r="E1128" s="1008" t="s">
        <v>709</v>
      </c>
      <c r="F1128" s="1077">
        <v>46295</v>
      </c>
      <c r="G1128" s="1002"/>
      <c r="H1128" s="1111" t="s">
        <v>1308</v>
      </c>
      <c r="I1128" s="1008" t="s">
        <v>892</v>
      </c>
      <c r="J1128" s="1007" t="s">
        <v>641</v>
      </c>
      <c r="K1128" s="1008" t="s">
        <v>657</v>
      </c>
      <c r="L1128" s="1008" t="s">
        <v>113</v>
      </c>
      <c r="M1128" s="1093">
        <v>1</v>
      </c>
      <c r="N1128" s="1081">
        <v>0</v>
      </c>
      <c r="O1128" s="1082">
        <f t="shared" si="195"/>
        <v>0</v>
      </c>
      <c r="P1128" s="1082">
        <f t="shared" si="196"/>
        <v>0</v>
      </c>
      <c r="Q1128" s="1206">
        <f t="shared" si="197"/>
        <v>0</v>
      </c>
      <c r="R1128" s="1082"/>
      <c r="S1128" s="1082"/>
      <c r="T1128" s="1082"/>
      <c r="U1128" s="1082"/>
      <c r="V1128" s="1082">
        <f t="shared" si="198"/>
        <v>0</v>
      </c>
    </row>
    <row r="1129" spans="1:22" s="1008" customFormat="1" hidden="1">
      <c r="A1129" s="1001" t="s">
        <v>792</v>
      </c>
      <c r="B1129" s="1001" t="s">
        <v>714</v>
      </c>
      <c r="C1129" s="1066">
        <v>46244</v>
      </c>
      <c r="D1129" s="1066"/>
      <c r="E1129" s="1008" t="s">
        <v>709</v>
      </c>
      <c r="F1129" s="1077">
        <v>46295</v>
      </c>
      <c r="G1129" s="1002"/>
      <c r="H1129" s="1111" t="s">
        <v>1308</v>
      </c>
      <c r="I1129" s="1008" t="s">
        <v>892</v>
      </c>
      <c r="J1129" s="1007" t="s">
        <v>643</v>
      </c>
      <c r="K1129" s="1008" t="s">
        <v>644</v>
      </c>
      <c r="L1129" s="1008" t="s">
        <v>113</v>
      </c>
      <c r="M1129" s="1093">
        <v>1</v>
      </c>
      <c r="N1129" s="1081">
        <v>0</v>
      </c>
      <c r="O1129" s="1082">
        <f t="shared" si="195"/>
        <v>0</v>
      </c>
      <c r="P1129" s="1082">
        <f t="shared" si="196"/>
        <v>0</v>
      </c>
      <c r="Q1129" s="1206">
        <f t="shared" si="197"/>
        <v>0</v>
      </c>
      <c r="R1129" s="1082"/>
      <c r="S1129" s="1082"/>
      <c r="T1129" s="1082"/>
      <c r="U1129" s="1082"/>
      <c r="V1129" s="1082">
        <f t="shared" si="198"/>
        <v>0</v>
      </c>
    </row>
    <row r="1130" spans="1:22" s="1008" customFormat="1" hidden="1">
      <c r="A1130" s="1001" t="s">
        <v>792</v>
      </c>
      <c r="B1130" s="1001" t="s">
        <v>714</v>
      </c>
      <c r="C1130" s="1066">
        <v>46244</v>
      </c>
      <c r="D1130" s="1066"/>
      <c r="E1130" s="1008" t="s">
        <v>709</v>
      </c>
      <c r="F1130" s="1077">
        <v>46295</v>
      </c>
      <c r="G1130" s="1002"/>
      <c r="H1130" s="1111" t="s">
        <v>1308</v>
      </c>
      <c r="I1130" s="1008" t="s">
        <v>892</v>
      </c>
      <c r="J1130" s="1007" t="s">
        <v>649</v>
      </c>
      <c r="K1130" s="1008" t="s">
        <v>650</v>
      </c>
      <c r="L1130" s="1008" t="s">
        <v>113</v>
      </c>
      <c r="M1130" s="1093">
        <v>1</v>
      </c>
      <c r="N1130" s="1081">
        <v>0</v>
      </c>
      <c r="O1130" s="1082">
        <f t="shared" si="195"/>
        <v>0</v>
      </c>
      <c r="P1130" s="1082">
        <f t="shared" si="196"/>
        <v>0</v>
      </c>
      <c r="Q1130" s="1206">
        <f t="shared" si="197"/>
        <v>0</v>
      </c>
      <c r="R1130" s="1082"/>
      <c r="S1130" s="1082"/>
      <c r="T1130" s="1082"/>
      <c r="U1130" s="1082"/>
      <c r="V1130" s="1082">
        <f t="shared" si="198"/>
        <v>0</v>
      </c>
    </row>
    <row r="1131" spans="1:22" s="1008" customFormat="1" hidden="1">
      <c r="A1131" s="1001" t="s">
        <v>792</v>
      </c>
      <c r="B1131" s="1001" t="s">
        <v>714</v>
      </c>
      <c r="C1131" s="1066">
        <v>46244</v>
      </c>
      <c r="D1131" s="1066"/>
      <c r="E1131" s="1008" t="s">
        <v>709</v>
      </c>
      <c r="F1131" s="1077">
        <v>46295</v>
      </c>
      <c r="G1131" s="1002"/>
      <c r="H1131" s="1111" t="s">
        <v>1308</v>
      </c>
      <c r="I1131" s="1008" t="s">
        <v>892</v>
      </c>
      <c r="J1131" s="1007" t="s">
        <v>651</v>
      </c>
      <c r="K1131" s="1008" t="s">
        <v>652</v>
      </c>
      <c r="L1131" s="1008" t="s">
        <v>113</v>
      </c>
      <c r="M1131" s="1093">
        <v>1</v>
      </c>
      <c r="N1131" s="1081">
        <v>0</v>
      </c>
      <c r="O1131" s="1082">
        <f t="shared" si="195"/>
        <v>0</v>
      </c>
      <c r="P1131" s="1082">
        <f t="shared" si="196"/>
        <v>0</v>
      </c>
      <c r="Q1131" s="1206">
        <f t="shared" si="197"/>
        <v>0</v>
      </c>
      <c r="R1131" s="1082"/>
      <c r="S1131" s="1082"/>
      <c r="T1131" s="1082"/>
      <c r="U1131" s="1082"/>
      <c r="V1131" s="1082">
        <f t="shared" si="198"/>
        <v>0</v>
      </c>
    </row>
    <row r="1132" spans="1:22" s="1008" customFormat="1" hidden="1">
      <c r="A1132" s="1001" t="s">
        <v>792</v>
      </c>
      <c r="B1132" s="1001" t="s">
        <v>714</v>
      </c>
      <c r="C1132" s="1066">
        <v>46244</v>
      </c>
      <c r="D1132" s="1066"/>
      <c r="E1132" s="1008" t="s">
        <v>709</v>
      </c>
      <c r="F1132" s="1077">
        <v>46295</v>
      </c>
      <c r="G1132" s="1002"/>
      <c r="H1132" s="1111" t="s">
        <v>1308</v>
      </c>
      <c r="I1132" s="1008" t="s">
        <v>892</v>
      </c>
      <c r="J1132" s="1007" t="s">
        <v>653</v>
      </c>
      <c r="K1132" s="1008" t="s">
        <v>654</v>
      </c>
      <c r="L1132" s="1008" t="s">
        <v>113</v>
      </c>
      <c r="M1132" s="1093">
        <v>1</v>
      </c>
      <c r="N1132" s="1081">
        <v>0</v>
      </c>
      <c r="O1132" s="1082">
        <f t="shared" si="195"/>
        <v>0</v>
      </c>
      <c r="P1132" s="1082">
        <f t="shared" si="196"/>
        <v>0</v>
      </c>
      <c r="Q1132" s="1206">
        <f t="shared" si="197"/>
        <v>0</v>
      </c>
      <c r="R1132" s="1082"/>
      <c r="S1132" s="1082"/>
      <c r="T1132" s="1082"/>
      <c r="U1132" s="1082"/>
      <c r="V1132" s="1082">
        <f t="shared" si="198"/>
        <v>0</v>
      </c>
    </row>
    <row r="1133" spans="1:22" s="1008" customFormat="1" hidden="1">
      <c r="A1133" s="1001" t="s">
        <v>792</v>
      </c>
      <c r="B1133" s="1001" t="s">
        <v>714</v>
      </c>
      <c r="C1133" s="1066">
        <v>46244</v>
      </c>
      <c r="D1133" s="1066"/>
      <c r="E1133" s="1008" t="s">
        <v>709</v>
      </c>
      <c r="F1133" s="1077">
        <v>46295</v>
      </c>
      <c r="G1133" s="1002"/>
      <c r="H1133" s="1111" t="s">
        <v>1308</v>
      </c>
      <c r="I1133" s="1008" t="s">
        <v>892</v>
      </c>
      <c r="J1133" s="1007" t="s">
        <v>655</v>
      </c>
      <c r="K1133" s="1008" t="s">
        <v>656</v>
      </c>
      <c r="L1133" s="1008" t="s">
        <v>113</v>
      </c>
      <c r="M1133" s="1093">
        <v>2</v>
      </c>
      <c r="N1133" s="1081">
        <v>0</v>
      </c>
      <c r="O1133" s="1082">
        <f t="shared" si="195"/>
        <v>0</v>
      </c>
      <c r="P1133" s="1082">
        <f t="shared" si="196"/>
        <v>0</v>
      </c>
      <c r="Q1133" s="1206">
        <f t="shared" si="197"/>
        <v>0</v>
      </c>
      <c r="R1133" s="1082"/>
      <c r="S1133" s="1082"/>
      <c r="T1133" s="1082"/>
      <c r="U1133" s="1082"/>
      <c r="V1133" s="1082">
        <f t="shared" si="198"/>
        <v>0</v>
      </c>
    </row>
    <row r="1134" spans="1:22" s="1008" customFormat="1" hidden="1">
      <c r="A1134" s="1001" t="s">
        <v>792</v>
      </c>
      <c r="B1134" s="1001" t="s">
        <v>714</v>
      </c>
      <c r="C1134" s="1066">
        <v>46244</v>
      </c>
      <c r="D1134" s="1066"/>
      <c r="E1134" s="1008" t="s">
        <v>709</v>
      </c>
      <c r="F1134" s="1077">
        <v>46251</v>
      </c>
      <c r="G1134" s="1002" t="s">
        <v>876</v>
      </c>
      <c r="H1134" s="1111" t="s">
        <v>1229</v>
      </c>
      <c r="I1134" s="1008" t="s">
        <v>862</v>
      </c>
      <c r="J1134" s="1007" t="s">
        <v>62</v>
      </c>
      <c r="K1134" s="1002" t="s">
        <v>63</v>
      </c>
      <c r="L1134" s="1008" t="s">
        <v>113</v>
      </c>
      <c r="M1134" s="1093">
        <v>18</v>
      </c>
      <c r="N1134" s="1081">
        <v>0</v>
      </c>
      <c r="O1134" s="1082">
        <f t="shared" si="195"/>
        <v>0</v>
      </c>
      <c r="P1134" s="1082">
        <f t="shared" si="196"/>
        <v>0</v>
      </c>
      <c r="Q1134" s="1206">
        <f t="shared" si="197"/>
        <v>0</v>
      </c>
      <c r="R1134" s="1082"/>
      <c r="S1134" s="1082"/>
      <c r="T1134" s="1082"/>
      <c r="U1134" s="1082"/>
      <c r="V1134" s="1082">
        <f t="shared" si="198"/>
        <v>0</v>
      </c>
    </row>
    <row r="1135" spans="1:22" s="1002" customFormat="1" hidden="1">
      <c r="A1135" s="1000" t="s">
        <v>711</v>
      </c>
      <c r="B1135" s="1001" t="s">
        <v>715</v>
      </c>
      <c r="C1135" s="1066">
        <v>46244</v>
      </c>
      <c r="D1135" s="1066"/>
      <c r="E1135" s="1002" t="s">
        <v>710</v>
      </c>
      <c r="F1135" s="1077">
        <v>46244</v>
      </c>
      <c r="G1135" s="1054" t="s">
        <v>773</v>
      </c>
      <c r="H1135" s="1111">
        <v>272</v>
      </c>
      <c r="I1135" s="1002" t="s">
        <v>813</v>
      </c>
      <c r="J1135" s="1007" t="s">
        <v>260</v>
      </c>
      <c r="K1135" s="1002" t="s">
        <v>261</v>
      </c>
      <c r="L1135" s="1002" t="s">
        <v>92</v>
      </c>
      <c r="M1135" s="1086">
        <v>16</v>
      </c>
      <c r="N1135" s="1081">
        <v>407407.41</v>
      </c>
      <c r="O1135" s="1082">
        <f t="shared" si="195"/>
        <v>6518518.5599999996</v>
      </c>
      <c r="P1135" s="1082">
        <f t="shared" si="196"/>
        <v>521481.48479999998</v>
      </c>
      <c r="Q1135" s="1206">
        <f>O1135+P1135</f>
        <v>7040000.0447999993</v>
      </c>
      <c r="R1135" s="1083"/>
      <c r="S1135" s="1083"/>
      <c r="T1135" s="1083"/>
      <c r="U1135" s="1083"/>
      <c r="V1135" s="1083">
        <f>Q1135-R1135-S1135-T1135-U1135</f>
        <v>7040000.0447999993</v>
      </c>
    </row>
    <row r="1136" spans="1:22" s="1002" customFormat="1" hidden="1">
      <c r="A1136" s="1000" t="s">
        <v>711</v>
      </c>
      <c r="B1136" s="1001" t="s">
        <v>715</v>
      </c>
      <c r="C1136" s="1066">
        <v>46244</v>
      </c>
      <c r="D1136" s="1066"/>
      <c r="E1136" s="1002" t="s">
        <v>710</v>
      </c>
      <c r="F1136" s="1077">
        <v>46244</v>
      </c>
      <c r="G1136" s="1054" t="s">
        <v>773</v>
      </c>
      <c r="H1136" s="1111" t="s">
        <v>771</v>
      </c>
      <c r="I1136" s="1002" t="s">
        <v>813</v>
      </c>
      <c r="J1136" s="1007" t="s">
        <v>119</v>
      </c>
      <c r="K1136" s="1002" t="s">
        <v>191</v>
      </c>
      <c r="L1136" s="1002" t="s">
        <v>113</v>
      </c>
      <c r="M1136" s="1086">
        <v>4</v>
      </c>
      <c r="N1136" s="1081">
        <v>574074.06999999995</v>
      </c>
      <c r="O1136" s="1082">
        <f t="shared" si="195"/>
        <v>2296296.2799999998</v>
      </c>
      <c r="P1136" s="1082">
        <f t="shared" si="196"/>
        <v>183703.70239999998</v>
      </c>
      <c r="Q1136" s="1206">
        <f t="shared" si="197"/>
        <v>2479999.9823999996</v>
      </c>
      <c r="R1136" s="1083"/>
      <c r="S1136" s="1083"/>
      <c r="T1136" s="1083"/>
      <c r="U1136" s="1083"/>
      <c r="V1136" s="1083">
        <f t="shared" ref="V1136:V1142" si="199">Q1136-R1136-S1136-T1136-U1136</f>
        <v>2479999.9823999996</v>
      </c>
    </row>
    <row r="1137" spans="1:23" s="1002" customFormat="1" hidden="1">
      <c r="A1137" s="1000" t="s">
        <v>711</v>
      </c>
      <c r="B1137" s="1001" t="s">
        <v>715</v>
      </c>
      <c r="C1137" s="1066">
        <v>46244</v>
      </c>
      <c r="D1137" s="1066"/>
      <c r="E1137" s="1002" t="s">
        <v>710</v>
      </c>
      <c r="F1137" s="1077">
        <v>46244</v>
      </c>
      <c r="G1137" s="1054" t="s">
        <v>773</v>
      </c>
      <c r="H1137" s="1111" t="s">
        <v>771</v>
      </c>
      <c r="I1137" s="1002" t="s">
        <v>813</v>
      </c>
      <c r="J1137" s="1007" t="s">
        <v>42</v>
      </c>
      <c r="K1137" s="1002" t="s">
        <v>43</v>
      </c>
      <c r="L1137" s="1002" t="s">
        <v>113</v>
      </c>
      <c r="M1137" s="1086">
        <v>3</v>
      </c>
      <c r="N1137" s="1081">
        <v>527777.78</v>
      </c>
      <c r="O1137" s="1082">
        <f t="shared" si="195"/>
        <v>1583333.34</v>
      </c>
      <c r="P1137" s="1082">
        <f t="shared" si="196"/>
        <v>126666.66720000001</v>
      </c>
      <c r="Q1137" s="1206">
        <f>O1137+P1137</f>
        <v>1710000.0072000001</v>
      </c>
      <c r="R1137" s="1083"/>
      <c r="S1137" s="1083"/>
      <c r="T1137" s="1083"/>
      <c r="U1137" s="1083"/>
      <c r="V1137" s="1083">
        <f t="shared" si="199"/>
        <v>1710000.0072000001</v>
      </c>
    </row>
    <row r="1138" spans="1:23" s="1002" customFormat="1" hidden="1">
      <c r="A1138" s="1000" t="s">
        <v>711</v>
      </c>
      <c r="B1138" s="1001" t="s">
        <v>715</v>
      </c>
      <c r="C1138" s="1066">
        <v>46244</v>
      </c>
      <c r="D1138" s="1066"/>
      <c r="E1138" s="1002" t="s">
        <v>710</v>
      </c>
      <c r="F1138" s="1077">
        <v>46244</v>
      </c>
      <c r="G1138" s="1054" t="s">
        <v>773</v>
      </c>
      <c r="H1138" s="1111" t="s">
        <v>771</v>
      </c>
      <c r="I1138" s="1002" t="s">
        <v>813</v>
      </c>
      <c r="J1138" s="1007" t="s">
        <v>44</v>
      </c>
      <c r="K1138" s="1002" t="s">
        <v>45</v>
      </c>
      <c r="L1138" s="1002" t="s">
        <v>113</v>
      </c>
      <c r="M1138" s="1086">
        <v>4</v>
      </c>
      <c r="N1138" s="1081">
        <v>537037.04</v>
      </c>
      <c r="O1138" s="1082">
        <f t="shared" si="195"/>
        <v>2148148.16</v>
      </c>
      <c r="P1138" s="1082">
        <f t="shared" si="196"/>
        <v>171851.85280000002</v>
      </c>
      <c r="Q1138" s="1206">
        <f>O1138+P1138</f>
        <v>2320000.0128000001</v>
      </c>
      <c r="R1138" s="1083"/>
      <c r="S1138" s="1083"/>
      <c r="T1138" s="1083"/>
      <c r="U1138" s="1083"/>
      <c r="V1138" s="1083">
        <f t="shared" si="199"/>
        <v>2320000.0128000001</v>
      </c>
    </row>
    <row r="1139" spans="1:23" s="1002" customFormat="1" hidden="1">
      <c r="A1139" s="1000" t="s">
        <v>711</v>
      </c>
      <c r="B1139" s="1001" t="s">
        <v>715</v>
      </c>
      <c r="C1139" s="1066">
        <v>46244</v>
      </c>
      <c r="D1139" s="1066"/>
      <c r="E1139" s="1002" t="s">
        <v>710</v>
      </c>
      <c r="F1139" s="1077">
        <v>46244</v>
      </c>
      <c r="G1139" s="1054" t="s">
        <v>773</v>
      </c>
      <c r="H1139" s="1111" t="s">
        <v>771</v>
      </c>
      <c r="I1139" s="1002" t="s">
        <v>813</v>
      </c>
      <c r="J1139" s="1007" t="s">
        <v>148</v>
      </c>
      <c r="K1139" s="1002" t="s">
        <v>149</v>
      </c>
      <c r="L1139" s="1002" t="s">
        <v>113</v>
      </c>
      <c r="M1139" s="1086">
        <v>6</v>
      </c>
      <c r="N1139" s="1081">
        <v>296296.3</v>
      </c>
      <c r="O1139" s="1082">
        <f t="shared" si="195"/>
        <v>1777777.7999999998</v>
      </c>
      <c r="P1139" s="1082">
        <f t="shared" si="196"/>
        <v>142222.22399999999</v>
      </c>
      <c r="Q1139" s="1206">
        <f t="shared" si="197"/>
        <v>1920000.0239999997</v>
      </c>
      <c r="R1139" s="1083"/>
      <c r="S1139" s="1083"/>
      <c r="T1139" s="1083"/>
      <c r="U1139" s="1083"/>
      <c r="V1139" s="1083">
        <f t="shared" si="199"/>
        <v>1920000.0239999997</v>
      </c>
    </row>
    <row r="1140" spans="1:23" s="1002" customFormat="1" hidden="1">
      <c r="A1140" s="1000" t="s">
        <v>711</v>
      </c>
      <c r="B1140" s="1001" t="s">
        <v>715</v>
      </c>
      <c r="C1140" s="1066">
        <v>46244</v>
      </c>
      <c r="D1140" s="1066"/>
      <c r="E1140" s="1002" t="s">
        <v>710</v>
      </c>
      <c r="F1140" s="1077">
        <v>46244</v>
      </c>
      <c r="G1140" s="1054" t="s">
        <v>773</v>
      </c>
      <c r="H1140" s="1111" t="s">
        <v>771</v>
      </c>
      <c r="I1140" s="1002" t="s">
        <v>813</v>
      </c>
      <c r="J1140" s="1007" t="s">
        <v>192</v>
      </c>
      <c r="K1140" s="1002" t="s">
        <v>193</v>
      </c>
      <c r="L1140" s="1002" t="s">
        <v>113</v>
      </c>
      <c r="M1140" s="1086">
        <v>7</v>
      </c>
      <c r="N1140" s="1081">
        <v>333333.33</v>
      </c>
      <c r="O1140" s="1082">
        <f t="shared" si="195"/>
        <v>2333333.31</v>
      </c>
      <c r="P1140" s="1082">
        <f t="shared" si="196"/>
        <v>186666.6648</v>
      </c>
      <c r="Q1140" s="1206">
        <f>O1140+P1140</f>
        <v>2519999.9748</v>
      </c>
      <c r="R1140" s="1083"/>
      <c r="S1140" s="1083"/>
      <c r="T1140" s="1083"/>
      <c r="U1140" s="1083"/>
      <c r="V1140" s="1083">
        <f t="shared" si="199"/>
        <v>2519999.9748</v>
      </c>
    </row>
    <row r="1141" spans="1:23" s="1002" customFormat="1" hidden="1">
      <c r="A1141" s="1000" t="s">
        <v>711</v>
      </c>
      <c r="B1141" s="1001" t="s">
        <v>715</v>
      </c>
      <c r="C1141" s="1066">
        <v>46244</v>
      </c>
      <c r="D1141" s="1066"/>
      <c r="E1141" s="1002" t="s">
        <v>710</v>
      </c>
      <c r="F1141" s="1077">
        <v>46244</v>
      </c>
      <c r="G1141" s="1054" t="s">
        <v>773</v>
      </c>
      <c r="H1141" s="1111" t="s">
        <v>771</v>
      </c>
      <c r="I1141" s="1002" t="s">
        <v>813</v>
      </c>
      <c r="J1141" s="1007" t="s">
        <v>46</v>
      </c>
      <c r="K1141" s="1002" t="s">
        <v>47</v>
      </c>
      <c r="L1141" s="1002" t="s">
        <v>113</v>
      </c>
      <c r="M1141" s="1086">
        <v>4</v>
      </c>
      <c r="N1141" s="1081">
        <v>240740.74</v>
      </c>
      <c r="O1141" s="1082">
        <f t="shared" si="195"/>
        <v>962962.96</v>
      </c>
      <c r="P1141" s="1082">
        <f>O1141*8%</f>
        <v>77037.036800000002</v>
      </c>
      <c r="Q1141" s="1206">
        <f t="shared" si="197"/>
        <v>1039999.9968</v>
      </c>
      <c r="R1141" s="1083"/>
      <c r="S1141" s="1083"/>
      <c r="T1141" s="1083"/>
      <c r="U1141" s="1083"/>
      <c r="V1141" s="1083">
        <f t="shared" si="199"/>
        <v>1039999.9968</v>
      </c>
    </row>
    <row r="1142" spans="1:23" s="1002" customFormat="1" hidden="1">
      <c r="A1142" s="1000" t="s">
        <v>711</v>
      </c>
      <c r="B1142" s="1001" t="s">
        <v>715</v>
      </c>
      <c r="C1142" s="1066">
        <v>46244</v>
      </c>
      <c r="D1142" s="1066"/>
      <c r="E1142" s="1002" t="s">
        <v>710</v>
      </c>
      <c r="F1142" s="1077">
        <v>46244</v>
      </c>
      <c r="G1142" s="1054" t="s">
        <v>773</v>
      </c>
      <c r="H1142" s="1111" t="s">
        <v>771</v>
      </c>
      <c r="I1142" s="1002" t="s">
        <v>813</v>
      </c>
      <c r="J1142" s="1007" t="s">
        <v>58</v>
      </c>
      <c r="K1142" s="1002" t="s">
        <v>59</v>
      </c>
      <c r="L1142" s="1002" t="s">
        <v>113</v>
      </c>
      <c r="M1142" s="1086">
        <v>3</v>
      </c>
      <c r="N1142" s="1081">
        <v>1361111.11</v>
      </c>
      <c r="O1142" s="1082">
        <f t="shared" si="195"/>
        <v>4083333.33</v>
      </c>
      <c r="P1142" s="1082">
        <f>O1142*8%</f>
        <v>326666.66639999999</v>
      </c>
      <c r="Q1142" s="1206">
        <f>O1142+P1142</f>
        <v>4409999.9964000005</v>
      </c>
      <c r="R1142" s="1083"/>
      <c r="S1142" s="1083"/>
      <c r="T1142" s="1083"/>
      <c r="U1142" s="1083"/>
      <c r="V1142" s="1083">
        <f t="shared" si="199"/>
        <v>4409999.9964000005</v>
      </c>
    </row>
    <row r="1143" spans="1:23" s="1002" customFormat="1" hidden="1">
      <c r="A1143" s="1000" t="s">
        <v>712</v>
      </c>
      <c r="B1143" s="1001" t="s">
        <v>1502</v>
      </c>
      <c r="C1143" s="1076">
        <v>46244</v>
      </c>
      <c r="D1143" s="1076"/>
      <c r="E1143" s="1002" t="s">
        <v>713</v>
      </c>
      <c r="F1143" s="1077">
        <v>46246</v>
      </c>
      <c r="G1143" s="1002" t="s">
        <v>779</v>
      </c>
      <c r="H1143" s="1111" t="s">
        <v>780</v>
      </c>
      <c r="I1143" s="1002" t="s">
        <v>816</v>
      </c>
      <c r="J1143" s="1007" t="s">
        <v>226</v>
      </c>
      <c r="K1143" s="1002" t="s">
        <v>227</v>
      </c>
      <c r="L1143" s="1002" t="s">
        <v>113</v>
      </c>
      <c r="M1143" s="1086">
        <v>3</v>
      </c>
      <c r="N1143" s="1081">
        <v>833333.33</v>
      </c>
      <c r="O1143" s="1082">
        <f t="shared" si="195"/>
        <v>2499999.9899999998</v>
      </c>
      <c r="P1143" s="1082">
        <f t="shared" si="196"/>
        <v>199999.99919999999</v>
      </c>
      <c r="Q1143" s="1206">
        <f t="shared" si="197"/>
        <v>2699999.9891999997</v>
      </c>
      <c r="R1143" s="1083"/>
      <c r="S1143" s="1083"/>
      <c r="T1143" s="1083"/>
      <c r="U1143" s="1083"/>
      <c r="V1143" s="1083">
        <f t="shared" si="198"/>
        <v>2699999.9891999997</v>
      </c>
    </row>
    <row r="1144" spans="1:23" s="1002" customFormat="1" hidden="1">
      <c r="A1144" s="1000" t="s">
        <v>712</v>
      </c>
      <c r="B1144" s="1001" t="s">
        <v>1502</v>
      </c>
      <c r="C1144" s="1076">
        <v>46244</v>
      </c>
      <c r="D1144" s="1076"/>
      <c r="E1144" s="1002" t="s">
        <v>713</v>
      </c>
      <c r="F1144" s="1077">
        <v>46246</v>
      </c>
      <c r="G1144" s="1002" t="s">
        <v>779</v>
      </c>
      <c r="H1144" s="1111" t="s">
        <v>780</v>
      </c>
      <c r="I1144" s="1002" t="s">
        <v>816</v>
      </c>
      <c r="J1144" s="1007" t="s">
        <v>62</v>
      </c>
      <c r="K1144" s="1002" t="s">
        <v>63</v>
      </c>
      <c r="L1144" s="1002" t="s">
        <v>113</v>
      </c>
      <c r="M1144" s="1086">
        <v>3</v>
      </c>
      <c r="N1144" s="1081">
        <v>0</v>
      </c>
      <c r="O1144" s="1082">
        <f t="shared" si="195"/>
        <v>0</v>
      </c>
      <c r="P1144" s="1082">
        <f t="shared" si="196"/>
        <v>0</v>
      </c>
      <c r="Q1144" s="1206">
        <f t="shared" si="197"/>
        <v>0</v>
      </c>
      <c r="R1144" s="1083"/>
      <c r="S1144" s="1083"/>
      <c r="T1144" s="1083"/>
      <c r="U1144" s="1083"/>
      <c r="V1144" s="1083">
        <f t="shared" si="198"/>
        <v>0</v>
      </c>
    </row>
    <row r="1145" spans="1:23" s="1002" customFormat="1" hidden="1">
      <c r="A1145" s="1000" t="s">
        <v>718</v>
      </c>
      <c r="B1145" s="1001" t="s">
        <v>744</v>
      </c>
      <c r="C1145" s="1076">
        <v>46244</v>
      </c>
      <c r="D1145" s="1076"/>
      <c r="E1145" s="1002" t="s">
        <v>719</v>
      </c>
      <c r="F1145" s="1077">
        <v>46245</v>
      </c>
      <c r="G1145" s="1002" t="s">
        <v>774</v>
      </c>
      <c r="H1145" s="1111" t="s">
        <v>772</v>
      </c>
      <c r="I1145" s="1002" t="s">
        <v>819</v>
      </c>
      <c r="J1145" s="1007" t="s">
        <v>194</v>
      </c>
      <c r="K1145" s="1002" t="s">
        <v>720</v>
      </c>
      <c r="L1145" s="1002" t="s">
        <v>113</v>
      </c>
      <c r="M1145" s="1086">
        <v>1</v>
      </c>
      <c r="N1145" s="1081">
        <v>1203703.7</v>
      </c>
      <c r="O1145" s="1082">
        <f t="shared" si="195"/>
        <v>1203703.7</v>
      </c>
      <c r="P1145" s="1082">
        <f t="shared" si="196"/>
        <v>96296.296000000002</v>
      </c>
      <c r="Q1145" s="1206">
        <f t="shared" si="197"/>
        <v>1299999.996</v>
      </c>
      <c r="R1145" s="1083"/>
      <c r="S1145" s="1083"/>
      <c r="T1145" s="1083"/>
      <c r="U1145" s="1083"/>
      <c r="V1145" s="1083">
        <f t="shared" si="198"/>
        <v>1299999.996</v>
      </c>
      <c r="W1145" s="1218" t="s">
        <v>983</v>
      </c>
    </row>
    <row r="1146" spans="1:23" s="1002" customFormat="1" hidden="1">
      <c r="A1146" s="1000" t="s">
        <v>718</v>
      </c>
      <c r="B1146" s="1001" t="s">
        <v>744</v>
      </c>
      <c r="C1146" s="1076">
        <v>46244</v>
      </c>
      <c r="D1146" s="1076"/>
      <c r="E1146" s="1002" t="s">
        <v>719</v>
      </c>
      <c r="F1146" s="1077">
        <v>46245</v>
      </c>
      <c r="G1146" s="1002" t="s">
        <v>774</v>
      </c>
      <c r="H1146" s="1111" t="s">
        <v>772</v>
      </c>
      <c r="I1146" s="1002" t="s">
        <v>819</v>
      </c>
      <c r="J1146" s="1007" t="s">
        <v>58</v>
      </c>
      <c r="K1146" s="1002" t="s">
        <v>59</v>
      </c>
      <c r="L1146" s="1002" t="s">
        <v>113</v>
      </c>
      <c r="M1146" s="1086">
        <v>1</v>
      </c>
      <c r="N1146" s="1081">
        <v>1361111.11</v>
      </c>
      <c r="O1146" s="1082">
        <f t="shared" si="195"/>
        <v>1361111.11</v>
      </c>
      <c r="P1146" s="1082">
        <f t="shared" si="196"/>
        <v>108888.88880000002</v>
      </c>
      <c r="Q1146" s="1206">
        <f t="shared" si="197"/>
        <v>1469999.9988000002</v>
      </c>
      <c r="R1146" s="1083"/>
      <c r="S1146" s="1083"/>
      <c r="T1146" s="1083"/>
      <c r="U1146" s="1083"/>
      <c r="V1146" s="1083">
        <f t="shared" si="198"/>
        <v>1469999.9988000002</v>
      </c>
      <c r="W1146" s="1219"/>
    </row>
    <row r="1147" spans="1:23" s="1002" customFormat="1" hidden="1">
      <c r="A1147" s="1000" t="s">
        <v>718</v>
      </c>
      <c r="B1147" s="1001" t="s">
        <v>744</v>
      </c>
      <c r="C1147" s="1076">
        <v>46244</v>
      </c>
      <c r="D1147" s="1076"/>
      <c r="E1147" s="1002" t="s">
        <v>719</v>
      </c>
      <c r="F1147" s="1077">
        <v>46245</v>
      </c>
      <c r="G1147" s="1002" t="s">
        <v>774</v>
      </c>
      <c r="H1147" s="1111" t="s">
        <v>772</v>
      </c>
      <c r="I1147" s="1002" t="s">
        <v>819</v>
      </c>
      <c r="J1147" s="1007" t="s">
        <v>83</v>
      </c>
      <c r="K1147" s="1002" t="s">
        <v>84</v>
      </c>
      <c r="L1147" s="1002" t="s">
        <v>113</v>
      </c>
      <c r="M1147" s="1086">
        <v>3</v>
      </c>
      <c r="N1147" s="1081">
        <v>1097222.22</v>
      </c>
      <c r="O1147" s="1082">
        <f t="shared" si="195"/>
        <v>3291666.66</v>
      </c>
      <c r="P1147" s="1082">
        <f t="shared" si="196"/>
        <v>263333.33280000003</v>
      </c>
      <c r="Q1147" s="1206">
        <f t="shared" si="197"/>
        <v>3554999.9928000001</v>
      </c>
      <c r="R1147" s="1083"/>
      <c r="S1147" s="1083"/>
      <c r="T1147" s="1083"/>
      <c r="U1147" s="1083"/>
      <c r="V1147" s="1083">
        <f t="shared" si="198"/>
        <v>3554999.9928000001</v>
      </c>
      <c r="W1147" s="1219"/>
    </row>
    <row r="1148" spans="1:23" s="1002" customFormat="1" hidden="1">
      <c r="A1148" s="1000" t="s">
        <v>718</v>
      </c>
      <c r="B1148" s="1001" t="s">
        <v>744</v>
      </c>
      <c r="C1148" s="1076">
        <v>46244</v>
      </c>
      <c r="D1148" s="1076"/>
      <c r="E1148" s="1002" t="s">
        <v>719</v>
      </c>
      <c r="F1148" s="1077">
        <v>46245</v>
      </c>
      <c r="G1148" s="1002" t="s">
        <v>774</v>
      </c>
      <c r="H1148" s="1111" t="s">
        <v>772</v>
      </c>
      <c r="I1148" s="1002" t="s">
        <v>819</v>
      </c>
      <c r="J1148" s="1007" t="s">
        <v>56</v>
      </c>
      <c r="K1148" s="1002" t="s">
        <v>57</v>
      </c>
      <c r="L1148" s="1002" t="s">
        <v>113</v>
      </c>
      <c r="M1148" s="1086">
        <v>2</v>
      </c>
      <c r="N1148" s="1081">
        <v>325925.92</v>
      </c>
      <c r="O1148" s="1082">
        <f t="shared" si="195"/>
        <v>651851.84</v>
      </c>
      <c r="P1148" s="1082">
        <f t="shared" si="196"/>
        <v>52148.147199999999</v>
      </c>
      <c r="Q1148" s="1206">
        <f t="shared" si="197"/>
        <v>703999.98719999997</v>
      </c>
      <c r="R1148" s="1083"/>
      <c r="S1148" s="1083"/>
      <c r="T1148" s="1083"/>
      <c r="U1148" s="1083"/>
      <c r="V1148" s="1083">
        <f t="shared" si="198"/>
        <v>703999.98719999997</v>
      </c>
      <c r="W1148" s="1220"/>
    </row>
    <row r="1149" spans="1:23" s="1002" customFormat="1" hidden="1">
      <c r="A1149" s="1000" t="s">
        <v>1016</v>
      </c>
      <c r="B1149" s="1001" t="s">
        <v>1493</v>
      </c>
      <c r="C1149" s="1076">
        <v>46245</v>
      </c>
      <c r="D1149" s="1076"/>
      <c r="F1149" s="1077"/>
      <c r="H1149" s="1111"/>
      <c r="I1149" s="1002" t="s">
        <v>844</v>
      </c>
      <c r="J1149" s="1007"/>
      <c r="M1149" s="1086"/>
      <c r="N1149" s="1081"/>
      <c r="O1149" s="1082"/>
      <c r="P1149" s="1082"/>
      <c r="Q1149" s="1082"/>
      <c r="R1149" s="1083">
        <v>31748000</v>
      </c>
      <c r="S1149" s="1083"/>
      <c r="T1149" s="1083"/>
      <c r="U1149" s="1083"/>
      <c r="V1149" s="1083">
        <f t="shared" si="198"/>
        <v>-31748000</v>
      </c>
    </row>
    <row r="1150" spans="1:23" s="1002" customFormat="1" hidden="1">
      <c r="A1150" s="1000" t="s">
        <v>717</v>
      </c>
      <c r="B1150" s="1001" t="s">
        <v>743</v>
      </c>
      <c r="C1150" s="1076">
        <v>46245</v>
      </c>
      <c r="D1150" s="1076"/>
      <c r="E1150" s="1002" t="s">
        <v>721</v>
      </c>
      <c r="F1150" s="1077">
        <v>46246</v>
      </c>
      <c r="G1150" s="1002" t="s">
        <v>778</v>
      </c>
      <c r="H1150" s="1111" t="s">
        <v>777</v>
      </c>
      <c r="I1150" s="1002" t="s">
        <v>822</v>
      </c>
      <c r="J1150" s="1007" t="s">
        <v>204</v>
      </c>
      <c r="K1150" s="1002" t="s">
        <v>269</v>
      </c>
      <c r="L1150" s="1002" t="s">
        <v>277</v>
      </c>
      <c r="M1150" s="1086">
        <v>2</v>
      </c>
      <c r="N1150" s="1081">
        <v>480555.56</v>
      </c>
      <c r="O1150" s="1082">
        <f t="shared" si="195"/>
        <v>961111.12</v>
      </c>
      <c r="P1150" s="1082">
        <f t="shared" si="196"/>
        <v>76888.889599999995</v>
      </c>
      <c r="Q1150" s="1206">
        <f t="shared" si="197"/>
        <v>1038000.0096</v>
      </c>
      <c r="R1150" s="1083"/>
      <c r="S1150" s="1083"/>
      <c r="T1150" s="1083"/>
      <c r="U1150" s="1083"/>
      <c r="V1150" s="1083">
        <f t="shared" si="198"/>
        <v>1038000.0096</v>
      </c>
    </row>
    <row r="1151" spans="1:23" s="1002" customFormat="1" hidden="1">
      <c r="A1151" s="1000" t="s">
        <v>717</v>
      </c>
      <c r="B1151" s="1001" t="s">
        <v>743</v>
      </c>
      <c r="C1151" s="1076">
        <v>46245</v>
      </c>
      <c r="D1151" s="1076"/>
      <c r="E1151" s="1002" t="s">
        <v>721</v>
      </c>
      <c r="F1151" s="1077">
        <v>46246</v>
      </c>
      <c r="G1151" s="1002" t="s">
        <v>778</v>
      </c>
      <c r="H1151" s="1111" t="s">
        <v>777</v>
      </c>
      <c r="I1151" s="1002" t="s">
        <v>822</v>
      </c>
      <c r="J1151" s="1007" t="s">
        <v>208</v>
      </c>
      <c r="K1151" s="1002" t="s">
        <v>209</v>
      </c>
      <c r="L1151" s="1002" t="s">
        <v>277</v>
      </c>
      <c r="M1151" s="1086">
        <v>2</v>
      </c>
      <c r="N1151" s="1081">
        <v>647222.22</v>
      </c>
      <c r="O1151" s="1082">
        <f t="shared" si="195"/>
        <v>1294444.44</v>
      </c>
      <c r="P1151" s="1082">
        <f t="shared" si="196"/>
        <v>103555.5552</v>
      </c>
      <c r="Q1151" s="1206">
        <f t="shared" si="197"/>
        <v>1397999.9952</v>
      </c>
      <c r="R1151" s="1083"/>
      <c r="S1151" s="1083"/>
      <c r="T1151" s="1083"/>
      <c r="U1151" s="1083"/>
      <c r="V1151" s="1083">
        <f t="shared" si="198"/>
        <v>1397999.9952</v>
      </c>
    </row>
    <row r="1152" spans="1:23" s="1002" customFormat="1" hidden="1">
      <c r="A1152" s="1000" t="s">
        <v>717</v>
      </c>
      <c r="B1152" s="1001" t="s">
        <v>743</v>
      </c>
      <c r="C1152" s="1076">
        <v>46245</v>
      </c>
      <c r="D1152" s="1076"/>
      <c r="E1152" s="1002" t="s">
        <v>721</v>
      </c>
      <c r="F1152" s="1077">
        <v>46246</v>
      </c>
      <c r="G1152" s="1002" t="s">
        <v>778</v>
      </c>
      <c r="H1152" s="1111" t="s">
        <v>777</v>
      </c>
      <c r="I1152" s="1002" t="s">
        <v>822</v>
      </c>
      <c r="J1152" s="1007" t="s">
        <v>77</v>
      </c>
      <c r="K1152" s="1002" t="s">
        <v>78</v>
      </c>
      <c r="L1152" s="1002" t="s">
        <v>277</v>
      </c>
      <c r="M1152" s="1086">
        <v>12</v>
      </c>
      <c r="N1152" s="1081">
        <v>324074.07</v>
      </c>
      <c r="O1152" s="1082">
        <f t="shared" si="195"/>
        <v>3888888.84</v>
      </c>
      <c r="P1152" s="1082">
        <f t="shared" si="196"/>
        <v>311111.10719999997</v>
      </c>
      <c r="Q1152" s="1206">
        <f t="shared" si="197"/>
        <v>4199999.9472000003</v>
      </c>
      <c r="R1152" s="1083"/>
      <c r="S1152" s="1083"/>
      <c r="T1152" s="1083"/>
      <c r="U1152" s="1083"/>
      <c r="V1152" s="1083">
        <f t="shared" si="198"/>
        <v>4199999.9472000003</v>
      </c>
    </row>
    <row r="1153" spans="1:22" s="1002" customFormat="1" hidden="1">
      <c r="A1153" s="1000" t="s">
        <v>717</v>
      </c>
      <c r="B1153" s="1001" t="s">
        <v>743</v>
      </c>
      <c r="C1153" s="1076">
        <v>46245</v>
      </c>
      <c r="D1153" s="1076"/>
      <c r="E1153" s="1002" t="s">
        <v>721</v>
      </c>
      <c r="F1153" s="1077">
        <v>46246</v>
      </c>
      <c r="G1153" s="1002" t="s">
        <v>778</v>
      </c>
      <c r="H1153" s="1111" t="s">
        <v>777</v>
      </c>
      <c r="I1153" s="1002" t="s">
        <v>822</v>
      </c>
      <c r="J1153" s="1007" t="s">
        <v>206</v>
      </c>
      <c r="K1153" s="1002" t="s">
        <v>369</v>
      </c>
      <c r="L1153" s="1002" t="s">
        <v>277</v>
      </c>
      <c r="M1153" s="1086">
        <v>2</v>
      </c>
      <c r="N1153" s="1081">
        <v>483333.33</v>
      </c>
      <c r="O1153" s="1082">
        <f t="shared" si="195"/>
        <v>966666.66</v>
      </c>
      <c r="P1153" s="1082">
        <f t="shared" si="196"/>
        <v>77333.332800000004</v>
      </c>
      <c r="Q1153" s="1206">
        <f t="shared" si="197"/>
        <v>1043999.9928</v>
      </c>
      <c r="R1153" s="1083"/>
      <c r="S1153" s="1083"/>
      <c r="T1153" s="1083"/>
      <c r="U1153" s="1083"/>
      <c r="V1153" s="1083">
        <f t="shared" si="198"/>
        <v>1043999.9928</v>
      </c>
    </row>
    <row r="1154" spans="1:22" s="1002" customFormat="1" hidden="1">
      <c r="A1154" s="1000" t="s">
        <v>717</v>
      </c>
      <c r="B1154" s="1001" t="s">
        <v>743</v>
      </c>
      <c r="C1154" s="1076">
        <v>46245</v>
      </c>
      <c r="D1154" s="1076"/>
      <c r="E1154" s="1002" t="s">
        <v>721</v>
      </c>
      <c r="F1154" s="1077">
        <v>46246</v>
      </c>
      <c r="G1154" s="1002" t="s">
        <v>778</v>
      </c>
      <c r="H1154" s="1111" t="s">
        <v>777</v>
      </c>
      <c r="I1154" s="1002" t="s">
        <v>822</v>
      </c>
      <c r="J1154" s="1007" t="s">
        <v>80</v>
      </c>
      <c r="K1154" s="1002" t="s">
        <v>81</v>
      </c>
      <c r="L1154" s="1002" t="s">
        <v>18</v>
      </c>
      <c r="M1154" s="1086">
        <v>4</v>
      </c>
      <c r="N1154" s="1081">
        <v>824074.07</v>
      </c>
      <c r="O1154" s="1082">
        <f t="shared" si="195"/>
        <v>3296296.28</v>
      </c>
      <c r="P1154" s="1082">
        <f t="shared" si="196"/>
        <v>263703.70240000001</v>
      </c>
      <c r="Q1154" s="1206">
        <f t="shared" si="197"/>
        <v>3559999.9823999996</v>
      </c>
      <c r="R1154" s="1083"/>
      <c r="S1154" s="1083"/>
      <c r="T1154" s="1083"/>
      <c r="U1154" s="1083"/>
      <c r="V1154" s="1083">
        <f t="shared" si="198"/>
        <v>3559999.9823999996</v>
      </c>
    </row>
    <row r="1155" spans="1:22" s="1002" customFormat="1" hidden="1">
      <c r="A1155" s="1000" t="s">
        <v>717</v>
      </c>
      <c r="B1155" s="1001" t="s">
        <v>743</v>
      </c>
      <c r="C1155" s="1076">
        <v>46245</v>
      </c>
      <c r="D1155" s="1076"/>
      <c r="E1155" s="1002" t="s">
        <v>721</v>
      </c>
      <c r="F1155" s="1077">
        <v>46246</v>
      </c>
      <c r="G1155" s="1002" t="s">
        <v>778</v>
      </c>
      <c r="H1155" s="1111" t="s">
        <v>777</v>
      </c>
      <c r="I1155" s="1002" t="s">
        <v>822</v>
      </c>
      <c r="J1155" s="1007" t="s">
        <v>355</v>
      </c>
      <c r="K1155" s="1002" t="s">
        <v>356</v>
      </c>
      <c r="L1155" s="1002" t="s">
        <v>277</v>
      </c>
      <c r="M1155" s="1086">
        <v>4</v>
      </c>
      <c r="N1155" s="1081">
        <v>1043518.52</v>
      </c>
      <c r="O1155" s="1082">
        <f t="shared" si="195"/>
        <v>4174074.08</v>
      </c>
      <c r="P1155" s="1082">
        <f t="shared" si="196"/>
        <v>333925.9264</v>
      </c>
      <c r="Q1155" s="1206">
        <f t="shared" si="197"/>
        <v>4508000.0064000003</v>
      </c>
      <c r="R1155" s="1083"/>
      <c r="S1155" s="1083"/>
      <c r="T1155" s="1083"/>
      <c r="U1155" s="1083"/>
      <c r="V1155" s="1083">
        <f t="shared" si="198"/>
        <v>4508000.0064000003</v>
      </c>
    </row>
    <row r="1156" spans="1:22" s="1002" customFormat="1" hidden="1">
      <c r="A1156" s="1000" t="s">
        <v>717</v>
      </c>
      <c r="B1156" s="1001" t="s">
        <v>743</v>
      </c>
      <c r="C1156" s="1076">
        <v>46245</v>
      </c>
      <c r="D1156" s="1076"/>
      <c r="E1156" s="1002" t="s">
        <v>721</v>
      </c>
      <c r="F1156" s="1077">
        <v>46246</v>
      </c>
      <c r="G1156" s="1002" t="s">
        <v>778</v>
      </c>
      <c r="H1156" s="1111" t="s">
        <v>777</v>
      </c>
      <c r="I1156" s="1002" t="s">
        <v>822</v>
      </c>
      <c r="J1156" s="1007" t="s">
        <v>262</v>
      </c>
      <c r="K1156" s="1002" t="s">
        <v>263</v>
      </c>
      <c r="L1156" s="1002" t="s">
        <v>277</v>
      </c>
      <c r="M1156" s="1086">
        <v>4</v>
      </c>
      <c r="N1156" s="1081">
        <v>851851.85</v>
      </c>
      <c r="O1156" s="1082">
        <f t="shared" si="195"/>
        <v>3407407.4</v>
      </c>
      <c r="P1156" s="1082">
        <f t="shared" si="196"/>
        <v>272592.592</v>
      </c>
      <c r="Q1156" s="1206">
        <f t="shared" si="197"/>
        <v>3679999.9920000001</v>
      </c>
      <c r="R1156" s="1083"/>
      <c r="S1156" s="1083"/>
      <c r="T1156" s="1083"/>
      <c r="U1156" s="1083"/>
      <c r="V1156" s="1083">
        <f t="shared" si="198"/>
        <v>3679999.9920000001</v>
      </c>
    </row>
    <row r="1157" spans="1:22" s="1002" customFormat="1" hidden="1">
      <c r="A1157" s="1000" t="s">
        <v>717</v>
      </c>
      <c r="B1157" s="1001" t="s">
        <v>743</v>
      </c>
      <c r="C1157" s="1076">
        <v>46245</v>
      </c>
      <c r="D1157" s="1076"/>
      <c r="E1157" s="1002" t="s">
        <v>721</v>
      </c>
      <c r="F1157" s="1077">
        <v>46246</v>
      </c>
      <c r="G1157" s="1002" t="s">
        <v>778</v>
      </c>
      <c r="H1157" s="1111" t="s">
        <v>777</v>
      </c>
      <c r="I1157" s="1002" t="s">
        <v>822</v>
      </c>
      <c r="J1157" s="1007" t="s">
        <v>180</v>
      </c>
      <c r="K1157" s="1002" t="s">
        <v>181</v>
      </c>
      <c r="L1157" s="1002" t="s">
        <v>18</v>
      </c>
      <c r="M1157" s="1086">
        <v>20</v>
      </c>
      <c r="N1157" s="1081">
        <v>234259.26</v>
      </c>
      <c r="O1157" s="1082">
        <f t="shared" si="195"/>
        <v>4685185.2</v>
      </c>
      <c r="P1157" s="1082">
        <f t="shared" si="196"/>
        <v>374814.81600000005</v>
      </c>
      <c r="Q1157" s="1206">
        <f t="shared" si="197"/>
        <v>5060000.0159999998</v>
      </c>
      <c r="R1157" s="1083"/>
      <c r="S1157" s="1083"/>
      <c r="T1157" s="1083"/>
      <c r="U1157" s="1083"/>
      <c r="V1157" s="1083">
        <f t="shared" si="198"/>
        <v>5060000.0159999998</v>
      </c>
    </row>
    <row r="1158" spans="1:22" s="1002" customFormat="1" hidden="1">
      <c r="A1158" s="1000" t="s">
        <v>717</v>
      </c>
      <c r="B1158" s="1001" t="s">
        <v>743</v>
      </c>
      <c r="C1158" s="1076">
        <v>46245</v>
      </c>
      <c r="D1158" s="1076"/>
      <c r="E1158" s="1002" t="s">
        <v>721</v>
      </c>
      <c r="F1158" s="1077">
        <v>46246</v>
      </c>
      <c r="G1158" s="1002" t="s">
        <v>778</v>
      </c>
      <c r="H1158" s="1111" t="s">
        <v>777</v>
      </c>
      <c r="I1158" s="1002" t="s">
        <v>822</v>
      </c>
      <c r="J1158" s="1007" t="s">
        <v>26</v>
      </c>
      <c r="K1158" s="1002" t="s">
        <v>27</v>
      </c>
      <c r="L1158" s="1002" t="s">
        <v>18</v>
      </c>
      <c r="M1158" s="1086">
        <v>30</v>
      </c>
      <c r="N1158" s="1081">
        <v>256481.48</v>
      </c>
      <c r="O1158" s="1082">
        <f t="shared" si="195"/>
        <v>7694444.4000000004</v>
      </c>
      <c r="P1158" s="1082">
        <f t="shared" si="196"/>
        <v>615555.55200000003</v>
      </c>
      <c r="Q1158" s="1206">
        <f t="shared" si="197"/>
        <v>8309999.9520000005</v>
      </c>
      <c r="R1158" s="1083"/>
      <c r="S1158" s="1083"/>
      <c r="T1158" s="1083"/>
      <c r="U1158" s="1083"/>
      <c r="V1158" s="1083">
        <f t="shared" si="198"/>
        <v>8309999.9520000005</v>
      </c>
    </row>
    <row r="1159" spans="1:22" s="1002" customFormat="1" hidden="1">
      <c r="A1159" s="1000" t="s">
        <v>717</v>
      </c>
      <c r="B1159" s="1001" t="s">
        <v>743</v>
      </c>
      <c r="C1159" s="1076">
        <v>46245</v>
      </c>
      <c r="D1159" s="1076"/>
      <c r="E1159" s="1002" t="s">
        <v>721</v>
      </c>
      <c r="F1159" s="1077">
        <v>46246</v>
      </c>
      <c r="G1159" s="1002" t="s">
        <v>778</v>
      </c>
      <c r="H1159" s="1111" t="s">
        <v>777</v>
      </c>
      <c r="I1159" s="1002" t="s">
        <v>822</v>
      </c>
      <c r="J1159" s="1007" t="s">
        <v>28</v>
      </c>
      <c r="K1159" s="1002" t="s">
        <v>29</v>
      </c>
      <c r="L1159" s="1002" t="s">
        <v>18</v>
      </c>
      <c r="M1159" s="1086">
        <v>30</v>
      </c>
      <c r="N1159" s="1081">
        <v>281481.48</v>
      </c>
      <c r="O1159" s="1082">
        <f t="shared" si="195"/>
        <v>8444444.3999999985</v>
      </c>
      <c r="P1159" s="1082">
        <f t="shared" si="196"/>
        <v>675555.55199999991</v>
      </c>
      <c r="Q1159" s="1206">
        <f t="shared" si="197"/>
        <v>9119999.9519999977</v>
      </c>
      <c r="R1159" s="1083"/>
      <c r="S1159" s="1083"/>
      <c r="T1159" s="1083"/>
      <c r="U1159" s="1083"/>
      <c r="V1159" s="1083">
        <f t="shared" si="198"/>
        <v>9119999.9519999977</v>
      </c>
    </row>
    <row r="1160" spans="1:22" s="1002" customFormat="1" hidden="1">
      <c r="A1160" s="1000" t="s">
        <v>717</v>
      </c>
      <c r="B1160" s="1001" t="s">
        <v>743</v>
      </c>
      <c r="C1160" s="1076">
        <v>46245</v>
      </c>
      <c r="D1160" s="1076"/>
      <c r="E1160" s="1002" t="s">
        <v>721</v>
      </c>
      <c r="F1160" s="1077">
        <v>46246</v>
      </c>
      <c r="G1160" s="1002" t="s">
        <v>778</v>
      </c>
      <c r="H1160" s="1111" t="s">
        <v>777</v>
      </c>
      <c r="I1160" s="1002" t="s">
        <v>822</v>
      </c>
      <c r="J1160" s="1007" t="s">
        <v>243</v>
      </c>
      <c r="K1160" s="1002" t="s">
        <v>249</v>
      </c>
      <c r="L1160" s="1002" t="s">
        <v>18</v>
      </c>
      <c r="M1160" s="1086">
        <v>30</v>
      </c>
      <c r="N1160" s="1081">
        <v>298148.15000000002</v>
      </c>
      <c r="O1160" s="1082">
        <f t="shared" si="195"/>
        <v>8944444.5</v>
      </c>
      <c r="P1160" s="1082">
        <f t="shared" si="196"/>
        <v>715555.56</v>
      </c>
      <c r="Q1160" s="1206">
        <f t="shared" si="197"/>
        <v>9660000.0600000005</v>
      </c>
      <c r="R1160" s="1083"/>
      <c r="S1160" s="1083"/>
      <c r="T1160" s="1083"/>
      <c r="U1160" s="1083"/>
      <c r="V1160" s="1083">
        <f t="shared" si="198"/>
        <v>9660000.0600000005</v>
      </c>
    </row>
    <row r="1161" spans="1:22" s="1002" customFormat="1" hidden="1">
      <c r="A1161" s="1000" t="s">
        <v>717</v>
      </c>
      <c r="B1161" s="1001" t="s">
        <v>743</v>
      </c>
      <c r="C1161" s="1076">
        <v>46245</v>
      </c>
      <c r="D1161" s="1076"/>
      <c r="E1161" s="1002" t="s">
        <v>721</v>
      </c>
      <c r="F1161" s="1077">
        <v>46246</v>
      </c>
      <c r="G1161" s="1002" t="s">
        <v>778</v>
      </c>
      <c r="H1161" s="1111" t="s">
        <v>777</v>
      </c>
      <c r="I1161" s="1002" t="s">
        <v>822</v>
      </c>
      <c r="J1161" s="1007" t="s">
        <v>184</v>
      </c>
      <c r="K1161" s="1002" t="s">
        <v>272</v>
      </c>
      <c r="L1161" s="1002" t="s">
        <v>18</v>
      </c>
      <c r="M1161" s="1086">
        <v>10</v>
      </c>
      <c r="N1161" s="1081">
        <v>240740.74</v>
      </c>
      <c r="O1161" s="1082">
        <f t="shared" si="195"/>
        <v>2407407.4</v>
      </c>
      <c r="P1161" s="1082">
        <f t="shared" si="196"/>
        <v>192592.592</v>
      </c>
      <c r="Q1161" s="1206">
        <f t="shared" si="197"/>
        <v>2599999.9920000001</v>
      </c>
      <c r="R1161" s="1083"/>
      <c r="S1161" s="1083"/>
      <c r="T1161" s="1083"/>
      <c r="U1161" s="1083"/>
      <c r="V1161" s="1083">
        <f t="shared" si="198"/>
        <v>2599999.9920000001</v>
      </c>
    </row>
    <row r="1162" spans="1:22" s="1002" customFormat="1" hidden="1">
      <c r="A1162" s="1000" t="s">
        <v>717</v>
      </c>
      <c r="B1162" s="1001" t="s">
        <v>743</v>
      </c>
      <c r="C1162" s="1076">
        <v>46245</v>
      </c>
      <c r="D1162" s="1076"/>
      <c r="E1162" s="1002" t="s">
        <v>721</v>
      </c>
      <c r="F1162" s="1077">
        <v>46246</v>
      </c>
      <c r="G1162" s="1002" t="s">
        <v>778</v>
      </c>
      <c r="H1162" s="1111" t="s">
        <v>777</v>
      </c>
      <c r="I1162" s="1002" t="s">
        <v>822</v>
      </c>
      <c r="J1162" s="1007" t="s">
        <v>30</v>
      </c>
      <c r="K1162" s="1002" t="s">
        <v>31</v>
      </c>
      <c r="L1162" s="1002" t="s">
        <v>18</v>
      </c>
      <c r="M1162" s="1086">
        <v>10</v>
      </c>
      <c r="N1162" s="1081">
        <v>259259.26</v>
      </c>
      <c r="O1162" s="1082">
        <f t="shared" si="195"/>
        <v>2592592.6</v>
      </c>
      <c r="P1162" s="1082">
        <f t="shared" si="196"/>
        <v>207407.40800000002</v>
      </c>
      <c r="Q1162" s="1206">
        <f t="shared" si="197"/>
        <v>2800000.0079999999</v>
      </c>
      <c r="R1162" s="1083"/>
      <c r="S1162" s="1083"/>
      <c r="T1162" s="1083"/>
      <c r="U1162" s="1083"/>
      <c r="V1162" s="1083">
        <f t="shared" si="198"/>
        <v>2800000.0079999999</v>
      </c>
    </row>
    <row r="1163" spans="1:22" s="1002" customFormat="1" hidden="1">
      <c r="A1163" s="1000" t="s">
        <v>717</v>
      </c>
      <c r="B1163" s="1001" t="s">
        <v>743</v>
      </c>
      <c r="C1163" s="1076">
        <v>46245</v>
      </c>
      <c r="D1163" s="1076"/>
      <c r="E1163" s="1002" t="s">
        <v>721</v>
      </c>
      <c r="F1163" s="1077">
        <v>46246</v>
      </c>
      <c r="G1163" s="1002" t="s">
        <v>778</v>
      </c>
      <c r="H1163" s="1111" t="s">
        <v>777</v>
      </c>
      <c r="I1163" s="1002" t="s">
        <v>822</v>
      </c>
      <c r="J1163" s="1007" t="s">
        <v>301</v>
      </c>
      <c r="K1163" s="1002" t="s">
        <v>361</v>
      </c>
      <c r="L1163" s="1002" t="s">
        <v>18</v>
      </c>
      <c r="M1163" s="1086">
        <v>10</v>
      </c>
      <c r="N1163" s="1081">
        <v>277777.78000000003</v>
      </c>
      <c r="O1163" s="1082">
        <f t="shared" si="195"/>
        <v>2777777.8000000003</v>
      </c>
      <c r="P1163" s="1082">
        <f t="shared" si="196"/>
        <v>222222.22400000002</v>
      </c>
      <c r="Q1163" s="1206">
        <f t="shared" si="197"/>
        <v>3000000.0240000002</v>
      </c>
      <c r="R1163" s="1083"/>
      <c r="S1163" s="1083"/>
      <c r="T1163" s="1083"/>
      <c r="U1163" s="1083"/>
      <c r="V1163" s="1083">
        <f t="shared" si="198"/>
        <v>3000000.0240000002</v>
      </c>
    </row>
    <row r="1164" spans="1:22" s="1002" customFormat="1" hidden="1">
      <c r="A1164" s="1000" t="s">
        <v>717</v>
      </c>
      <c r="B1164" s="1001" t="s">
        <v>743</v>
      </c>
      <c r="C1164" s="1076">
        <v>46245</v>
      </c>
      <c r="D1164" s="1076"/>
      <c r="E1164" s="1002" t="s">
        <v>721</v>
      </c>
      <c r="F1164" s="1077">
        <v>46246</v>
      </c>
      <c r="G1164" s="1002" t="s">
        <v>778</v>
      </c>
      <c r="H1164" s="1111" t="s">
        <v>777</v>
      </c>
      <c r="I1164" s="1002" t="s">
        <v>822</v>
      </c>
      <c r="J1164" s="1007" t="s">
        <v>32</v>
      </c>
      <c r="K1164" s="1002" t="s">
        <v>33</v>
      </c>
      <c r="L1164" s="1002" t="s">
        <v>18</v>
      </c>
      <c r="M1164" s="1086">
        <v>10</v>
      </c>
      <c r="N1164" s="1081">
        <v>226851.85</v>
      </c>
      <c r="O1164" s="1082">
        <f t="shared" si="195"/>
        <v>2268518.5</v>
      </c>
      <c r="P1164" s="1082">
        <f t="shared" si="196"/>
        <v>181481.48</v>
      </c>
      <c r="Q1164" s="1206">
        <f t="shared" si="197"/>
        <v>2449999.98</v>
      </c>
      <c r="R1164" s="1083"/>
      <c r="S1164" s="1083"/>
      <c r="T1164" s="1083"/>
      <c r="U1164" s="1083"/>
      <c r="V1164" s="1083">
        <f t="shared" si="198"/>
        <v>2449999.98</v>
      </c>
    </row>
    <row r="1165" spans="1:22" s="1002" customFormat="1" hidden="1">
      <c r="A1165" s="1000" t="s">
        <v>717</v>
      </c>
      <c r="B1165" s="1001" t="s">
        <v>743</v>
      </c>
      <c r="C1165" s="1076">
        <v>46245</v>
      </c>
      <c r="D1165" s="1076"/>
      <c r="E1165" s="1002" t="s">
        <v>721</v>
      </c>
      <c r="F1165" s="1077">
        <v>46246</v>
      </c>
      <c r="G1165" s="1002" t="s">
        <v>778</v>
      </c>
      <c r="H1165" s="1111" t="s">
        <v>777</v>
      </c>
      <c r="I1165" s="1002" t="s">
        <v>822</v>
      </c>
      <c r="J1165" s="1007" t="s">
        <v>36</v>
      </c>
      <c r="K1165" s="1002" t="s">
        <v>37</v>
      </c>
      <c r="L1165" s="1002" t="s">
        <v>18</v>
      </c>
      <c r="M1165" s="1086">
        <v>10</v>
      </c>
      <c r="N1165" s="1081">
        <v>259259.26</v>
      </c>
      <c r="O1165" s="1082">
        <f t="shared" si="195"/>
        <v>2592592.6</v>
      </c>
      <c r="P1165" s="1082">
        <f t="shared" si="196"/>
        <v>207407.40800000002</v>
      </c>
      <c r="Q1165" s="1206">
        <f t="shared" si="197"/>
        <v>2800000.0079999999</v>
      </c>
      <c r="R1165" s="1083"/>
      <c r="S1165" s="1083"/>
      <c r="T1165" s="1083"/>
      <c r="U1165" s="1083"/>
      <c r="V1165" s="1083">
        <f t="shared" si="198"/>
        <v>2800000.0079999999</v>
      </c>
    </row>
    <row r="1166" spans="1:22" s="1002" customFormat="1" hidden="1">
      <c r="A1166" s="1000" t="s">
        <v>717</v>
      </c>
      <c r="B1166" s="1001" t="s">
        <v>743</v>
      </c>
      <c r="C1166" s="1076">
        <v>46245</v>
      </c>
      <c r="D1166" s="1076"/>
      <c r="E1166" s="1002" t="s">
        <v>721</v>
      </c>
      <c r="F1166" s="1077">
        <v>46246</v>
      </c>
      <c r="G1166" s="1002" t="s">
        <v>778</v>
      </c>
      <c r="H1166" s="1111" t="s">
        <v>777</v>
      </c>
      <c r="I1166" s="1002" t="s">
        <v>822</v>
      </c>
      <c r="J1166" s="1007" t="s">
        <v>38</v>
      </c>
      <c r="K1166" s="1002" t="s">
        <v>39</v>
      </c>
      <c r="L1166" s="1002" t="s">
        <v>18</v>
      </c>
      <c r="M1166" s="1086">
        <v>10</v>
      </c>
      <c r="N1166" s="1081">
        <v>277777.78000000003</v>
      </c>
      <c r="O1166" s="1082">
        <f t="shared" si="195"/>
        <v>2777777.8000000003</v>
      </c>
      <c r="P1166" s="1082">
        <f t="shared" si="196"/>
        <v>222222.22400000002</v>
      </c>
      <c r="Q1166" s="1206">
        <f t="shared" si="197"/>
        <v>3000000.0240000002</v>
      </c>
      <c r="R1166" s="1083"/>
      <c r="S1166" s="1083"/>
      <c r="T1166" s="1083"/>
      <c r="U1166" s="1083"/>
      <c r="V1166" s="1083">
        <f t="shared" si="198"/>
        <v>3000000.0240000002</v>
      </c>
    </row>
    <row r="1167" spans="1:22" s="1002" customFormat="1" hidden="1">
      <c r="A1167" s="1000" t="s">
        <v>717</v>
      </c>
      <c r="B1167" s="1001" t="s">
        <v>743</v>
      </c>
      <c r="C1167" s="1076">
        <v>46245</v>
      </c>
      <c r="D1167" s="1076"/>
      <c r="E1167" s="1002" t="s">
        <v>721</v>
      </c>
      <c r="F1167" s="1077">
        <v>46246</v>
      </c>
      <c r="G1167" s="1002" t="s">
        <v>778</v>
      </c>
      <c r="H1167" s="1111" t="s">
        <v>777</v>
      </c>
      <c r="I1167" s="1002" t="s">
        <v>822</v>
      </c>
      <c r="J1167" s="1007" t="s">
        <v>722</v>
      </c>
      <c r="K1167" s="1002" t="s">
        <v>723</v>
      </c>
      <c r="L1167" s="1002" t="s">
        <v>18</v>
      </c>
      <c r="M1167" s="1086">
        <v>10</v>
      </c>
      <c r="N1167" s="1081">
        <v>227777.78</v>
      </c>
      <c r="O1167" s="1082">
        <f t="shared" si="195"/>
        <v>2277777.7999999998</v>
      </c>
      <c r="P1167" s="1082">
        <f t="shared" si="196"/>
        <v>182222.22399999999</v>
      </c>
      <c r="Q1167" s="1206">
        <f t="shared" si="197"/>
        <v>2460000.0239999997</v>
      </c>
      <c r="R1167" s="1083"/>
      <c r="S1167" s="1083"/>
      <c r="T1167" s="1083"/>
      <c r="U1167" s="1083"/>
      <c r="V1167" s="1083">
        <f t="shared" si="198"/>
        <v>2460000.0239999997</v>
      </c>
    </row>
    <row r="1168" spans="1:22" s="1002" customFormat="1" hidden="1">
      <c r="A1168" s="1000" t="s">
        <v>717</v>
      </c>
      <c r="B1168" s="1001" t="s">
        <v>743</v>
      </c>
      <c r="C1168" s="1076">
        <v>46245</v>
      </c>
      <c r="D1168" s="1076"/>
      <c r="E1168" s="1002" t="s">
        <v>721</v>
      </c>
      <c r="F1168" s="1077">
        <v>46246</v>
      </c>
      <c r="G1168" s="1002" t="s">
        <v>778</v>
      </c>
      <c r="H1168" s="1111" t="s">
        <v>777</v>
      </c>
      <c r="I1168" s="1002" t="s">
        <v>822</v>
      </c>
      <c r="J1168" s="1007" t="s">
        <v>724</v>
      </c>
      <c r="K1168" s="1002" t="s">
        <v>725</v>
      </c>
      <c r="L1168" s="1002" t="s">
        <v>18</v>
      </c>
      <c r="M1168" s="1086">
        <v>10</v>
      </c>
      <c r="N1168" s="1081">
        <v>240740.74</v>
      </c>
      <c r="O1168" s="1082">
        <f t="shared" ref="O1168:O1217" si="200">M1168*N1168</f>
        <v>2407407.4</v>
      </c>
      <c r="P1168" s="1082">
        <f t="shared" ref="P1168:P1217" si="201">O1168*8%</f>
        <v>192592.592</v>
      </c>
      <c r="Q1168" s="1206">
        <f t="shared" ref="Q1168:Q1217" si="202">O1168+P1168</f>
        <v>2599999.9920000001</v>
      </c>
      <c r="R1168" s="1083"/>
      <c r="S1168" s="1083"/>
      <c r="T1168" s="1083"/>
      <c r="U1168" s="1083"/>
      <c r="V1168" s="1083">
        <f t="shared" si="198"/>
        <v>2599999.9920000001</v>
      </c>
    </row>
    <row r="1169" spans="1:22" s="1002" customFormat="1" hidden="1">
      <c r="A1169" s="1000" t="s">
        <v>717</v>
      </c>
      <c r="B1169" s="1001" t="s">
        <v>743</v>
      </c>
      <c r="C1169" s="1076">
        <v>46245</v>
      </c>
      <c r="D1169" s="1076"/>
      <c r="E1169" s="1002" t="s">
        <v>721</v>
      </c>
      <c r="F1169" s="1077">
        <v>46246</v>
      </c>
      <c r="G1169" s="1002" t="s">
        <v>778</v>
      </c>
      <c r="H1169" s="1111" t="s">
        <v>777</v>
      </c>
      <c r="I1169" s="1002" t="s">
        <v>822</v>
      </c>
      <c r="J1169" s="1007" t="s">
        <v>726</v>
      </c>
      <c r="K1169" s="1002" t="s">
        <v>727</v>
      </c>
      <c r="L1169" s="1002" t="s">
        <v>18</v>
      </c>
      <c r="M1169" s="1086">
        <v>10</v>
      </c>
      <c r="N1169" s="1081">
        <v>259259.26</v>
      </c>
      <c r="O1169" s="1082">
        <f t="shared" si="200"/>
        <v>2592592.6</v>
      </c>
      <c r="P1169" s="1082">
        <f t="shared" si="201"/>
        <v>207407.40800000002</v>
      </c>
      <c r="Q1169" s="1206">
        <f t="shared" si="202"/>
        <v>2800000.0079999999</v>
      </c>
      <c r="R1169" s="1083"/>
      <c r="S1169" s="1083"/>
      <c r="T1169" s="1083"/>
      <c r="U1169" s="1083"/>
      <c r="V1169" s="1083">
        <f t="shared" si="198"/>
        <v>2800000.0079999999</v>
      </c>
    </row>
    <row r="1170" spans="1:22" s="1002" customFormat="1" hidden="1">
      <c r="A1170" s="1000" t="s">
        <v>717</v>
      </c>
      <c r="B1170" s="1001" t="s">
        <v>743</v>
      </c>
      <c r="C1170" s="1076">
        <v>46245</v>
      </c>
      <c r="D1170" s="1076"/>
      <c r="E1170" s="1002" t="s">
        <v>721</v>
      </c>
      <c r="F1170" s="1077">
        <v>46246</v>
      </c>
      <c r="G1170" s="1002" t="s">
        <v>778</v>
      </c>
      <c r="H1170" s="1111" t="s">
        <v>777</v>
      </c>
      <c r="I1170" s="1002" t="s">
        <v>822</v>
      </c>
      <c r="J1170" s="1007" t="s">
        <v>728</v>
      </c>
      <c r="K1170" s="1002" t="s">
        <v>729</v>
      </c>
      <c r="L1170" s="1002" t="s">
        <v>18</v>
      </c>
      <c r="M1170" s="1086">
        <v>10</v>
      </c>
      <c r="N1170" s="1081">
        <v>277777.78000000003</v>
      </c>
      <c r="O1170" s="1082">
        <f t="shared" si="200"/>
        <v>2777777.8000000003</v>
      </c>
      <c r="P1170" s="1082">
        <f t="shared" si="201"/>
        <v>222222.22400000002</v>
      </c>
      <c r="Q1170" s="1206">
        <f t="shared" si="202"/>
        <v>3000000.0240000002</v>
      </c>
      <c r="R1170" s="1083"/>
      <c r="S1170" s="1083"/>
      <c r="T1170" s="1083"/>
      <c r="U1170" s="1083"/>
      <c r="V1170" s="1083">
        <f t="shared" si="198"/>
        <v>3000000.0240000002</v>
      </c>
    </row>
    <row r="1171" spans="1:22" s="1002" customFormat="1" hidden="1">
      <c r="A1171" s="1000" t="s">
        <v>717</v>
      </c>
      <c r="B1171" s="1001" t="s">
        <v>743</v>
      </c>
      <c r="C1171" s="1076">
        <v>46245</v>
      </c>
      <c r="D1171" s="1076"/>
      <c r="E1171" s="1002" t="s">
        <v>721</v>
      </c>
      <c r="F1171" s="1077">
        <v>46246</v>
      </c>
      <c r="G1171" s="1002" t="s">
        <v>778</v>
      </c>
      <c r="H1171" s="1111" t="s">
        <v>777</v>
      </c>
      <c r="I1171" s="1002" t="s">
        <v>822</v>
      </c>
      <c r="J1171" s="1007" t="s">
        <v>730</v>
      </c>
      <c r="K1171" s="1002" t="s">
        <v>731</v>
      </c>
      <c r="L1171" s="1002" t="s">
        <v>18</v>
      </c>
      <c r="M1171" s="1086">
        <v>10</v>
      </c>
      <c r="N1171" s="1081">
        <v>305555.56</v>
      </c>
      <c r="O1171" s="1082">
        <f t="shared" si="200"/>
        <v>3055555.6</v>
      </c>
      <c r="P1171" s="1082">
        <f t="shared" si="201"/>
        <v>244444.448</v>
      </c>
      <c r="Q1171" s="1206">
        <f t="shared" si="202"/>
        <v>3300000.048</v>
      </c>
      <c r="R1171" s="1083"/>
      <c r="S1171" s="1083"/>
      <c r="T1171" s="1083"/>
      <c r="U1171" s="1083"/>
      <c r="V1171" s="1083">
        <f t="shared" si="198"/>
        <v>3300000.048</v>
      </c>
    </row>
    <row r="1172" spans="1:22" s="1002" customFormat="1" hidden="1">
      <c r="A1172" s="1000" t="s">
        <v>717</v>
      </c>
      <c r="B1172" s="1001" t="s">
        <v>743</v>
      </c>
      <c r="C1172" s="1076">
        <v>46245</v>
      </c>
      <c r="D1172" s="1076"/>
      <c r="E1172" s="1002" t="s">
        <v>721</v>
      </c>
      <c r="F1172" s="1077">
        <v>46246</v>
      </c>
      <c r="G1172" s="1002" t="s">
        <v>778</v>
      </c>
      <c r="H1172" s="1111" t="s">
        <v>777</v>
      </c>
      <c r="I1172" s="1002" t="s">
        <v>822</v>
      </c>
      <c r="J1172" s="1007" t="s">
        <v>732</v>
      </c>
      <c r="K1172" s="1002" t="s">
        <v>733</v>
      </c>
      <c r="L1172" s="1002" t="s">
        <v>18</v>
      </c>
      <c r="M1172" s="1086">
        <v>10</v>
      </c>
      <c r="N1172" s="1081">
        <v>333333.33</v>
      </c>
      <c r="O1172" s="1082">
        <f t="shared" si="200"/>
        <v>3333333.3000000003</v>
      </c>
      <c r="P1172" s="1082">
        <f t="shared" si="201"/>
        <v>266666.66400000005</v>
      </c>
      <c r="Q1172" s="1206">
        <f t="shared" si="202"/>
        <v>3599999.9640000002</v>
      </c>
      <c r="R1172" s="1083"/>
      <c r="S1172" s="1083"/>
      <c r="T1172" s="1083"/>
      <c r="U1172" s="1083"/>
      <c r="V1172" s="1083">
        <f t="shared" si="198"/>
        <v>3599999.9640000002</v>
      </c>
    </row>
    <row r="1173" spans="1:22" s="1002" customFormat="1" hidden="1">
      <c r="A1173" s="1000" t="s">
        <v>717</v>
      </c>
      <c r="B1173" s="1001" t="s">
        <v>743</v>
      </c>
      <c r="C1173" s="1076">
        <v>46245</v>
      </c>
      <c r="D1173" s="1076"/>
      <c r="E1173" s="1002" t="s">
        <v>721</v>
      </c>
      <c r="F1173" s="1077">
        <v>46246</v>
      </c>
      <c r="G1173" s="1002" t="s">
        <v>778</v>
      </c>
      <c r="H1173" s="1111" t="s">
        <v>777</v>
      </c>
      <c r="I1173" s="1002" t="s">
        <v>822</v>
      </c>
      <c r="J1173" s="1007" t="s">
        <v>274</v>
      </c>
      <c r="K1173" s="1002" t="s">
        <v>297</v>
      </c>
      <c r="L1173" s="1002" t="s">
        <v>18</v>
      </c>
      <c r="M1173" s="1086">
        <v>10</v>
      </c>
      <c r="N1173" s="1081">
        <v>416666.67</v>
      </c>
      <c r="O1173" s="1082">
        <f t="shared" si="200"/>
        <v>4166666.6999999997</v>
      </c>
      <c r="P1173" s="1082">
        <f t="shared" si="201"/>
        <v>333333.33600000001</v>
      </c>
      <c r="Q1173" s="1206">
        <f t="shared" si="202"/>
        <v>4500000.0359999994</v>
      </c>
      <c r="R1173" s="1083"/>
      <c r="S1173" s="1083"/>
      <c r="T1173" s="1083"/>
      <c r="U1173" s="1083"/>
      <c r="V1173" s="1083">
        <f t="shared" ref="V1173:V1221" si="203">Q1173-R1173-S1173-T1173-U1173</f>
        <v>4500000.0359999994</v>
      </c>
    </row>
    <row r="1174" spans="1:22" s="1002" customFormat="1" hidden="1">
      <c r="A1174" s="1000" t="s">
        <v>717</v>
      </c>
      <c r="B1174" s="1001" t="s">
        <v>743</v>
      </c>
      <c r="C1174" s="1076">
        <v>46245</v>
      </c>
      <c r="D1174" s="1076"/>
      <c r="E1174" s="1002" t="s">
        <v>721</v>
      </c>
      <c r="F1174" s="1077">
        <v>46246</v>
      </c>
      <c r="G1174" s="1002" t="s">
        <v>778</v>
      </c>
      <c r="H1174" s="1111" t="s">
        <v>777</v>
      </c>
      <c r="I1174" s="1002" t="s">
        <v>822</v>
      </c>
      <c r="J1174" s="1007" t="s">
        <v>40</v>
      </c>
      <c r="K1174" s="1002" t="s">
        <v>41</v>
      </c>
      <c r="L1174" s="1002" t="s">
        <v>18</v>
      </c>
      <c r="M1174" s="1086">
        <v>4</v>
      </c>
      <c r="N1174" s="1081">
        <v>844444.44</v>
      </c>
      <c r="O1174" s="1082">
        <f t="shared" si="200"/>
        <v>3377777.76</v>
      </c>
      <c r="P1174" s="1082">
        <f t="shared" si="201"/>
        <v>270222.22080000001</v>
      </c>
      <c r="Q1174" s="1206">
        <f t="shared" si="202"/>
        <v>3647999.9808</v>
      </c>
      <c r="R1174" s="1083"/>
      <c r="S1174" s="1083"/>
      <c r="T1174" s="1083"/>
      <c r="U1174" s="1083"/>
      <c r="V1174" s="1083">
        <f t="shared" si="203"/>
        <v>3647999.9808</v>
      </c>
    </row>
    <row r="1175" spans="1:22" s="1002" customFormat="1" hidden="1">
      <c r="A1175" s="1000" t="s">
        <v>717</v>
      </c>
      <c r="B1175" s="1001" t="s">
        <v>743</v>
      </c>
      <c r="C1175" s="1076">
        <v>46245</v>
      </c>
      <c r="D1175" s="1076"/>
      <c r="E1175" s="1002" t="s">
        <v>721</v>
      </c>
      <c r="F1175" s="1077">
        <v>46246</v>
      </c>
      <c r="G1175" s="1002" t="s">
        <v>778</v>
      </c>
      <c r="H1175" s="1111" t="s">
        <v>777</v>
      </c>
      <c r="I1175" s="1002" t="s">
        <v>822</v>
      </c>
      <c r="J1175" s="1007" t="s">
        <v>148</v>
      </c>
      <c r="K1175" s="1002" t="s">
        <v>149</v>
      </c>
      <c r="L1175" s="1002" t="s">
        <v>18</v>
      </c>
      <c r="M1175" s="1086">
        <v>4</v>
      </c>
      <c r="N1175" s="1081">
        <v>358333.33</v>
      </c>
      <c r="O1175" s="1082">
        <f t="shared" si="200"/>
        <v>1433333.32</v>
      </c>
      <c r="P1175" s="1082">
        <f t="shared" si="201"/>
        <v>114666.66560000001</v>
      </c>
      <c r="Q1175" s="1206">
        <f t="shared" si="202"/>
        <v>1547999.9856</v>
      </c>
      <c r="R1175" s="1083"/>
      <c r="S1175" s="1083"/>
      <c r="T1175" s="1083"/>
      <c r="U1175" s="1083"/>
      <c r="V1175" s="1083">
        <f t="shared" si="203"/>
        <v>1547999.9856</v>
      </c>
    </row>
    <row r="1176" spans="1:22" s="1002" customFormat="1" hidden="1">
      <c r="A1176" s="1000" t="s">
        <v>717</v>
      </c>
      <c r="B1176" s="1001" t="s">
        <v>743</v>
      </c>
      <c r="C1176" s="1076">
        <v>46245</v>
      </c>
      <c r="D1176" s="1076"/>
      <c r="E1176" s="1002" t="s">
        <v>721</v>
      </c>
      <c r="F1176" s="1077">
        <v>46246</v>
      </c>
      <c r="G1176" s="1002" t="s">
        <v>778</v>
      </c>
      <c r="H1176" s="1111" t="s">
        <v>777</v>
      </c>
      <c r="I1176" s="1002" t="s">
        <v>822</v>
      </c>
      <c r="J1176" s="1007" t="s">
        <v>192</v>
      </c>
      <c r="K1176" s="1002" t="s">
        <v>193</v>
      </c>
      <c r="L1176" s="1002" t="s">
        <v>18</v>
      </c>
      <c r="M1176" s="1086">
        <v>4</v>
      </c>
      <c r="N1176" s="1081">
        <v>398148.15</v>
      </c>
      <c r="O1176" s="1082">
        <f t="shared" si="200"/>
        <v>1592592.6</v>
      </c>
      <c r="P1176" s="1082">
        <f t="shared" si="201"/>
        <v>127407.40800000001</v>
      </c>
      <c r="Q1176" s="1206">
        <f t="shared" si="202"/>
        <v>1720000.0080000001</v>
      </c>
      <c r="R1176" s="1083"/>
      <c r="S1176" s="1083"/>
      <c r="T1176" s="1083"/>
      <c r="U1176" s="1083"/>
      <c r="V1176" s="1083">
        <f t="shared" si="203"/>
        <v>1720000.0080000001</v>
      </c>
    </row>
    <row r="1177" spans="1:22" s="1002" customFormat="1" hidden="1">
      <c r="A1177" s="1000" t="s">
        <v>717</v>
      </c>
      <c r="B1177" s="1001" t="s">
        <v>743</v>
      </c>
      <c r="C1177" s="1076">
        <v>46245</v>
      </c>
      <c r="D1177" s="1076"/>
      <c r="E1177" s="1002" t="s">
        <v>721</v>
      </c>
      <c r="F1177" s="1077">
        <v>46246</v>
      </c>
      <c r="G1177" s="1002" t="s">
        <v>778</v>
      </c>
      <c r="H1177" s="1111" t="s">
        <v>777</v>
      </c>
      <c r="I1177" s="1002" t="s">
        <v>822</v>
      </c>
      <c r="J1177" s="1007" t="s">
        <v>46</v>
      </c>
      <c r="K1177" s="1002" t="s">
        <v>47</v>
      </c>
      <c r="L1177" s="1002" t="s">
        <v>18</v>
      </c>
      <c r="M1177" s="1086">
        <v>6</v>
      </c>
      <c r="N1177" s="1081">
        <v>240074.07</v>
      </c>
      <c r="O1177" s="1082">
        <f t="shared" si="200"/>
        <v>1440444.42</v>
      </c>
      <c r="P1177" s="1082">
        <f t="shared" si="201"/>
        <v>115235.5536</v>
      </c>
      <c r="Q1177" s="1206">
        <f t="shared" si="202"/>
        <v>1555679.9735999999</v>
      </c>
      <c r="R1177" s="1083"/>
      <c r="S1177" s="1083"/>
      <c r="T1177" s="1083"/>
      <c r="U1177" s="1083"/>
      <c r="V1177" s="1083">
        <f t="shared" si="203"/>
        <v>1555679.9735999999</v>
      </c>
    </row>
    <row r="1178" spans="1:22" s="1002" customFormat="1" hidden="1">
      <c r="A1178" s="1000" t="s">
        <v>717</v>
      </c>
      <c r="B1178" s="1001" t="s">
        <v>743</v>
      </c>
      <c r="C1178" s="1076">
        <v>46245</v>
      </c>
      <c r="D1178" s="1076"/>
      <c r="E1178" s="1002" t="s">
        <v>721</v>
      </c>
      <c r="F1178" s="1077">
        <v>46246</v>
      </c>
      <c r="G1178" s="1002" t="s">
        <v>778</v>
      </c>
      <c r="H1178" s="1111" t="s">
        <v>777</v>
      </c>
      <c r="I1178" s="1002" t="s">
        <v>822</v>
      </c>
      <c r="J1178" s="1007" t="s">
        <v>157</v>
      </c>
      <c r="K1178" s="1002" t="s">
        <v>158</v>
      </c>
      <c r="L1178" s="1002" t="s">
        <v>18</v>
      </c>
      <c r="M1178" s="1086">
        <v>6</v>
      </c>
      <c r="N1178" s="1081">
        <v>342592.59</v>
      </c>
      <c r="O1178" s="1082">
        <f t="shared" si="200"/>
        <v>2055555.54</v>
      </c>
      <c r="P1178" s="1082">
        <f t="shared" si="201"/>
        <v>164444.44320000001</v>
      </c>
      <c r="Q1178" s="1206">
        <f t="shared" si="202"/>
        <v>2219999.9832000001</v>
      </c>
      <c r="R1178" s="1083"/>
      <c r="S1178" s="1083"/>
      <c r="T1178" s="1083"/>
      <c r="U1178" s="1083"/>
      <c r="V1178" s="1083">
        <f t="shared" si="203"/>
        <v>2219999.9832000001</v>
      </c>
    </row>
    <row r="1179" spans="1:22" s="1002" customFormat="1" hidden="1">
      <c r="A1179" s="1000" t="s">
        <v>717</v>
      </c>
      <c r="B1179" s="1001" t="s">
        <v>743</v>
      </c>
      <c r="C1179" s="1076">
        <v>46245</v>
      </c>
      <c r="D1179" s="1076"/>
      <c r="E1179" s="1002" t="s">
        <v>721</v>
      </c>
      <c r="F1179" s="1077">
        <v>46246</v>
      </c>
      <c r="G1179" s="1002" t="s">
        <v>778</v>
      </c>
      <c r="H1179" s="1111" t="s">
        <v>777</v>
      </c>
      <c r="I1179" s="1002" t="s">
        <v>822</v>
      </c>
      <c r="J1179" s="1007" t="s">
        <v>60</v>
      </c>
      <c r="K1179" s="1002" t="s">
        <v>61</v>
      </c>
      <c r="L1179" s="1002" t="s">
        <v>18</v>
      </c>
      <c r="M1179" s="1086">
        <v>4</v>
      </c>
      <c r="N1179" s="1081">
        <v>1138888.8899999999</v>
      </c>
      <c r="O1179" s="1082">
        <f t="shared" si="200"/>
        <v>4555555.5599999996</v>
      </c>
      <c r="P1179" s="1082">
        <f t="shared" si="201"/>
        <v>364444.4448</v>
      </c>
      <c r="Q1179" s="1206">
        <f t="shared" si="202"/>
        <v>4920000.0047999993</v>
      </c>
      <c r="R1179" s="1083"/>
      <c r="S1179" s="1083"/>
      <c r="T1179" s="1083"/>
      <c r="U1179" s="1083"/>
      <c r="V1179" s="1083">
        <f t="shared" si="203"/>
        <v>4920000.0047999993</v>
      </c>
    </row>
    <row r="1180" spans="1:22" s="1002" customFormat="1" hidden="1">
      <c r="A1180" s="1000" t="s">
        <v>717</v>
      </c>
      <c r="B1180" s="1001" t="s">
        <v>743</v>
      </c>
      <c r="C1180" s="1076">
        <v>46245</v>
      </c>
      <c r="D1180" s="1076"/>
      <c r="E1180" s="1002" t="s">
        <v>721</v>
      </c>
      <c r="F1180" s="1077">
        <v>46246</v>
      </c>
      <c r="G1180" s="1002" t="s">
        <v>778</v>
      </c>
      <c r="H1180" s="1111" t="s">
        <v>777</v>
      </c>
      <c r="I1180" s="1002" t="s">
        <v>822</v>
      </c>
      <c r="J1180" s="1007" t="s">
        <v>16</v>
      </c>
      <c r="K1180" s="1002" t="s">
        <v>17</v>
      </c>
      <c r="L1180" s="1002" t="s">
        <v>18</v>
      </c>
      <c r="M1180" s="1086">
        <v>8</v>
      </c>
      <c r="N1180" s="1081">
        <v>851851.85</v>
      </c>
      <c r="O1180" s="1082">
        <f t="shared" si="200"/>
        <v>6814814.7999999998</v>
      </c>
      <c r="P1180" s="1082">
        <f t="shared" si="201"/>
        <v>545185.18400000001</v>
      </c>
      <c r="Q1180" s="1206">
        <f t="shared" si="202"/>
        <v>7359999.9840000002</v>
      </c>
      <c r="R1180" s="1083"/>
      <c r="S1180" s="1083"/>
      <c r="T1180" s="1083"/>
      <c r="U1180" s="1083"/>
      <c r="V1180" s="1083">
        <f t="shared" si="203"/>
        <v>7359999.9840000002</v>
      </c>
    </row>
    <row r="1181" spans="1:22" s="1002" customFormat="1" hidden="1">
      <c r="A1181" s="1000" t="s">
        <v>717</v>
      </c>
      <c r="B1181" s="1001" t="s">
        <v>743</v>
      </c>
      <c r="C1181" s="1076">
        <v>46245</v>
      </c>
      <c r="D1181" s="1076"/>
      <c r="E1181" s="1002" t="s">
        <v>721</v>
      </c>
      <c r="H1181" s="1111"/>
      <c r="I1181" s="1002" t="s">
        <v>822</v>
      </c>
      <c r="J1181" s="1007" t="s">
        <v>643</v>
      </c>
      <c r="K1181" s="1002" t="s">
        <v>644</v>
      </c>
      <c r="L1181" s="1002" t="s">
        <v>18</v>
      </c>
      <c r="M1181" s="1086">
        <v>15</v>
      </c>
      <c r="N1181" s="1081">
        <v>527777.78</v>
      </c>
      <c r="O1181" s="1082">
        <f t="shared" si="200"/>
        <v>7916666.7000000002</v>
      </c>
      <c r="P1181" s="1082">
        <f t="shared" si="201"/>
        <v>633333.33600000001</v>
      </c>
      <c r="Q1181" s="1206">
        <f t="shared" si="202"/>
        <v>8550000.0360000003</v>
      </c>
      <c r="R1181" s="1083"/>
      <c r="S1181" s="1083"/>
      <c r="T1181" s="1083"/>
      <c r="U1181" s="1083"/>
      <c r="V1181" s="1083">
        <f t="shared" si="203"/>
        <v>8550000.0360000003</v>
      </c>
    </row>
    <row r="1182" spans="1:22" s="1002" customFormat="1" hidden="1">
      <c r="A1182" s="1000" t="s">
        <v>717</v>
      </c>
      <c r="B1182" s="1001" t="s">
        <v>743</v>
      </c>
      <c r="C1182" s="1076">
        <v>46245</v>
      </c>
      <c r="D1182" s="1076"/>
      <c r="E1182" s="1002" t="s">
        <v>721</v>
      </c>
      <c r="H1182" s="1111"/>
      <c r="I1182" s="1002" t="s">
        <v>822</v>
      </c>
      <c r="J1182" s="1007" t="s">
        <v>645</v>
      </c>
      <c r="K1182" s="1002" t="s">
        <v>646</v>
      </c>
      <c r="L1182" s="1002" t="s">
        <v>18</v>
      </c>
      <c r="M1182" s="1086">
        <v>15</v>
      </c>
      <c r="N1182" s="1081">
        <v>629629.63</v>
      </c>
      <c r="O1182" s="1082">
        <f t="shared" si="200"/>
        <v>9444444.4499999993</v>
      </c>
      <c r="P1182" s="1082">
        <f t="shared" si="201"/>
        <v>755555.55599999998</v>
      </c>
      <c r="Q1182" s="1206">
        <f t="shared" si="202"/>
        <v>10200000.005999999</v>
      </c>
      <c r="R1182" s="1083"/>
      <c r="S1182" s="1083"/>
      <c r="T1182" s="1083"/>
      <c r="U1182" s="1083"/>
      <c r="V1182" s="1083">
        <f t="shared" si="203"/>
        <v>10200000.005999999</v>
      </c>
    </row>
    <row r="1183" spans="1:22" s="1002" customFormat="1" hidden="1">
      <c r="A1183" s="1000" t="s">
        <v>717</v>
      </c>
      <c r="B1183" s="1001" t="s">
        <v>743</v>
      </c>
      <c r="C1183" s="1076">
        <v>46245</v>
      </c>
      <c r="D1183" s="1076"/>
      <c r="E1183" s="1002" t="s">
        <v>721</v>
      </c>
      <c r="F1183" s="1077"/>
      <c r="H1183" s="1111"/>
      <c r="I1183" s="1002" t="s">
        <v>822</v>
      </c>
      <c r="J1183" s="1007" t="s">
        <v>101</v>
      </c>
      <c r="K1183" s="1002" t="s">
        <v>102</v>
      </c>
      <c r="L1183" s="1002" t="s">
        <v>18</v>
      </c>
      <c r="M1183" s="1086">
        <v>4</v>
      </c>
      <c r="N1183" s="1081">
        <v>861111.11</v>
      </c>
      <c r="O1183" s="1082">
        <f t="shared" si="200"/>
        <v>3444444.44</v>
      </c>
      <c r="P1183" s="1082">
        <f t="shared" si="201"/>
        <v>275555.5552</v>
      </c>
      <c r="Q1183" s="1206">
        <f t="shared" si="202"/>
        <v>3719999.9951999998</v>
      </c>
      <c r="R1183" s="1083"/>
      <c r="S1183" s="1083"/>
      <c r="T1183" s="1083"/>
      <c r="U1183" s="1083"/>
      <c r="V1183" s="1083">
        <f t="shared" si="203"/>
        <v>3719999.9951999998</v>
      </c>
    </row>
    <row r="1184" spans="1:22" s="1002" customFormat="1" hidden="1">
      <c r="A1184" s="1000" t="s">
        <v>717</v>
      </c>
      <c r="B1184" s="1001" t="s">
        <v>743</v>
      </c>
      <c r="C1184" s="1076">
        <v>46245</v>
      </c>
      <c r="D1184" s="1076"/>
      <c r="E1184" s="1002" t="s">
        <v>721</v>
      </c>
      <c r="F1184" s="1077">
        <v>46246</v>
      </c>
      <c r="G1184" s="1002" t="s">
        <v>778</v>
      </c>
      <c r="H1184" s="1111" t="s">
        <v>777</v>
      </c>
      <c r="I1184" s="1002" t="s">
        <v>822</v>
      </c>
      <c r="J1184" s="1007" t="s">
        <v>90</v>
      </c>
      <c r="K1184" s="1002" t="s">
        <v>91</v>
      </c>
      <c r="L1184" s="1002" t="s">
        <v>18</v>
      </c>
      <c r="M1184" s="1086">
        <v>4</v>
      </c>
      <c r="N1184" s="1081">
        <v>814814.81</v>
      </c>
      <c r="O1184" s="1082">
        <f t="shared" si="200"/>
        <v>3259259.24</v>
      </c>
      <c r="P1184" s="1082">
        <f t="shared" si="201"/>
        <v>260740.73920000001</v>
      </c>
      <c r="Q1184" s="1206">
        <f t="shared" si="202"/>
        <v>3519999.9792000004</v>
      </c>
      <c r="R1184" s="1083"/>
      <c r="S1184" s="1083"/>
      <c r="T1184" s="1083"/>
      <c r="U1184" s="1083"/>
      <c r="V1184" s="1083">
        <f t="shared" si="203"/>
        <v>3519999.9792000004</v>
      </c>
    </row>
    <row r="1185" spans="1:23" s="1002" customFormat="1" hidden="1">
      <c r="A1185" s="1000" t="s">
        <v>717</v>
      </c>
      <c r="B1185" s="1001" t="s">
        <v>743</v>
      </c>
      <c r="C1185" s="1076">
        <v>46245</v>
      </c>
      <c r="D1185" s="1076"/>
      <c r="E1185" s="1002" t="s">
        <v>721</v>
      </c>
      <c r="F1185" s="1077">
        <v>46246</v>
      </c>
      <c r="G1185" s="1002" t="s">
        <v>778</v>
      </c>
      <c r="H1185" s="1111" t="s">
        <v>777</v>
      </c>
      <c r="I1185" s="1002" t="s">
        <v>822</v>
      </c>
      <c r="J1185" s="1007" t="s">
        <v>56</v>
      </c>
      <c r="K1185" s="1002" t="s">
        <v>57</v>
      </c>
      <c r="L1185" s="1002" t="s">
        <v>18</v>
      </c>
      <c r="M1185" s="1086">
        <v>10</v>
      </c>
      <c r="N1185" s="1081">
        <v>325925.93</v>
      </c>
      <c r="O1185" s="1082">
        <f t="shared" si="200"/>
        <v>3259259.3</v>
      </c>
      <c r="P1185" s="1082">
        <f t="shared" si="201"/>
        <v>260740.74399999998</v>
      </c>
      <c r="Q1185" s="1206">
        <f t="shared" si="202"/>
        <v>3520000.0439999998</v>
      </c>
      <c r="R1185" s="1083"/>
      <c r="S1185" s="1083"/>
      <c r="T1185" s="1083"/>
      <c r="U1185" s="1083"/>
      <c r="V1185" s="1083">
        <f t="shared" si="203"/>
        <v>3520000.0439999998</v>
      </c>
    </row>
    <row r="1186" spans="1:23" s="1002" customFormat="1" hidden="1">
      <c r="A1186" s="1000" t="s">
        <v>717</v>
      </c>
      <c r="B1186" s="1001" t="s">
        <v>743</v>
      </c>
      <c r="C1186" s="1076">
        <v>46245</v>
      </c>
      <c r="D1186" s="1076"/>
      <c r="E1186" s="1002" t="s">
        <v>721</v>
      </c>
      <c r="F1186" s="1077">
        <v>46246</v>
      </c>
      <c r="G1186" s="1002" t="s">
        <v>778</v>
      </c>
      <c r="H1186" s="1111" t="s">
        <v>777</v>
      </c>
      <c r="I1186" s="1002" t="s">
        <v>822</v>
      </c>
      <c r="J1186" s="1007" t="s">
        <v>107</v>
      </c>
      <c r="K1186" s="1002" t="s">
        <v>108</v>
      </c>
      <c r="L1186" s="1002" t="s">
        <v>18</v>
      </c>
      <c r="M1186" s="1086">
        <v>10</v>
      </c>
      <c r="N1186" s="1081">
        <v>349074.07</v>
      </c>
      <c r="O1186" s="1082">
        <f t="shared" si="200"/>
        <v>3490740.7</v>
      </c>
      <c r="P1186" s="1082">
        <f t="shared" si="201"/>
        <v>279259.25599999999</v>
      </c>
      <c r="Q1186" s="1206">
        <f t="shared" si="202"/>
        <v>3769999.9560000002</v>
      </c>
      <c r="R1186" s="1083"/>
      <c r="S1186" s="1083"/>
      <c r="T1186" s="1083"/>
      <c r="U1186" s="1083"/>
      <c r="V1186" s="1083">
        <f t="shared" si="203"/>
        <v>3769999.9560000002</v>
      </c>
    </row>
    <row r="1187" spans="1:23" s="1002" customFormat="1" hidden="1">
      <c r="A1187" s="1000" t="s">
        <v>717</v>
      </c>
      <c r="B1187" s="1001" t="s">
        <v>743</v>
      </c>
      <c r="C1187" s="1076">
        <v>46245</v>
      </c>
      <c r="D1187" s="1076"/>
      <c r="E1187" s="1002" t="s">
        <v>721</v>
      </c>
      <c r="F1187" s="1077">
        <v>46246</v>
      </c>
      <c r="G1187" s="1002" t="s">
        <v>778</v>
      </c>
      <c r="H1187" s="1111" t="s">
        <v>777</v>
      </c>
      <c r="I1187" s="1002" t="s">
        <v>822</v>
      </c>
      <c r="J1187" s="1007" t="s">
        <v>127</v>
      </c>
      <c r="K1187" s="1002" t="s">
        <v>128</v>
      </c>
      <c r="L1187" s="1002" t="s">
        <v>18</v>
      </c>
      <c r="M1187" s="1086">
        <v>10</v>
      </c>
      <c r="N1187" s="1081">
        <v>284259.26</v>
      </c>
      <c r="O1187" s="1082">
        <f t="shared" si="200"/>
        <v>2842592.6</v>
      </c>
      <c r="P1187" s="1082">
        <f t="shared" si="201"/>
        <v>227407.40800000002</v>
      </c>
      <c r="Q1187" s="1206">
        <f t="shared" si="202"/>
        <v>3070000.0079999999</v>
      </c>
      <c r="R1187" s="1083"/>
      <c r="S1187" s="1083"/>
      <c r="T1187" s="1083"/>
      <c r="U1187" s="1083"/>
      <c r="V1187" s="1083">
        <f t="shared" si="203"/>
        <v>3070000.0079999999</v>
      </c>
    </row>
    <row r="1188" spans="1:23" s="1002" customFormat="1" hidden="1">
      <c r="A1188" s="1000" t="s">
        <v>717</v>
      </c>
      <c r="B1188" s="1001" t="s">
        <v>743</v>
      </c>
      <c r="C1188" s="1076">
        <v>46245</v>
      </c>
      <c r="D1188" s="1076"/>
      <c r="E1188" s="1002" t="s">
        <v>721</v>
      </c>
      <c r="F1188" s="1077">
        <v>46246</v>
      </c>
      <c r="G1188" s="1002" t="s">
        <v>778</v>
      </c>
      <c r="H1188" s="1111" t="s">
        <v>777</v>
      </c>
      <c r="I1188" s="1002" t="s">
        <v>822</v>
      </c>
      <c r="J1188" s="1007" t="s">
        <v>424</v>
      </c>
      <c r="K1188" s="1002" t="s">
        <v>425</v>
      </c>
      <c r="L1188" s="1002" t="s">
        <v>443</v>
      </c>
      <c r="M1188" s="1086">
        <v>2</v>
      </c>
      <c r="N1188" s="1081">
        <v>882407.41</v>
      </c>
      <c r="O1188" s="1082">
        <f t="shared" si="200"/>
        <v>1764814.82</v>
      </c>
      <c r="P1188" s="1082">
        <f t="shared" si="201"/>
        <v>141185.1856</v>
      </c>
      <c r="Q1188" s="1206">
        <f t="shared" si="202"/>
        <v>1906000.0056</v>
      </c>
      <c r="R1188" s="1083"/>
      <c r="S1188" s="1083"/>
      <c r="T1188" s="1083"/>
      <c r="U1188" s="1083"/>
      <c r="V1188" s="1083">
        <f t="shared" si="203"/>
        <v>1906000.0056</v>
      </c>
    </row>
    <row r="1189" spans="1:23" s="1002" customFormat="1" hidden="1">
      <c r="A1189" s="1000" t="s">
        <v>717</v>
      </c>
      <c r="B1189" s="1001" t="s">
        <v>743</v>
      </c>
      <c r="C1189" s="1076">
        <v>46245</v>
      </c>
      <c r="D1189" s="1076"/>
      <c r="E1189" s="1002" t="s">
        <v>721</v>
      </c>
      <c r="H1189" s="1111"/>
      <c r="I1189" s="1008" t="s">
        <v>892</v>
      </c>
      <c r="J1189" s="1007" t="s">
        <v>643</v>
      </c>
      <c r="K1189" s="1002" t="s">
        <v>644</v>
      </c>
      <c r="L1189" s="1002" t="s">
        <v>18</v>
      </c>
      <c r="M1189" s="1086">
        <v>1</v>
      </c>
      <c r="N1189" s="1081">
        <v>0</v>
      </c>
      <c r="O1189" s="1082">
        <f t="shared" si="200"/>
        <v>0</v>
      </c>
      <c r="P1189" s="1082">
        <f t="shared" si="201"/>
        <v>0</v>
      </c>
      <c r="Q1189" s="1206">
        <f t="shared" si="202"/>
        <v>0</v>
      </c>
      <c r="R1189" s="1083"/>
      <c r="S1189" s="1083"/>
      <c r="T1189" s="1083"/>
      <c r="U1189" s="1083"/>
      <c r="V1189" s="1083">
        <f t="shared" si="203"/>
        <v>0</v>
      </c>
    </row>
    <row r="1190" spans="1:23" s="1002" customFormat="1" hidden="1">
      <c r="A1190" s="1000" t="s">
        <v>717</v>
      </c>
      <c r="B1190" s="1001" t="s">
        <v>743</v>
      </c>
      <c r="C1190" s="1076">
        <v>46245</v>
      </c>
      <c r="D1190" s="1076"/>
      <c r="E1190" s="1002" t="s">
        <v>721</v>
      </c>
      <c r="H1190" s="1111"/>
      <c r="I1190" s="1008" t="s">
        <v>892</v>
      </c>
      <c r="J1190" s="1007" t="s">
        <v>645</v>
      </c>
      <c r="K1190" s="1002" t="s">
        <v>646</v>
      </c>
      <c r="L1190" s="1002" t="s">
        <v>18</v>
      </c>
      <c r="M1190" s="1086">
        <v>1</v>
      </c>
      <c r="N1190" s="1081">
        <v>0</v>
      </c>
      <c r="O1190" s="1082">
        <f t="shared" si="200"/>
        <v>0</v>
      </c>
      <c r="P1190" s="1082">
        <f t="shared" si="201"/>
        <v>0</v>
      </c>
      <c r="Q1190" s="1206">
        <f t="shared" si="202"/>
        <v>0</v>
      </c>
      <c r="R1190" s="1083"/>
      <c r="S1190" s="1083"/>
      <c r="T1190" s="1083"/>
      <c r="U1190" s="1083"/>
      <c r="V1190" s="1083">
        <f t="shared" si="203"/>
        <v>0</v>
      </c>
    </row>
    <row r="1191" spans="1:23" s="1002" customFormat="1" hidden="1">
      <c r="A1191" s="1000" t="s">
        <v>734</v>
      </c>
      <c r="B1191" s="1001" t="s">
        <v>745</v>
      </c>
      <c r="C1191" s="1076">
        <v>46245</v>
      </c>
      <c r="D1191" s="1076"/>
      <c r="E1191" s="1002" t="s">
        <v>735</v>
      </c>
      <c r="F1191" s="1077">
        <v>46258</v>
      </c>
      <c r="G1191" s="1002" t="s">
        <v>935</v>
      </c>
      <c r="H1191" s="1111" t="s">
        <v>1069</v>
      </c>
      <c r="I1191" s="1002" t="s">
        <v>746</v>
      </c>
      <c r="J1191" s="1007" t="s">
        <v>60</v>
      </c>
      <c r="K1191" s="1002" t="s">
        <v>61</v>
      </c>
      <c r="L1191" s="1002" t="s">
        <v>18</v>
      </c>
      <c r="M1191" s="1086">
        <v>8</v>
      </c>
      <c r="N1191" s="1081">
        <v>1222222.22</v>
      </c>
      <c r="O1191" s="1082">
        <f t="shared" si="200"/>
        <v>9777777.7599999998</v>
      </c>
      <c r="P1191" s="1082">
        <f t="shared" si="201"/>
        <v>782222.22080000001</v>
      </c>
      <c r="Q1191" s="1206">
        <f t="shared" si="202"/>
        <v>10559999.980799999</v>
      </c>
      <c r="R1191" s="1083"/>
      <c r="S1191" s="1083"/>
      <c r="T1191" s="1083"/>
      <c r="U1191" s="1083"/>
      <c r="V1191" s="1083">
        <f t="shared" si="203"/>
        <v>10559999.980799999</v>
      </c>
    </row>
    <row r="1192" spans="1:23" s="1002" customFormat="1" hidden="1">
      <c r="A1192" s="1000" t="s">
        <v>734</v>
      </c>
      <c r="B1192" s="1001" t="s">
        <v>745</v>
      </c>
      <c r="C1192" s="1076">
        <v>46245</v>
      </c>
      <c r="D1192" s="1076"/>
      <c r="E1192" s="1002" t="s">
        <v>735</v>
      </c>
      <c r="F1192" s="1077">
        <v>46258</v>
      </c>
      <c r="G1192" s="1002" t="s">
        <v>935</v>
      </c>
      <c r="H1192" s="1111" t="s">
        <v>1069</v>
      </c>
      <c r="I1192" s="1002" t="s">
        <v>746</v>
      </c>
      <c r="J1192" s="1007" t="s">
        <v>68</v>
      </c>
      <c r="K1192" s="1002" t="s">
        <v>69</v>
      </c>
      <c r="L1192" s="1002" t="s">
        <v>18</v>
      </c>
      <c r="M1192" s="1086">
        <v>24</v>
      </c>
      <c r="N1192" s="1081">
        <v>129629.63</v>
      </c>
      <c r="O1192" s="1082">
        <f t="shared" si="200"/>
        <v>3111111.12</v>
      </c>
      <c r="P1192" s="1082">
        <f t="shared" si="201"/>
        <v>248888.88960000002</v>
      </c>
      <c r="Q1192" s="1206">
        <f t="shared" si="202"/>
        <v>3360000.0096</v>
      </c>
      <c r="R1192" s="1083"/>
      <c r="S1192" s="1083"/>
      <c r="T1192" s="1083"/>
      <c r="U1192" s="1083"/>
      <c r="V1192" s="1083">
        <f t="shared" si="203"/>
        <v>3360000.0096</v>
      </c>
    </row>
    <row r="1193" spans="1:23" s="1002" customFormat="1" hidden="1">
      <c r="A1193" s="1000" t="s">
        <v>734</v>
      </c>
      <c r="B1193" s="1001" t="s">
        <v>745</v>
      </c>
      <c r="C1193" s="1076">
        <v>46245</v>
      </c>
      <c r="D1193" s="1076"/>
      <c r="E1193" s="1002" t="s">
        <v>735</v>
      </c>
      <c r="F1193" s="1077">
        <v>46258</v>
      </c>
      <c r="G1193" s="1002" t="s">
        <v>935</v>
      </c>
      <c r="H1193" s="1111" t="s">
        <v>1069</v>
      </c>
      <c r="I1193" s="1002" t="s">
        <v>746</v>
      </c>
      <c r="J1193" s="1007" t="s">
        <v>72</v>
      </c>
      <c r="K1193" s="1002" t="s">
        <v>73</v>
      </c>
      <c r="L1193" s="1002" t="s">
        <v>18</v>
      </c>
      <c r="M1193" s="1086">
        <v>24</v>
      </c>
      <c r="N1193" s="1081">
        <v>148148.15</v>
      </c>
      <c r="O1193" s="1082">
        <f t="shared" si="200"/>
        <v>3555555.5999999996</v>
      </c>
      <c r="P1193" s="1082">
        <f t="shared" si="201"/>
        <v>284444.44799999997</v>
      </c>
      <c r="Q1193" s="1206">
        <f t="shared" si="202"/>
        <v>3840000.0479999995</v>
      </c>
      <c r="R1193" s="1083"/>
      <c r="S1193" s="1083"/>
      <c r="T1193" s="1083"/>
      <c r="U1193" s="1083"/>
      <c r="V1193" s="1083">
        <f t="shared" si="203"/>
        <v>3840000.0479999995</v>
      </c>
    </row>
    <row r="1194" spans="1:23" ht="47.25" hidden="1">
      <c r="A1194" s="1039" t="s">
        <v>736</v>
      </c>
      <c r="B1194" s="1040" t="s">
        <v>747</v>
      </c>
      <c r="C1194" s="1078">
        <v>46245</v>
      </c>
      <c r="D1194" s="1078"/>
      <c r="E1194" s="1002" t="s">
        <v>737</v>
      </c>
      <c r="F1194" s="1077">
        <v>46247</v>
      </c>
      <c r="G1194" s="1002" t="s">
        <v>783</v>
      </c>
      <c r="H1194" s="1111" t="s">
        <v>784</v>
      </c>
      <c r="I1194" s="1002" t="s">
        <v>818</v>
      </c>
      <c r="J1194" s="1007" t="s">
        <v>184</v>
      </c>
      <c r="K1194" s="1038" t="s">
        <v>764</v>
      </c>
      <c r="L1194" s="1002" t="s">
        <v>18</v>
      </c>
      <c r="M1194" s="1086">
        <v>10</v>
      </c>
      <c r="N1194" s="1081">
        <v>227777.78</v>
      </c>
      <c r="O1194" s="1081">
        <f t="shared" si="200"/>
        <v>2277777.7999999998</v>
      </c>
      <c r="P1194" s="1081">
        <f t="shared" si="201"/>
        <v>182222.22399999999</v>
      </c>
      <c r="Q1194" s="1221">
        <f t="shared" si="202"/>
        <v>2460000.0239999997</v>
      </c>
      <c r="V1194" s="1107">
        <f t="shared" si="203"/>
        <v>2460000.0239999997</v>
      </c>
      <c r="W1194" s="1050" t="s">
        <v>766</v>
      </c>
    </row>
    <row r="1195" spans="1:23" hidden="1">
      <c r="A1195" s="1039" t="s">
        <v>736</v>
      </c>
      <c r="B1195" s="1040" t="s">
        <v>747</v>
      </c>
      <c r="C1195" s="1078">
        <v>46245</v>
      </c>
      <c r="D1195" s="1078"/>
      <c r="E1195" s="1002" t="s">
        <v>737</v>
      </c>
      <c r="F1195" s="1077">
        <v>46247</v>
      </c>
      <c r="G1195" s="1002" t="s">
        <v>783</v>
      </c>
      <c r="H1195" s="1111" t="s">
        <v>784</v>
      </c>
      <c r="I1195" s="1002" t="s">
        <v>818</v>
      </c>
      <c r="J1195" s="1007" t="s">
        <v>301</v>
      </c>
      <c r="K1195" s="1005" t="s">
        <v>361</v>
      </c>
      <c r="L1195" s="1002" t="s">
        <v>18</v>
      </c>
      <c r="M1195" s="1086">
        <v>10</v>
      </c>
      <c r="N1195" s="1081">
        <v>268518.52</v>
      </c>
      <c r="O1195" s="1081">
        <f t="shared" si="200"/>
        <v>2685185.2</v>
      </c>
      <c r="P1195" s="1081">
        <f t="shared" si="201"/>
        <v>214814.81600000002</v>
      </c>
      <c r="Q1195" s="1221">
        <f t="shared" si="202"/>
        <v>2900000.0160000003</v>
      </c>
      <c r="V1195" s="1107">
        <f t="shared" si="203"/>
        <v>2900000.0160000003</v>
      </c>
    </row>
    <row r="1196" spans="1:23" hidden="1">
      <c r="A1196" s="1039" t="s">
        <v>736</v>
      </c>
      <c r="B1196" s="1040" t="s">
        <v>747</v>
      </c>
      <c r="C1196" s="1078">
        <v>46245</v>
      </c>
      <c r="D1196" s="1078"/>
      <c r="E1196" s="1002" t="s">
        <v>737</v>
      </c>
      <c r="F1196" s="1077">
        <v>46247</v>
      </c>
      <c r="G1196" s="1002" t="s">
        <v>783</v>
      </c>
      <c r="H1196" s="1111" t="s">
        <v>784</v>
      </c>
      <c r="I1196" s="1002" t="s">
        <v>818</v>
      </c>
      <c r="J1196" s="1007" t="s">
        <v>36</v>
      </c>
      <c r="K1196" s="1005" t="s">
        <v>37</v>
      </c>
      <c r="L1196" s="1002" t="s">
        <v>18</v>
      </c>
      <c r="M1196" s="1086">
        <v>10</v>
      </c>
      <c r="N1196" s="1081">
        <v>252777.77</v>
      </c>
      <c r="O1196" s="1081">
        <f t="shared" si="200"/>
        <v>2527777.6999999997</v>
      </c>
      <c r="P1196" s="1081">
        <f t="shared" si="201"/>
        <v>202222.21599999999</v>
      </c>
      <c r="Q1196" s="1221">
        <f t="shared" si="202"/>
        <v>2729999.9159999997</v>
      </c>
      <c r="V1196" s="1107">
        <f t="shared" si="203"/>
        <v>2729999.9159999997</v>
      </c>
    </row>
    <row r="1197" spans="1:23" hidden="1">
      <c r="A1197" s="1039" t="s">
        <v>736</v>
      </c>
      <c r="B1197" s="1040" t="s">
        <v>747</v>
      </c>
      <c r="C1197" s="1078">
        <v>46245</v>
      </c>
      <c r="D1197" s="1078"/>
      <c r="E1197" s="1002" t="s">
        <v>737</v>
      </c>
      <c r="F1197" s="1077">
        <v>46247</v>
      </c>
      <c r="G1197" s="1002" t="s">
        <v>783</v>
      </c>
      <c r="H1197" s="1111" t="s">
        <v>784</v>
      </c>
      <c r="I1197" s="1002" t="s">
        <v>818</v>
      </c>
      <c r="J1197" s="1007" t="s">
        <v>38</v>
      </c>
      <c r="K1197" s="1005" t="s">
        <v>39</v>
      </c>
      <c r="L1197" s="1002" t="s">
        <v>18</v>
      </c>
      <c r="M1197" s="1086">
        <v>10</v>
      </c>
      <c r="N1197" s="1081">
        <v>277777.78000000003</v>
      </c>
      <c r="O1197" s="1081">
        <f t="shared" si="200"/>
        <v>2777777.8000000003</v>
      </c>
      <c r="P1197" s="1081">
        <f t="shared" si="201"/>
        <v>222222.22400000002</v>
      </c>
      <c r="Q1197" s="1221">
        <f t="shared" si="202"/>
        <v>3000000.0240000002</v>
      </c>
      <c r="V1197" s="1107">
        <f t="shared" si="203"/>
        <v>3000000.0240000002</v>
      </c>
    </row>
    <row r="1198" spans="1:23" hidden="1">
      <c r="A1198" s="1039" t="s">
        <v>736</v>
      </c>
      <c r="B1198" s="1040" t="s">
        <v>747</v>
      </c>
      <c r="C1198" s="1078">
        <v>46245</v>
      </c>
      <c r="D1198" s="1078"/>
      <c r="E1198" s="1002" t="s">
        <v>737</v>
      </c>
      <c r="F1198" s="1077"/>
      <c r="G1198" s="1002"/>
      <c r="H1198" s="1111"/>
      <c r="I1198" s="1002" t="s">
        <v>818</v>
      </c>
      <c r="J1198" s="1007" t="s">
        <v>645</v>
      </c>
      <c r="K1198" s="1005" t="s">
        <v>646</v>
      </c>
      <c r="L1198" s="1002" t="s">
        <v>18</v>
      </c>
      <c r="M1198" s="1086">
        <v>15</v>
      </c>
      <c r="N1198" s="1081">
        <v>629629.63</v>
      </c>
      <c r="O1198" s="1081">
        <f t="shared" si="200"/>
        <v>9444444.4499999993</v>
      </c>
      <c r="P1198" s="1081">
        <f t="shared" si="201"/>
        <v>755555.55599999998</v>
      </c>
      <c r="Q1198" s="1221">
        <f t="shared" si="202"/>
        <v>10200000.005999999</v>
      </c>
      <c r="V1198" s="1107">
        <f t="shared" si="203"/>
        <v>10200000.005999999</v>
      </c>
    </row>
    <row r="1199" spans="1:23" hidden="1">
      <c r="A1199" s="1039" t="s">
        <v>736</v>
      </c>
      <c r="B1199" s="1040" t="s">
        <v>747</v>
      </c>
      <c r="C1199" s="1078">
        <v>46245</v>
      </c>
      <c r="D1199" s="1078"/>
      <c r="E1199" s="1002" t="s">
        <v>737</v>
      </c>
      <c r="F1199" s="1077"/>
      <c r="G1199" s="1002"/>
      <c r="H1199" s="1111"/>
      <c r="I1199" s="1002" t="s">
        <v>818</v>
      </c>
      <c r="J1199" s="1007" t="s">
        <v>651</v>
      </c>
      <c r="K1199" s="1005" t="s">
        <v>652</v>
      </c>
      <c r="L1199" s="1002" t="s">
        <v>18</v>
      </c>
      <c r="M1199" s="1086">
        <v>15</v>
      </c>
      <c r="N1199" s="1081">
        <v>694444.44</v>
      </c>
      <c r="O1199" s="1081">
        <f t="shared" si="200"/>
        <v>10416666.6</v>
      </c>
      <c r="P1199" s="1081">
        <f t="shared" si="201"/>
        <v>833333.32799999998</v>
      </c>
      <c r="Q1199" s="1221">
        <f t="shared" si="202"/>
        <v>11249999.927999999</v>
      </c>
      <c r="V1199" s="1107">
        <f t="shared" si="203"/>
        <v>11249999.927999999</v>
      </c>
    </row>
    <row r="1200" spans="1:23" hidden="1">
      <c r="A1200" s="1039" t="s">
        <v>736</v>
      </c>
      <c r="B1200" s="1040" t="s">
        <v>747</v>
      </c>
      <c r="C1200" s="1078">
        <v>46245</v>
      </c>
      <c r="D1200" s="1078"/>
      <c r="E1200" s="1002" t="s">
        <v>737</v>
      </c>
      <c r="F1200" s="1077"/>
      <c r="G1200" s="1002"/>
      <c r="H1200" s="1111"/>
      <c r="I1200" s="1002" t="s">
        <v>818</v>
      </c>
      <c r="J1200" s="1007" t="s">
        <v>103</v>
      </c>
      <c r="K1200" s="1005" t="s">
        <v>104</v>
      </c>
      <c r="L1200" s="1002" t="s">
        <v>18</v>
      </c>
      <c r="M1200" s="1086">
        <v>12</v>
      </c>
      <c r="N1200" s="1081">
        <v>675925.93</v>
      </c>
      <c r="O1200" s="1081">
        <f t="shared" si="200"/>
        <v>8111111.1600000001</v>
      </c>
      <c r="P1200" s="1081">
        <f t="shared" si="201"/>
        <v>648888.89280000003</v>
      </c>
      <c r="Q1200" s="1221">
        <f t="shared" si="202"/>
        <v>8760000.0527999997</v>
      </c>
      <c r="V1200" s="1107">
        <f t="shared" si="203"/>
        <v>8760000.0527999997</v>
      </c>
    </row>
    <row r="1201" spans="1:22" hidden="1">
      <c r="A1201" s="1039" t="s">
        <v>736</v>
      </c>
      <c r="B1201" s="1040" t="s">
        <v>747</v>
      </c>
      <c r="C1201" s="1078">
        <v>46245</v>
      </c>
      <c r="D1201" s="1078"/>
      <c r="E1201" s="1002" t="s">
        <v>737</v>
      </c>
      <c r="F1201" s="1077">
        <v>46247</v>
      </c>
      <c r="G1201" s="1002" t="s">
        <v>783</v>
      </c>
      <c r="H1201" s="1111" t="s">
        <v>784</v>
      </c>
      <c r="I1201" s="1002" t="s">
        <v>818</v>
      </c>
      <c r="J1201" s="1007" t="s">
        <v>58</v>
      </c>
      <c r="K1201" s="1005" t="s">
        <v>59</v>
      </c>
      <c r="L1201" s="1002" t="s">
        <v>18</v>
      </c>
      <c r="M1201" s="1086">
        <v>2</v>
      </c>
      <c r="N1201" s="1081">
        <v>1361111.11</v>
      </c>
      <c r="O1201" s="1081">
        <f t="shared" si="200"/>
        <v>2722222.22</v>
      </c>
      <c r="P1201" s="1081">
        <f t="shared" si="201"/>
        <v>217777.77760000003</v>
      </c>
      <c r="Q1201" s="1221">
        <f t="shared" si="202"/>
        <v>2939999.9976000004</v>
      </c>
      <c r="V1201" s="1107">
        <f t="shared" si="203"/>
        <v>2939999.9976000004</v>
      </c>
    </row>
    <row r="1202" spans="1:22" hidden="1">
      <c r="A1202" s="1039" t="s">
        <v>736</v>
      </c>
      <c r="B1202" s="1040" t="s">
        <v>747</v>
      </c>
      <c r="C1202" s="1078">
        <v>46245</v>
      </c>
      <c r="D1202" s="1078"/>
      <c r="E1202" s="1002" t="s">
        <v>737</v>
      </c>
      <c r="F1202" s="1077">
        <v>46247</v>
      </c>
      <c r="G1202" s="1002" t="s">
        <v>783</v>
      </c>
      <c r="H1202" s="1111" t="s">
        <v>784</v>
      </c>
      <c r="I1202" s="1002" t="s">
        <v>818</v>
      </c>
      <c r="J1202" s="1007" t="s">
        <v>90</v>
      </c>
      <c r="K1202" s="1005" t="s">
        <v>91</v>
      </c>
      <c r="L1202" s="1002" t="s">
        <v>18</v>
      </c>
      <c r="M1202" s="1086">
        <v>10</v>
      </c>
      <c r="N1202" s="1081">
        <v>814814.81</v>
      </c>
      <c r="O1202" s="1081">
        <f t="shared" si="200"/>
        <v>8148148.1000000006</v>
      </c>
      <c r="P1202" s="1081">
        <f t="shared" si="201"/>
        <v>651851.84800000011</v>
      </c>
      <c r="Q1202" s="1221">
        <f t="shared" si="202"/>
        <v>8799999.9480000008</v>
      </c>
      <c r="V1202" s="1107">
        <f t="shared" si="203"/>
        <v>8799999.9480000008</v>
      </c>
    </row>
    <row r="1203" spans="1:22" hidden="1">
      <c r="A1203" s="1039" t="s">
        <v>736</v>
      </c>
      <c r="B1203" s="1040" t="s">
        <v>747</v>
      </c>
      <c r="C1203" s="1078">
        <v>46245</v>
      </c>
      <c r="D1203" s="1078"/>
      <c r="E1203" s="1002" t="s">
        <v>737</v>
      </c>
      <c r="F1203" s="1077"/>
      <c r="G1203" s="1002"/>
      <c r="H1203" s="1111"/>
      <c r="I1203" s="1008" t="s">
        <v>892</v>
      </c>
      <c r="J1203" s="1007" t="s">
        <v>645</v>
      </c>
      <c r="K1203" s="1005" t="s">
        <v>646</v>
      </c>
      <c r="L1203" s="1002" t="s">
        <v>18</v>
      </c>
      <c r="M1203" s="1086">
        <v>1</v>
      </c>
      <c r="N1203" s="1081"/>
      <c r="O1203" s="1081">
        <f t="shared" si="200"/>
        <v>0</v>
      </c>
      <c r="P1203" s="1081">
        <f t="shared" si="201"/>
        <v>0</v>
      </c>
      <c r="Q1203" s="1221">
        <f t="shared" si="202"/>
        <v>0</v>
      </c>
      <c r="V1203" s="1107">
        <f t="shared" si="203"/>
        <v>0</v>
      </c>
    </row>
    <row r="1204" spans="1:22" hidden="1">
      <c r="A1204" s="1039" t="s">
        <v>736</v>
      </c>
      <c r="B1204" s="1040" t="s">
        <v>747</v>
      </c>
      <c r="C1204" s="1078">
        <v>46245</v>
      </c>
      <c r="D1204" s="1078"/>
      <c r="E1204" s="1002" t="s">
        <v>737</v>
      </c>
      <c r="F1204" s="1077"/>
      <c r="G1204" s="1002"/>
      <c r="H1204" s="1111"/>
      <c r="I1204" s="1008" t="s">
        <v>892</v>
      </c>
      <c r="J1204" s="1007" t="s">
        <v>651</v>
      </c>
      <c r="K1204" s="1005" t="s">
        <v>652</v>
      </c>
      <c r="L1204" s="1002" t="s">
        <v>18</v>
      </c>
      <c r="M1204" s="1086">
        <v>1</v>
      </c>
      <c r="N1204" s="1081"/>
      <c r="O1204" s="1081">
        <f t="shared" si="200"/>
        <v>0</v>
      </c>
      <c r="P1204" s="1081">
        <f t="shared" si="201"/>
        <v>0</v>
      </c>
      <c r="Q1204" s="1221">
        <f t="shared" si="202"/>
        <v>0</v>
      </c>
      <c r="V1204" s="1107">
        <f t="shared" si="203"/>
        <v>0</v>
      </c>
    </row>
    <row r="1205" spans="1:22" hidden="1">
      <c r="A1205" s="1039" t="s">
        <v>736</v>
      </c>
      <c r="B1205" s="1040" t="s">
        <v>747</v>
      </c>
      <c r="C1205" s="1078">
        <v>46245</v>
      </c>
      <c r="D1205" s="1078"/>
      <c r="E1205" s="1002" t="s">
        <v>737</v>
      </c>
      <c r="F1205" s="1077"/>
      <c r="G1205" s="1002"/>
      <c r="H1205" s="1111"/>
      <c r="I1205" s="1008" t="s">
        <v>862</v>
      </c>
      <c r="J1205" s="1007" t="s">
        <v>62</v>
      </c>
      <c r="K1205" s="1002" t="s">
        <v>63</v>
      </c>
      <c r="L1205" s="1002" t="s">
        <v>18</v>
      </c>
      <c r="M1205" s="1086">
        <v>12</v>
      </c>
      <c r="N1205" s="1081"/>
      <c r="O1205" s="1081">
        <f t="shared" si="200"/>
        <v>0</v>
      </c>
      <c r="P1205" s="1081">
        <f t="shared" si="201"/>
        <v>0</v>
      </c>
      <c r="Q1205" s="1221">
        <f t="shared" si="202"/>
        <v>0</v>
      </c>
      <c r="V1205" s="1107">
        <f t="shared" si="203"/>
        <v>0</v>
      </c>
    </row>
    <row r="1206" spans="1:22" s="1002" customFormat="1" hidden="1">
      <c r="A1206" s="1000" t="s">
        <v>738</v>
      </c>
      <c r="B1206" s="1001" t="s">
        <v>748</v>
      </c>
      <c r="C1206" s="1078">
        <v>46245</v>
      </c>
      <c r="D1206" s="1078"/>
      <c r="E1206" s="1002" t="s">
        <v>739</v>
      </c>
      <c r="F1206" s="1077">
        <v>46246</v>
      </c>
      <c r="G1206" s="1002" t="s">
        <v>776</v>
      </c>
      <c r="H1206" s="1111" t="s">
        <v>775</v>
      </c>
      <c r="I1206" s="1002" t="s">
        <v>750</v>
      </c>
      <c r="J1206" s="1007" t="s">
        <v>23</v>
      </c>
      <c r="K1206" s="1002" t="s">
        <v>82</v>
      </c>
      <c r="L1206" s="1002" t="s">
        <v>740</v>
      </c>
      <c r="M1206" s="1086">
        <v>1</v>
      </c>
      <c r="N1206" s="1081">
        <v>1185185.18</v>
      </c>
      <c r="O1206" s="1082">
        <f t="shared" si="200"/>
        <v>1185185.18</v>
      </c>
      <c r="P1206" s="1082">
        <f t="shared" si="201"/>
        <v>94814.814400000003</v>
      </c>
      <c r="Q1206" s="1206">
        <f t="shared" si="202"/>
        <v>1279999.9944</v>
      </c>
      <c r="R1206" s="1083"/>
      <c r="S1206" s="1083"/>
      <c r="T1206" s="1083"/>
      <c r="U1206" s="1083"/>
      <c r="V1206" s="1083">
        <f t="shared" si="203"/>
        <v>1279999.9944</v>
      </c>
    </row>
    <row r="1207" spans="1:22" s="1002" customFormat="1" hidden="1">
      <c r="A1207" s="1000" t="s">
        <v>738</v>
      </c>
      <c r="B1207" s="1001" t="s">
        <v>748</v>
      </c>
      <c r="C1207" s="1078">
        <v>46245</v>
      </c>
      <c r="D1207" s="1078"/>
      <c r="E1207" s="1002" t="s">
        <v>739</v>
      </c>
      <c r="F1207" s="1077">
        <v>46246</v>
      </c>
      <c r="G1207" s="1002" t="s">
        <v>776</v>
      </c>
      <c r="H1207" s="1111" t="s">
        <v>775</v>
      </c>
      <c r="I1207" s="1002" t="s">
        <v>750</v>
      </c>
      <c r="J1207" s="1007" t="s">
        <v>274</v>
      </c>
      <c r="K1207" s="1002" t="s">
        <v>297</v>
      </c>
      <c r="L1207" s="1002" t="s">
        <v>740</v>
      </c>
      <c r="M1207" s="1086">
        <v>1</v>
      </c>
      <c r="N1207" s="1081">
        <v>416666.67</v>
      </c>
      <c r="O1207" s="1082">
        <f t="shared" si="200"/>
        <v>416666.67</v>
      </c>
      <c r="P1207" s="1082">
        <f t="shared" si="201"/>
        <v>33333.333599999998</v>
      </c>
      <c r="Q1207" s="1206">
        <f t="shared" si="202"/>
        <v>450000.0036</v>
      </c>
      <c r="R1207" s="1083"/>
      <c r="S1207" s="1083"/>
      <c r="T1207" s="1083"/>
      <c r="U1207" s="1083"/>
      <c r="V1207" s="1083">
        <f t="shared" si="203"/>
        <v>450000.0036</v>
      </c>
    </row>
    <row r="1208" spans="1:22" s="1002" customFormat="1" hidden="1">
      <c r="A1208" s="1000" t="s">
        <v>741</v>
      </c>
      <c r="B1208" s="1001" t="s">
        <v>749</v>
      </c>
      <c r="C1208" s="1078">
        <v>46245</v>
      </c>
      <c r="D1208" s="1078"/>
      <c r="E1208" s="1002" t="s">
        <v>742</v>
      </c>
      <c r="F1208" s="1077">
        <v>46247</v>
      </c>
      <c r="G1208" s="1002" t="s">
        <v>782</v>
      </c>
      <c r="H1208" s="1111" t="s">
        <v>781</v>
      </c>
      <c r="I1208" s="1002" t="s">
        <v>815</v>
      </c>
      <c r="J1208" s="1007" t="s">
        <v>90</v>
      </c>
      <c r="K1208" s="1002" t="s">
        <v>91</v>
      </c>
      <c r="L1208" s="1002" t="s">
        <v>465</v>
      </c>
      <c r="M1208" s="1086">
        <v>8</v>
      </c>
      <c r="N1208" s="1081">
        <v>907407.4</v>
      </c>
      <c r="O1208" s="1082">
        <f t="shared" si="200"/>
        <v>7259259.2000000002</v>
      </c>
      <c r="P1208" s="1082">
        <f t="shared" si="201"/>
        <v>580740.73600000003</v>
      </c>
      <c r="Q1208" s="1206">
        <f t="shared" si="202"/>
        <v>7839999.9360000007</v>
      </c>
      <c r="R1208" s="1083"/>
      <c r="S1208" s="1083"/>
      <c r="T1208" s="1083"/>
      <c r="U1208" s="1083"/>
      <c r="V1208" s="1083">
        <f t="shared" si="203"/>
        <v>7839999.9360000007</v>
      </c>
    </row>
    <row r="1209" spans="1:22" s="1002" customFormat="1" hidden="1">
      <c r="A1209" s="1000" t="s">
        <v>752</v>
      </c>
      <c r="B1209" s="1028" t="s">
        <v>1494</v>
      </c>
      <c r="C1209" s="1078">
        <v>46246</v>
      </c>
      <c r="D1209" s="1078"/>
      <c r="E1209" s="1002" t="s">
        <v>953</v>
      </c>
      <c r="F1209" s="1077"/>
      <c r="H1209" s="1111"/>
      <c r="I1209" s="1002" t="s">
        <v>812</v>
      </c>
      <c r="J1209" s="1007" t="s">
        <v>643</v>
      </c>
      <c r="K1209" s="1002" t="s">
        <v>644</v>
      </c>
      <c r="L1209" s="1002" t="s">
        <v>465</v>
      </c>
      <c r="M1209" s="1086">
        <v>30</v>
      </c>
      <c r="N1209" s="1081">
        <v>527777.78</v>
      </c>
      <c r="O1209" s="1082">
        <f t="shared" si="200"/>
        <v>15833333.4</v>
      </c>
      <c r="P1209" s="1082">
        <f t="shared" si="201"/>
        <v>1266666.672</v>
      </c>
      <c r="Q1209" s="1206">
        <f t="shared" si="202"/>
        <v>17100000.072000001</v>
      </c>
      <c r="R1209" s="1083"/>
      <c r="S1209" s="1083"/>
      <c r="T1209" s="1083"/>
      <c r="U1209" s="1083"/>
      <c r="V1209" s="1083">
        <f t="shared" si="203"/>
        <v>17100000.072000001</v>
      </c>
    </row>
    <row r="1210" spans="1:22" s="1002" customFormat="1" hidden="1">
      <c r="A1210" s="1000" t="s">
        <v>752</v>
      </c>
      <c r="B1210" s="1028" t="s">
        <v>1494</v>
      </c>
      <c r="C1210" s="1078">
        <v>46246</v>
      </c>
      <c r="D1210" s="1078"/>
      <c r="E1210" s="1002" t="s">
        <v>751</v>
      </c>
      <c r="F1210" s="1077"/>
      <c r="H1210" s="1111"/>
      <c r="I1210" s="1002" t="s">
        <v>812</v>
      </c>
      <c r="J1210" s="1007" t="s">
        <v>645</v>
      </c>
      <c r="K1210" s="1002" t="s">
        <v>646</v>
      </c>
      <c r="L1210" s="1002" t="s">
        <v>465</v>
      </c>
      <c r="M1210" s="1086">
        <v>30</v>
      </c>
      <c r="N1210" s="1081">
        <v>629629.63</v>
      </c>
      <c r="O1210" s="1082">
        <f t="shared" si="200"/>
        <v>18888888.899999999</v>
      </c>
      <c r="P1210" s="1082">
        <f t="shared" si="201"/>
        <v>1511111.112</v>
      </c>
      <c r="Q1210" s="1206">
        <f t="shared" si="202"/>
        <v>20400000.011999998</v>
      </c>
      <c r="R1210" s="1083"/>
      <c r="S1210" s="1083"/>
      <c r="T1210" s="1083"/>
      <c r="U1210" s="1083"/>
      <c r="V1210" s="1083">
        <f t="shared" si="203"/>
        <v>20400000.011999998</v>
      </c>
    </row>
    <row r="1211" spans="1:22" s="1002" customFormat="1" hidden="1">
      <c r="A1211" s="1000" t="s">
        <v>752</v>
      </c>
      <c r="B1211" s="1028" t="s">
        <v>1494</v>
      </c>
      <c r="C1211" s="1078">
        <v>46246</v>
      </c>
      <c r="D1211" s="1078"/>
      <c r="E1211" s="1002" t="s">
        <v>751</v>
      </c>
      <c r="F1211" s="1077"/>
      <c r="H1211" s="1111"/>
      <c r="I1211" s="1002" t="s">
        <v>812</v>
      </c>
      <c r="J1211" s="1007" t="s">
        <v>653</v>
      </c>
      <c r="K1211" s="1002" t="s">
        <v>654</v>
      </c>
      <c r="L1211" s="1002" t="s">
        <v>465</v>
      </c>
      <c r="M1211" s="1086">
        <v>15</v>
      </c>
      <c r="N1211" s="1081">
        <v>481481.48</v>
      </c>
      <c r="O1211" s="1082">
        <f t="shared" si="200"/>
        <v>7222222.1999999993</v>
      </c>
      <c r="P1211" s="1082">
        <f t="shared" si="201"/>
        <v>577777.77599999995</v>
      </c>
      <c r="Q1211" s="1206">
        <f t="shared" si="202"/>
        <v>7799999.9759999989</v>
      </c>
      <c r="R1211" s="1083"/>
      <c r="S1211" s="1083"/>
      <c r="T1211" s="1083"/>
      <c r="U1211" s="1083"/>
      <c r="V1211" s="1083">
        <f t="shared" si="203"/>
        <v>7799999.9759999989</v>
      </c>
    </row>
    <row r="1212" spans="1:22" s="1002" customFormat="1" hidden="1">
      <c r="A1212" s="1000" t="s">
        <v>752</v>
      </c>
      <c r="B1212" s="1028" t="s">
        <v>1494</v>
      </c>
      <c r="C1212" s="1078">
        <v>46246</v>
      </c>
      <c r="D1212" s="1078"/>
      <c r="E1212" s="1002" t="s">
        <v>751</v>
      </c>
      <c r="F1212" s="1077"/>
      <c r="H1212" s="1111"/>
      <c r="I1212" s="1002" t="s">
        <v>812</v>
      </c>
      <c r="J1212" s="1007" t="s">
        <v>655</v>
      </c>
      <c r="K1212" s="1002" t="s">
        <v>656</v>
      </c>
      <c r="L1212" s="1002" t="s">
        <v>465</v>
      </c>
      <c r="M1212" s="1086">
        <v>15</v>
      </c>
      <c r="N1212" s="1081">
        <v>574074.06999999995</v>
      </c>
      <c r="O1212" s="1082">
        <f t="shared" si="200"/>
        <v>8611111.0499999989</v>
      </c>
      <c r="P1212" s="1082">
        <f t="shared" si="201"/>
        <v>688888.88399999996</v>
      </c>
      <c r="Q1212" s="1206">
        <f t="shared" si="202"/>
        <v>9299999.9339999985</v>
      </c>
      <c r="R1212" s="1083"/>
      <c r="S1212" s="1083"/>
      <c r="T1212" s="1083"/>
      <c r="U1212" s="1083"/>
      <c r="V1212" s="1083">
        <f t="shared" si="203"/>
        <v>9299999.9339999985</v>
      </c>
    </row>
    <row r="1213" spans="1:22" s="1002" customFormat="1" hidden="1">
      <c r="A1213" s="1000" t="s">
        <v>752</v>
      </c>
      <c r="B1213" s="1028" t="s">
        <v>1494</v>
      </c>
      <c r="C1213" s="1078">
        <v>46246</v>
      </c>
      <c r="D1213" s="1078"/>
      <c r="E1213" s="1002" t="s">
        <v>751</v>
      </c>
      <c r="F1213" s="1077"/>
      <c r="H1213" s="1111"/>
      <c r="I1213" s="1008" t="s">
        <v>892</v>
      </c>
      <c r="J1213" s="1007" t="s">
        <v>643</v>
      </c>
      <c r="K1213" s="1002" t="s">
        <v>644</v>
      </c>
      <c r="L1213" s="1002" t="s">
        <v>465</v>
      </c>
      <c r="M1213" s="1086">
        <v>2</v>
      </c>
      <c r="N1213" s="1081">
        <v>0</v>
      </c>
      <c r="O1213" s="1082">
        <f t="shared" si="200"/>
        <v>0</v>
      </c>
      <c r="P1213" s="1082">
        <f t="shared" si="201"/>
        <v>0</v>
      </c>
      <c r="Q1213" s="1206">
        <f t="shared" si="202"/>
        <v>0</v>
      </c>
      <c r="R1213" s="1083"/>
      <c r="S1213" s="1083"/>
      <c r="T1213" s="1083"/>
      <c r="U1213" s="1083"/>
      <c r="V1213" s="1083">
        <f t="shared" si="203"/>
        <v>0</v>
      </c>
    </row>
    <row r="1214" spans="1:22" s="1002" customFormat="1" hidden="1">
      <c r="A1214" s="1000" t="s">
        <v>752</v>
      </c>
      <c r="B1214" s="1028" t="s">
        <v>1494</v>
      </c>
      <c r="C1214" s="1078">
        <v>46246</v>
      </c>
      <c r="D1214" s="1078"/>
      <c r="E1214" s="1002" t="s">
        <v>751</v>
      </c>
      <c r="F1214" s="1077"/>
      <c r="H1214" s="1111"/>
      <c r="I1214" s="1008" t="s">
        <v>892</v>
      </c>
      <c r="J1214" s="1007" t="s">
        <v>645</v>
      </c>
      <c r="K1214" s="1002" t="s">
        <v>646</v>
      </c>
      <c r="L1214" s="1002" t="s">
        <v>465</v>
      </c>
      <c r="M1214" s="1086">
        <v>2</v>
      </c>
      <c r="N1214" s="1081">
        <v>0</v>
      </c>
      <c r="O1214" s="1082">
        <f t="shared" si="200"/>
        <v>0</v>
      </c>
      <c r="P1214" s="1082">
        <f t="shared" si="201"/>
        <v>0</v>
      </c>
      <c r="Q1214" s="1206">
        <f t="shared" si="202"/>
        <v>0</v>
      </c>
      <c r="R1214" s="1083"/>
      <c r="S1214" s="1083"/>
      <c r="T1214" s="1083"/>
      <c r="U1214" s="1083"/>
      <c r="V1214" s="1083">
        <f t="shared" si="203"/>
        <v>0</v>
      </c>
    </row>
    <row r="1215" spans="1:22" s="1002" customFormat="1" hidden="1">
      <c r="A1215" s="1000" t="s">
        <v>752</v>
      </c>
      <c r="B1215" s="1028" t="s">
        <v>1494</v>
      </c>
      <c r="C1215" s="1078">
        <v>46246</v>
      </c>
      <c r="D1215" s="1078"/>
      <c r="E1215" s="1002" t="s">
        <v>751</v>
      </c>
      <c r="F1215" s="1077"/>
      <c r="H1215" s="1111"/>
      <c r="I1215" s="1008" t="s">
        <v>892</v>
      </c>
      <c r="J1215" s="1007" t="s">
        <v>653</v>
      </c>
      <c r="K1215" s="1002" t="s">
        <v>654</v>
      </c>
      <c r="L1215" s="1002" t="s">
        <v>465</v>
      </c>
      <c r="M1215" s="1086">
        <v>1</v>
      </c>
      <c r="N1215" s="1081">
        <v>0</v>
      </c>
      <c r="O1215" s="1082">
        <f t="shared" si="200"/>
        <v>0</v>
      </c>
      <c r="P1215" s="1082">
        <f t="shared" si="201"/>
        <v>0</v>
      </c>
      <c r="Q1215" s="1206">
        <f t="shared" si="202"/>
        <v>0</v>
      </c>
      <c r="R1215" s="1083"/>
      <c r="S1215" s="1083"/>
      <c r="T1215" s="1083"/>
      <c r="U1215" s="1083"/>
      <c r="V1215" s="1083">
        <f t="shared" si="203"/>
        <v>0</v>
      </c>
    </row>
    <row r="1216" spans="1:22" s="1002" customFormat="1" hidden="1">
      <c r="A1216" s="1000" t="s">
        <v>752</v>
      </c>
      <c r="B1216" s="1028" t="s">
        <v>1494</v>
      </c>
      <c r="C1216" s="1078">
        <v>46246</v>
      </c>
      <c r="D1216" s="1078"/>
      <c r="E1216" s="1002" t="s">
        <v>751</v>
      </c>
      <c r="F1216" s="1077"/>
      <c r="H1216" s="1111"/>
      <c r="I1216" s="1008" t="s">
        <v>892</v>
      </c>
      <c r="J1216" s="1007" t="s">
        <v>655</v>
      </c>
      <c r="K1216" s="1002" t="s">
        <v>656</v>
      </c>
      <c r="L1216" s="1002" t="s">
        <v>465</v>
      </c>
      <c r="M1216" s="1086">
        <v>1</v>
      </c>
      <c r="N1216" s="1081">
        <v>0</v>
      </c>
      <c r="O1216" s="1082">
        <f t="shared" si="200"/>
        <v>0</v>
      </c>
      <c r="P1216" s="1082">
        <f t="shared" si="201"/>
        <v>0</v>
      </c>
      <c r="Q1216" s="1206">
        <f t="shared" si="202"/>
        <v>0</v>
      </c>
      <c r="R1216" s="1083"/>
      <c r="S1216" s="1083"/>
      <c r="T1216" s="1083"/>
      <c r="U1216" s="1083"/>
      <c r="V1216" s="1083">
        <f t="shared" si="203"/>
        <v>0</v>
      </c>
    </row>
    <row r="1217" spans="1:23" s="1002" customFormat="1" hidden="1">
      <c r="A1217" s="1000" t="s">
        <v>752</v>
      </c>
      <c r="B1217" s="1028" t="s">
        <v>1494</v>
      </c>
      <c r="C1217" s="1078">
        <v>46246</v>
      </c>
      <c r="D1217" s="1078"/>
      <c r="E1217" s="1002" t="s">
        <v>751</v>
      </c>
      <c r="F1217" s="1077"/>
      <c r="H1217" s="1111"/>
      <c r="I1217" s="1002" t="s">
        <v>812</v>
      </c>
      <c r="J1217" s="1007" t="s">
        <v>40</v>
      </c>
      <c r="K1217" s="1002" t="s">
        <v>41</v>
      </c>
      <c r="L1217" s="1002" t="s">
        <v>465</v>
      </c>
      <c r="M1217" s="1086">
        <v>4</v>
      </c>
      <c r="N1217" s="1081">
        <v>844444.44</v>
      </c>
      <c r="O1217" s="1082">
        <f t="shared" si="200"/>
        <v>3377777.76</v>
      </c>
      <c r="P1217" s="1082">
        <f t="shared" si="201"/>
        <v>270222.22080000001</v>
      </c>
      <c r="Q1217" s="1206">
        <f t="shared" si="202"/>
        <v>3647999.9808</v>
      </c>
      <c r="R1217" s="1083"/>
      <c r="S1217" s="1083"/>
      <c r="T1217" s="1083"/>
      <c r="U1217" s="1083"/>
      <c r="V1217" s="1083">
        <f t="shared" si="203"/>
        <v>3647999.9808</v>
      </c>
    </row>
    <row r="1218" spans="1:23" s="1002" customFormat="1" hidden="1">
      <c r="A1218" s="1000" t="s">
        <v>753</v>
      </c>
      <c r="B1218" s="1001" t="s">
        <v>754</v>
      </c>
      <c r="C1218" s="1078">
        <v>46240</v>
      </c>
      <c r="D1218" s="1078"/>
      <c r="F1218" s="1077"/>
      <c r="H1218" s="1111"/>
      <c r="I1218" s="1002" t="s">
        <v>760</v>
      </c>
      <c r="J1218" s="1007"/>
      <c r="M1218" s="1086"/>
      <c r="N1218" s="1081"/>
      <c r="O1218" s="1082"/>
      <c r="P1218" s="1082"/>
      <c r="Q1218" s="1082"/>
      <c r="R1218" s="1083"/>
      <c r="S1218" s="1083">
        <v>1385000</v>
      </c>
      <c r="T1218" s="1083"/>
      <c r="U1218" s="1083"/>
      <c r="V1218" s="1083">
        <f t="shared" si="203"/>
        <v>-1385000</v>
      </c>
    </row>
    <row r="1219" spans="1:23" s="1002" customFormat="1" hidden="1">
      <c r="A1219" s="1000" t="s">
        <v>753</v>
      </c>
      <c r="B1219" s="1001" t="s">
        <v>754</v>
      </c>
      <c r="C1219" s="1078">
        <v>46246</v>
      </c>
      <c r="D1219" s="1078"/>
      <c r="E1219" s="1002" t="s">
        <v>755</v>
      </c>
      <c r="F1219" s="1077"/>
      <c r="H1219" s="1111"/>
      <c r="J1219" s="1007"/>
      <c r="L1219" s="1054"/>
      <c r="M1219" s="1222"/>
      <c r="N1219" s="1081"/>
      <c r="O1219" s="1082"/>
      <c r="P1219" s="1082"/>
      <c r="Q1219" s="1082"/>
      <c r="R1219" s="1083"/>
      <c r="S1219" s="1083"/>
      <c r="T1219" s="1083"/>
      <c r="U1219" s="1083"/>
      <c r="V1219" s="1083">
        <f t="shared" si="203"/>
        <v>0</v>
      </c>
      <c r="W1219" s="1049" t="s">
        <v>908</v>
      </c>
    </row>
    <row r="1220" spans="1:23" s="1002" customFormat="1" hidden="1">
      <c r="A1220" s="1000" t="s">
        <v>756</v>
      </c>
      <c r="B1220" s="1001" t="s">
        <v>759</v>
      </c>
      <c r="C1220" s="1078">
        <v>46246</v>
      </c>
      <c r="D1220" s="1078"/>
      <c r="E1220" s="1002" t="s">
        <v>757</v>
      </c>
      <c r="F1220" s="1077">
        <v>46252</v>
      </c>
      <c r="G1220" s="1002" t="s">
        <v>880</v>
      </c>
      <c r="H1220" s="1111" t="s">
        <v>879</v>
      </c>
      <c r="I1220" s="1002" t="s">
        <v>758</v>
      </c>
      <c r="J1220" s="1007" t="s">
        <v>48</v>
      </c>
      <c r="K1220" s="1002" t="s">
        <v>49</v>
      </c>
      <c r="L1220" s="1002" t="s">
        <v>18</v>
      </c>
      <c r="M1220" s="1222">
        <v>6</v>
      </c>
      <c r="N1220" s="1081">
        <v>601851.85</v>
      </c>
      <c r="O1220" s="1223">
        <f>M1220*N1220</f>
        <v>3611111.0999999996</v>
      </c>
      <c r="P1220" s="1082">
        <f>O1220*8%</f>
        <v>288888.88799999998</v>
      </c>
      <c r="Q1220" s="1206">
        <f t="shared" ref="Q1220:Q1290" si="204">O1220+P1220</f>
        <v>3899999.9879999994</v>
      </c>
      <c r="R1220" s="1083"/>
      <c r="S1220" s="1083"/>
      <c r="T1220" s="1083"/>
      <c r="U1220" s="1083"/>
      <c r="V1220" s="1083">
        <f t="shared" si="203"/>
        <v>3899999.9879999994</v>
      </c>
    </row>
    <row r="1221" spans="1:23" s="1002" customFormat="1" hidden="1">
      <c r="A1221" s="1000" t="s">
        <v>756</v>
      </c>
      <c r="B1221" s="1001" t="s">
        <v>759</v>
      </c>
      <c r="C1221" s="1078">
        <v>46246</v>
      </c>
      <c r="D1221" s="1078"/>
      <c r="E1221" s="1002" t="s">
        <v>757</v>
      </c>
      <c r="F1221" s="1077">
        <v>46289</v>
      </c>
      <c r="G1221" s="1002" t="s">
        <v>1319</v>
      </c>
      <c r="H1221" s="1111" t="s">
        <v>1318</v>
      </c>
      <c r="I1221" s="1002" t="s">
        <v>758</v>
      </c>
      <c r="J1221" s="1007" t="s">
        <v>90</v>
      </c>
      <c r="K1221" s="1002" t="s">
        <v>91</v>
      </c>
      <c r="L1221" s="1002" t="s">
        <v>18</v>
      </c>
      <c r="M1221" s="1222">
        <v>2</v>
      </c>
      <c r="N1221" s="1081">
        <v>907407.41</v>
      </c>
      <c r="O1221" s="1223">
        <f t="shared" ref="O1221:O1222" si="205">M1221*N1221</f>
        <v>1814814.82</v>
      </c>
      <c r="P1221" s="1082">
        <f>O1221*8%</f>
        <v>145185.1856</v>
      </c>
      <c r="Q1221" s="1206">
        <f t="shared" si="204"/>
        <v>1960000.0056</v>
      </c>
      <c r="R1221" s="1083"/>
      <c r="S1221" s="1083"/>
      <c r="T1221" s="1083"/>
      <c r="U1221" s="1083"/>
      <c r="V1221" s="1083">
        <f t="shared" si="203"/>
        <v>1960000.0056</v>
      </c>
    </row>
    <row r="1222" spans="1:23" s="1002" customFormat="1" hidden="1">
      <c r="A1222" s="1000" t="s">
        <v>756</v>
      </c>
      <c r="B1222" s="1001" t="s">
        <v>759</v>
      </c>
      <c r="C1222" s="1078">
        <v>46246</v>
      </c>
      <c r="D1222" s="1078"/>
      <c r="E1222" s="1002" t="s">
        <v>757</v>
      </c>
      <c r="F1222" s="1077">
        <v>46252</v>
      </c>
      <c r="G1222" s="1002" t="s">
        <v>880</v>
      </c>
      <c r="H1222" s="1111" t="s">
        <v>879</v>
      </c>
      <c r="I1222" s="1008" t="s">
        <v>862</v>
      </c>
      <c r="J1222" s="1007" t="s">
        <v>62</v>
      </c>
      <c r="K1222" s="1002" t="s">
        <v>63</v>
      </c>
      <c r="L1222" s="1002" t="s">
        <v>18</v>
      </c>
      <c r="M1222" s="1222">
        <v>6</v>
      </c>
      <c r="N1222" s="1081">
        <v>0</v>
      </c>
      <c r="O1222" s="1223">
        <f t="shared" si="205"/>
        <v>0</v>
      </c>
      <c r="P1222" s="1082">
        <f t="shared" ref="P1222:P1290" si="206">O1222*8%</f>
        <v>0</v>
      </c>
      <c r="Q1222" s="1206">
        <f t="shared" si="204"/>
        <v>0</v>
      </c>
      <c r="R1222" s="1083"/>
      <c r="S1222" s="1083"/>
      <c r="T1222" s="1083"/>
      <c r="U1222" s="1083"/>
      <c r="V1222" s="1083">
        <f t="shared" ref="V1222:V1289" si="207">Q1222-R1222-S1222-T1222-U1222</f>
        <v>0</v>
      </c>
    </row>
    <row r="1223" spans="1:23" s="1002" customFormat="1" hidden="1">
      <c r="A1223" s="1000" t="s">
        <v>738</v>
      </c>
      <c r="B1223" s="1001" t="s">
        <v>748</v>
      </c>
      <c r="C1223" s="1078">
        <v>46246</v>
      </c>
      <c r="D1223" s="1078"/>
      <c r="F1223" s="1077"/>
      <c r="H1223" s="1111"/>
      <c r="I1223" s="1002" t="s">
        <v>844</v>
      </c>
      <c r="J1223" s="1007"/>
      <c r="M1223" s="1086"/>
      <c r="N1223" s="1081"/>
      <c r="O1223" s="1082"/>
      <c r="P1223" s="1082">
        <f t="shared" si="206"/>
        <v>0</v>
      </c>
      <c r="Q1223" s="1082">
        <f t="shared" si="204"/>
        <v>0</v>
      </c>
      <c r="R1223" s="1083">
        <v>1730000</v>
      </c>
      <c r="S1223" s="1083"/>
      <c r="T1223" s="1083"/>
      <c r="U1223" s="1083"/>
      <c r="V1223" s="1083">
        <f t="shared" si="207"/>
        <v>-1730000</v>
      </c>
    </row>
    <row r="1224" spans="1:23" s="1002" customFormat="1" hidden="1">
      <c r="A1224" s="1000" t="s">
        <v>752</v>
      </c>
      <c r="B1224" s="1028" t="s">
        <v>1494</v>
      </c>
      <c r="C1224" s="1078">
        <v>46246</v>
      </c>
      <c r="D1224" s="1078"/>
      <c r="F1224" s="1077"/>
      <c r="H1224" s="1111"/>
      <c r="I1224" s="1002" t="s">
        <v>844</v>
      </c>
      <c r="J1224" s="1007"/>
      <c r="M1224" s="1086"/>
      <c r="N1224" s="1081"/>
      <c r="O1224" s="1082"/>
      <c r="P1224" s="1082">
        <f t="shared" si="206"/>
        <v>0</v>
      </c>
      <c r="Q1224" s="1082">
        <f t="shared" si="204"/>
        <v>0</v>
      </c>
      <c r="R1224" s="1083">
        <v>60000000</v>
      </c>
      <c r="S1224" s="1083"/>
      <c r="T1224" s="1083"/>
      <c r="U1224" s="1083"/>
      <c r="V1224" s="1083">
        <f t="shared" si="207"/>
        <v>-60000000</v>
      </c>
    </row>
    <row r="1225" spans="1:23" s="1002" customFormat="1" hidden="1">
      <c r="A1225" s="1000" t="s">
        <v>752</v>
      </c>
      <c r="B1225" s="1028" t="s">
        <v>1494</v>
      </c>
      <c r="C1225" s="1078">
        <v>46246</v>
      </c>
      <c r="D1225" s="1078"/>
      <c r="F1225" s="1077"/>
      <c r="H1225" s="1111"/>
      <c r="I1225" s="1002" t="s">
        <v>760</v>
      </c>
      <c r="J1225" s="1007"/>
      <c r="M1225" s="1086"/>
      <c r="N1225" s="1081"/>
      <c r="O1225" s="1082"/>
      <c r="P1225" s="1082">
        <f t="shared" si="206"/>
        <v>0</v>
      </c>
      <c r="Q1225" s="1082">
        <f t="shared" si="204"/>
        <v>0</v>
      </c>
      <c r="R1225" s="1083"/>
      <c r="S1225" s="1083">
        <v>750000</v>
      </c>
      <c r="T1225" s="1083"/>
      <c r="U1225" s="1083"/>
      <c r="V1225" s="1083">
        <f t="shared" si="207"/>
        <v>-750000</v>
      </c>
    </row>
    <row r="1226" spans="1:23" s="1002" customFormat="1" hidden="1">
      <c r="A1226" s="1000" t="s">
        <v>761</v>
      </c>
      <c r="B1226" s="1028" t="s">
        <v>1496</v>
      </c>
      <c r="C1226" s="1078">
        <v>46247</v>
      </c>
      <c r="D1226" s="1078"/>
      <c r="E1226" s="1002" t="s">
        <v>762</v>
      </c>
      <c r="F1226" s="1077">
        <v>46295</v>
      </c>
      <c r="G1226" s="1002" t="s">
        <v>1382</v>
      </c>
      <c r="H1226" s="1111" t="s">
        <v>1381</v>
      </c>
      <c r="I1226" s="1002" t="s">
        <v>1497</v>
      </c>
      <c r="J1226" s="1007" t="s">
        <v>641</v>
      </c>
      <c r="K1226" s="1002" t="s">
        <v>657</v>
      </c>
      <c r="L1226" s="1002" t="s">
        <v>18</v>
      </c>
      <c r="M1226" s="1222">
        <v>15</v>
      </c>
      <c r="N1226" s="1081">
        <v>644444.43999999994</v>
      </c>
      <c r="O1226" s="1223">
        <f t="shared" ref="O1226:O1240" si="208">M1226*N1226</f>
        <v>9666666.5999999996</v>
      </c>
      <c r="P1226" s="1082">
        <f t="shared" si="206"/>
        <v>773333.32799999998</v>
      </c>
      <c r="Q1226" s="1206">
        <f t="shared" si="204"/>
        <v>10439999.927999999</v>
      </c>
      <c r="R1226" s="1083"/>
      <c r="S1226" s="1083"/>
      <c r="T1226" s="1083"/>
      <c r="U1226" s="1083"/>
      <c r="V1226" s="1083">
        <f t="shared" si="207"/>
        <v>10439999.927999999</v>
      </c>
    </row>
    <row r="1227" spans="1:23" s="1002" customFormat="1" hidden="1">
      <c r="A1227" s="1000" t="s">
        <v>761</v>
      </c>
      <c r="B1227" s="1028" t="s">
        <v>1496</v>
      </c>
      <c r="C1227" s="1078">
        <v>46247</v>
      </c>
      <c r="D1227" s="1078"/>
      <c r="E1227" s="1002" t="s">
        <v>762</v>
      </c>
      <c r="F1227" s="1077">
        <v>46295</v>
      </c>
      <c r="G1227" s="1002" t="s">
        <v>1382</v>
      </c>
      <c r="H1227" s="1111" t="s">
        <v>1381</v>
      </c>
      <c r="I1227" s="1002" t="s">
        <v>1497</v>
      </c>
      <c r="J1227" s="1007" t="s">
        <v>643</v>
      </c>
      <c r="K1227" s="1002" t="s">
        <v>644</v>
      </c>
      <c r="L1227" s="1002" t="s">
        <v>18</v>
      </c>
      <c r="M1227" s="1222">
        <v>15</v>
      </c>
      <c r="N1227" s="1081">
        <v>527777.78</v>
      </c>
      <c r="O1227" s="1223">
        <f t="shared" si="208"/>
        <v>7916666.7000000002</v>
      </c>
      <c r="P1227" s="1082">
        <f t="shared" si="206"/>
        <v>633333.33600000001</v>
      </c>
      <c r="Q1227" s="1206">
        <f t="shared" si="204"/>
        <v>8550000.0360000003</v>
      </c>
      <c r="R1227" s="1083"/>
      <c r="S1227" s="1083"/>
      <c r="T1227" s="1083"/>
      <c r="U1227" s="1083"/>
      <c r="V1227" s="1083">
        <f t="shared" si="207"/>
        <v>8550000.0360000003</v>
      </c>
    </row>
    <row r="1228" spans="1:23" s="1002" customFormat="1" hidden="1">
      <c r="A1228" s="1000" t="s">
        <v>761</v>
      </c>
      <c r="B1228" s="1028" t="s">
        <v>1496</v>
      </c>
      <c r="C1228" s="1078">
        <v>46247</v>
      </c>
      <c r="D1228" s="1078"/>
      <c r="E1228" s="1002" t="s">
        <v>762</v>
      </c>
      <c r="F1228" s="1077">
        <v>46295</v>
      </c>
      <c r="G1228" s="1002" t="s">
        <v>1382</v>
      </c>
      <c r="H1228" s="1111" t="s">
        <v>1381</v>
      </c>
      <c r="I1228" s="1002" t="s">
        <v>1497</v>
      </c>
      <c r="J1228" s="1007" t="s">
        <v>645</v>
      </c>
      <c r="K1228" s="1002" t="s">
        <v>646</v>
      </c>
      <c r="L1228" s="1002" t="s">
        <v>18</v>
      </c>
      <c r="M1228" s="1222">
        <v>15</v>
      </c>
      <c r="N1228" s="1081">
        <v>629629.63</v>
      </c>
      <c r="O1228" s="1223">
        <f>M1228*N1228</f>
        <v>9444444.4499999993</v>
      </c>
      <c r="P1228" s="1082">
        <f t="shared" si="206"/>
        <v>755555.55599999998</v>
      </c>
      <c r="Q1228" s="1206">
        <f t="shared" si="204"/>
        <v>10200000.005999999</v>
      </c>
      <c r="R1228" s="1083"/>
      <c r="S1228" s="1083"/>
      <c r="T1228" s="1083"/>
      <c r="U1228" s="1083"/>
      <c r="V1228" s="1083">
        <f t="shared" si="207"/>
        <v>10200000.005999999</v>
      </c>
    </row>
    <row r="1229" spans="1:23" s="1002" customFormat="1" hidden="1">
      <c r="A1229" s="1000" t="s">
        <v>761</v>
      </c>
      <c r="B1229" s="1028" t="s">
        <v>1496</v>
      </c>
      <c r="C1229" s="1078">
        <v>46247</v>
      </c>
      <c r="D1229" s="1078"/>
      <c r="E1229" s="1002" t="s">
        <v>762</v>
      </c>
      <c r="F1229" s="1077">
        <v>46295</v>
      </c>
      <c r="G1229" s="1002" t="s">
        <v>1382</v>
      </c>
      <c r="H1229" s="1111" t="s">
        <v>1381</v>
      </c>
      <c r="I1229" s="1002" t="s">
        <v>1497</v>
      </c>
      <c r="J1229" s="1007" t="s">
        <v>651</v>
      </c>
      <c r="K1229" s="1002" t="s">
        <v>652</v>
      </c>
      <c r="L1229" s="1002" t="s">
        <v>18</v>
      </c>
      <c r="M1229" s="1222">
        <v>15</v>
      </c>
      <c r="N1229" s="1081">
        <v>694444.44</v>
      </c>
      <c r="O1229" s="1223">
        <f t="shared" si="208"/>
        <v>10416666.6</v>
      </c>
      <c r="P1229" s="1082">
        <f t="shared" si="206"/>
        <v>833333.32799999998</v>
      </c>
      <c r="Q1229" s="1206">
        <f t="shared" si="204"/>
        <v>11249999.927999999</v>
      </c>
      <c r="R1229" s="1083"/>
      <c r="S1229" s="1083"/>
      <c r="T1229" s="1083"/>
      <c r="U1229" s="1083"/>
      <c r="V1229" s="1083">
        <f t="shared" si="207"/>
        <v>11249999.927999999</v>
      </c>
    </row>
    <row r="1230" spans="1:23" s="1002" customFormat="1" hidden="1">
      <c r="A1230" s="1000" t="s">
        <v>761</v>
      </c>
      <c r="B1230" s="1028" t="s">
        <v>1496</v>
      </c>
      <c r="C1230" s="1078">
        <v>46247</v>
      </c>
      <c r="D1230" s="1078"/>
      <c r="E1230" s="1002" t="s">
        <v>762</v>
      </c>
      <c r="F1230" s="1077">
        <v>46295</v>
      </c>
      <c r="G1230" s="1002" t="s">
        <v>1382</v>
      </c>
      <c r="H1230" s="1111" t="s">
        <v>1381</v>
      </c>
      <c r="I1230" s="1002" t="s">
        <v>1497</v>
      </c>
      <c r="J1230" s="1007" t="s">
        <v>655</v>
      </c>
      <c r="K1230" s="1002" t="s">
        <v>656</v>
      </c>
      <c r="L1230" s="1002" t="s">
        <v>18</v>
      </c>
      <c r="M1230" s="1222">
        <v>15</v>
      </c>
      <c r="N1230" s="1081">
        <v>574074.06999999995</v>
      </c>
      <c r="O1230" s="1223">
        <f t="shared" si="208"/>
        <v>8611111.0499999989</v>
      </c>
      <c r="P1230" s="1082">
        <f t="shared" si="206"/>
        <v>688888.88399999996</v>
      </c>
      <c r="Q1230" s="1206">
        <f t="shared" si="204"/>
        <v>9299999.9339999985</v>
      </c>
      <c r="R1230" s="1083"/>
      <c r="S1230" s="1083"/>
      <c r="T1230" s="1083"/>
      <c r="U1230" s="1083"/>
      <c r="V1230" s="1083">
        <f t="shared" si="207"/>
        <v>9299999.9339999985</v>
      </c>
    </row>
    <row r="1231" spans="1:23" s="1002" customFormat="1" hidden="1">
      <c r="A1231" s="1000" t="s">
        <v>761</v>
      </c>
      <c r="B1231" s="1028" t="s">
        <v>1496</v>
      </c>
      <c r="C1231" s="1078">
        <v>46247</v>
      </c>
      <c r="D1231" s="1078"/>
      <c r="E1231" s="1002" t="s">
        <v>762</v>
      </c>
      <c r="F1231" s="1077">
        <v>46295</v>
      </c>
      <c r="G1231" s="1002" t="s">
        <v>1382</v>
      </c>
      <c r="H1231" s="1111" t="s">
        <v>1381</v>
      </c>
      <c r="I1231" s="1002" t="s">
        <v>1497</v>
      </c>
      <c r="J1231" s="1007" t="s">
        <v>647</v>
      </c>
      <c r="K1231" s="1002" t="s">
        <v>648</v>
      </c>
      <c r="L1231" s="1002" t="s">
        <v>18</v>
      </c>
      <c r="M1231" s="1222">
        <v>7</v>
      </c>
      <c r="N1231" s="1081">
        <v>601851.85</v>
      </c>
      <c r="O1231" s="1223">
        <f t="shared" si="208"/>
        <v>4212962.95</v>
      </c>
      <c r="P1231" s="1082">
        <f t="shared" si="206"/>
        <v>337037.03600000002</v>
      </c>
      <c r="Q1231" s="1206">
        <f t="shared" si="204"/>
        <v>4549999.9860000005</v>
      </c>
      <c r="R1231" s="1083"/>
      <c r="S1231" s="1083"/>
      <c r="T1231" s="1083"/>
      <c r="U1231" s="1083"/>
      <c r="V1231" s="1083">
        <f t="shared" si="207"/>
        <v>4549999.9860000005</v>
      </c>
    </row>
    <row r="1232" spans="1:23" s="1002" customFormat="1" hidden="1">
      <c r="A1232" s="1000" t="s">
        <v>761</v>
      </c>
      <c r="B1232" s="1028" t="s">
        <v>1496</v>
      </c>
      <c r="C1232" s="1078">
        <v>46247</v>
      </c>
      <c r="D1232" s="1078"/>
      <c r="E1232" s="1002" t="s">
        <v>762</v>
      </c>
      <c r="F1232" s="1077">
        <v>46248</v>
      </c>
      <c r="G1232" s="1002" t="s">
        <v>788</v>
      </c>
      <c r="H1232" s="1111" t="s">
        <v>787</v>
      </c>
      <c r="I1232" s="1002" t="s">
        <v>1497</v>
      </c>
      <c r="J1232" s="1007" t="s">
        <v>62</v>
      </c>
      <c r="K1232" s="1002" t="s">
        <v>63</v>
      </c>
      <c r="L1232" s="1002" t="s">
        <v>18</v>
      </c>
      <c r="M1232" s="1222">
        <v>30</v>
      </c>
      <c r="N1232" s="1081">
        <v>78703.7</v>
      </c>
      <c r="O1232" s="1223">
        <f t="shared" si="208"/>
        <v>2361111</v>
      </c>
      <c r="P1232" s="1082">
        <f t="shared" si="206"/>
        <v>188888.88</v>
      </c>
      <c r="Q1232" s="1206">
        <f t="shared" si="204"/>
        <v>2549999.88</v>
      </c>
      <c r="R1232" s="1083"/>
      <c r="S1232" s="1083"/>
      <c r="T1232" s="1083"/>
      <c r="U1232" s="1083"/>
      <c r="V1232" s="1083">
        <f t="shared" si="207"/>
        <v>2549999.88</v>
      </c>
    </row>
    <row r="1233" spans="1:22" s="1002" customFormat="1" hidden="1">
      <c r="A1233" s="1000" t="s">
        <v>761</v>
      </c>
      <c r="B1233" s="1028" t="s">
        <v>1496</v>
      </c>
      <c r="C1233" s="1078">
        <v>46247</v>
      </c>
      <c r="D1233" s="1078"/>
      <c r="E1233" s="1002" t="s">
        <v>762</v>
      </c>
      <c r="F1233" s="1077">
        <v>46248</v>
      </c>
      <c r="G1233" s="1002" t="s">
        <v>788</v>
      </c>
      <c r="H1233" s="1111" t="s">
        <v>787</v>
      </c>
      <c r="I1233" s="1002" t="s">
        <v>1497</v>
      </c>
      <c r="J1233" s="1007" t="s">
        <v>62</v>
      </c>
      <c r="K1233" s="1002" t="s">
        <v>63</v>
      </c>
      <c r="L1233" s="1002" t="s">
        <v>18</v>
      </c>
      <c r="M1233" s="1222">
        <v>10</v>
      </c>
      <c r="N1233" s="1081">
        <v>101851.85</v>
      </c>
      <c r="O1233" s="1223">
        <f t="shared" si="208"/>
        <v>1018518.5</v>
      </c>
      <c r="P1233" s="1082">
        <f t="shared" si="206"/>
        <v>81481.48</v>
      </c>
      <c r="Q1233" s="1206">
        <f t="shared" si="204"/>
        <v>1099999.98</v>
      </c>
      <c r="R1233" s="1083"/>
      <c r="S1233" s="1083"/>
      <c r="T1233" s="1083"/>
      <c r="U1233" s="1083"/>
      <c r="V1233" s="1083">
        <f t="shared" si="207"/>
        <v>1099999.98</v>
      </c>
    </row>
    <row r="1234" spans="1:22" s="1002" customFormat="1" hidden="1">
      <c r="A1234" s="1000" t="s">
        <v>761</v>
      </c>
      <c r="B1234" s="1028" t="s">
        <v>1496</v>
      </c>
      <c r="C1234" s="1078">
        <v>46247</v>
      </c>
      <c r="D1234" s="1078"/>
      <c r="E1234" s="1002" t="s">
        <v>762</v>
      </c>
      <c r="F1234" s="1077">
        <v>46295</v>
      </c>
      <c r="G1234" s="1002" t="s">
        <v>1382</v>
      </c>
      <c r="H1234" s="1111" t="s">
        <v>1381</v>
      </c>
      <c r="I1234" s="1008" t="s">
        <v>892</v>
      </c>
      <c r="J1234" s="1007" t="s">
        <v>641</v>
      </c>
      <c r="K1234" s="1002" t="s">
        <v>657</v>
      </c>
      <c r="L1234" s="1002" t="s">
        <v>18</v>
      </c>
      <c r="M1234" s="1222">
        <v>1</v>
      </c>
      <c r="N1234" s="1081">
        <v>0</v>
      </c>
      <c r="O1234" s="1223">
        <f t="shared" si="208"/>
        <v>0</v>
      </c>
      <c r="P1234" s="1082">
        <f t="shared" si="206"/>
        <v>0</v>
      </c>
      <c r="Q1234" s="1206">
        <f t="shared" si="204"/>
        <v>0</v>
      </c>
      <c r="R1234" s="1083"/>
      <c r="S1234" s="1083"/>
      <c r="T1234" s="1083"/>
      <c r="U1234" s="1083"/>
      <c r="V1234" s="1083">
        <f t="shared" si="207"/>
        <v>0</v>
      </c>
    </row>
    <row r="1235" spans="1:22" s="1002" customFormat="1" hidden="1">
      <c r="A1235" s="1000" t="s">
        <v>761</v>
      </c>
      <c r="B1235" s="1028" t="s">
        <v>1496</v>
      </c>
      <c r="C1235" s="1078">
        <v>46247</v>
      </c>
      <c r="D1235" s="1078"/>
      <c r="E1235" s="1002" t="s">
        <v>762</v>
      </c>
      <c r="F1235" s="1077">
        <v>46295</v>
      </c>
      <c r="G1235" s="1002" t="s">
        <v>1382</v>
      </c>
      <c r="H1235" s="1111" t="s">
        <v>1381</v>
      </c>
      <c r="I1235" s="1008" t="s">
        <v>892</v>
      </c>
      <c r="J1235" s="1007" t="s">
        <v>643</v>
      </c>
      <c r="K1235" s="1002" t="s">
        <v>644</v>
      </c>
      <c r="L1235" s="1002" t="s">
        <v>18</v>
      </c>
      <c r="M1235" s="1222">
        <v>1</v>
      </c>
      <c r="N1235" s="1081">
        <v>0</v>
      </c>
      <c r="O1235" s="1223">
        <f t="shared" si="208"/>
        <v>0</v>
      </c>
      <c r="P1235" s="1082">
        <f t="shared" si="206"/>
        <v>0</v>
      </c>
      <c r="Q1235" s="1206">
        <f t="shared" si="204"/>
        <v>0</v>
      </c>
      <c r="R1235" s="1083"/>
      <c r="S1235" s="1083"/>
      <c r="T1235" s="1083"/>
      <c r="U1235" s="1083"/>
      <c r="V1235" s="1083">
        <f t="shared" si="207"/>
        <v>0</v>
      </c>
    </row>
    <row r="1236" spans="1:22" s="1002" customFormat="1" hidden="1">
      <c r="A1236" s="1000" t="s">
        <v>761</v>
      </c>
      <c r="B1236" s="1028" t="s">
        <v>1496</v>
      </c>
      <c r="C1236" s="1078">
        <v>46247</v>
      </c>
      <c r="D1236" s="1078"/>
      <c r="E1236" s="1002" t="s">
        <v>762</v>
      </c>
      <c r="F1236" s="1077">
        <v>46295</v>
      </c>
      <c r="G1236" s="1002" t="s">
        <v>1382</v>
      </c>
      <c r="H1236" s="1111" t="s">
        <v>1381</v>
      </c>
      <c r="I1236" s="1008" t="s">
        <v>892</v>
      </c>
      <c r="J1236" s="1007" t="s">
        <v>645</v>
      </c>
      <c r="K1236" s="1002" t="s">
        <v>646</v>
      </c>
      <c r="L1236" s="1002" t="s">
        <v>18</v>
      </c>
      <c r="M1236" s="1222">
        <v>1</v>
      </c>
      <c r="N1236" s="1081">
        <v>0</v>
      </c>
      <c r="O1236" s="1223">
        <f t="shared" si="208"/>
        <v>0</v>
      </c>
      <c r="P1236" s="1082">
        <f t="shared" si="206"/>
        <v>0</v>
      </c>
      <c r="Q1236" s="1206">
        <f t="shared" si="204"/>
        <v>0</v>
      </c>
      <c r="R1236" s="1083"/>
      <c r="S1236" s="1083"/>
      <c r="T1236" s="1083"/>
      <c r="U1236" s="1083"/>
      <c r="V1236" s="1083">
        <f t="shared" si="207"/>
        <v>0</v>
      </c>
    </row>
    <row r="1237" spans="1:22" s="1002" customFormat="1" hidden="1">
      <c r="A1237" s="1000" t="s">
        <v>761</v>
      </c>
      <c r="B1237" s="1028" t="s">
        <v>1496</v>
      </c>
      <c r="C1237" s="1078">
        <v>46247</v>
      </c>
      <c r="D1237" s="1078"/>
      <c r="E1237" s="1002" t="s">
        <v>762</v>
      </c>
      <c r="F1237" s="1077">
        <v>46295</v>
      </c>
      <c r="G1237" s="1002" t="s">
        <v>1382</v>
      </c>
      <c r="H1237" s="1111" t="s">
        <v>1381</v>
      </c>
      <c r="I1237" s="1008" t="s">
        <v>892</v>
      </c>
      <c r="J1237" s="1007" t="s">
        <v>651</v>
      </c>
      <c r="K1237" s="1002" t="s">
        <v>652</v>
      </c>
      <c r="L1237" s="1002" t="s">
        <v>18</v>
      </c>
      <c r="M1237" s="1222">
        <v>1</v>
      </c>
      <c r="N1237" s="1081">
        <v>0</v>
      </c>
      <c r="O1237" s="1223">
        <f t="shared" si="208"/>
        <v>0</v>
      </c>
      <c r="P1237" s="1082">
        <f t="shared" si="206"/>
        <v>0</v>
      </c>
      <c r="Q1237" s="1206">
        <f t="shared" si="204"/>
        <v>0</v>
      </c>
      <c r="R1237" s="1083"/>
      <c r="S1237" s="1083"/>
      <c r="T1237" s="1083"/>
      <c r="U1237" s="1083"/>
      <c r="V1237" s="1083">
        <f t="shared" si="207"/>
        <v>0</v>
      </c>
    </row>
    <row r="1238" spans="1:22" s="1002" customFormat="1" hidden="1">
      <c r="A1238" s="1000" t="s">
        <v>761</v>
      </c>
      <c r="B1238" s="1028" t="s">
        <v>1496</v>
      </c>
      <c r="C1238" s="1078">
        <v>46247</v>
      </c>
      <c r="D1238" s="1078"/>
      <c r="E1238" s="1002" t="s">
        <v>762</v>
      </c>
      <c r="F1238" s="1077">
        <v>46295</v>
      </c>
      <c r="G1238" s="1002" t="s">
        <v>1382</v>
      </c>
      <c r="H1238" s="1111" t="s">
        <v>1381</v>
      </c>
      <c r="I1238" s="1008" t="s">
        <v>892</v>
      </c>
      <c r="J1238" s="1007" t="s">
        <v>655</v>
      </c>
      <c r="K1238" s="1002" t="s">
        <v>656</v>
      </c>
      <c r="L1238" s="1002" t="s">
        <v>18</v>
      </c>
      <c r="M1238" s="1222">
        <v>1</v>
      </c>
      <c r="N1238" s="1081">
        <v>0</v>
      </c>
      <c r="O1238" s="1223">
        <f t="shared" si="208"/>
        <v>0</v>
      </c>
      <c r="P1238" s="1082">
        <f t="shared" si="206"/>
        <v>0</v>
      </c>
      <c r="Q1238" s="1206">
        <f t="shared" si="204"/>
        <v>0</v>
      </c>
      <c r="R1238" s="1083"/>
      <c r="S1238" s="1083"/>
      <c r="T1238" s="1083"/>
      <c r="U1238" s="1083"/>
      <c r="V1238" s="1083">
        <f t="shared" si="207"/>
        <v>0</v>
      </c>
    </row>
    <row r="1239" spans="1:22" s="1002" customFormat="1" hidden="1">
      <c r="A1239" s="1000" t="s">
        <v>761</v>
      </c>
      <c r="B1239" s="1028" t="s">
        <v>1496</v>
      </c>
      <c r="C1239" s="1078">
        <v>46247</v>
      </c>
      <c r="D1239" s="1078"/>
      <c r="E1239" s="1002" t="s">
        <v>762</v>
      </c>
      <c r="F1239" s="1077">
        <v>46295</v>
      </c>
      <c r="G1239" s="1002" t="s">
        <v>1382</v>
      </c>
      <c r="H1239" s="1111" t="s">
        <v>1381</v>
      </c>
      <c r="I1239" s="1008" t="s">
        <v>892</v>
      </c>
      <c r="J1239" s="1007" t="s">
        <v>647</v>
      </c>
      <c r="K1239" s="1002" t="s">
        <v>648</v>
      </c>
      <c r="L1239" s="1002" t="s">
        <v>18</v>
      </c>
      <c r="M1239" s="1222">
        <v>1</v>
      </c>
      <c r="N1239" s="1081">
        <v>0</v>
      </c>
      <c r="O1239" s="1223">
        <f t="shared" si="208"/>
        <v>0</v>
      </c>
      <c r="P1239" s="1082">
        <f t="shared" si="206"/>
        <v>0</v>
      </c>
      <c r="Q1239" s="1206">
        <f t="shared" si="204"/>
        <v>0</v>
      </c>
      <c r="R1239" s="1083"/>
      <c r="S1239" s="1083"/>
      <c r="T1239" s="1083"/>
      <c r="U1239" s="1083"/>
      <c r="V1239" s="1083">
        <f t="shared" si="207"/>
        <v>0</v>
      </c>
    </row>
    <row r="1240" spans="1:22" s="1002" customFormat="1" hidden="1">
      <c r="A1240" s="1000" t="s">
        <v>761</v>
      </c>
      <c r="B1240" s="1028" t="s">
        <v>1496</v>
      </c>
      <c r="C1240" s="1078">
        <v>46247</v>
      </c>
      <c r="D1240" s="1078"/>
      <c r="E1240" s="1002" t="s">
        <v>763</v>
      </c>
      <c r="F1240" s="1077">
        <v>46248</v>
      </c>
      <c r="G1240" s="1002" t="s">
        <v>788</v>
      </c>
      <c r="H1240" s="1111" t="s">
        <v>787</v>
      </c>
      <c r="I1240" s="1002" t="s">
        <v>1497</v>
      </c>
      <c r="J1240" s="1007" t="s">
        <v>98</v>
      </c>
      <c r="K1240" s="1002" t="s">
        <v>251</v>
      </c>
      <c r="L1240" s="1002" t="s">
        <v>18</v>
      </c>
      <c r="M1240" s="1222">
        <v>30</v>
      </c>
      <c r="N1240" s="1081">
        <v>694444.44</v>
      </c>
      <c r="O1240" s="1223">
        <f t="shared" si="208"/>
        <v>20833333.199999999</v>
      </c>
      <c r="P1240" s="1082">
        <f>O1240*8%</f>
        <v>1666666.656</v>
      </c>
      <c r="Q1240" s="1206">
        <f t="shared" si="204"/>
        <v>22499999.855999999</v>
      </c>
      <c r="R1240" s="1083"/>
      <c r="S1240" s="1083"/>
      <c r="T1240" s="1083"/>
      <c r="U1240" s="1083"/>
      <c r="V1240" s="1083">
        <f>Q1240-R1240-S1240-T1240-U1240</f>
        <v>22499999.855999999</v>
      </c>
    </row>
    <row r="1241" spans="1:22" s="1002" customFormat="1" hidden="1">
      <c r="A1241" s="1000" t="s">
        <v>768</v>
      </c>
      <c r="B1241" s="1001" t="s">
        <v>770</v>
      </c>
      <c r="C1241" s="1078">
        <v>46248</v>
      </c>
      <c r="D1241" s="1078"/>
      <c r="E1241" s="1002" t="s">
        <v>769</v>
      </c>
      <c r="F1241" s="1077"/>
      <c r="H1241" s="1111"/>
      <c r="I1241" s="1002" t="s">
        <v>820</v>
      </c>
      <c r="J1241" s="1007" t="s">
        <v>103</v>
      </c>
      <c r="K1241" s="1002" t="s">
        <v>104</v>
      </c>
      <c r="L1241" s="1002" t="s">
        <v>18</v>
      </c>
      <c r="M1241" s="1222">
        <v>6</v>
      </c>
      <c r="N1241" s="1081">
        <v>675925.93</v>
      </c>
      <c r="O1241" s="1223">
        <f>M1241*N1241</f>
        <v>4055555.58</v>
      </c>
      <c r="P1241" s="1082">
        <f t="shared" si="206"/>
        <v>324444.44640000002</v>
      </c>
      <c r="Q1241" s="1206">
        <f t="shared" si="204"/>
        <v>4380000.0263999999</v>
      </c>
      <c r="R1241" s="1083"/>
      <c r="S1241" s="1083"/>
      <c r="T1241" s="1083"/>
      <c r="U1241" s="1083"/>
      <c r="V1241" s="1083">
        <f t="shared" ref="V1241:V1249" si="209">Q1241-R1241-S1241-T1241-U1241</f>
        <v>4380000.0263999999</v>
      </c>
    </row>
    <row r="1242" spans="1:22" s="1002" customFormat="1" hidden="1">
      <c r="A1242" s="1000" t="s">
        <v>768</v>
      </c>
      <c r="B1242" s="1001" t="s">
        <v>770</v>
      </c>
      <c r="C1242" s="1078">
        <v>46248</v>
      </c>
      <c r="D1242" s="1078"/>
      <c r="E1242" s="1002" t="s">
        <v>769</v>
      </c>
      <c r="F1242" s="1077">
        <v>46296</v>
      </c>
      <c r="G1242" s="1002" t="s">
        <v>1353</v>
      </c>
      <c r="H1242" s="1111" t="s">
        <v>1352</v>
      </c>
      <c r="I1242" s="1002" t="s">
        <v>820</v>
      </c>
      <c r="J1242" s="1007" t="s">
        <v>645</v>
      </c>
      <c r="K1242" s="1002" t="s">
        <v>646</v>
      </c>
      <c r="L1242" s="1002" t="s">
        <v>18</v>
      </c>
      <c r="M1242" s="1222">
        <v>15</v>
      </c>
      <c r="N1242" s="1081">
        <v>629629.63</v>
      </c>
      <c r="O1242" s="1223">
        <f>M1242*N1242</f>
        <v>9444444.4499999993</v>
      </c>
      <c r="P1242" s="1082">
        <f t="shared" si="206"/>
        <v>755555.55599999998</v>
      </c>
      <c r="Q1242" s="1206">
        <f t="shared" si="204"/>
        <v>10200000.005999999</v>
      </c>
      <c r="R1242" s="1083"/>
      <c r="S1242" s="1083"/>
      <c r="T1242" s="1083"/>
      <c r="U1242" s="1083"/>
      <c r="V1242" s="1083">
        <f t="shared" si="209"/>
        <v>10200000.005999999</v>
      </c>
    </row>
    <row r="1243" spans="1:22" s="1002" customFormat="1" hidden="1">
      <c r="A1243" s="1000" t="s">
        <v>768</v>
      </c>
      <c r="B1243" s="1001" t="s">
        <v>770</v>
      </c>
      <c r="C1243" s="1078">
        <v>46248</v>
      </c>
      <c r="D1243" s="1078"/>
      <c r="E1243" s="1002" t="s">
        <v>769</v>
      </c>
      <c r="F1243" s="1077">
        <v>46296</v>
      </c>
      <c r="G1243" s="1002" t="s">
        <v>1353</v>
      </c>
      <c r="H1243" s="1111" t="s">
        <v>1352</v>
      </c>
      <c r="I1243" s="1002" t="s">
        <v>820</v>
      </c>
      <c r="J1243" s="1007" t="s">
        <v>651</v>
      </c>
      <c r="K1243" s="1002" t="s">
        <v>652</v>
      </c>
      <c r="L1243" s="1002" t="s">
        <v>18</v>
      </c>
      <c r="M1243" s="1222">
        <v>15</v>
      </c>
      <c r="N1243" s="1081">
        <v>694444.44</v>
      </c>
      <c r="O1243" s="1223">
        <f t="shared" ref="O1243:O1249" si="210">M1243*N1243</f>
        <v>10416666.6</v>
      </c>
      <c r="P1243" s="1082">
        <f t="shared" si="206"/>
        <v>833333.32799999998</v>
      </c>
      <c r="Q1243" s="1206">
        <f t="shared" si="204"/>
        <v>11249999.927999999</v>
      </c>
      <c r="R1243" s="1083"/>
      <c r="S1243" s="1083"/>
      <c r="T1243" s="1083"/>
      <c r="U1243" s="1083"/>
      <c r="V1243" s="1083">
        <f t="shared" si="209"/>
        <v>11249999.927999999</v>
      </c>
    </row>
    <row r="1244" spans="1:22" s="1002" customFormat="1" hidden="1">
      <c r="A1244" s="1000" t="s">
        <v>768</v>
      </c>
      <c r="B1244" s="1001" t="s">
        <v>770</v>
      </c>
      <c r="C1244" s="1078">
        <v>46248</v>
      </c>
      <c r="D1244" s="1078"/>
      <c r="E1244" s="1002" t="s">
        <v>769</v>
      </c>
      <c r="F1244" s="1077">
        <v>46296</v>
      </c>
      <c r="G1244" s="1002" t="s">
        <v>1353</v>
      </c>
      <c r="H1244" s="1111" t="s">
        <v>1352</v>
      </c>
      <c r="I1244" s="1002" t="s">
        <v>820</v>
      </c>
      <c r="J1244" s="1007" t="s">
        <v>655</v>
      </c>
      <c r="K1244" s="1002" t="s">
        <v>656</v>
      </c>
      <c r="L1244" s="1002" t="s">
        <v>18</v>
      </c>
      <c r="M1244" s="1222">
        <v>15</v>
      </c>
      <c r="N1244" s="1081">
        <v>574074.06999999995</v>
      </c>
      <c r="O1244" s="1223">
        <f t="shared" si="210"/>
        <v>8611111.0499999989</v>
      </c>
      <c r="P1244" s="1082">
        <f t="shared" si="206"/>
        <v>688888.88399999996</v>
      </c>
      <c r="Q1244" s="1206">
        <f t="shared" si="204"/>
        <v>9299999.9339999985</v>
      </c>
      <c r="R1244" s="1083"/>
      <c r="S1244" s="1083"/>
      <c r="T1244" s="1083"/>
      <c r="U1244" s="1083"/>
      <c r="V1244" s="1083">
        <f t="shared" si="209"/>
        <v>9299999.9339999985</v>
      </c>
    </row>
    <row r="1245" spans="1:22" s="1002" customFormat="1" hidden="1">
      <c r="A1245" s="1000" t="s">
        <v>768</v>
      </c>
      <c r="B1245" s="1001" t="s">
        <v>770</v>
      </c>
      <c r="C1245" s="1078">
        <v>46248</v>
      </c>
      <c r="D1245" s="1078"/>
      <c r="E1245" s="1002" t="s">
        <v>769</v>
      </c>
      <c r="F1245" s="1077"/>
      <c r="H1245" s="1111"/>
      <c r="I1245" s="1002" t="s">
        <v>820</v>
      </c>
      <c r="J1245" s="1007" t="s">
        <v>62</v>
      </c>
      <c r="K1245" s="1002" t="s">
        <v>63</v>
      </c>
      <c r="L1245" s="1002" t="s">
        <v>18</v>
      </c>
      <c r="M1245" s="1222">
        <v>10</v>
      </c>
      <c r="N1245" s="1081">
        <v>111111.11</v>
      </c>
      <c r="O1245" s="1223">
        <f t="shared" si="210"/>
        <v>1111111.1000000001</v>
      </c>
      <c r="P1245" s="1082">
        <f t="shared" si="206"/>
        <v>88888.888000000006</v>
      </c>
      <c r="Q1245" s="1206">
        <f t="shared" si="204"/>
        <v>1199999.9880000001</v>
      </c>
      <c r="R1245" s="1083"/>
      <c r="S1245" s="1083"/>
      <c r="T1245" s="1083"/>
      <c r="U1245" s="1083"/>
      <c r="V1245" s="1083">
        <f t="shared" si="209"/>
        <v>1199999.9880000001</v>
      </c>
    </row>
    <row r="1246" spans="1:22" s="1002" customFormat="1" hidden="1">
      <c r="A1246" s="1000" t="s">
        <v>768</v>
      </c>
      <c r="B1246" s="1001" t="s">
        <v>770</v>
      </c>
      <c r="C1246" s="1078">
        <v>46248</v>
      </c>
      <c r="D1246" s="1078"/>
      <c r="E1246" s="1002" t="s">
        <v>769</v>
      </c>
      <c r="F1246" s="1077"/>
      <c r="H1246" s="1111"/>
      <c r="I1246" s="1008" t="s">
        <v>862</v>
      </c>
      <c r="J1246" s="1007" t="s">
        <v>62</v>
      </c>
      <c r="K1246" s="1002" t="s">
        <v>63</v>
      </c>
      <c r="L1246" s="1002" t="s">
        <v>18</v>
      </c>
      <c r="M1246" s="1222">
        <v>6</v>
      </c>
      <c r="N1246" s="1081">
        <v>0</v>
      </c>
      <c r="O1246" s="1223">
        <f t="shared" si="210"/>
        <v>0</v>
      </c>
      <c r="P1246" s="1082">
        <f t="shared" si="206"/>
        <v>0</v>
      </c>
      <c r="Q1246" s="1082">
        <f t="shared" si="204"/>
        <v>0</v>
      </c>
      <c r="R1246" s="1083"/>
      <c r="S1246" s="1083"/>
      <c r="T1246" s="1083"/>
      <c r="U1246" s="1083"/>
      <c r="V1246" s="1083">
        <f t="shared" si="209"/>
        <v>0</v>
      </c>
    </row>
    <row r="1247" spans="1:22" hidden="1">
      <c r="A1247" s="1000" t="s">
        <v>768</v>
      </c>
      <c r="B1247" s="1000" t="s">
        <v>770</v>
      </c>
      <c r="C1247" s="1078">
        <v>46248</v>
      </c>
      <c r="D1247" s="1078"/>
      <c r="E1247" s="1002" t="s">
        <v>769</v>
      </c>
      <c r="F1247" s="1077">
        <v>46296</v>
      </c>
      <c r="G1247" s="1002" t="s">
        <v>1353</v>
      </c>
      <c r="H1247" s="1111" t="s">
        <v>1352</v>
      </c>
      <c r="I1247" s="1002" t="s">
        <v>892</v>
      </c>
      <c r="J1247" s="1007" t="s">
        <v>1049</v>
      </c>
      <c r="K1247" s="1002" t="s">
        <v>646</v>
      </c>
      <c r="L1247" s="1002" t="s">
        <v>18</v>
      </c>
      <c r="M1247" s="1222">
        <v>1</v>
      </c>
      <c r="N1247" s="1107">
        <v>0</v>
      </c>
      <c r="O1247" s="1223">
        <f t="shared" si="210"/>
        <v>0</v>
      </c>
      <c r="P1247" s="1082">
        <f t="shared" si="206"/>
        <v>0</v>
      </c>
      <c r="Q1247" s="1206">
        <f t="shared" si="204"/>
        <v>0</v>
      </c>
      <c r="V1247" s="1083">
        <f t="shared" si="209"/>
        <v>0</v>
      </c>
    </row>
    <row r="1248" spans="1:22" hidden="1">
      <c r="A1248" s="1000" t="s">
        <v>768</v>
      </c>
      <c r="B1248" s="1000" t="s">
        <v>770</v>
      </c>
      <c r="C1248" s="1078">
        <v>46248</v>
      </c>
      <c r="D1248" s="1078"/>
      <c r="E1248" s="1002" t="s">
        <v>769</v>
      </c>
      <c r="F1248" s="1077">
        <v>46296</v>
      </c>
      <c r="G1248" s="1002" t="s">
        <v>1353</v>
      </c>
      <c r="H1248" s="1111" t="s">
        <v>1352</v>
      </c>
      <c r="I1248" s="1002" t="s">
        <v>892</v>
      </c>
      <c r="J1248" s="1007" t="s">
        <v>1050</v>
      </c>
      <c r="K1248" s="1002" t="s">
        <v>652</v>
      </c>
      <c r="L1248" s="1002" t="s">
        <v>18</v>
      </c>
      <c r="M1248" s="1222">
        <v>1</v>
      </c>
      <c r="N1248" s="1107">
        <v>0</v>
      </c>
      <c r="O1248" s="1223">
        <f t="shared" si="210"/>
        <v>0</v>
      </c>
      <c r="P1248" s="1082">
        <f t="shared" si="206"/>
        <v>0</v>
      </c>
      <c r="Q1248" s="1206">
        <f t="shared" si="204"/>
        <v>0</v>
      </c>
      <c r="V1248" s="1083">
        <f t="shared" si="209"/>
        <v>0</v>
      </c>
    </row>
    <row r="1249" spans="1:22" hidden="1">
      <c r="A1249" s="1000" t="s">
        <v>768</v>
      </c>
      <c r="B1249" s="1000" t="s">
        <v>770</v>
      </c>
      <c r="C1249" s="1078">
        <v>46248</v>
      </c>
      <c r="D1249" s="1078"/>
      <c r="E1249" s="1002" t="s">
        <v>769</v>
      </c>
      <c r="F1249" s="1077">
        <v>46296</v>
      </c>
      <c r="G1249" s="1002" t="s">
        <v>1353</v>
      </c>
      <c r="H1249" s="1111" t="s">
        <v>1352</v>
      </c>
      <c r="I1249" s="1002" t="s">
        <v>892</v>
      </c>
      <c r="J1249" s="1007" t="s">
        <v>1051</v>
      </c>
      <c r="K1249" s="1002" t="s">
        <v>656</v>
      </c>
      <c r="L1249" s="1002" t="s">
        <v>18</v>
      </c>
      <c r="M1249" s="1222">
        <v>1</v>
      </c>
      <c r="N1249" s="1107">
        <v>0</v>
      </c>
      <c r="O1249" s="1223">
        <f t="shared" si="210"/>
        <v>0</v>
      </c>
      <c r="P1249" s="1082">
        <f t="shared" si="206"/>
        <v>0</v>
      </c>
      <c r="Q1249" s="1206">
        <f t="shared" si="204"/>
        <v>0</v>
      </c>
      <c r="V1249" s="1083">
        <f t="shared" si="209"/>
        <v>0</v>
      </c>
    </row>
    <row r="1250" spans="1:22" s="1002" customFormat="1" hidden="1">
      <c r="A1250" s="1000" t="s">
        <v>753</v>
      </c>
      <c r="B1250" s="1001" t="s">
        <v>754</v>
      </c>
      <c r="C1250" s="1078">
        <v>46248</v>
      </c>
      <c r="D1250" s="1078"/>
      <c r="E1250" s="1002" t="s">
        <v>789</v>
      </c>
      <c r="F1250" s="1077">
        <v>46295</v>
      </c>
      <c r="G1250" s="1002" t="s">
        <v>1327</v>
      </c>
      <c r="H1250" s="1111" t="s">
        <v>1326</v>
      </c>
      <c r="I1250" s="1002" t="s">
        <v>811</v>
      </c>
      <c r="J1250" s="1007" t="s">
        <v>639</v>
      </c>
      <c r="K1250" s="1002" t="s">
        <v>640</v>
      </c>
      <c r="L1250" s="1054" t="s">
        <v>18</v>
      </c>
      <c r="M1250" s="1222">
        <v>30</v>
      </c>
      <c r="N1250" s="1081">
        <v>537037.04</v>
      </c>
      <c r="O1250" s="1223">
        <f t="shared" ref="O1250:O1265" si="211">M1250*N1250</f>
        <v>16111111.200000001</v>
      </c>
      <c r="P1250" s="1082">
        <f t="shared" si="206"/>
        <v>1288888.8960000002</v>
      </c>
      <c r="Q1250" s="1206">
        <f t="shared" si="204"/>
        <v>17400000.096000001</v>
      </c>
      <c r="R1250" s="1083"/>
      <c r="S1250" s="1083"/>
      <c r="T1250" s="1083"/>
      <c r="U1250" s="1083"/>
      <c r="V1250" s="1083">
        <f t="shared" si="207"/>
        <v>17400000.096000001</v>
      </c>
    </row>
    <row r="1251" spans="1:22" s="1002" customFormat="1" hidden="1">
      <c r="A1251" s="1000" t="s">
        <v>753</v>
      </c>
      <c r="B1251" s="1001" t="s">
        <v>754</v>
      </c>
      <c r="C1251" s="1078">
        <v>46248</v>
      </c>
      <c r="D1251" s="1078"/>
      <c r="E1251" s="1002" t="s">
        <v>789</v>
      </c>
      <c r="F1251" s="1077">
        <v>46295</v>
      </c>
      <c r="G1251" s="1002" t="s">
        <v>1327</v>
      </c>
      <c r="H1251" s="1111" t="s">
        <v>1326</v>
      </c>
      <c r="I1251" s="1002" t="s">
        <v>811</v>
      </c>
      <c r="J1251" s="1007" t="s">
        <v>641</v>
      </c>
      <c r="K1251" s="1002" t="s">
        <v>657</v>
      </c>
      <c r="L1251" s="1054" t="s">
        <v>18</v>
      </c>
      <c r="M1251" s="1222">
        <v>30</v>
      </c>
      <c r="N1251" s="1081">
        <v>638888.89</v>
      </c>
      <c r="O1251" s="1223">
        <f t="shared" si="211"/>
        <v>19166666.699999999</v>
      </c>
      <c r="P1251" s="1082">
        <f t="shared" si="206"/>
        <v>1533333.3359999999</v>
      </c>
      <c r="Q1251" s="1206">
        <f t="shared" si="204"/>
        <v>20700000.035999998</v>
      </c>
      <c r="R1251" s="1083"/>
      <c r="S1251" s="1083"/>
      <c r="T1251" s="1083"/>
      <c r="U1251" s="1083"/>
      <c r="V1251" s="1083">
        <f t="shared" si="207"/>
        <v>20700000.035999998</v>
      </c>
    </row>
    <row r="1252" spans="1:22" s="1002" customFormat="1" hidden="1">
      <c r="A1252" s="1000" t="s">
        <v>753</v>
      </c>
      <c r="B1252" s="1001" t="s">
        <v>754</v>
      </c>
      <c r="C1252" s="1078">
        <v>46248</v>
      </c>
      <c r="D1252" s="1078"/>
      <c r="E1252" s="1002" t="s">
        <v>789</v>
      </c>
      <c r="F1252" s="1077">
        <v>46295</v>
      </c>
      <c r="G1252" s="1002" t="s">
        <v>1327</v>
      </c>
      <c r="H1252" s="1111" t="s">
        <v>1326</v>
      </c>
      <c r="I1252" s="1002" t="s">
        <v>811</v>
      </c>
      <c r="J1252" s="1007" t="s">
        <v>643</v>
      </c>
      <c r="K1252" s="1002" t="s">
        <v>644</v>
      </c>
      <c r="L1252" s="1054" t="s">
        <v>18</v>
      </c>
      <c r="M1252" s="1222">
        <v>30</v>
      </c>
      <c r="N1252" s="1081">
        <v>527777.78</v>
      </c>
      <c r="O1252" s="1223">
        <f t="shared" si="211"/>
        <v>15833333.4</v>
      </c>
      <c r="P1252" s="1082">
        <f t="shared" si="206"/>
        <v>1266666.672</v>
      </c>
      <c r="Q1252" s="1206">
        <f t="shared" si="204"/>
        <v>17100000.072000001</v>
      </c>
      <c r="R1252" s="1083"/>
      <c r="S1252" s="1083"/>
      <c r="T1252" s="1083"/>
      <c r="U1252" s="1083"/>
      <c r="V1252" s="1083">
        <f t="shared" si="207"/>
        <v>17100000.072000001</v>
      </c>
    </row>
    <row r="1253" spans="1:22" s="1002" customFormat="1" hidden="1">
      <c r="A1253" s="1000" t="s">
        <v>753</v>
      </c>
      <c r="B1253" s="1001" t="s">
        <v>754</v>
      </c>
      <c r="C1253" s="1078">
        <v>46248</v>
      </c>
      <c r="D1253" s="1078"/>
      <c r="E1253" s="1002" t="s">
        <v>789</v>
      </c>
      <c r="F1253" s="1077">
        <v>46295</v>
      </c>
      <c r="G1253" s="1002" t="s">
        <v>1327</v>
      </c>
      <c r="H1253" s="1111" t="s">
        <v>1326</v>
      </c>
      <c r="I1253" s="1002" t="s">
        <v>811</v>
      </c>
      <c r="J1253" s="1007" t="s">
        <v>645</v>
      </c>
      <c r="K1253" s="1002" t="s">
        <v>646</v>
      </c>
      <c r="L1253" s="1054" t="s">
        <v>18</v>
      </c>
      <c r="M1253" s="1222">
        <v>30</v>
      </c>
      <c r="N1253" s="1081">
        <v>629629.63</v>
      </c>
      <c r="O1253" s="1223">
        <f t="shared" si="211"/>
        <v>18888888.899999999</v>
      </c>
      <c r="P1253" s="1082">
        <f t="shared" si="206"/>
        <v>1511111.112</v>
      </c>
      <c r="Q1253" s="1206">
        <f t="shared" si="204"/>
        <v>20400000.011999998</v>
      </c>
      <c r="R1253" s="1083"/>
      <c r="S1253" s="1083"/>
      <c r="T1253" s="1083"/>
      <c r="U1253" s="1083"/>
      <c r="V1253" s="1083">
        <f t="shared" si="207"/>
        <v>20400000.011999998</v>
      </c>
    </row>
    <row r="1254" spans="1:22" s="1002" customFormat="1" hidden="1">
      <c r="A1254" s="1000" t="s">
        <v>753</v>
      </c>
      <c r="B1254" s="1001" t="s">
        <v>754</v>
      </c>
      <c r="C1254" s="1078">
        <v>46248</v>
      </c>
      <c r="D1254" s="1078"/>
      <c r="E1254" s="1002" t="s">
        <v>789</v>
      </c>
      <c r="F1254" s="1077">
        <v>46295</v>
      </c>
      <c r="G1254" s="1002" t="s">
        <v>1327</v>
      </c>
      <c r="H1254" s="1111" t="s">
        <v>1326</v>
      </c>
      <c r="I1254" s="1002" t="s">
        <v>811</v>
      </c>
      <c r="J1254" s="1007" t="s">
        <v>653</v>
      </c>
      <c r="K1254" s="1002" t="s">
        <v>654</v>
      </c>
      <c r="L1254" s="1054" t="s">
        <v>18</v>
      </c>
      <c r="M1254" s="1222">
        <v>30</v>
      </c>
      <c r="N1254" s="1081">
        <v>481481.48</v>
      </c>
      <c r="O1254" s="1223">
        <f t="shared" si="211"/>
        <v>14444444.399999999</v>
      </c>
      <c r="P1254" s="1082">
        <f t="shared" si="206"/>
        <v>1155555.5519999999</v>
      </c>
      <c r="Q1254" s="1206">
        <f t="shared" si="204"/>
        <v>15599999.951999998</v>
      </c>
      <c r="R1254" s="1083"/>
      <c r="S1254" s="1083"/>
      <c r="T1254" s="1083"/>
      <c r="U1254" s="1083"/>
      <c r="V1254" s="1083">
        <f t="shared" si="207"/>
        <v>15599999.951999998</v>
      </c>
    </row>
    <row r="1255" spans="1:22" s="1002" customFormat="1" hidden="1">
      <c r="A1255" s="1000" t="s">
        <v>753</v>
      </c>
      <c r="B1255" s="1001" t="s">
        <v>754</v>
      </c>
      <c r="C1255" s="1078">
        <v>46248</v>
      </c>
      <c r="D1255" s="1078"/>
      <c r="E1255" s="1002" t="s">
        <v>789</v>
      </c>
      <c r="F1255" s="1077">
        <v>46295</v>
      </c>
      <c r="G1255" s="1002" t="s">
        <v>1327</v>
      </c>
      <c r="H1255" s="1111" t="s">
        <v>1326</v>
      </c>
      <c r="I1255" s="1002" t="s">
        <v>811</v>
      </c>
      <c r="J1255" s="1007" t="s">
        <v>655</v>
      </c>
      <c r="K1255" s="1002" t="s">
        <v>656</v>
      </c>
      <c r="L1255" s="1054" t="s">
        <v>18</v>
      </c>
      <c r="M1255" s="1222">
        <v>30</v>
      </c>
      <c r="N1255" s="1081">
        <v>574074.06999999995</v>
      </c>
      <c r="O1255" s="1223">
        <f t="shared" si="211"/>
        <v>17222222.099999998</v>
      </c>
      <c r="P1255" s="1082">
        <f t="shared" si="206"/>
        <v>1377777.7679999999</v>
      </c>
      <c r="Q1255" s="1206">
        <f t="shared" si="204"/>
        <v>18599999.867999997</v>
      </c>
      <c r="R1255" s="1083"/>
      <c r="S1255" s="1083"/>
      <c r="T1255" s="1083"/>
      <c r="U1255" s="1083"/>
      <c r="V1255" s="1083">
        <f t="shared" si="207"/>
        <v>18599999.867999997</v>
      </c>
    </row>
    <row r="1256" spans="1:22" s="1002" customFormat="1" hidden="1">
      <c r="A1256" s="1000" t="s">
        <v>753</v>
      </c>
      <c r="B1256" s="1001" t="s">
        <v>754</v>
      </c>
      <c r="C1256" s="1078">
        <v>46248</v>
      </c>
      <c r="D1256" s="1078"/>
      <c r="E1256" s="1002" t="s">
        <v>789</v>
      </c>
      <c r="F1256" s="1077">
        <v>46295</v>
      </c>
      <c r="G1256" s="1002" t="s">
        <v>1327</v>
      </c>
      <c r="H1256" s="1111" t="s">
        <v>1326</v>
      </c>
      <c r="I1256" s="1002" t="s">
        <v>811</v>
      </c>
      <c r="J1256" s="1007" t="s">
        <v>647</v>
      </c>
      <c r="K1256" s="1002" t="s">
        <v>648</v>
      </c>
      <c r="L1256" s="1054" t="s">
        <v>18</v>
      </c>
      <c r="M1256" s="1222">
        <v>4</v>
      </c>
      <c r="N1256" s="1081">
        <v>601851.85</v>
      </c>
      <c r="O1256" s="1223">
        <f t="shared" si="211"/>
        <v>2407407.4</v>
      </c>
      <c r="P1256" s="1082">
        <f t="shared" si="206"/>
        <v>192592.592</v>
      </c>
      <c r="Q1256" s="1206">
        <f t="shared" si="204"/>
        <v>2599999.9920000001</v>
      </c>
      <c r="R1256" s="1083"/>
      <c r="S1256" s="1083"/>
      <c r="T1256" s="1083"/>
      <c r="U1256" s="1083"/>
      <c r="V1256" s="1083">
        <f t="shared" si="207"/>
        <v>2599999.9920000001</v>
      </c>
    </row>
    <row r="1257" spans="1:22" s="1002" customFormat="1" hidden="1">
      <c r="A1257" s="1000" t="s">
        <v>753</v>
      </c>
      <c r="B1257" s="1001" t="s">
        <v>754</v>
      </c>
      <c r="C1257" s="1078">
        <v>46248</v>
      </c>
      <c r="D1257" s="1078"/>
      <c r="E1257" s="1002" t="s">
        <v>789</v>
      </c>
      <c r="F1257" s="1077">
        <v>46252</v>
      </c>
      <c r="G1257" s="1002" t="s">
        <v>884</v>
      </c>
      <c r="H1257" s="1111" t="s">
        <v>883</v>
      </c>
      <c r="I1257" s="1002" t="s">
        <v>811</v>
      </c>
      <c r="J1257" s="1007" t="s">
        <v>74</v>
      </c>
      <c r="K1257" s="1002" t="s">
        <v>141</v>
      </c>
      <c r="L1257" s="1054" t="s">
        <v>18</v>
      </c>
      <c r="M1257" s="1222">
        <v>40</v>
      </c>
      <c r="N1257" s="1081">
        <v>382407.41</v>
      </c>
      <c r="O1257" s="1223">
        <f t="shared" si="211"/>
        <v>15296296.399999999</v>
      </c>
      <c r="P1257" s="1082">
        <f t="shared" si="206"/>
        <v>1223703.7119999998</v>
      </c>
      <c r="Q1257" s="1206">
        <f t="shared" si="204"/>
        <v>16520000.111999998</v>
      </c>
      <c r="R1257" s="1083"/>
      <c r="S1257" s="1083"/>
      <c r="T1257" s="1083"/>
      <c r="U1257" s="1083"/>
      <c r="V1257" s="1083">
        <f t="shared" si="207"/>
        <v>16520000.111999998</v>
      </c>
    </row>
    <row r="1258" spans="1:22" s="1002" customFormat="1" hidden="1">
      <c r="A1258" s="1000" t="s">
        <v>753</v>
      </c>
      <c r="B1258" s="1001" t="s">
        <v>754</v>
      </c>
      <c r="C1258" s="1078">
        <v>46248</v>
      </c>
      <c r="D1258" s="1078"/>
      <c r="E1258" s="1002" t="s">
        <v>789</v>
      </c>
      <c r="F1258" s="1077">
        <v>46252</v>
      </c>
      <c r="G1258" s="1002" t="s">
        <v>884</v>
      </c>
      <c r="H1258" s="1111" t="s">
        <v>883</v>
      </c>
      <c r="I1258" s="1002" t="s">
        <v>811</v>
      </c>
      <c r="J1258" s="1007" t="s">
        <v>56</v>
      </c>
      <c r="K1258" s="1002" t="s">
        <v>57</v>
      </c>
      <c r="L1258" s="1054" t="s">
        <v>18</v>
      </c>
      <c r="M1258" s="1222">
        <v>36</v>
      </c>
      <c r="N1258" s="1081">
        <v>325925.93</v>
      </c>
      <c r="O1258" s="1223">
        <f t="shared" si="211"/>
        <v>11733333.48</v>
      </c>
      <c r="P1258" s="1082">
        <f t="shared" si="206"/>
        <v>938666.67840000009</v>
      </c>
      <c r="Q1258" s="1206">
        <f t="shared" si="204"/>
        <v>12672000.158400001</v>
      </c>
      <c r="R1258" s="1083"/>
      <c r="S1258" s="1083"/>
      <c r="T1258" s="1083"/>
      <c r="U1258" s="1083"/>
      <c r="V1258" s="1083">
        <f t="shared" si="207"/>
        <v>12672000.158400001</v>
      </c>
    </row>
    <row r="1259" spans="1:22" s="1002" customFormat="1" hidden="1">
      <c r="A1259" s="1000" t="s">
        <v>753</v>
      </c>
      <c r="B1259" s="1001" t="s">
        <v>754</v>
      </c>
      <c r="C1259" s="1078">
        <v>46248</v>
      </c>
      <c r="D1259" s="1078"/>
      <c r="E1259" s="1002" t="s">
        <v>789</v>
      </c>
      <c r="F1259" s="1077">
        <v>46252</v>
      </c>
      <c r="G1259" s="1002" t="s">
        <v>884</v>
      </c>
      <c r="H1259" s="1111" t="s">
        <v>883</v>
      </c>
      <c r="I1259" s="1002" t="s">
        <v>811</v>
      </c>
      <c r="J1259" s="1007" t="s">
        <v>127</v>
      </c>
      <c r="K1259" s="1002" t="s">
        <v>128</v>
      </c>
      <c r="L1259" s="1054" t="s">
        <v>18</v>
      </c>
      <c r="M1259" s="1222">
        <v>24</v>
      </c>
      <c r="N1259" s="1081">
        <v>284259.26</v>
      </c>
      <c r="O1259" s="1223">
        <f t="shared" si="211"/>
        <v>6822222.2400000002</v>
      </c>
      <c r="P1259" s="1082">
        <f t="shared" si="206"/>
        <v>545777.77919999999</v>
      </c>
      <c r="Q1259" s="1206">
        <f t="shared" si="204"/>
        <v>7368000.0192</v>
      </c>
      <c r="R1259" s="1083"/>
      <c r="S1259" s="1083"/>
      <c r="T1259" s="1083"/>
      <c r="U1259" s="1083"/>
      <c r="V1259" s="1083">
        <f t="shared" si="207"/>
        <v>7368000.0192</v>
      </c>
    </row>
    <row r="1260" spans="1:22" s="1002" customFormat="1" hidden="1">
      <c r="A1260" s="1000" t="s">
        <v>753</v>
      </c>
      <c r="B1260" s="1001" t="s">
        <v>754</v>
      </c>
      <c r="C1260" s="1078">
        <v>46248</v>
      </c>
      <c r="D1260" s="1078"/>
      <c r="E1260" s="1002" t="s">
        <v>789</v>
      </c>
      <c r="F1260" s="1077">
        <v>46252</v>
      </c>
      <c r="G1260" s="1002" t="s">
        <v>884</v>
      </c>
      <c r="H1260" s="1111" t="s">
        <v>883</v>
      </c>
      <c r="I1260" s="1002" t="s">
        <v>811</v>
      </c>
      <c r="J1260" s="1007" t="s">
        <v>219</v>
      </c>
      <c r="K1260" s="1013" t="s">
        <v>584</v>
      </c>
      <c r="L1260" s="1054" t="s">
        <v>18</v>
      </c>
      <c r="M1260" s="1222">
        <v>12</v>
      </c>
      <c r="N1260" s="1081">
        <v>263888.89</v>
      </c>
      <c r="O1260" s="1223">
        <f t="shared" si="211"/>
        <v>3166666.68</v>
      </c>
      <c r="P1260" s="1082">
        <f t="shared" si="206"/>
        <v>253333.33440000002</v>
      </c>
      <c r="Q1260" s="1206">
        <f t="shared" si="204"/>
        <v>3420000.0144000002</v>
      </c>
      <c r="R1260" s="1083"/>
      <c r="S1260" s="1083"/>
      <c r="T1260" s="1083"/>
      <c r="U1260" s="1083"/>
      <c r="V1260" s="1083">
        <f t="shared" si="207"/>
        <v>3420000.0144000002</v>
      </c>
    </row>
    <row r="1261" spans="1:22" s="1002" customFormat="1" hidden="1">
      <c r="A1261" s="1000" t="s">
        <v>753</v>
      </c>
      <c r="B1261" s="1001" t="s">
        <v>754</v>
      </c>
      <c r="C1261" s="1078">
        <v>46248</v>
      </c>
      <c r="D1261" s="1078"/>
      <c r="E1261" s="1002" t="s">
        <v>789</v>
      </c>
      <c r="F1261" s="1077">
        <v>46295</v>
      </c>
      <c r="G1261" s="1002" t="s">
        <v>1327</v>
      </c>
      <c r="H1261" s="1111" t="s">
        <v>1326</v>
      </c>
      <c r="I1261" s="1002" t="s">
        <v>811</v>
      </c>
      <c r="J1261" s="1007" t="s">
        <v>639</v>
      </c>
      <c r="K1261" s="1002" t="s">
        <v>640</v>
      </c>
      <c r="L1261" s="1054" t="s">
        <v>18</v>
      </c>
      <c r="M1261" s="1222">
        <v>2</v>
      </c>
      <c r="N1261" s="1081">
        <v>0</v>
      </c>
      <c r="O1261" s="1223">
        <f t="shared" si="211"/>
        <v>0</v>
      </c>
      <c r="P1261" s="1082">
        <f t="shared" si="206"/>
        <v>0</v>
      </c>
      <c r="Q1261" s="1206">
        <f t="shared" si="204"/>
        <v>0</v>
      </c>
      <c r="R1261" s="1083"/>
      <c r="S1261" s="1083"/>
      <c r="T1261" s="1083"/>
      <c r="U1261" s="1083"/>
      <c r="V1261" s="1083">
        <f t="shared" si="207"/>
        <v>0</v>
      </c>
    </row>
    <row r="1262" spans="1:22" s="1002" customFormat="1" hidden="1">
      <c r="A1262" s="1000" t="s">
        <v>753</v>
      </c>
      <c r="B1262" s="1001" t="s">
        <v>754</v>
      </c>
      <c r="C1262" s="1078">
        <v>46248</v>
      </c>
      <c r="D1262" s="1078"/>
      <c r="E1262" s="1002" t="s">
        <v>789</v>
      </c>
      <c r="F1262" s="1077">
        <v>46295</v>
      </c>
      <c r="G1262" s="1002" t="s">
        <v>1327</v>
      </c>
      <c r="H1262" s="1111" t="s">
        <v>1326</v>
      </c>
      <c r="I1262" s="1002" t="s">
        <v>811</v>
      </c>
      <c r="J1262" s="1007" t="s">
        <v>641</v>
      </c>
      <c r="K1262" s="1002" t="s">
        <v>657</v>
      </c>
      <c r="L1262" s="1054" t="s">
        <v>18</v>
      </c>
      <c r="M1262" s="1222">
        <v>2</v>
      </c>
      <c r="N1262" s="1081">
        <v>0</v>
      </c>
      <c r="O1262" s="1223">
        <f t="shared" si="211"/>
        <v>0</v>
      </c>
      <c r="P1262" s="1082">
        <f t="shared" si="206"/>
        <v>0</v>
      </c>
      <c r="Q1262" s="1206">
        <f t="shared" si="204"/>
        <v>0</v>
      </c>
      <c r="R1262" s="1083"/>
      <c r="S1262" s="1083"/>
      <c r="T1262" s="1083"/>
      <c r="U1262" s="1083"/>
      <c r="V1262" s="1083">
        <f t="shared" si="207"/>
        <v>0</v>
      </c>
    </row>
    <row r="1263" spans="1:22" s="1002" customFormat="1" hidden="1">
      <c r="A1263" s="1000" t="s">
        <v>753</v>
      </c>
      <c r="B1263" s="1001" t="s">
        <v>754</v>
      </c>
      <c r="C1263" s="1078">
        <v>46248</v>
      </c>
      <c r="D1263" s="1078"/>
      <c r="E1263" s="1002" t="s">
        <v>789</v>
      </c>
      <c r="F1263" s="1077">
        <v>46295</v>
      </c>
      <c r="G1263" s="1002" t="s">
        <v>1327</v>
      </c>
      <c r="H1263" s="1111" t="s">
        <v>1326</v>
      </c>
      <c r="I1263" s="1002" t="s">
        <v>811</v>
      </c>
      <c r="J1263" s="1007" t="s">
        <v>643</v>
      </c>
      <c r="K1263" s="1002" t="s">
        <v>644</v>
      </c>
      <c r="L1263" s="1054" t="s">
        <v>18</v>
      </c>
      <c r="M1263" s="1222">
        <v>2</v>
      </c>
      <c r="N1263" s="1081">
        <v>0</v>
      </c>
      <c r="O1263" s="1223">
        <f t="shared" si="211"/>
        <v>0</v>
      </c>
      <c r="P1263" s="1082">
        <f t="shared" si="206"/>
        <v>0</v>
      </c>
      <c r="Q1263" s="1206">
        <f t="shared" si="204"/>
        <v>0</v>
      </c>
      <c r="R1263" s="1083"/>
      <c r="S1263" s="1083"/>
      <c r="T1263" s="1083"/>
      <c r="U1263" s="1083"/>
      <c r="V1263" s="1083">
        <f t="shared" si="207"/>
        <v>0</v>
      </c>
    </row>
    <row r="1264" spans="1:22" s="1002" customFormat="1" hidden="1">
      <c r="A1264" s="1000" t="s">
        <v>753</v>
      </c>
      <c r="B1264" s="1001" t="s">
        <v>754</v>
      </c>
      <c r="C1264" s="1078">
        <v>46248</v>
      </c>
      <c r="D1264" s="1078"/>
      <c r="E1264" s="1002" t="s">
        <v>789</v>
      </c>
      <c r="F1264" s="1077">
        <v>46295</v>
      </c>
      <c r="G1264" s="1002" t="s">
        <v>1327</v>
      </c>
      <c r="H1264" s="1111" t="s">
        <v>1326</v>
      </c>
      <c r="I1264" s="1002" t="s">
        <v>811</v>
      </c>
      <c r="J1264" s="1007" t="s">
        <v>645</v>
      </c>
      <c r="K1264" s="1002" t="s">
        <v>646</v>
      </c>
      <c r="L1264" s="1054" t="s">
        <v>18</v>
      </c>
      <c r="M1264" s="1222">
        <v>2</v>
      </c>
      <c r="N1264" s="1081">
        <v>0</v>
      </c>
      <c r="O1264" s="1223">
        <f t="shared" si="211"/>
        <v>0</v>
      </c>
      <c r="P1264" s="1082">
        <f t="shared" si="206"/>
        <v>0</v>
      </c>
      <c r="Q1264" s="1206">
        <f t="shared" si="204"/>
        <v>0</v>
      </c>
      <c r="R1264" s="1083"/>
      <c r="S1264" s="1083"/>
      <c r="T1264" s="1083"/>
      <c r="U1264" s="1083"/>
      <c r="V1264" s="1083">
        <f t="shared" si="207"/>
        <v>0</v>
      </c>
    </row>
    <row r="1265" spans="1:23" s="1002" customFormat="1" hidden="1">
      <c r="A1265" s="1000" t="s">
        <v>753</v>
      </c>
      <c r="B1265" s="1001" t="s">
        <v>754</v>
      </c>
      <c r="C1265" s="1078">
        <v>46248</v>
      </c>
      <c r="D1265" s="1078"/>
      <c r="E1265" s="1002" t="s">
        <v>789</v>
      </c>
      <c r="F1265" s="1077">
        <v>46295</v>
      </c>
      <c r="G1265" s="1002" t="s">
        <v>1327</v>
      </c>
      <c r="H1265" s="1111" t="s">
        <v>1326</v>
      </c>
      <c r="I1265" s="1002" t="s">
        <v>811</v>
      </c>
      <c r="J1265" s="1007" t="s">
        <v>653</v>
      </c>
      <c r="K1265" s="1002" t="s">
        <v>654</v>
      </c>
      <c r="L1265" s="1054" t="s">
        <v>18</v>
      </c>
      <c r="M1265" s="1222">
        <v>2</v>
      </c>
      <c r="N1265" s="1081">
        <v>0</v>
      </c>
      <c r="O1265" s="1223">
        <f t="shared" si="211"/>
        <v>0</v>
      </c>
      <c r="P1265" s="1082">
        <f t="shared" si="206"/>
        <v>0</v>
      </c>
      <c r="Q1265" s="1206">
        <f t="shared" si="204"/>
        <v>0</v>
      </c>
      <c r="R1265" s="1083"/>
      <c r="S1265" s="1083"/>
      <c r="T1265" s="1083"/>
      <c r="U1265" s="1083"/>
      <c r="V1265" s="1083">
        <f t="shared" si="207"/>
        <v>0</v>
      </c>
    </row>
    <row r="1266" spans="1:23" hidden="1">
      <c r="A1266" s="1000" t="s">
        <v>753</v>
      </c>
      <c r="B1266" s="1000" t="s">
        <v>754</v>
      </c>
      <c r="C1266" s="1078">
        <v>46248</v>
      </c>
      <c r="D1266" s="1078"/>
      <c r="E1266" s="1002" t="s">
        <v>789</v>
      </c>
      <c r="F1266" s="1077">
        <v>46295</v>
      </c>
      <c r="G1266" s="1002" t="s">
        <v>1327</v>
      </c>
      <c r="H1266" s="1111" t="s">
        <v>1326</v>
      </c>
      <c r="I1266" s="1002" t="s">
        <v>811</v>
      </c>
      <c r="J1266" s="1007" t="s">
        <v>1051</v>
      </c>
      <c r="K1266" s="1002" t="s">
        <v>654</v>
      </c>
      <c r="L1266" s="1054" t="s">
        <v>18</v>
      </c>
      <c r="M1266" s="1222">
        <v>2</v>
      </c>
      <c r="N1266" s="1107">
        <v>0</v>
      </c>
      <c r="O1266" s="1107"/>
      <c r="P1266" s="1107"/>
      <c r="Q1266" s="1107"/>
    </row>
    <row r="1267" spans="1:23" s="1002" customFormat="1" hidden="1">
      <c r="A1267" s="1000" t="s">
        <v>792</v>
      </c>
      <c r="B1267" s="1001" t="s">
        <v>714</v>
      </c>
      <c r="C1267" s="1078">
        <v>46248</v>
      </c>
      <c r="D1267" s="1078"/>
      <c r="F1267" s="1077"/>
      <c r="H1267" s="1111"/>
      <c r="I1267" s="1002" t="s">
        <v>844</v>
      </c>
      <c r="J1267" s="1007"/>
      <c r="M1267" s="1222"/>
      <c r="N1267" s="1081"/>
      <c r="O1267" s="1223"/>
      <c r="P1267" s="1082"/>
      <c r="Q1267" s="1082"/>
      <c r="R1267" s="1083">
        <v>61652000</v>
      </c>
      <c r="S1267" s="1083"/>
      <c r="T1267" s="1083"/>
      <c r="U1267" s="1083"/>
      <c r="V1267" s="1083">
        <f t="shared" si="207"/>
        <v>-61652000</v>
      </c>
    </row>
    <row r="1268" spans="1:23" hidden="1">
      <c r="A1268" s="1039" t="s">
        <v>736</v>
      </c>
      <c r="B1268" s="1040" t="s">
        <v>747</v>
      </c>
      <c r="C1268" s="1078">
        <v>46248</v>
      </c>
      <c r="D1268" s="1078"/>
      <c r="E1268" s="1002"/>
      <c r="F1268" s="1077"/>
      <c r="G1268" s="1002"/>
      <c r="H1268" s="1111"/>
      <c r="I1268" s="1002" t="s">
        <v>844</v>
      </c>
      <c r="J1268" s="1007"/>
      <c r="N1268" s="1081"/>
      <c r="P1268" s="1081">
        <f t="shared" si="206"/>
        <v>0</v>
      </c>
      <c r="Q1268" s="1081">
        <f t="shared" si="204"/>
        <v>0</v>
      </c>
      <c r="R1268" s="1107">
        <v>22830000</v>
      </c>
      <c r="V1268" s="1107">
        <f t="shared" si="207"/>
        <v>-22830000</v>
      </c>
    </row>
    <row r="1269" spans="1:23" s="1002" customFormat="1" hidden="1">
      <c r="A1269" s="1000" t="s">
        <v>1015</v>
      </c>
      <c r="B1269" s="1001" t="s">
        <v>903</v>
      </c>
      <c r="C1269" s="1078">
        <v>46248</v>
      </c>
      <c r="D1269" s="1078"/>
      <c r="F1269" s="1077"/>
      <c r="H1269" s="1111"/>
      <c r="I1269" s="1002" t="s">
        <v>702</v>
      </c>
      <c r="J1269" s="1007"/>
      <c r="M1269" s="1086"/>
      <c r="N1269" s="1081"/>
      <c r="O1269" s="1082"/>
      <c r="P1269" s="1082"/>
      <c r="Q1269" s="1082"/>
      <c r="R1269" s="1083">
        <v>2300000</v>
      </c>
      <c r="S1269" s="1083"/>
      <c r="T1269" s="1083"/>
      <c r="U1269" s="1083"/>
      <c r="V1269" s="1083">
        <f t="shared" si="207"/>
        <v>-2300000</v>
      </c>
    </row>
    <row r="1270" spans="1:23" s="1002" customFormat="1" hidden="1">
      <c r="A1270" s="1000" t="s">
        <v>753</v>
      </c>
      <c r="B1270" s="1001" t="s">
        <v>754</v>
      </c>
      <c r="C1270" s="1078">
        <v>46249</v>
      </c>
      <c r="D1270" s="1078"/>
      <c r="F1270" s="1077"/>
      <c r="H1270" s="1111"/>
      <c r="I1270" s="1002" t="s">
        <v>760</v>
      </c>
      <c r="J1270" s="1007"/>
      <c r="M1270" s="1086"/>
      <c r="N1270" s="1081"/>
      <c r="O1270" s="1082"/>
      <c r="P1270" s="1082"/>
      <c r="Q1270" s="1082"/>
      <c r="R1270" s="1083"/>
      <c r="S1270" s="1083">
        <v>1800000</v>
      </c>
      <c r="T1270" s="1083"/>
      <c r="U1270" s="1083"/>
      <c r="V1270" s="1083">
        <f t="shared" si="207"/>
        <v>-1800000</v>
      </c>
      <c r="W1270" s="1049" t="s">
        <v>823</v>
      </c>
    </row>
    <row r="1271" spans="1:23" s="1002" customFormat="1" hidden="1">
      <c r="A1271" s="1000" t="s">
        <v>753</v>
      </c>
      <c r="B1271" s="1001" t="s">
        <v>754</v>
      </c>
      <c r="C1271" s="1078">
        <v>46251</v>
      </c>
      <c r="D1271" s="1078"/>
      <c r="E1271" s="1002" t="s">
        <v>790</v>
      </c>
      <c r="F1271" s="1077">
        <v>46295</v>
      </c>
      <c r="G1271" s="1002" t="s">
        <v>1327</v>
      </c>
      <c r="H1271" s="1111" t="s">
        <v>1326</v>
      </c>
      <c r="I1271" s="1002" t="s">
        <v>811</v>
      </c>
      <c r="J1271" s="1007" t="s">
        <v>647</v>
      </c>
      <c r="K1271" s="1002" t="s">
        <v>648</v>
      </c>
      <c r="L1271" s="1002" t="s">
        <v>18</v>
      </c>
      <c r="M1271" s="1222">
        <v>26</v>
      </c>
      <c r="N1271" s="1081">
        <v>601851.85</v>
      </c>
      <c r="O1271" s="1223">
        <f t="shared" ref="O1271:O1286" si="212">M1271*N1271</f>
        <v>15648148.1</v>
      </c>
      <c r="P1271" s="1082">
        <f t="shared" si="206"/>
        <v>1251851.848</v>
      </c>
      <c r="Q1271" s="1206">
        <f t="shared" si="204"/>
        <v>16899999.947999999</v>
      </c>
      <c r="R1271" s="1083"/>
      <c r="S1271" s="1083"/>
      <c r="T1271" s="1083"/>
      <c r="U1271" s="1083"/>
      <c r="V1271" s="1083">
        <f t="shared" si="207"/>
        <v>16899999.947999999</v>
      </c>
    </row>
    <row r="1272" spans="1:23" s="1002" customFormat="1" hidden="1">
      <c r="A1272" s="1000" t="s">
        <v>753</v>
      </c>
      <c r="B1272" s="1001" t="s">
        <v>754</v>
      </c>
      <c r="C1272" s="1078">
        <v>46251</v>
      </c>
      <c r="D1272" s="1078"/>
      <c r="E1272" s="1002" t="s">
        <v>790</v>
      </c>
      <c r="F1272" s="1077">
        <v>46295</v>
      </c>
      <c r="G1272" s="1002" t="s">
        <v>1327</v>
      </c>
      <c r="H1272" s="1111" t="s">
        <v>1326</v>
      </c>
      <c r="I1272" s="1002" t="s">
        <v>811</v>
      </c>
      <c r="J1272" s="1007" t="s">
        <v>647</v>
      </c>
      <c r="K1272" s="1002" t="s">
        <v>648</v>
      </c>
      <c r="L1272" s="1002" t="s">
        <v>18</v>
      </c>
      <c r="M1272" s="1222">
        <v>2</v>
      </c>
      <c r="N1272" s="1081">
        <v>0</v>
      </c>
      <c r="O1272" s="1223">
        <f t="shared" si="212"/>
        <v>0</v>
      </c>
      <c r="P1272" s="1082">
        <f t="shared" si="206"/>
        <v>0</v>
      </c>
      <c r="Q1272" s="1082">
        <f t="shared" si="204"/>
        <v>0</v>
      </c>
      <c r="R1272" s="1083"/>
      <c r="S1272" s="1083"/>
      <c r="T1272" s="1083"/>
      <c r="U1272" s="1083"/>
      <c r="V1272" s="1083">
        <f t="shared" si="207"/>
        <v>0</v>
      </c>
      <c r="W1272" s="1049" t="s">
        <v>791</v>
      </c>
    </row>
    <row r="1273" spans="1:23" s="1002" customFormat="1" hidden="1">
      <c r="A1273" s="1000" t="s">
        <v>792</v>
      </c>
      <c r="B1273" s="1001" t="s">
        <v>714</v>
      </c>
      <c r="C1273" s="1078">
        <v>46251</v>
      </c>
      <c r="D1273" s="1078"/>
      <c r="E1273" s="1002" t="s">
        <v>793</v>
      </c>
      <c r="F1273" s="1077">
        <v>46295</v>
      </c>
      <c r="H1273" s="1111" t="s">
        <v>1308</v>
      </c>
      <c r="I1273" s="1002" t="s">
        <v>810</v>
      </c>
      <c r="J1273" s="1007" t="s">
        <v>641</v>
      </c>
      <c r="K1273" s="1002" t="s">
        <v>657</v>
      </c>
      <c r="L1273" s="1054" t="s">
        <v>18</v>
      </c>
      <c r="M1273" s="1222">
        <v>30</v>
      </c>
      <c r="N1273" s="1081">
        <v>638888.89</v>
      </c>
      <c r="O1273" s="1223">
        <f t="shared" si="212"/>
        <v>19166666.699999999</v>
      </c>
      <c r="P1273" s="1082">
        <f t="shared" si="206"/>
        <v>1533333.3359999999</v>
      </c>
      <c r="Q1273" s="1206">
        <f t="shared" si="204"/>
        <v>20700000.035999998</v>
      </c>
      <c r="R1273" s="1083"/>
      <c r="S1273" s="1083"/>
      <c r="T1273" s="1083"/>
      <c r="U1273" s="1083"/>
      <c r="V1273" s="1083">
        <f t="shared" si="207"/>
        <v>20700000.035999998</v>
      </c>
    </row>
    <row r="1274" spans="1:23" s="1002" customFormat="1" hidden="1">
      <c r="A1274" s="1000" t="s">
        <v>792</v>
      </c>
      <c r="B1274" s="1001" t="s">
        <v>714</v>
      </c>
      <c r="C1274" s="1078">
        <v>46251</v>
      </c>
      <c r="D1274" s="1078"/>
      <c r="E1274" s="1002" t="s">
        <v>793</v>
      </c>
      <c r="F1274" s="1077">
        <v>46295</v>
      </c>
      <c r="H1274" s="1111" t="s">
        <v>1308</v>
      </c>
      <c r="I1274" s="1002" t="s">
        <v>810</v>
      </c>
      <c r="J1274" s="1007" t="s">
        <v>645</v>
      </c>
      <c r="K1274" s="1002" t="s">
        <v>646</v>
      </c>
      <c r="L1274" s="1054" t="s">
        <v>18</v>
      </c>
      <c r="M1274" s="1222">
        <v>30</v>
      </c>
      <c r="N1274" s="1081">
        <v>629629.63</v>
      </c>
      <c r="O1274" s="1223">
        <f t="shared" si="212"/>
        <v>18888888.899999999</v>
      </c>
      <c r="P1274" s="1082">
        <f t="shared" si="206"/>
        <v>1511111.112</v>
      </c>
      <c r="Q1274" s="1206">
        <f t="shared" si="204"/>
        <v>20400000.011999998</v>
      </c>
      <c r="R1274" s="1083"/>
      <c r="S1274" s="1083"/>
      <c r="T1274" s="1083"/>
      <c r="U1274" s="1083"/>
      <c r="V1274" s="1083">
        <f t="shared" si="207"/>
        <v>20400000.011999998</v>
      </c>
    </row>
    <row r="1275" spans="1:23" s="1002" customFormat="1" hidden="1">
      <c r="A1275" s="1000" t="s">
        <v>792</v>
      </c>
      <c r="B1275" s="1001" t="s">
        <v>714</v>
      </c>
      <c r="C1275" s="1078">
        <v>46251</v>
      </c>
      <c r="D1275" s="1078"/>
      <c r="E1275" s="1002" t="s">
        <v>793</v>
      </c>
      <c r="F1275" s="1077"/>
      <c r="H1275" s="1111"/>
      <c r="I1275" s="1002" t="s">
        <v>810</v>
      </c>
      <c r="J1275" s="1007" t="s">
        <v>21</v>
      </c>
      <c r="K1275" s="1002" t="s">
        <v>22</v>
      </c>
      <c r="L1275" s="1054" t="s">
        <v>18</v>
      </c>
      <c r="M1275" s="1222">
        <v>6</v>
      </c>
      <c r="N1275" s="1081">
        <v>937962.96</v>
      </c>
      <c r="O1275" s="1223">
        <f t="shared" si="212"/>
        <v>5627777.7599999998</v>
      </c>
      <c r="P1275" s="1082">
        <f t="shared" si="206"/>
        <v>450222.22080000001</v>
      </c>
      <c r="Q1275" s="1206">
        <f t="shared" si="204"/>
        <v>6077999.9808</v>
      </c>
      <c r="R1275" s="1083"/>
      <c r="S1275" s="1083"/>
      <c r="T1275" s="1083"/>
      <c r="U1275" s="1083"/>
      <c r="V1275" s="1083">
        <f t="shared" si="207"/>
        <v>6077999.9808</v>
      </c>
    </row>
    <row r="1276" spans="1:23" s="1002" customFormat="1" hidden="1">
      <c r="A1276" s="1000" t="s">
        <v>792</v>
      </c>
      <c r="B1276" s="1001" t="s">
        <v>714</v>
      </c>
      <c r="C1276" s="1078">
        <v>46251</v>
      </c>
      <c r="D1276" s="1078"/>
      <c r="E1276" s="1002" t="s">
        <v>793</v>
      </c>
      <c r="F1276" s="1077"/>
      <c r="H1276" s="1111"/>
      <c r="I1276" s="1002" t="s">
        <v>810</v>
      </c>
      <c r="J1276" s="1007" t="s">
        <v>38</v>
      </c>
      <c r="K1276" s="1002" t="s">
        <v>39</v>
      </c>
      <c r="L1276" s="1054" t="s">
        <v>18</v>
      </c>
      <c r="M1276" s="1222">
        <v>10</v>
      </c>
      <c r="N1276" s="1081">
        <v>277777.78000000003</v>
      </c>
      <c r="O1276" s="1223">
        <f t="shared" si="212"/>
        <v>2777777.8000000003</v>
      </c>
      <c r="P1276" s="1082">
        <f t="shared" si="206"/>
        <v>222222.22400000002</v>
      </c>
      <c r="Q1276" s="1206">
        <f t="shared" si="204"/>
        <v>3000000.0240000002</v>
      </c>
      <c r="R1276" s="1083"/>
      <c r="S1276" s="1083"/>
      <c r="T1276" s="1083"/>
      <c r="U1276" s="1083"/>
      <c r="V1276" s="1083">
        <f t="shared" si="207"/>
        <v>3000000.0240000002</v>
      </c>
    </row>
    <row r="1277" spans="1:23" s="1002" customFormat="1" hidden="1">
      <c r="A1277" s="1000" t="s">
        <v>792</v>
      </c>
      <c r="B1277" s="1001" t="s">
        <v>714</v>
      </c>
      <c r="C1277" s="1078">
        <v>46251</v>
      </c>
      <c r="D1277" s="1078"/>
      <c r="E1277" s="1002" t="s">
        <v>793</v>
      </c>
      <c r="F1277" s="1077"/>
      <c r="H1277" s="1111"/>
      <c r="I1277" s="1002" t="s">
        <v>810</v>
      </c>
      <c r="J1277" s="1007" t="s">
        <v>62</v>
      </c>
      <c r="K1277" s="1002" t="s">
        <v>63</v>
      </c>
      <c r="L1277" s="1054" t="s">
        <v>18</v>
      </c>
      <c r="M1277" s="1222">
        <v>30</v>
      </c>
      <c r="N1277" s="1081">
        <v>111111.11</v>
      </c>
      <c r="O1277" s="1223">
        <f t="shared" si="212"/>
        <v>3333333.3</v>
      </c>
      <c r="P1277" s="1082">
        <f t="shared" si="206"/>
        <v>266666.66399999999</v>
      </c>
      <c r="Q1277" s="1206">
        <f t="shared" si="204"/>
        <v>3599999.9639999997</v>
      </c>
      <c r="R1277" s="1083"/>
      <c r="S1277" s="1083"/>
      <c r="T1277" s="1083"/>
      <c r="U1277" s="1083"/>
      <c r="V1277" s="1083">
        <f t="shared" si="207"/>
        <v>3599999.9639999997</v>
      </c>
    </row>
    <row r="1278" spans="1:23" s="1002" customFormat="1" hidden="1">
      <c r="A1278" s="1000" t="s">
        <v>792</v>
      </c>
      <c r="B1278" s="1001" t="s">
        <v>714</v>
      </c>
      <c r="C1278" s="1078">
        <v>46251</v>
      </c>
      <c r="D1278" s="1078"/>
      <c r="E1278" s="1002" t="s">
        <v>793</v>
      </c>
      <c r="F1278" s="1077">
        <v>46295</v>
      </c>
      <c r="H1278" s="1111" t="s">
        <v>1308</v>
      </c>
      <c r="I1278" s="1008" t="s">
        <v>892</v>
      </c>
      <c r="J1278" s="1007" t="s">
        <v>641</v>
      </c>
      <c r="K1278" s="1002" t="s">
        <v>657</v>
      </c>
      <c r="L1278" s="1054" t="s">
        <v>18</v>
      </c>
      <c r="M1278" s="1222">
        <v>2</v>
      </c>
      <c r="N1278" s="1081">
        <v>0</v>
      </c>
      <c r="O1278" s="1223">
        <f t="shared" si="212"/>
        <v>0</v>
      </c>
      <c r="P1278" s="1082">
        <f t="shared" si="206"/>
        <v>0</v>
      </c>
      <c r="Q1278" s="1206">
        <f t="shared" si="204"/>
        <v>0</v>
      </c>
      <c r="R1278" s="1083"/>
      <c r="S1278" s="1083"/>
      <c r="T1278" s="1083"/>
      <c r="U1278" s="1083"/>
      <c r="V1278" s="1083">
        <f t="shared" si="207"/>
        <v>0</v>
      </c>
    </row>
    <row r="1279" spans="1:23" s="1002" customFormat="1" hidden="1">
      <c r="A1279" s="1000" t="s">
        <v>792</v>
      </c>
      <c r="B1279" s="1001" t="s">
        <v>714</v>
      </c>
      <c r="C1279" s="1078">
        <v>46251</v>
      </c>
      <c r="D1279" s="1078"/>
      <c r="E1279" s="1002" t="s">
        <v>793</v>
      </c>
      <c r="F1279" s="1077">
        <v>46295</v>
      </c>
      <c r="H1279" s="1111" t="s">
        <v>1308</v>
      </c>
      <c r="I1279" s="1008" t="s">
        <v>892</v>
      </c>
      <c r="J1279" s="1007" t="s">
        <v>645</v>
      </c>
      <c r="K1279" s="1002" t="s">
        <v>646</v>
      </c>
      <c r="L1279" s="1054" t="s">
        <v>18</v>
      </c>
      <c r="M1279" s="1222">
        <v>2</v>
      </c>
      <c r="N1279" s="1081">
        <v>0</v>
      </c>
      <c r="O1279" s="1223">
        <f t="shared" si="212"/>
        <v>0</v>
      </c>
      <c r="P1279" s="1082">
        <f t="shared" si="206"/>
        <v>0</v>
      </c>
      <c r="Q1279" s="1206">
        <f t="shared" si="204"/>
        <v>0</v>
      </c>
      <c r="R1279" s="1083"/>
      <c r="S1279" s="1083"/>
      <c r="T1279" s="1083"/>
      <c r="U1279" s="1083"/>
      <c r="V1279" s="1083">
        <f t="shared" si="207"/>
        <v>0</v>
      </c>
    </row>
    <row r="1280" spans="1:23" s="1002" customFormat="1" hidden="1">
      <c r="A1280" s="1000" t="s">
        <v>794</v>
      </c>
      <c r="B1280" s="1001" t="s">
        <v>804</v>
      </c>
      <c r="C1280" s="1078">
        <v>46251</v>
      </c>
      <c r="D1280" s="1078"/>
      <c r="E1280" s="1002" t="s">
        <v>795</v>
      </c>
      <c r="F1280" s="1084"/>
      <c r="H1280" s="1106"/>
      <c r="I1280" s="1002" t="s">
        <v>809</v>
      </c>
      <c r="J1280" s="1007" t="s">
        <v>655</v>
      </c>
      <c r="K1280" s="1002" t="s">
        <v>656</v>
      </c>
      <c r="L1280" s="1054" t="s">
        <v>18</v>
      </c>
      <c r="M1280" s="1222">
        <v>30</v>
      </c>
      <c r="N1280" s="1081">
        <v>574074.06999999995</v>
      </c>
      <c r="O1280" s="1223">
        <f t="shared" si="212"/>
        <v>17222222.099999998</v>
      </c>
      <c r="P1280" s="1082">
        <f t="shared" si="206"/>
        <v>1377777.7679999999</v>
      </c>
      <c r="Q1280" s="1206">
        <f t="shared" si="204"/>
        <v>18599999.867999997</v>
      </c>
      <c r="R1280" s="1083"/>
      <c r="S1280" s="1083"/>
      <c r="T1280" s="1083"/>
      <c r="U1280" s="1083"/>
      <c r="V1280" s="1083">
        <f t="shared" si="207"/>
        <v>18599999.867999997</v>
      </c>
    </row>
    <row r="1281" spans="1:23" s="1002" customFormat="1" hidden="1">
      <c r="A1281" s="1000" t="s">
        <v>794</v>
      </c>
      <c r="B1281" s="1001" t="s">
        <v>804</v>
      </c>
      <c r="C1281" s="1078">
        <v>46251</v>
      </c>
      <c r="D1281" s="1078"/>
      <c r="E1281" s="1002" t="s">
        <v>795</v>
      </c>
      <c r="F1281" s="1084">
        <v>46259</v>
      </c>
      <c r="G1281" s="1002" t="s">
        <v>935</v>
      </c>
      <c r="H1281" s="1106" t="s">
        <v>936</v>
      </c>
      <c r="I1281" s="1002" t="s">
        <v>809</v>
      </c>
      <c r="J1281" s="1007" t="s">
        <v>90</v>
      </c>
      <c r="K1281" s="1002" t="s">
        <v>91</v>
      </c>
      <c r="L1281" s="1054" t="s">
        <v>18</v>
      </c>
      <c r="M1281" s="1222">
        <v>10</v>
      </c>
      <c r="N1281" s="1081">
        <v>814814.81</v>
      </c>
      <c r="O1281" s="1223">
        <f t="shared" si="212"/>
        <v>8148148.1000000006</v>
      </c>
      <c r="P1281" s="1082">
        <f t="shared" si="206"/>
        <v>651851.84800000011</v>
      </c>
      <c r="Q1281" s="1206">
        <f t="shared" si="204"/>
        <v>8799999.9480000008</v>
      </c>
      <c r="R1281" s="1083"/>
      <c r="S1281" s="1083"/>
      <c r="T1281" s="1083"/>
      <c r="U1281" s="1083"/>
      <c r="V1281" s="1083">
        <f t="shared" si="207"/>
        <v>8799999.9480000008</v>
      </c>
    </row>
    <row r="1282" spans="1:23" s="1002" customFormat="1" hidden="1">
      <c r="A1282" s="1000" t="s">
        <v>794</v>
      </c>
      <c r="B1282" s="1001" t="s">
        <v>804</v>
      </c>
      <c r="C1282" s="1078">
        <v>46251</v>
      </c>
      <c r="D1282" s="1078"/>
      <c r="E1282" s="1002" t="s">
        <v>795</v>
      </c>
      <c r="F1282" s="1077"/>
      <c r="H1282" s="1111"/>
      <c r="I1282" s="1002" t="s">
        <v>809</v>
      </c>
      <c r="J1282" s="1007" t="s">
        <v>796</v>
      </c>
      <c r="K1282" s="1002" t="s">
        <v>797</v>
      </c>
      <c r="L1282" s="1054" t="s">
        <v>18</v>
      </c>
      <c r="M1282" s="1222">
        <v>50</v>
      </c>
      <c r="N1282" s="1081">
        <v>292592.59000000003</v>
      </c>
      <c r="O1282" s="1223">
        <f t="shared" si="212"/>
        <v>14629629.500000002</v>
      </c>
      <c r="P1282" s="1082">
        <f t="shared" si="206"/>
        <v>1170370.3600000001</v>
      </c>
      <c r="Q1282" s="1206">
        <f t="shared" si="204"/>
        <v>15799999.860000001</v>
      </c>
      <c r="R1282" s="1083"/>
      <c r="S1282" s="1083"/>
      <c r="T1282" s="1083"/>
      <c r="U1282" s="1083"/>
      <c r="V1282" s="1083">
        <f t="shared" si="207"/>
        <v>15799999.860000001</v>
      </c>
    </row>
    <row r="1283" spans="1:23" s="1002" customFormat="1" hidden="1">
      <c r="A1283" s="1000" t="s">
        <v>794</v>
      </c>
      <c r="B1283" s="1001" t="s">
        <v>804</v>
      </c>
      <c r="C1283" s="1078">
        <v>46251</v>
      </c>
      <c r="D1283" s="1078"/>
      <c r="E1283" s="1002" t="s">
        <v>795</v>
      </c>
      <c r="F1283" s="1077"/>
      <c r="H1283" s="1111"/>
      <c r="I1283" s="1002" t="s">
        <v>809</v>
      </c>
      <c r="J1283" s="1007" t="s">
        <v>798</v>
      </c>
      <c r="K1283" s="1002" t="s">
        <v>799</v>
      </c>
      <c r="L1283" s="1054" t="s">
        <v>18</v>
      </c>
      <c r="M1283" s="1222">
        <v>50</v>
      </c>
      <c r="N1283" s="1081">
        <v>231481.48</v>
      </c>
      <c r="O1283" s="1223">
        <f t="shared" si="212"/>
        <v>11574074</v>
      </c>
      <c r="P1283" s="1082">
        <f t="shared" si="206"/>
        <v>925925.92</v>
      </c>
      <c r="Q1283" s="1206">
        <f t="shared" si="204"/>
        <v>12499999.92</v>
      </c>
      <c r="R1283" s="1083"/>
      <c r="S1283" s="1083"/>
      <c r="T1283" s="1083"/>
      <c r="U1283" s="1083"/>
      <c r="V1283" s="1083">
        <f t="shared" si="207"/>
        <v>12499999.92</v>
      </c>
    </row>
    <row r="1284" spans="1:23" s="1002" customFormat="1" hidden="1">
      <c r="A1284" s="1000" t="s">
        <v>794</v>
      </c>
      <c r="B1284" s="1001" t="s">
        <v>804</v>
      </c>
      <c r="C1284" s="1078">
        <v>46251</v>
      </c>
      <c r="D1284" s="1078"/>
      <c r="E1284" s="1002" t="s">
        <v>795</v>
      </c>
      <c r="F1284" s="1077"/>
      <c r="H1284" s="1111"/>
      <c r="I1284" s="1008" t="s">
        <v>892</v>
      </c>
      <c r="J1284" s="1007" t="s">
        <v>655</v>
      </c>
      <c r="K1284" s="1002" t="s">
        <v>656</v>
      </c>
      <c r="L1284" s="1054" t="s">
        <v>18</v>
      </c>
      <c r="M1284" s="1222">
        <v>2</v>
      </c>
      <c r="N1284" s="1081">
        <v>0</v>
      </c>
      <c r="O1284" s="1223">
        <f t="shared" si="212"/>
        <v>0</v>
      </c>
      <c r="P1284" s="1082">
        <f t="shared" si="206"/>
        <v>0</v>
      </c>
      <c r="Q1284" s="1206">
        <f t="shared" si="204"/>
        <v>0</v>
      </c>
      <c r="R1284" s="1083"/>
      <c r="S1284" s="1083"/>
      <c r="T1284" s="1083"/>
      <c r="U1284" s="1083"/>
      <c r="V1284" s="1083">
        <f t="shared" si="207"/>
        <v>0</v>
      </c>
    </row>
    <row r="1285" spans="1:23" s="1002" customFormat="1" hidden="1">
      <c r="A1285" s="1000" t="s">
        <v>794</v>
      </c>
      <c r="B1285" s="1001" t="s">
        <v>804</v>
      </c>
      <c r="C1285" s="1078">
        <v>46251</v>
      </c>
      <c r="D1285" s="1078"/>
      <c r="E1285" s="1002" t="s">
        <v>795</v>
      </c>
      <c r="F1285" s="1077">
        <v>46259</v>
      </c>
      <c r="G1285" s="1002" t="s">
        <v>935</v>
      </c>
      <c r="H1285" s="1111" t="s">
        <v>936</v>
      </c>
      <c r="I1285" s="1002" t="s">
        <v>809</v>
      </c>
      <c r="J1285" s="1007" t="s">
        <v>424</v>
      </c>
      <c r="K1285" s="1002" t="s">
        <v>425</v>
      </c>
      <c r="L1285" s="1054" t="s">
        <v>443</v>
      </c>
      <c r="M1285" s="1222">
        <v>1</v>
      </c>
      <c r="N1285" s="1081">
        <v>0</v>
      </c>
      <c r="O1285" s="1223">
        <f t="shared" si="212"/>
        <v>0</v>
      </c>
      <c r="P1285" s="1082">
        <f t="shared" si="206"/>
        <v>0</v>
      </c>
      <c r="Q1285" s="1206">
        <f t="shared" si="204"/>
        <v>0</v>
      </c>
      <c r="R1285" s="1083"/>
      <c r="S1285" s="1083"/>
      <c r="T1285" s="1083"/>
      <c r="U1285" s="1083"/>
      <c r="V1285" s="1083">
        <f t="shared" si="207"/>
        <v>0</v>
      </c>
    </row>
    <row r="1286" spans="1:23" s="1002" customFormat="1" hidden="1">
      <c r="A1286" s="1000" t="s">
        <v>800</v>
      </c>
      <c r="B1286" s="1001" t="s">
        <v>805</v>
      </c>
      <c r="C1286" s="1078">
        <v>46251</v>
      </c>
      <c r="D1286" s="1078"/>
      <c r="E1286" s="1002" t="s">
        <v>801</v>
      </c>
      <c r="F1286" s="1077">
        <v>46252</v>
      </c>
      <c r="G1286" s="1002" t="s">
        <v>881</v>
      </c>
      <c r="H1286" s="1111" t="s">
        <v>882</v>
      </c>
      <c r="I1286" s="1002" t="s">
        <v>808</v>
      </c>
      <c r="J1286" s="1007" t="s">
        <v>98</v>
      </c>
      <c r="K1286" s="1002" t="s">
        <v>251</v>
      </c>
      <c r="L1286" s="1054" t="s">
        <v>18</v>
      </c>
      <c r="M1286" s="1222">
        <v>2</v>
      </c>
      <c r="N1286" s="1081">
        <v>740740.74</v>
      </c>
      <c r="O1286" s="1223">
        <f t="shared" si="212"/>
        <v>1481481.48</v>
      </c>
      <c r="P1286" s="1082">
        <f t="shared" si="206"/>
        <v>118518.5184</v>
      </c>
      <c r="Q1286" s="1206">
        <f t="shared" si="204"/>
        <v>1599999.9983999999</v>
      </c>
      <c r="R1286" s="1083"/>
      <c r="S1286" s="1083"/>
      <c r="T1286" s="1083"/>
      <c r="U1286" s="1083"/>
      <c r="V1286" s="1083">
        <f t="shared" si="207"/>
        <v>1599999.9983999999</v>
      </c>
    </row>
    <row r="1287" spans="1:23" s="1002" customFormat="1" hidden="1">
      <c r="A1287" s="1000" t="s">
        <v>756</v>
      </c>
      <c r="B1287" s="1001" t="s">
        <v>759</v>
      </c>
      <c r="C1287" s="1078">
        <v>46251</v>
      </c>
      <c r="D1287" s="1078"/>
      <c r="E1287" s="1002" t="s">
        <v>955</v>
      </c>
      <c r="F1287" s="1077"/>
      <c r="H1287" s="1111"/>
      <c r="I1287" s="1002" t="s">
        <v>758</v>
      </c>
      <c r="J1287" s="1007" t="s">
        <v>956</v>
      </c>
      <c r="K1287" s="1002" t="s">
        <v>53</v>
      </c>
      <c r="L1287" s="1224" t="s">
        <v>18</v>
      </c>
      <c r="M1287" s="1222">
        <v>3</v>
      </c>
      <c r="N1287" s="1081">
        <v>1007407.41</v>
      </c>
      <c r="O1287" s="1082">
        <v>3022222</v>
      </c>
      <c r="P1287" s="1082">
        <v>241778</v>
      </c>
      <c r="Q1287" s="1206">
        <v>3264000</v>
      </c>
      <c r="R1287" s="1083"/>
      <c r="S1287" s="1083"/>
      <c r="T1287" s="1083"/>
      <c r="U1287" s="1083"/>
      <c r="V1287" s="1083">
        <f>Q1287-R1287-S1287-T1287-U1287</f>
        <v>3264000</v>
      </c>
    </row>
    <row r="1288" spans="1:23" s="1002" customFormat="1" hidden="1">
      <c r="A1288" s="1000" t="s">
        <v>756</v>
      </c>
      <c r="B1288" s="1001" t="s">
        <v>759</v>
      </c>
      <c r="C1288" s="1078">
        <v>46251</v>
      </c>
      <c r="D1288" s="1078"/>
      <c r="E1288" s="1002" t="s">
        <v>955</v>
      </c>
      <c r="F1288" s="1077">
        <v>46289</v>
      </c>
      <c r="G1288" s="1002" t="s">
        <v>1319</v>
      </c>
      <c r="H1288" s="1111" t="s">
        <v>1318</v>
      </c>
      <c r="I1288" s="1002" t="s">
        <v>758</v>
      </c>
      <c r="J1288" s="1007" t="s">
        <v>62</v>
      </c>
      <c r="K1288" s="1002" t="s">
        <v>63</v>
      </c>
      <c r="L1288" s="1224" t="s">
        <v>18</v>
      </c>
      <c r="M1288" s="1225">
        <v>3</v>
      </c>
      <c r="N1288" s="1081">
        <v>0</v>
      </c>
      <c r="O1288" s="1082">
        <v>0</v>
      </c>
      <c r="P1288" s="1082">
        <v>0</v>
      </c>
      <c r="Q1288" s="1206">
        <v>0</v>
      </c>
      <c r="R1288" s="1083"/>
      <c r="S1288" s="1083"/>
      <c r="T1288" s="1083"/>
      <c r="U1288" s="1083"/>
      <c r="V1288" s="1083">
        <f>Q1288-R1288-S1288-T1288-U1288</f>
        <v>0</v>
      </c>
    </row>
    <row r="1289" spans="1:23" s="1002" customFormat="1" hidden="1">
      <c r="A1289" s="1000" t="s">
        <v>802</v>
      </c>
      <c r="B1289" s="1001" t="s">
        <v>806</v>
      </c>
      <c r="C1289" s="1078">
        <v>46251</v>
      </c>
      <c r="D1289" s="1078"/>
      <c r="E1289" s="1002" t="s">
        <v>803</v>
      </c>
      <c r="F1289" s="1077">
        <v>46251</v>
      </c>
      <c r="G1289" s="1002" t="s">
        <v>878</v>
      </c>
      <c r="H1289" s="1111" t="s">
        <v>877</v>
      </c>
      <c r="I1289" s="1002" t="s">
        <v>807</v>
      </c>
      <c r="J1289" s="1007" t="s">
        <v>98</v>
      </c>
      <c r="K1289" s="1002" t="s">
        <v>251</v>
      </c>
      <c r="L1289" s="1054" t="s">
        <v>18</v>
      </c>
      <c r="M1289" s="1222">
        <v>4</v>
      </c>
      <c r="N1289" s="1081">
        <v>740740.74</v>
      </c>
      <c r="O1289" s="1223">
        <f>M1289*N1289</f>
        <v>2962962.96</v>
      </c>
      <c r="P1289" s="1082">
        <f t="shared" si="206"/>
        <v>237037.0368</v>
      </c>
      <c r="Q1289" s="1206">
        <f t="shared" si="204"/>
        <v>3199999.9967999998</v>
      </c>
      <c r="R1289" s="1083"/>
      <c r="S1289" s="1083"/>
      <c r="T1289" s="1083"/>
      <c r="U1289" s="1083"/>
      <c r="V1289" s="1083">
        <f t="shared" si="207"/>
        <v>3199999.9967999998</v>
      </c>
    </row>
    <row r="1290" spans="1:23" s="1002" customFormat="1" hidden="1">
      <c r="A1290" s="1000" t="s">
        <v>802</v>
      </c>
      <c r="B1290" s="1001" t="s">
        <v>806</v>
      </c>
      <c r="C1290" s="1078">
        <v>46251</v>
      </c>
      <c r="D1290" s="1078"/>
      <c r="E1290" s="1002" t="s">
        <v>957</v>
      </c>
      <c r="F1290" s="1077"/>
      <c r="H1290" s="1111"/>
      <c r="I1290" s="1002" t="s">
        <v>844</v>
      </c>
      <c r="J1290" s="1007"/>
      <c r="M1290" s="1086"/>
      <c r="N1290" s="1081"/>
      <c r="O1290" s="1082"/>
      <c r="P1290" s="1082">
        <f t="shared" si="206"/>
        <v>0</v>
      </c>
      <c r="Q1290" s="1082">
        <f t="shared" si="204"/>
        <v>0</v>
      </c>
      <c r="R1290" s="1083">
        <v>3200000</v>
      </c>
      <c r="S1290" s="1083"/>
      <c r="T1290" s="1083"/>
      <c r="U1290" s="1083"/>
      <c r="V1290" s="1083">
        <f t="shared" ref="V1290:V1350" si="213">Q1290-R1290-S1290-T1290-U1290</f>
        <v>-3200000</v>
      </c>
    </row>
    <row r="1291" spans="1:23" s="1002" customFormat="1" hidden="1">
      <c r="A1291" s="1000" t="s">
        <v>711</v>
      </c>
      <c r="B1291" s="1001" t="s">
        <v>715</v>
      </c>
      <c r="C1291" s="1078">
        <v>46251</v>
      </c>
      <c r="D1291" s="1078"/>
      <c r="E1291" s="1002" t="s">
        <v>845</v>
      </c>
      <c r="F1291" s="1077">
        <v>46251</v>
      </c>
      <c r="G1291" s="1002" t="s">
        <v>928</v>
      </c>
      <c r="H1291" s="1111" t="s">
        <v>927</v>
      </c>
      <c r="I1291" s="1002" t="s">
        <v>813</v>
      </c>
      <c r="J1291" s="1007" t="s">
        <v>260</v>
      </c>
      <c r="K1291" s="1002" t="s">
        <v>261</v>
      </c>
      <c r="L1291" s="1054" t="s">
        <v>18</v>
      </c>
      <c r="M1291" s="1222">
        <v>12</v>
      </c>
      <c r="N1291" s="1081">
        <v>407407.41</v>
      </c>
      <c r="O1291" s="1223">
        <f t="shared" ref="O1291:O1316" si="214">M1291*N1291</f>
        <v>4888888.92</v>
      </c>
      <c r="P1291" s="1082">
        <f t="shared" ref="P1291:P1336" si="215">O1291*8%</f>
        <v>391111.11359999998</v>
      </c>
      <c r="Q1291" s="1206">
        <f t="shared" ref="Q1291:Q1336" si="216">O1291+P1291</f>
        <v>5280000.0335999997</v>
      </c>
      <c r="R1291" s="1083"/>
      <c r="S1291" s="1083"/>
      <c r="T1291" s="1083"/>
      <c r="U1291" s="1083"/>
      <c r="V1291" s="1083">
        <f t="shared" si="213"/>
        <v>5280000.0335999997</v>
      </c>
    </row>
    <row r="1292" spans="1:23" s="1002" customFormat="1" hidden="1">
      <c r="A1292" s="1000" t="s">
        <v>711</v>
      </c>
      <c r="B1292" s="1001" t="s">
        <v>715</v>
      </c>
      <c r="C1292" s="1078">
        <v>46251</v>
      </c>
      <c r="D1292" s="1078"/>
      <c r="E1292" s="1002" t="s">
        <v>845</v>
      </c>
      <c r="F1292" s="1077"/>
      <c r="H1292" s="1111"/>
      <c r="I1292" s="1002" t="s">
        <v>813</v>
      </c>
      <c r="J1292" s="1007" t="s">
        <v>44</v>
      </c>
      <c r="K1292" s="1002" t="s">
        <v>45</v>
      </c>
      <c r="L1292" s="1054" t="s">
        <v>18</v>
      </c>
      <c r="M1292" s="1222">
        <v>4</v>
      </c>
      <c r="N1292" s="1081">
        <v>537037.04</v>
      </c>
      <c r="O1292" s="1223">
        <f t="shared" si="214"/>
        <v>2148148.16</v>
      </c>
      <c r="P1292" s="1082">
        <f t="shared" si="215"/>
        <v>171851.85280000002</v>
      </c>
      <c r="Q1292" s="1206">
        <f t="shared" si="216"/>
        <v>2320000.0128000001</v>
      </c>
      <c r="R1292" s="1083"/>
      <c r="S1292" s="1083"/>
      <c r="T1292" s="1083"/>
      <c r="U1292" s="1083"/>
      <c r="V1292" s="1083">
        <f t="shared" si="213"/>
        <v>2320000.0128000001</v>
      </c>
    </row>
    <row r="1293" spans="1:23" s="1002" customFormat="1" hidden="1">
      <c r="A1293" s="1000" t="s">
        <v>741</v>
      </c>
      <c r="B1293" s="1001" t="s">
        <v>749</v>
      </c>
      <c r="C1293" s="1078">
        <v>46251</v>
      </c>
      <c r="D1293" s="1078"/>
      <c r="F1293" s="1077"/>
      <c r="H1293" s="1111"/>
      <c r="I1293" s="1002" t="s">
        <v>844</v>
      </c>
      <c r="J1293" s="1007"/>
      <c r="L1293" s="1054"/>
      <c r="M1293" s="1086"/>
      <c r="N1293" s="1081"/>
      <c r="O1293" s="1223">
        <f t="shared" si="214"/>
        <v>0</v>
      </c>
      <c r="P1293" s="1082">
        <f>N1293+O1293</f>
        <v>0</v>
      </c>
      <c r="Q1293" s="1082">
        <f t="shared" si="216"/>
        <v>0</v>
      </c>
      <c r="R1293" s="1083">
        <v>7840000</v>
      </c>
      <c r="S1293" s="1083"/>
      <c r="T1293" s="1083"/>
      <c r="U1293" s="1083"/>
      <c r="V1293" s="1083">
        <f t="shared" si="213"/>
        <v>-7840000</v>
      </c>
      <c r="W1293" s="1002" t="s">
        <v>742</v>
      </c>
    </row>
    <row r="1294" spans="1:23" s="1002" customFormat="1" hidden="1">
      <c r="A1294" s="1000" t="s">
        <v>800</v>
      </c>
      <c r="B1294" s="1001" t="s">
        <v>805</v>
      </c>
      <c r="C1294" s="1078">
        <v>46251</v>
      </c>
      <c r="D1294" s="1078"/>
      <c r="F1294" s="1077"/>
      <c r="H1294" s="1111"/>
      <c r="I1294" s="1002" t="s">
        <v>702</v>
      </c>
      <c r="J1294" s="1007"/>
      <c r="L1294" s="1054"/>
      <c r="M1294" s="1086"/>
      <c r="N1294" s="1081"/>
      <c r="O1294" s="1223">
        <f t="shared" si="214"/>
        <v>0</v>
      </c>
      <c r="P1294" s="1082">
        <f>N1294+O1294</f>
        <v>0</v>
      </c>
      <c r="Q1294" s="1082">
        <f t="shared" si="216"/>
        <v>0</v>
      </c>
      <c r="R1294" s="1083">
        <v>1600000</v>
      </c>
      <c r="S1294" s="1083"/>
      <c r="T1294" s="1083"/>
      <c r="U1294" s="1083"/>
      <c r="V1294" s="1083">
        <f t="shared" si="213"/>
        <v>-1600000</v>
      </c>
    </row>
    <row r="1295" spans="1:23" s="1002" customFormat="1" hidden="1">
      <c r="A1295" s="1000" t="s">
        <v>794</v>
      </c>
      <c r="B1295" s="1001" t="s">
        <v>804</v>
      </c>
      <c r="C1295" s="1078">
        <v>46252</v>
      </c>
      <c r="D1295" s="1078"/>
      <c r="F1295" s="1077"/>
      <c r="H1295" s="1111"/>
      <c r="I1295" s="1002" t="s">
        <v>922</v>
      </c>
      <c r="J1295" s="1007"/>
      <c r="L1295" s="1054"/>
      <c r="M1295" s="1086"/>
      <c r="N1295" s="1081"/>
      <c r="O1295" s="1223">
        <f t="shared" si="214"/>
        <v>0</v>
      </c>
      <c r="P1295" s="1082">
        <f>N1295+O1295</f>
        <v>0</v>
      </c>
      <c r="Q1295" s="1082">
        <f t="shared" si="216"/>
        <v>0</v>
      </c>
      <c r="R1295" s="1083"/>
      <c r="S1295" s="1083">
        <v>480000</v>
      </c>
      <c r="T1295" s="1083"/>
      <c r="U1295" s="1083"/>
      <c r="V1295" s="1083">
        <f t="shared" si="213"/>
        <v>-480000</v>
      </c>
    </row>
    <row r="1296" spans="1:23" s="1002" customFormat="1" hidden="1">
      <c r="A1296" s="1000" t="s">
        <v>872</v>
      </c>
      <c r="B1296" s="1001" t="s">
        <v>875</v>
      </c>
      <c r="C1296" s="1078">
        <v>46252</v>
      </c>
      <c r="D1296" s="1078"/>
      <c r="E1296" s="1002" t="s">
        <v>871</v>
      </c>
      <c r="F1296" s="1077">
        <v>46256</v>
      </c>
      <c r="G1296" s="1002" t="s">
        <v>926</v>
      </c>
      <c r="H1296" s="1111" t="s">
        <v>925</v>
      </c>
      <c r="I1296" s="1002" t="s">
        <v>1503</v>
      </c>
      <c r="J1296" s="1007" t="s">
        <v>62</v>
      </c>
      <c r="K1296" s="1002" t="s">
        <v>63</v>
      </c>
      <c r="L1296" s="1054" t="s">
        <v>18</v>
      </c>
      <c r="M1296" s="1222">
        <v>20</v>
      </c>
      <c r="N1296" s="1081">
        <v>78703.7</v>
      </c>
      <c r="O1296" s="1223">
        <f t="shared" si="214"/>
        <v>1574074</v>
      </c>
      <c r="P1296" s="1082">
        <f>O1296*8%</f>
        <v>125925.92</v>
      </c>
      <c r="Q1296" s="1206">
        <f t="shared" si="216"/>
        <v>1699999.92</v>
      </c>
      <c r="R1296" s="1083"/>
      <c r="S1296" s="1083"/>
      <c r="T1296" s="1083"/>
      <c r="U1296" s="1083"/>
      <c r="V1296" s="1083">
        <f t="shared" si="213"/>
        <v>1699999.92</v>
      </c>
    </row>
    <row r="1297" spans="1:22" s="1002" customFormat="1" hidden="1">
      <c r="A1297" s="1000" t="s">
        <v>872</v>
      </c>
      <c r="B1297" s="1001" t="s">
        <v>875</v>
      </c>
      <c r="C1297" s="1078">
        <v>46252</v>
      </c>
      <c r="D1297" s="1078"/>
      <c r="E1297" s="1002" t="s">
        <v>871</v>
      </c>
      <c r="F1297" s="1077">
        <v>46256</v>
      </c>
      <c r="G1297" s="1002" t="s">
        <v>926</v>
      </c>
      <c r="H1297" s="1111" t="s">
        <v>925</v>
      </c>
      <c r="I1297" s="1002" t="s">
        <v>1503</v>
      </c>
      <c r="J1297" s="1007" t="s">
        <v>62</v>
      </c>
      <c r="K1297" s="1002" t="s">
        <v>63</v>
      </c>
      <c r="L1297" s="1054" t="s">
        <v>18</v>
      </c>
      <c r="M1297" s="1222">
        <v>20</v>
      </c>
      <c r="N1297" s="1081">
        <v>111111.11</v>
      </c>
      <c r="O1297" s="1223">
        <f t="shared" si="214"/>
        <v>2222222.2000000002</v>
      </c>
      <c r="P1297" s="1082">
        <f t="shared" si="215"/>
        <v>177777.77600000001</v>
      </c>
      <c r="Q1297" s="1206">
        <f t="shared" si="216"/>
        <v>2399999.9760000003</v>
      </c>
      <c r="R1297" s="1083"/>
      <c r="S1297" s="1083"/>
      <c r="T1297" s="1083"/>
      <c r="U1297" s="1083"/>
      <c r="V1297" s="1083">
        <f t="shared" si="213"/>
        <v>2399999.9760000003</v>
      </c>
    </row>
    <row r="1298" spans="1:22" s="1002" customFormat="1" hidden="1">
      <c r="A1298" s="1000" t="s">
        <v>872</v>
      </c>
      <c r="B1298" s="1001" t="s">
        <v>875</v>
      </c>
      <c r="C1298" s="1078">
        <v>46252</v>
      </c>
      <c r="D1298" s="1078"/>
      <c r="E1298" s="1002" t="s">
        <v>871</v>
      </c>
      <c r="F1298" s="1077">
        <v>46256</v>
      </c>
      <c r="G1298" s="1002" t="s">
        <v>926</v>
      </c>
      <c r="H1298" s="1111" t="s">
        <v>925</v>
      </c>
      <c r="I1298" s="1002" t="s">
        <v>1503</v>
      </c>
      <c r="J1298" s="1007" t="s">
        <v>80</v>
      </c>
      <c r="K1298" s="1002" t="s">
        <v>81</v>
      </c>
      <c r="L1298" s="1002" t="s">
        <v>18</v>
      </c>
      <c r="M1298" s="1222">
        <v>8</v>
      </c>
      <c r="N1298" s="1081">
        <v>824074.07</v>
      </c>
      <c r="O1298" s="1223">
        <f t="shared" si="214"/>
        <v>6592592.5599999996</v>
      </c>
      <c r="P1298" s="1082">
        <f t="shared" si="215"/>
        <v>527407.40480000002</v>
      </c>
      <c r="Q1298" s="1206">
        <f t="shared" si="216"/>
        <v>7119999.9647999993</v>
      </c>
      <c r="R1298" s="1083"/>
      <c r="S1298" s="1083"/>
      <c r="T1298" s="1083"/>
      <c r="U1298" s="1083"/>
      <c r="V1298" s="1083">
        <f t="shared" si="213"/>
        <v>7119999.9647999993</v>
      </c>
    </row>
    <row r="1299" spans="1:22" s="1002" customFormat="1" hidden="1">
      <c r="A1299" s="1000" t="s">
        <v>872</v>
      </c>
      <c r="B1299" s="1001" t="s">
        <v>875</v>
      </c>
      <c r="C1299" s="1078">
        <v>46252</v>
      </c>
      <c r="D1299" s="1078"/>
      <c r="E1299" s="1002" t="s">
        <v>871</v>
      </c>
      <c r="F1299" s="1077">
        <v>46256</v>
      </c>
      <c r="G1299" s="1002" t="s">
        <v>926</v>
      </c>
      <c r="H1299" s="1111" t="s">
        <v>925</v>
      </c>
      <c r="I1299" s="1002" t="s">
        <v>1503</v>
      </c>
      <c r="J1299" s="1007" t="s">
        <v>21</v>
      </c>
      <c r="K1299" s="1002" t="s">
        <v>22</v>
      </c>
      <c r="L1299" s="1054" t="s">
        <v>18</v>
      </c>
      <c r="M1299" s="1222">
        <v>6</v>
      </c>
      <c r="N1299" s="1081">
        <v>937962.96</v>
      </c>
      <c r="O1299" s="1223">
        <f t="shared" si="214"/>
        <v>5627777.7599999998</v>
      </c>
      <c r="P1299" s="1082">
        <f t="shared" si="215"/>
        <v>450222.22080000001</v>
      </c>
      <c r="Q1299" s="1206">
        <f t="shared" si="216"/>
        <v>6077999.9808</v>
      </c>
      <c r="R1299" s="1083"/>
      <c r="S1299" s="1083"/>
      <c r="T1299" s="1083"/>
      <c r="U1299" s="1083"/>
      <c r="V1299" s="1083">
        <f t="shared" si="213"/>
        <v>6077999.9808</v>
      </c>
    </row>
    <row r="1300" spans="1:22" s="1002" customFormat="1" hidden="1">
      <c r="A1300" s="1000" t="s">
        <v>872</v>
      </c>
      <c r="B1300" s="1001" t="s">
        <v>875</v>
      </c>
      <c r="C1300" s="1078">
        <v>46252</v>
      </c>
      <c r="D1300" s="1078"/>
      <c r="E1300" s="1002" t="s">
        <v>871</v>
      </c>
      <c r="F1300" s="1077">
        <v>46256</v>
      </c>
      <c r="G1300" s="1002" t="s">
        <v>926</v>
      </c>
      <c r="H1300" s="1111" t="s">
        <v>925</v>
      </c>
      <c r="I1300" s="1002" t="s">
        <v>1503</v>
      </c>
      <c r="J1300" s="1007" t="s">
        <v>68</v>
      </c>
      <c r="K1300" s="1002" t="s">
        <v>69</v>
      </c>
      <c r="L1300" s="1054" t="s">
        <v>18</v>
      </c>
      <c r="M1300" s="1222">
        <v>12</v>
      </c>
      <c r="N1300" s="1081">
        <v>129629.63</v>
      </c>
      <c r="O1300" s="1223">
        <f t="shared" si="214"/>
        <v>1555555.56</v>
      </c>
      <c r="P1300" s="1082">
        <f t="shared" si="215"/>
        <v>124444.44480000001</v>
      </c>
      <c r="Q1300" s="1206">
        <f t="shared" si="216"/>
        <v>1680000.0048</v>
      </c>
      <c r="R1300" s="1083"/>
      <c r="S1300" s="1083"/>
      <c r="T1300" s="1083"/>
      <c r="U1300" s="1083"/>
      <c r="V1300" s="1083">
        <f t="shared" si="213"/>
        <v>1680000.0048</v>
      </c>
    </row>
    <row r="1301" spans="1:22" s="1002" customFormat="1" hidden="1">
      <c r="A1301" s="1000" t="s">
        <v>872</v>
      </c>
      <c r="B1301" s="1001" t="s">
        <v>875</v>
      </c>
      <c r="C1301" s="1078">
        <v>46252</v>
      </c>
      <c r="D1301" s="1078"/>
      <c r="E1301" s="1002" t="s">
        <v>871</v>
      </c>
      <c r="F1301" s="1077">
        <v>46256</v>
      </c>
      <c r="G1301" s="1002" t="s">
        <v>926</v>
      </c>
      <c r="H1301" s="1111" t="s">
        <v>925</v>
      </c>
      <c r="I1301" s="1002" t="s">
        <v>1503</v>
      </c>
      <c r="J1301" s="1007" t="s">
        <v>70</v>
      </c>
      <c r="K1301" s="1002" t="s">
        <v>71</v>
      </c>
      <c r="L1301" s="1054" t="s">
        <v>18</v>
      </c>
      <c r="M1301" s="1222">
        <v>12</v>
      </c>
      <c r="N1301" s="1081">
        <v>138888.89000000001</v>
      </c>
      <c r="O1301" s="1223">
        <f t="shared" si="214"/>
        <v>1666666.6800000002</v>
      </c>
      <c r="P1301" s="1082">
        <f t="shared" si="215"/>
        <v>133333.33440000002</v>
      </c>
      <c r="Q1301" s="1206">
        <f t="shared" si="216"/>
        <v>1800000.0144000002</v>
      </c>
      <c r="R1301" s="1083"/>
      <c r="S1301" s="1083"/>
      <c r="T1301" s="1083"/>
      <c r="U1301" s="1083"/>
      <c r="V1301" s="1083">
        <f t="shared" si="213"/>
        <v>1800000.0144000002</v>
      </c>
    </row>
    <row r="1302" spans="1:22" s="1002" customFormat="1" hidden="1">
      <c r="A1302" s="1000" t="s">
        <v>872</v>
      </c>
      <c r="B1302" s="1001" t="s">
        <v>875</v>
      </c>
      <c r="C1302" s="1078">
        <v>46252</v>
      </c>
      <c r="D1302" s="1078"/>
      <c r="E1302" s="1002" t="s">
        <v>871</v>
      </c>
      <c r="F1302" s="1077">
        <v>46256</v>
      </c>
      <c r="G1302" s="1002" t="s">
        <v>926</v>
      </c>
      <c r="H1302" s="1111" t="s">
        <v>925</v>
      </c>
      <c r="I1302" s="1002" t="s">
        <v>1503</v>
      </c>
      <c r="J1302" s="1007" t="s">
        <v>72</v>
      </c>
      <c r="K1302" s="1002" t="s">
        <v>73</v>
      </c>
      <c r="L1302" s="1054" t="s">
        <v>18</v>
      </c>
      <c r="M1302" s="1222">
        <v>12</v>
      </c>
      <c r="N1302" s="1081">
        <v>148148.15</v>
      </c>
      <c r="O1302" s="1223">
        <f t="shared" si="214"/>
        <v>1777777.7999999998</v>
      </c>
      <c r="P1302" s="1082">
        <f t="shared" si="215"/>
        <v>142222.22399999999</v>
      </c>
      <c r="Q1302" s="1206">
        <f t="shared" si="216"/>
        <v>1920000.0239999997</v>
      </c>
      <c r="R1302" s="1083"/>
      <c r="S1302" s="1083"/>
      <c r="T1302" s="1083"/>
      <c r="U1302" s="1083"/>
      <c r="V1302" s="1083">
        <f t="shared" si="213"/>
        <v>1920000.0239999997</v>
      </c>
    </row>
    <row r="1303" spans="1:22" s="1002" customFormat="1" hidden="1">
      <c r="A1303" s="1000" t="s">
        <v>872</v>
      </c>
      <c r="B1303" s="1001" t="s">
        <v>875</v>
      </c>
      <c r="C1303" s="1078">
        <v>46252</v>
      </c>
      <c r="D1303" s="1078"/>
      <c r="E1303" s="1002" t="s">
        <v>871</v>
      </c>
      <c r="F1303" s="1077">
        <v>46256</v>
      </c>
      <c r="G1303" s="1002" t="s">
        <v>926</v>
      </c>
      <c r="H1303" s="1111" t="s">
        <v>925</v>
      </c>
      <c r="I1303" s="1002" t="s">
        <v>1503</v>
      </c>
      <c r="J1303" s="1007" t="s">
        <v>180</v>
      </c>
      <c r="K1303" s="1002" t="s">
        <v>181</v>
      </c>
      <c r="L1303" s="1054" t="s">
        <v>18</v>
      </c>
      <c r="M1303" s="1222">
        <v>10</v>
      </c>
      <c r="N1303" s="1081">
        <v>234259.26</v>
      </c>
      <c r="O1303" s="1223">
        <f t="shared" si="214"/>
        <v>2342592.6</v>
      </c>
      <c r="P1303" s="1082">
        <f t="shared" si="215"/>
        <v>187407.40800000002</v>
      </c>
      <c r="Q1303" s="1206">
        <f t="shared" si="216"/>
        <v>2530000.0079999999</v>
      </c>
      <c r="R1303" s="1083"/>
      <c r="S1303" s="1083"/>
      <c r="T1303" s="1083"/>
      <c r="U1303" s="1083"/>
      <c r="V1303" s="1083">
        <f t="shared" si="213"/>
        <v>2530000.0079999999</v>
      </c>
    </row>
    <row r="1304" spans="1:22" s="1002" customFormat="1" hidden="1">
      <c r="A1304" s="1000" t="s">
        <v>872</v>
      </c>
      <c r="B1304" s="1001" t="s">
        <v>875</v>
      </c>
      <c r="C1304" s="1078">
        <v>46252</v>
      </c>
      <c r="D1304" s="1078"/>
      <c r="E1304" s="1002" t="s">
        <v>871</v>
      </c>
      <c r="F1304" s="1077">
        <v>46256</v>
      </c>
      <c r="G1304" s="1002" t="s">
        <v>926</v>
      </c>
      <c r="H1304" s="1111" t="s">
        <v>925</v>
      </c>
      <c r="I1304" s="1002" t="s">
        <v>1503</v>
      </c>
      <c r="J1304" s="1007" t="s">
        <v>26</v>
      </c>
      <c r="K1304" s="1002" t="s">
        <v>27</v>
      </c>
      <c r="L1304" s="1054" t="s">
        <v>18</v>
      </c>
      <c r="M1304" s="1222">
        <v>10</v>
      </c>
      <c r="N1304" s="1081">
        <v>256481.48</v>
      </c>
      <c r="O1304" s="1223">
        <f t="shared" si="214"/>
        <v>2564814.8000000003</v>
      </c>
      <c r="P1304" s="1082">
        <f t="shared" si="215"/>
        <v>205185.18400000004</v>
      </c>
      <c r="Q1304" s="1206">
        <f t="shared" si="216"/>
        <v>2769999.9840000002</v>
      </c>
      <c r="R1304" s="1083"/>
      <c r="S1304" s="1083"/>
      <c r="T1304" s="1083"/>
      <c r="U1304" s="1083"/>
      <c r="V1304" s="1083">
        <f t="shared" si="213"/>
        <v>2769999.9840000002</v>
      </c>
    </row>
    <row r="1305" spans="1:22" s="1002" customFormat="1" hidden="1">
      <c r="A1305" s="1000" t="s">
        <v>872</v>
      </c>
      <c r="B1305" s="1001" t="s">
        <v>875</v>
      </c>
      <c r="C1305" s="1078">
        <v>46252</v>
      </c>
      <c r="D1305" s="1078"/>
      <c r="E1305" s="1002" t="s">
        <v>871</v>
      </c>
      <c r="F1305" s="1077">
        <v>46256</v>
      </c>
      <c r="G1305" s="1002" t="s">
        <v>926</v>
      </c>
      <c r="H1305" s="1111" t="s">
        <v>925</v>
      </c>
      <c r="I1305" s="1002" t="s">
        <v>1503</v>
      </c>
      <c r="J1305" s="1007" t="s">
        <v>28</v>
      </c>
      <c r="K1305" s="1002" t="s">
        <v>29</v>
      </c>
      <c r="L1305" s="1054" t="s">
        <v>18</v>
      </c>
      <c r="M1305" s="1222">
        <v>10</v>
      </c>
      <c r="N1305" s="1081">
        <v>281481.48</v>
      </c>
      <c r="O1305" s="1223">
        <f t="shared" si="214"/>
        <v>2814814.8</v>
      </c>
      <c r="P1305" s="1082">
        <f t="shared" si="215"/>
        <v>225185.18399999998</v>
      </c>
      <c r="Q1305" s="1206">
        <f t="shared" si="216"/>
        <v>3039999.9839999997</v>
      </c>
      <c r="R1305" s="1083"/>
      <c r="S1305" s="1083"/>
      <c r="T1305" s="1083"/>
      <c r="U1305" s="1083"/>
      <c r="V1305" s="1083">
        <f t="shared" si="213"/>
        <v>3039999.9839999997</v>
      </c>
    </row>
    <row r="1306" spans="1:22" s="1002" customFormat="1" hidden="1">
      <c r="A1306" s="1000" t="s">
        <v>872</v>
      </c>
      <c r="B1306" s="1001" t="s">
        <v>875</v>
      </c>
      <c r="C1306" s="1078">
        <v>46252</v>
      </c>
      <c r="D1306" s="1078"/>
      <c r="E1306" s="1002" t="s">
        <v>871</v>
      </c>
      <c r="F1306" s="1077">
        <v>46256</v>
      </c>
      <c r="G1306" s="1002" t="s">
        <v>926</v>
      </c>
      <c r="H1306" s="1111" t="s">
        <v>925</v>
      </c>
      <c r="I1306" s="1002" t="s">
        <v>1503</v>
      </c>
      <c r="J1306" s="1007" t="s">
        <v>243</v>
      </c>
      <c r="K1306" s="1002" t="s">
        <v>249</v>
      </c>
      <c r="L1306" s="1054" t="s">
        <v>18</v>
      </c>
      <c r="M1306" s="1222">
        <v>10</v>
      </c>
      <c r="N1306" s="1081">
        <v>298148.15000000002</v>
      </c>
      <c r="O1306" s="1223">
        <f t="shared" si="214"/>
        <v>2981481.5</v>
      </c>
      <c r="P1306" s="1082">
        <f t="shared" si="215"/>
        <v>238518.52000000002</v>
      </c>
      <c r="Q1306" s="1206">
        <f t="shared" si="216"/>
        <v>3220000.02</v>
      </c>
      <c r="R1306" s="1083"/>
      <c r="S1306" s="1083"/>
      <c r="T1306" s="1083"/>
      <c r="U1306" s="1083"/>
      <c r="V1306" s="1083">
        <f t="shared" si="213"/>
        <v>3220000.02</v>
      </c>
    </row>
    <row r="1307" spans="1:22" s="1002" customFormat="1" hidden="1">
      <c r="A1307" s="1000" t="s">
        <v>872</v>
      </c>
      <c r="B1307" s="1001" t="s">
        <v>875</v>
      </c>
      <c r="C1307" s="1078">
        <v>46252</v>
      </c>
      <c r="D1307" s="1078"/>
      <c r="E1307" s="1002" t="s">
        <v>871</v>
      </c>
      <c r="F1307" s="1077">
        <v>46256</v>
      </c>
      <c r="G1307" s="1002" t="s">
        <v>926</v>
      </c>
      <c r="H1307" s="1111" t="s">
        <v>925</v>
      </c>
      <c r="I1307" s="1002" t="s">
        <v>1503</v>
      </c>
      <c r="J1307" s="1007" t="s">
        <v>42</v>
      </c>
      <c r="K1307" s="1002" t="s">
        <v>43</v>
      </c>
      <c r="L1307" s="1054" t="s">
        <v>18</v>
      </c>
      <c r="M1307" s="1222">
        <v>4</v>
      </c>
      <c r="N1307" s="1081">
        <v>569444.43999999994</v>
      </c>
      <c r="O1307" s="1223">
        <f t="shared" si="214"/>
        <v>2277777.7599999998</v>
      </c>
      <c r="P1307" s="1082">
        <f t="shared" si="215"/>
        <v>182222.22079999998</v>
      </c>
      <c r="Q1307" s="1206">
        <f t="shared" si="216"/>
        <v>2459999.9807999996</v>
      </c>
      <c r="R1307" s="1083"/>
      <c r="S1307" s="1083"/>
      <c r="T1307" s="1083"/>
      <c r="U1307" s="1083"/>
      <c r="V1307" s="1083">
        <f t="shared" si="213"/>
        <v>2459999.9807999996</v>
      </c>
    </row>
    <row r="1308" spans="1:22" s="1002" customFormat="1" hidden="1">
      <c r="A1308" s="1000" t="s">
        <v>872</v>
      </c>
      <c r="B1308" s="1001" t="s">
        <v>875</v>
      </c>
      <c r="C1308" s="1078">
        <v>46252</v>
      </c>
      <c r="D1308" s="1078"/>
      <c r="E1308" s="1002" t="s">
        <v>871</v>
      </c>
      <c r="F1308" s="1077">
        <v>46256</v>
      </c>
      <c r="G1308" s="1002" t="s">
        <v>926</v>
      </c>
      <c r="H1308" s="1111" t="s">
        <v>925</v>
      </c>
      <c r="I1308" s="1002" t="s">
        <v>1503</v>
      </c>
      <c r="J1308" s="1007" t="s">
        <v>44</v>
      </c>
      <c r="K1308" s="1002" t="s">
        <v>45</v>
      </c>
      <c r="L1308" s="1054" t="s">
        <v>18</v>
      </c>
      <c r="M1308" s="1222">
        <v>4</v>
      </c>
      <c r="N1308" s="1081">
        <v>564814.81000000006</v>
      </c>
      <c r="O1308" s="1223">
        <f t="shared" si="214"/>
        <v>2259259.2400000002</v>
      </c>
      <c r="P1308" s="1082">
        <f t="shared" si="215"/>
        <v>180740.73920000001</v>
      </c>
      <c r="Q1308" s="1206">
        <f t="shared" si="216"/>
        <v>2439999.9792000004</v>
      </c>
      <c r="R1308" s="1083"/>
      <c r="S1308" s="1083"/>
      <c r="T1308" s="1083"/>
      <c r="U1308" s="1083"/>
      <c r="V1308" s="1083">
        <f t="shared" si="213"/>
        <v>2439999.9792000004</v>
      </c>
    </row>
    <row r="1309" spans="1:22" s="1002" customFormat="1" hidden="1">
      <c r="A1309" s="1000" t="s">
        <v>872</v>
      </c>
      <c r="B1309" s="1001" t="s">
        <v>875</v>
      </c>
      <c r="C1309" s="1078">
        <v>46252</v>
      </c>
      <c r="D1309" s="1078"/>
      <c r="E1309" s="1002" t="s">
        <v>871</v>
      </c>
      <c r="F1309" s="1077">
        <v>46256</v>
      </c>
      <c r="G1309" s="1002" t="s">
        <v>926</v>
      </c>
      <c r="H1309" s="1111" t="s">
        <v>925</v>
      </c>
      <c r="I1309" s="1002" t="s">
        <v>1503</v>
      </c>
      <c r="J1309" s="1007" t="s">
        <v>148</v>
      </c>
      <c r="K1309" s="1002" t="s">
        <v>149</v>
      </c>
      <c r="L1309" s="1054" t="s">
        <v>18</v>
      </c>
      <c r="M1309" s="1222">
        <v>4</v>
      </c>
      <c r="N1309" s="1081">
        <v>358333.33</v>
      </c>
      <c r="O1309" s="1223">
        <f t="shared" si="214"/>
        <v>1433333.32</v>
      </c>
      <c r="P1309" s="1082">
        <f t="shared" si="215"/>
        <v>114666.66560000001</v>
      </c>
      <c r="Q1309" s="1206">
        <f t="shared" si="216"/>
        <v>1547999.9856</v>
      </c>
      <c r="R1309" s="1083"/>
      <c r="S1309" s="1083"/>
      <c r="T1309" s="1083"/>
      <c r="U1309" s="1083"/>
      <c r="V1309" s="1083">
        <f t="shared" si="213"/>
        <v>1547999.9856</v>
      </c>
    </row>
    <row r="1310" spans="1:22" s="1002" customFormat="1" hidden="1">
      <c r="A1310" s="1000" t="s">
        <v>872</v>
      </c>
      <c r="B1310" s="1001" t="s">
        <v>875</v>
      </c>
      <c r="C1310" s="1078">
        <v>46252</v>
      </c>
      <c r="D1310" s="1078"/>
      <c r="E1310" s="1002" t="s">
        <v>871</v>
      </c>
      <c r="F1310" s="1077">
        <v>46256</v>
      </c>
      <c r="G1310" s="1002" t="s">
        <v>926</v>
      </c>
      <c r="H1310" s="1111" t="s">
        <v>925</v>
      </c>
      <c r="I1310" s="1002" t="s">
        <v>1503</v>
      </c>
      <c r="J1310" s="1007" t="s">
        <v>192</v>
      </c>
      <c r="K1310" s="1002" t="s">
        <v>193</v>
      </c>
      <c r="L1310" s="1054" t="s">
        <v>18</v>
      </c>
      <c r="M1310" s="1222">
        <v>4</v>
      </c>
      <c r="N1310" s="1081">
        <v>398148.15</v>
      </c>
      <c r="O1310" s="1223">
        <f t="shared" si="214"/>
        <v>1592592.6</v>
      </c>
      <c r="P1310" s="1082">
        <f t="shared" si="215"/>
        <v>127407.40800000001</v>
      </c>
      <c r="Q1310" s="1206">
        <f t="shared" si="216"/>
        <v>1720000.0080000001</v>
      </c>
      <c r="R1310" s="1083"/>
      <c r="S1310" s="1083"/>
      <c r="T1310" s="1083"/>
      <c r="U1310" s="1083"/>
      <c r="V1310" s="1083">
        <f t="shared" si="213"/>
        <v>1720000.0080000001</v>
      </c>
    </row>
    <row r="1311" spans="1:22" s="1002" customFormat="1" hidden="1">
      <c r="A1311" s="1000" t="s">
        <v>872</v>
      </c>
      <c r="B1311" s="1001" t="s">
        <v>875</v>
      </c>
      <c r="C1311" s="1078">
        <v>46252</v>
      </c>
      <c r="D1311" s="1078"/>
      <c r="E1311" s="1002" t="s">
        <v>871</v>
      </c>
      <c r="F1311" s="1077">
        <v>46256</v>
      </c>
      <c r="G1311" s="1002" t="s">
        <v>926</v>
      </c>
      <c r="H1311" s="1111" t="s">
        <v>925</v>
      </c>
      <c r="I1311" s="1002" t="s">
        <v>1503</v>
      </c>
      <c r="J1311" s="1007" t="s">
        <v>46</v>
      </c>
      <c r="K1311" s="1002" t="s">
        <v>47</v>
      </c>
      <c r="L1311" s="1054" t="s">
        <v>18</v>
      </c>
      <c r="M1311" s="1222">
        <v>6</v>
      </c>
      <c r="N1311" s="1081">
        <v>240740.74</v>
      </c>
      <c r="O1311" s="1223">
        <f t="shared" si="214"/>
        <v>1444444.44</v>
      </c>
      <c r="P1311" s="1082">
        <f t="shared" si="215"/>
        <v>115555.5552</v>
      </c>
      <c r="Q1311" s="1206">
        <f t="shared" si="216"/>
        <v>1559999.9952</v>
      </c>
      <c r="R1311" s="1083"/>
      <c r="S1311" s="1083"/>
      <c r="T1311" s="1083"/>
      <c r="U1311" s="1083"/>
      <c r="V1311" s="1083">
        <f t="shared" si="213"/>
        <v>1559999.9952</v>
      </c>
    </row>
    <row r="1312" spans="1:22" s="1002" customFormat="1" hidden="1">
      <c r="A1312" s="1000" t="s">
        <v>872</v>
      </c>
      <c r="B1312" s="1001" t="s">
        <v>875</v>
      </c>
      <c r="C1312" s="1078">
        <v>46252</v>
      </c>
      <c r="D1312" s="1078"/>
      <c r="E1312" s="1002" t="s">
        <v>871</v>
      </c>
      <c r="F1312" s="1077">
        <v>46256</v>
      </c>
      <c r="G1312" s="1002" t="s">
        <v>926</v>
      </c>
      <c r="H1312" s="1111" t="s">
        <v>925</v>
      </c>
      <c r="I1312" s="1002" t="s">
        <v>1503</v>
      </c>
      <c r="J1312" s="1007" t="s">
        <v>157</v>
      </c>
      <c r="K1312" s="1002" t="s">
        <v>158</v>
      </c>
      <c r="L1312" s="1054" t="s">
        <v>18</v>
      </c>
      <c r="M1312" s="1222">
        <v>4</v>
      </c>
      <c r="N1312" s="1081">
        <v>342592.59</v>
      </c>
      <c r="O1312" s="1223">
        <f t="shared" si="214"/>
        <v>1370370.36</v>
      </c>
      <c r="P1312" s="1082">
        <f t="shared" si="215"/>
        <v>109629.62880000001</v>
      </c>
      <c r="Q1312" s="1206">
        <f t="shared" si="216"/>
        <v>1479999.9888000002</v>
      </c>
      <c r="R1312" s="1083"/>
      <c r="S1312" s="1083"/>
      <c r="T1312" s="1083"/>
      <c r="U1312" s="1083"/>
      <c r="V1312" s="1083">
        <f t="shared" si="213"/>
        <v>1479999.9888000002</v>
      </c>
    </row>
    <row r="1313" spans="1:22" s="1002" customFormat="1" hidden="1">
      <c r="A1313" s="1000" t="s">
        <v>872</v>
      </c>
      <c r="B1313" s="1001" t="s">
        <v>875</v>
      </c>
      <c r="C1313" s="1078">
        <v>46252</v>
      </c>
      <c r="D1313" s="1078"/>
      <c r="E1313" s="1002" t="s">
        <v>871</v>
      </c>
      <c r="F1313" s="1077">
        <v>46295</v>
      </c>
      <c r="G1313" s="1002" t="s">
        <v>1346</v>
      </c>
      <c r="H1313" s="1111" t="s">
        <v>1344</v>
      </c>
      <c r="I1313" s="1002" t="s">
        <v>1503</v>
      </c>
      <c r="J1313" s="1007" t="s">
        <v>647</v>
      </c>
      <c r="K1313" s="1002" t="s">
        <v>648</v>
      </c>
      <c r="L1313" s="1054" t="s">
        <v>18</v>
      </c>
      <c r="M1313" s="1222">
        <v>4</v>
      </c>
      <c r="N1313" s="1081">
        <v>601851.85</v>
      </c>
      <c r="O1313" s="1223">
        <f t="shared" si="214"/>
        <v>2407407.4</v>
      </c>
      <c r="P1313" s="1082">
        <f t="shared" si="215"/>
        <v>192592.592</v>
      </c>
      <c r="Q1313" s="1206">
        <f t="shared" si="216"/>
        <v>2599999.9920000001</v>
      </c>
      <c r="R1313" s="1083"/>
      <c r="S1313" s="1083"/>
      <c r="T1313" s="1083"/>
      <c r="U1313" s="1083"/>
      <c r="V1313" s="1083">
        <f t="shared" si="213"/>
        <v>2599999.9920000001</v>
      </c>
    </row>
    <row r="1314" spans="1:22" s="1002" customFormat="1" hidden="1">
      <c r="A1314" s="1000" t="s">
        <v>872</v>
      </c>
      <c r="B1314" s="1001" t="s">
        <v>875</v>
      </c>
      <c r="C1314" s="1078">
        <v>46252</v>
      </c>
      <c r="D1314" s="1078"/>
      <c r="E1314" s="1002" t="s">
        <v>871</v>
      </c>
      <c r="F1314" s="1077"/>
      <c r="H1314" s="1111"/>
      <c r="I1314" s="1002" t="s">
        <v>1503</v>
      </c>
      <c r="J1314" s="1007" t="s">
        <v>873</v>
      </c>
      <c r="K1314" s="1002" t="s">
        <v>874</v>
      </c>
      <c r="L1314" s="1054" t="s">
        <v>18</v>
      </c>
      <c r="M1314" s="1222">
        <v>25</v>
      </c>
      <c r="N1314" s="1081">
        <v>388888.89</v>
      </c>
      <c r="O1314" s="1223">
        <f t="shared" si="214"/>
        <v>9722222.25</v>
      </c>
      <c r="P1314" s="1082">
        <f t="shared" si="215"/>
        <v>777777.78</v>
      </c>
      <c r="Q1314" s="1206">
        <f t="shared" si="216"/>
        <v>10500000.029999999</v>
      </c>
      <c r="R1314" s="1083"/>
      <c r="S1314" s="1083"/>
      <c r="T1314" s="1083"/>
      <c r="U1314" s="1083"/>
      <c r="V1314" s="1083">
        <f t="shared" si="213"/>
        <v>10500000.029999999</v>
      </c>
    </row>
    <row r="1315" spans="1:22" s="1032" customFormat="1" hidden="1">
      <c r="A1315" s="1000" t="s">
        <v>872</v>
      </c>
      <c r="B1315" s="1001" t="s">
        <v>875</v>
      </c>
      <c r="C1315" s="1078">
        <v>46252</v>
      </c>
      <c r="D1315" s="1078"/>
      <c r="E1315" s="1002" t="s">
        <v>871</v>
      </c>
      <c r="F1315" s="1077"/>
      <c r="G1315" s="1002"/>
      <c r="H1315" s="1111"/>
      <c r="I1315" s="1002" t="s">
        <v>1503</v>
      </c>
      <c r="J1315" s="1007" t="s">
        <v>796</v>
      </c>
      <c r="K1315" s="1002" t="s">
        <v>797</v>
      </c>
      <c r="L1315" s="1054" t="s">
        <v>18</v>
      </c>
      <c r="M1315" s="1222">
        <v>25</v>
      </c>
      <c r="N1315" s="1081">
        <v>292592.59000000003</v>
      </c>
      <c r="O1315" s="1223">
        <f t="shared" si="214"/>
        <v>7314814.7500000009</v>
      </c>
      <c r="P1315" s="1082">
        <f t="shared" si="215"/>
        <v>585185.18000000005</v>
      </c>
      <c r="Q1315" s="1206">
        <f t="shared" si="216"/>
        <v>7899999.9300000006</v>
      </c>
      <c r="R1315" s="1083"/>
      <c r="S1315" s="1083"/>
      <c r="T1315" s="1083"/>
      <c r="U1315" s="1083"/>
      <c r="V1315" s="1083">
        <f t="shared" si="213"/>
        <v>7899999.9300000006</v>
      </c>
    </row>
    <row r="1316" spans="1:22" s="1032" customFormat="1" hidden="1">
      <c r="A1316" s="1000" t="s">
        <v>872</v>
      </c>
      <c r="B1316" s="1001" t="s">
        <v>875</v>
      </c>
      <c r="C1316" s="1078">
        <v>46252</v>
      </c>
      <c r="D1316" s="1078"/>
      <c r="E1316" s="1002" t="s">
        <v>871</v>
      </c>
      <c r="F1316" s="1077"/>
      <c r="G1316" s="1002"/>
      <c r="H1316" s="1111"/>
      <c r="I1316" s="1002" t="s">
        <v>1503</v>
      </c>
      <c r="J1316" s="1007" t="s">
        <v>798</v>
      </c>
      <c r="K1316" s="1002" t="s">
        <v>799</v>
      </c>
      <c r="L1316" s="1054" t="s">
        <v>18</v>
      </c>
      <c r="M1316" s="1222">
        <v>25</v>
      </c>
      <c r="N1316" s="1081">
        <v>231481.48</v>
      </c>
      <c r="O1316" s="1223">
        <f t="shared" si="214"/>
        <v>5787037</v>
      </c>
      <c r="P1316" s="1082">
        <f t="shared" si="215"/>
        <v>462962.96</v>
      </c>
      <c r="Q1316" s="1206">
        <f t="shared" si="216"/>
        <v>6249999.96</v>
      </c>
      <c r="R1316" s="1083"/>
      <c r="S1316" s="1083"/>
      <c r="T1316" s="1083"/>
      <c r="U1316" s="1083"/>
      <c r="V1316" s="1083">
        <f t="shared" si="213"/>
        <v>6249999.96</v>
      </c>
    </row>
    <row r="1317" spans="1:22" s="1002" customFormat="1" hidden="1">
      <c r="A1317" s="1000" t="s">
        <v>753</v>
      </c>
      <c r="B1317" s="1001" t="s">
        <v>754</v>
      </c>
      <c r="C1317" s="1078">
        <v>46253</v>
      </c>
      <c r="D1317" s="1078"/>
      <c r="F1317" s="1077"/>
      <c r="H1317" s="1111"/>
      <c r="I1317" s="1002" t="s">
        <v>760</v>
      </c>
      <c r="J1317" s="1007"/>
      <c r="M1317" s="1086"/>
      <c r="N1317" s="1081"/>
      <c r="O1317" s="1082"/>
      <c r="P1317" s="1082">
        <f t="shared" si="215"/>
        <v>0</v>
      </c>
      <c r="Q1317" s="1082">
        <f t="shared" si="216"/>
        <v>0</v>
      </c>
      <c r="R1317" s="1107"/>
      <c r="S1317" s="1083">
        <v>220000</v>
      </c>
      <c r="T1317" s="1160"/>
      <c r="U1317" s="1160"/>
      <c r="V1317" s="1083">
        <f t="shared" si="213"/>
        <v>-220000</v>
      </c>
    </row>
    <row r="1318" spans="1:22" s="1002" customFormat="1" hidden="1">
      <c r="A1318" s="1000" t="s">
        <v>768</v>
      </c>
      <c r="B1318" s="1001" t="s">
        <v>770</v>
      </c>
      <c r="C1318" s="1078">
        <v>46253</v>
      </c>
      <c r="D1318" s="1078"/>
      <c r="F1318" s="1077"/>
      <c r="H1318" s="1111"/>
      <c r="I1318" s="1002" t="s">
        <v>760</v>
      </c>
      <c r="J1318" s="1007"/>
      <c r="M1318" s="1086"/>
      <c r="N1318" s="1081"/>
      <c r="O1318" s="1082"/>
      <c r="P1318" s="1082">
        <f t="shared" si="215"/>
        <v>0</v>
      </c>
      <c r="Q1318" s="1082">
        <f t="shared" si="216"/>
        <v>0</v>
      </c>
      <c r="R1318" s="1107"/>
      <c r="S1318" s="1083">
        <v>580000</v>
      </c>
      <c r="T1318" s="1160"/>
      <c r="U1318" s="1160"/>
      <c r="V1318" s="1083">
        <f>Q1318-R1318-S1318-T1318-U1318</f>
        <v>-580000</v>
      </c>
    </row>
    <row r="1319" spans="1:22" s="1002" customFormat="1" hidden="1">
      <c r="A1319" s="1039" t="s">
        <v>736</v>
      </c>
      <c r="B1319" s="1040" t="s">
        <v>747</v>
      </c>
      <c r="C1319" s="1078">
        <v>46254</v>
      </c>
      <c r="D1319" s="1078"/>
      <c r="E1319" s="1002" t="s">
        <v>904</v>
      </c>
      <c r="F1319" s="1077">
        <v>46295</v>
      </c>
      <c r="G1319" s="1002" t="s">
        <v>1345</v>
      </c>
      <c r="H1319" s="1111" t="s">
        <v>1309</v>
      </c>
      <c r="I1319" s="1002" t="s">
        <v>818</v>
      </c>
      <c r="J1319" s="1007" t="s">
        <v>645</v>
      </c>
      <c r="K1319" s="1002" t="s">
        <v>646</v>
      </c>
      <c r="L1319" s="1054" t="s">
        <v>18</v>
      </c>
      <c r="M1319" s="1222">
        <v>15</v>
      </c>
      <c r="N1319" s="1081">
        <v>629629.63</v>
      </c>
      <c r="O1319" s="1223">
        <f>M1319*N1319</f>
        <v>9444444.4499999993</v>
      </c>
      <c r="P1319" s="1082">
        <f>O1319*8%</f>
        <v>755555.55599999998</v>
      </c>
      <c r="Q1319" s="1206">
        <f>O1319+P1319</f>
        <v>10200000.005999999</v>
      </c>
      <c r="R1319" s="1083"/>
      <c r="S1319" s="1083"/>
      <c r="T1319" s="1083"/>
      <c r="U1319" s="1083"/>
      <c r="V1319" s="1083">
        <f>Q1319-R1319-S1319-T1319-U1319</f>
        <v>10200000.005999999</v>
      </c>
    </row>
    <row r="1320" spans="1:22" s="1002" customFormat="1" hidden="1">
      <c r="A1320" s="1039" t="s">
        <v>736</v>
      </c>
      <c r="B1320" s="1040" t="s">
        <v>747</v>
      </c>
      <c r="C1320" s="1078">
        <v>46254</v>
      </c>
      <c r="D1320" s="1078"/>
      <c r="E1320" s="1002" t="s">
        <v>904</v>
      </c>
      <c r="F1320" s="1077">
        <v>46259</v>
      </c>
      <c r="G1320" s="1002" t="s">
        <v>1075</v>
      </c>
      <c r="H1320" s="1111" t="s">
        <v>1074</v>
      </c>
      <c r="I1320" s="1002" t="s">
        <v>818</v>
      </c>
      <c r="J1320" s="1007" t="s">
        <v>90</v>
      </c>
      <c r="K1320" s="1002" t="s">
        <v>91</v>
      </c>
      <c r="L1320" s="1054" t="s">
        <v>18</v>
      </c>
      <c r="M1320" s="1222">
        <v>6</v>
      </c>
      <c r="N1320" s="1081">
        <v>814814.81</v>
      </c>
      <c r="O1320" s="1223">
        <f>M1320*N1320</f>
        <v>4888888.8600000003</v>
      </c>
      <c r="P1320" s="1082">
        <f>O1320*8%</f>
        <v>391111.10880000005</v>
      </c>
      <c r="Q1320" s="1206">
        <f>O1320+P1320</f>
        <v>5279999.9688000008</v>
      </c>
      <c r="R1320" s="1083"/>
      <c r="S1320" s="1083"/>
      <c r="T1320" s="1083"/>
      <c r="U1320" s="1083"/>
      <c r="V1320" s="1083">
        <f>Q1320-R1320-S1320-T1320-U1320</f>
        <v>5279999.9688000008</v>
      </c>
    </row>
    <row r="1321" spans="1:22" s="1002" customFormat="1" hidden="1">
      <c r="A1321" s="1039" t="s">
        <v>736</v>
      </c>
      <c r="B1321" s="1040" t="s">
        <v>747</v>
      </c>
      <c r="C1321" s="1078">
        <v>46254</v>
      </c>
      <c r="D1321" s="1078"/>
      <c r="E1321" s="1002" t="s">
        <v>904</v>
      </c>
      <c r="F1321" s="1077">
        <v>46295</v>
      </c>
      <c r="G1321" s="1002" t="s">
        <v>1345</v>
      </c>
      <c r="H1321" s="1111" t="s">
        <v>1309</v>
      </c>
      <c r="I1321" s="1002" t="s">
        <v>818</v>
      </c>
      <c r="J1321" s="1007" t="s">
        <v>645</v>
      </c>
      <c r="K1321" s="1002" t="s">
        <v>646</v>
      </c>
      <c r="L1321" s="1054" t="s">
        <v>18</v>
      </c>
      <c r="M1321" s="1222">
        <v>1</v>
      </c>
      <c r="N1321" s="1081">
        <v>0</v>
      </c>
      <c r="O1321" s="1223">
        <f>M1321*N1321</f>
        <v>0</v>
      </c>
      <c r="P1321" s="1082">
        <f>O1321*8%</f>
        <v>0</v>
      </c>
      <c r="Q1321" s="1206">
        <f>O1321+P1321</f>
        <v>0</v>
      </c>
      <c r="R1321" s="1083"/>
      <c r="S1321" s="1083"/>
      <c r="T1321" s="1083"/>
      <c r="U1321" s="1083"/>
      <c r="V1321" s="1083">
        <f>Q1321-R1321-S1321-T1321-U1321</f>
        <v>0</v>
      </c>
    </row>
    <row r="1322" spans="1:22" hidden="1">
      <c r="A1322" s="1000" t="s">
        <v>1015</v>
      </c>
      <c r="B1322" s="1001" t="s">
        <v>903</v>
      </c>
      <c r="C1322" s="1078">
        <v>46254</v>
      </c>
      <c r="D1322" s="1078"/>
      <c r="E1322" s="1002"/>
      <c r="F1322" s="1077"/>
      <c r="G1322" s="1002"/>
      <c r="H1322" s="1111"/>
      <c r="I1322" s="1002" t="s">
        <v>844</v>
      </c>
      <c r="J1322" s="1007"/>
      <c r="L1322" s="1054"/>
      <c r="N1322" s="1081"/>
      <c r="O1322" s="1082"/>
      <c r="P1322" s="1082">
        <f t="shared" si="215"/>
        <v>0</v>
      </c>
      <c r="Q1322" s="1082">
        <f t="shared" si="216"/>
        <v>0</v>
      </c>
      <c r="R1322" s="1083">
        <v>1600000</v>
      </c>
      <c r="S1322" s="1083"/>
      <c r="T1322" s="1083"/>
      <c r="U1322" s="1083"/>
      <c r="V1322" s="1083">
        <f t="shared" si="213"/>
        <v>-1600000</v>
      </c>
    </row>
    <row r="1323" spans="1:22" hidden="1">
      <c r="A1323" s="1000" t="s">
        <v>1015</v>
      </c>
      <c r="B1323" s="1001" t="s">
        <v>903</v>
      </c>
      <c r="C1323" s="1078">
        <v>46254</v>
      </c>
      <c r="D1323" s="1078"/>
      <c r="E1323" s="1002" t="s">
        <v>905</v>
      </c>
      <c r="F1323" s="1077"/>
      <c r="G1323" s="1002"/>
      <c r="H1323" s="1111"/>
      <c r="I1323" s="1002" t="s">
        <v>1504</v>
      </c>
      <c r="J1323" s="1007" t="s">
        <v>98</v>
      </c>
      <c r="K1323" s="1002" t="s">
        <v>251</v>
      </c>
      <c r="L1323" s="1054" t="s">
        <v>18</v>
      </c>
      <c r="M1323" s="1222">
        <v>3</v>
      </c>
      <c r="N1323" s="1081">
        <v>740740.74</v>
      </c>
      <c r="O1323" s="1223">
        <f t="shared" ref="O1323:O1354" si="217">M1323*N1323</f>
        <v>2222222.2199999997</v>
      </c>
      <c r="P1323" s="1082">
        <f t="shared" si="215"/>
        <v>177777.77759999997</v>
      </c>
      <c r="Q1323" s="1206">
        <f t="shared" si="216"/>
        <v>2399999.9975999999</v>
      </c>
      <c r="R1323" s="1083"/>
      <c r="S1323" s="1083"/>
      <c r="T1323" s="1083"/>
      <c r="U1323" s="1083"/>
      <c r="V1323" s="1083">
        <f t="shared" si="213"/>
        <v>2399999.9975999999</v>
      </c>
    </row>
    <row r="1324" spans="1:22" hidden="1">
      <c r="B1324" s="1040" t="s">
        <v>907</v>
      </c>
      <c r="C1324" s="1078">
        <v>46254</v>
      </c>
      <c r="D1324" s="1078"/>
      <c r="E1324" s="1002" t="s">
        <v>906</v>
      </c>
      <c r="F1324" s="1077"/>
      <c r="G1324" s="1002"/>
      <c r="H1324" s="1111"/>
      <c r="I1324" s="1002" t="s">
        <v>1505</v>
      </c>
      <c r="J1324" s="1007" t="s">
        <v>728</v>
      </c>
      <c r="K1324" s="1002" t="s">
        <v>729</v>
      </c>
      <c r="L1324" s="1054" t="s">
        <v>18</v>
      </c>
      <c r="M1324" s="1222">
        <v>2</v>
      </c>
      <c r="N1324" s="1081">
        <v>0</v>
      </c>
      <c r="O1324" s="1223">
        <f t="shared" si="217"/>
        <v>0</v>
      </c>
      <c r="P1324" s="1082">
        <f t="shared" si="215"/>
        <v>0</v>
      </c>
      <c r="Q1324" s="1206">
        <f t="shared" si="216"/>
        <v>0</v>
      </c>
      <c r="V1324" s="1083">
        <f t="shared" si="213"/>
        <v>0</v>
      </c>
    </row>
    <row r="1325" spans="1:22" s="1002" customFormat="1" hidden="1">
      <c r="A1325" s="1000" t="s">
        <v>711</v>
      </c>
      <c r="B1325" s="1001" t="s">
        <v>715</v>
      </c>
      <c r="C1325" s="1078">
        <v>46255</v>
      </c>
      <c r="D1325" s="1078"/>
      <c r="E1325" s="1002" t="s">
        <v>909</v>
      </c>
      <c r="F1325" s="1077">
        <v>46256</v>
      </c>
      <c r="G1325" s="1002" t="s">
        <v>928</v>
      </c>
      <c r="H1325" s="1111" t="s">
        <v>927</v>
      </c>
      <c r="I1325" s="1002" t="s">
        <v>813</v>
      </c>
      <c r="J1325" s="1007" t="s">
        <v>46</v>
      </c>
      <c r="K1325" s="1002" t="s">
        <v>47</v>
      </c>
      <c r="L1325" s="1054" t="s">
        <v>18</v>
      </c>
      <c r="M1325" s="1222">
        <v>30</v>
      </c>
      <c r="N1325" s="1081">
        <v>240740.74</v>
      </c>
      <c r="O1325" s="1223">
        <f t="shared" si="217"/>
        <v>7222222.1999999993</v>
      </c>
      <c r="P1325" s="1082">
        <f t="shared" si="215"/>
        <v>577777.77599999995</v>
      </c>
      <c r="Q1325" s="1206">
        <f t="shared" si="216"/>
        <v>7799999.9759999989</v>
      </c>
      <c r="R1325" s="1107"/>
      <c r="S1325" s="1107"/>
      <c r="T1325" s="1107"/>
      <c r="U1325" s="1107"/>
      <c r="V1325" s="1083">
        <f t="shared" si="213"/>
        <v>7799999.9759999989</v>
      </c>
    </row>
    <row r="1326" spans="1:22" s="1002" customFormat="1" hidden="1">
      <c r="A1326" s="1000" t="s">
        <v>711</v>
      </c>
      <c r="B1326" s="1001" t="s">
        <v>715</v>
      </c>
      <c r="C1326" s="1078">
        <v>46255</v>
      </c>
      <c r="D1326" s="1078"/>
      <c r="E1326" s="1002" t="s">
        <v>909</v>
      </c>
      <c r="F1326" s="1077">
        <v>46256</v>
      </c>
      <c r="G1326" s="1002" t="s">
        <v>928</v>
      </c>
      <c r="H1326" s="1111" t="s">
        <v>927</v>
      </c>
      <c r="I1326" s="1002" t="s">
        <v>813</v>
      </c>
      <c r="J1326" s="1007" t="s">
        <v>119</v>
      </c>
      <c r="K1326" s="1002" t="s">
        <v>191</v>
      </c>
      <c r="L1326" s="1054" t="s">
        <v>18</v>
      </c>
      <c r="M1326" s="1222">
        <v>12</v>
      </c>
      <c r="N1326" s="1081">
        <v>574074.06999999995</v>
      </c>
      <c r="O1326" s="1223">
        <f t="shared" si="217"/>
        <v>6888888.8399999999</v>
      </c>
      <c r="P1326" s="1082">
        <f t="shared" si="215"/>
        <v>551111.10719999997</v>
      </c>
      <c r="Q1326" s="1206">
        <f t="shared" si="216"/>
        <v>7439999.9472000003</v>
      </c>
      <c r="R1326" s="1107"/>
      <c r="S1326" s="1107"/>
      <c r="T1326" s="1107"/>
      <c r="U1326" s="1107"/>
      <c r="V1326" s="1083">
        <f t="shared" si="213"/>
        <v>7439999.9472000003</v>
      </c>
    </row>
    <row r="1327" spans="1:22" s="1002" customFormat="1" hidden="1">
      <c r="A1327" s="1000" t="s">
        <v>711</v>
      </c>
      <c r="B1327" s="1001" t="s">
        <v>715</v>
      </c>
      <c r="C1327" s="1078">
        <v>46255</v>
      </c>
      <c r="D1327" s="1078"/>
      <c r="E1327" s="1002" t="s">
        <v>909</v>
      </c>
      <c r="F1327" s="1077">
        <v>46256</v>
      </c>
      <c r="G1327" s="1002" t="s">
        <v>928</v>
      </c>
      <c r="H1327" s="1111" t="s">
        <v>927</v>
      </c>
      <c r="I1327" s="1002" t="s">
        <v>813</v>
      </c>
      <c r="J1327" s="1007" t="s">
        <v>148</v>
      </c>
      <c r="K1327" s="1002" t="s">
        <v>149</v>
      </c>
      <c r="L1327" s="1054" t="s">
        <v>18</v>
      </c>
      <c r="M1327" s="1222">
        <v>20</v>
      </c>
      <c r="N1327" s="1081">
        <v>296296.3</v>
      </c>
      <c r="O1327" s="1223">
        <f t="shared" si="217"/>
        <v>5925926</v>
      </c>
      <c r="P1327" s="1082">
        <f t="shared" si="215"/>
        <v>474074.08</v>
      </c>
      <c r="Q1327" s="1206">
        <f t="shared" si="216"/>
        <v>6400000.0800000001</v>
      </c>
      <c r="R1327" s="1083"/>
      <c r="S1327" s="1083"/>
      <c r="T1327" s="1083"/>
      <c r="U1327" s="1083"/>
      <c r="V1327" s="1083">
        <f t="shared" si="213"/>
        <v>6400000.0800000001</v>
      </c>
    </row>
    <row r="1328" spans="1:22" s="1002" customFormat="1" hidden="1">
      <c r="A1328" s="1000" t="s">
        <v>711</v>
      </c>
      <c r="B1328" s="1001" t="s">
        <v>715</v>
      </c>
      <c r="C1328" s="1078">
        <v>46255</v>
      </c>
      <c r="D1328" s="1078"/>
      <c r="E1328" s="1002" t="s">
        <v>909</v>
      </c>
      <c r="F1328" s="1077">
        <v>46256</v>
      </c>
      <c r="G1328" s="1002" t="s">
        <v>928</v>
      </c>
      <c r="H1328" s="1111" t="s">
        <v>927</v>
      </c>
      <c r="I1328" s="1002" t="s">
        <v>813</v>
      </c>
      <c r="J1328" s="1007" t="s">
        <v>192</v>
      </c>
      <c r="K1328" s="1002" t="s">
        <v>193</v>
      </c>
      <c r="L1328" s="1054" t="s">
        <v>18</v>
      </c>
      <c r="M1328" s="1222">
        <v>30</v>
      </c>
      <c r="N1328" s="1081">
        <v>333333.33</v>
      </c>
      <c r="O1328" s="1223">
        <f t="shared" si="217"/>
        <v>9999999.9000000004</v>
      </c>
      <c r="P1328" s="1082">
        <f t="shared" si="215"/>
        <v>799999.99200000009</v>
      </c>
      <c r="Q1328" s="1206">
        <f t="shared" si="216"/>
        <v>10799999.892000001</v>
      </c>
      <c r="R1328" s="1083"/>
      <c r="S1328" s="1083"/>
      <c r="T1328" s="1083"/>
      <c r="U1328" s="1083"/>
      <c r="V1328" s="1083">
        <f t="shared" si="213"/>
        <v>10799999.892000001</v>
      </c>
    </row>
    <row r="1329" spans="1:22" s="1002" customFormat="1" hidden="1">
      <c r="A1329" s="1000" t="s">
        <v>711</v>
      </c>
      <c r="B1329" s="1001" t="s">
        <v>715</v>
      </c>
      <c r="C1329" s="1078">
        <v>46255</v>
      </c>
      <c r="D1329" s="1078"/>
      <c r="E1329" s="1002" t="s">
        <v>909</v>
      </c>
      <c r="F1329" s="1077">
        <v>46256</v>
      </c>
      <c r="G1329" s="1002" t="s">
        <v>928</v>
      </c>
      <c r="H1329" s="1111" t="s">
        <v>927</v>
      </c>
      <c r="I1329" s="1002" t="s">
        <v>813</v>
      </c>
      <c r="J1329" s="1007" t="s">
        <v>260</v>
      </c>
      <c r="K1329" s="1002" t="s">
        <v>261</v>
      </c>
      <c r="L1329" s="1054" t="s">
        <v>18</v>
      </c>
      <c r="M1329" s="1222">
        <v>24</v>
      </c>
      <c r="N1329" s="1081">
        <v>407407.41</v>
      </c>
      <c r="O1329" s="1223">
        <f t="shared" si="217"/>
        <v>9777777.8399999999</v>
      </c>
      <c r="P1329" s="1082">
        <f t="shared" si="215"/>
        <v>782222.22719999996</v>
      </c>
      <c r="Q1329" s="1206">
        <f t="shared" si="216"/>
        <v>10560000.067199999</v>
      </c>
      <c r="R1329" s="1083"/>
      <c r="S1329" s="1083"/>
      <c r="T1329" s="1083"/>
      <c r="U1329" s="1083"/>
      <c r="V1329" s="1083">
        <f t="shared" si="213"/>
        <v>10560000.067199999</v>
      </c>
    </row>
    <row r="1330" spans="1:22" s="1002" customFormat="1" hidden="1">
      <c r="A1330" s="1000" t="s">
        <v>761</v>
      </c>
      <c r="B1330" s="1028" t="s">
        <v>1496</v>
      </c>
      <c r="C1330" s="1078">
        <v>46255</v>
      </c>
      <c r="D1330" s="1078"/>
      <c r="E1330" s="1002" t="s">
        <v>910</v>
      </c>
      <c r="F1330" s="1077">
        <v>46295</v>
      </c>
      <c r="G1330" s="1002" t="s">
        <v>1382</v>
      </c>
      <c r="H1330" s="1111" t="s">
        <v>1381</v>
      </c>
      <c r="I1330" s="1002" t="s">
        <v>1497</v>
      </c>
      <c r="J1330" s="1007" t="s">
        <v>643</v>
      </c>
      <c r="K1330" s="1002" t="s">
        <v>644</v>
      </c>
      <c r="L1330" s="1054" t="s">
        <v>18</v>
      </c>
      <c r="M1330" s="1222">
        <v>15</v>
      </c>
      <c r="N1330" s="1081">
        <v>527777.78</v>
      </c>
      <c r="O1330" s="1223">
        <f t="shared" si="217"/>
        <v>7916666.7000000002</v>
      </c>
      <c r="P1330" s="1082">
        <f t="shared" si="215"/>
        <v>633333.33600000001</v>
      </c>
      <c r="Q1330" s="1206">
        <f t="shared" si="216"/>
        <v>8550000.0360000003</v>
      </c>
      <c r="R1330" s="1083"/>
      <c r="S1330" s="1083"/>
      <c r="T1330" s="1083"/>
      <c r="U1330" s="1083"/>
      <c r="V1330" s="1083">
        <f>Q1330-R1330-S1330-T1330-U1330</f>
        <v>8550000.0360000003</v>
      </c>
    </row>
    <row r="1331" spans="1:22" s="1002" customFormat="1" hidden="1">
      <c r="A1331" s="1000" t="s">
        <v>761</v>
      </c>
      <c r="B1331" s="1028" t="s">
        <v>1496</v>
      </c>
      <c r="C1331" s="1078">
        <v>46255</v>
      </c>
      <c r="D1331" s="1078"/>
      <c r="E1331" s="1002" t="s">
        <v>910</v>
      </c>
      <c r="F1331" s="1077">
        <v>46295</v>
      </c>
      <c r="G1331" s="1002" t="s">
        <v>1382</v>
      </c>
      <c r="H1331" s="1111" t="s">
        <v>1381</v>
      </c>
      <c r="I1331" s="1002" t="s">
        <v>1497</v>
      </c>
      <c r="J1331" s="1007" t="s">
        <v>645</v>
      </c>
      <c r="K1331" s="1002" t="s">
        <v>646</v>
      </c>
      <c r="L1331" s="1054" t="s">
        <v>18</v>
      </c>
      <c r="M1331" s="1222">
        <v>15</v>
      </c>
      <c r="N1331" s="1081">
        <v>629629.63</v>
      </c>
      <c r="O1331" s="1223">
        <f t="shared" si="217"/>
        <v>9444444.4499999993</v>
      </c>
      <c r="P1331" s="1082">
        <f t="shared" si="215"/>
        <v>755555.55599999998</v>
      </c>
      <c r="Q1331" s="1206">
        <f t="shared" si="216"/>
        <v>10200000.005999999</v>
      </c>
      <c r="R1331" s="1083"/>
      <c r="S1331" s="1083"/>
      <c r="T1331" s="1083"/>
      <c r="U1331" s="1083"/>
      <c r="V1331" s="1083">
        <f t="shared" si="213"/>
        <v>10200000.005999999</v>
      </c>
    </row>
    <row r="1332" spans="1:22" s="1002" customFormat="1" hidden="1">
      <c r="A1332" s="1000" t="s">
        <v>761</v>
      </c>
      <c r="B1332" s="1028" t="s">
        <v>1496</v>
      </c>
      <c r="C1332" s="1078">
        <v>46255</v>
      </c>
      <c r="D1332" s="1078"/>
      <c r="E1332" s="1002" t="s">
        <v>910</v>
      </c>
      <c r="F1332" s="1077">
        <v>46295</v>
      </c>
      <c r="G1332" s="1002" t="s">
        <v>1382</v>
      </c>
      <c r="H1332" s="1111" t="s">
        <v>1381</v>
      </c>
      <c r="I1332" s="1002" t="s">
        <v>1497</v>
      </c>
      <c r="J1332" s="1007" t="s">
        <v>655</v>
      </c>
      <c r="K1332" s="1002" t="s">
        <v>656</v>
      </c>
      <c r="L1332" s="1054" t="s">
        <v>18</v>
      </c>
      <c r="M1332" s="1222">
        <v>15</v>
      </c>
      <c r="N1332" s="1081">
        <v>574074.06999999995</v>
      </c>
      <c r="O1332" s="1223">
        <f t="shared" si="217"/>
        <v>8611111.0499999989</v>
      </c>
      <c r="P1332" s="1082">
        <f t="shared" si="215"/>
        <v>688888.88399999996</v>
      </c>
      <c r="Q1332" s="1206">
        <f t="shared" si="216"/>
        <v>9299999.9339999985</v>
      </c>
      <c r="R1332" s="1083"/>
      <c r="S1332" s="1083"/>
      <c r="T1332" s="1083"/>
      <c r="U1332" s="1083"/>
      <c r="V1332" s="1083">
        <f t="shared" si="213"/>
        <v>9299999.9339999985</v>
      </c>
    </row>
    <row r="1333" spans="1:22" s="1002" customFormat="1" hidden="1">
      <c r="A1333" s="1000" t="s">
        <v>761</v>
      </c>
      <c r="B1333" s="1028" t="s">
        <v>1496</v>
      </c>
      <c r="C1333" s="1078">
        <v>46255</v>
      </c>
      <c r="D1333" s="1078"/>
      <c r="E1333" s="1002" t="s">
        <v>910</v>
      </c>
      <c r="F1333" s="1077">
        <v>46259</v>
      </c>
      <c r="G1333" s="1002" t="s">
        <v>1071</v>
      </c>
      <c r="H1333" s="1111" t="s">
        <v>1070</v>
      </c>
      <c r="I1333" s="1002" t="s">
        <v>1497</v>
      </c>
      <c r="J1333" s="1007" t="s">
        <v>98</v>
      </c>
      <c r="K1333" s="1002" t="s">
        <v>251</v>
      </c>
      <c r="L1333" s="1054" t="s">
        <v>18</v>
      </c>
      <c r="M1333" s="1222">
        <v>5</v>
      </c>
      <c r="N1333" s="1081">
        <v>694444.44</v>
      </c>
      <c r="O1333" s="1223">
        <f t="shared" si="217"/>
        <v>3472222.1999999997</v>
      </c>
      <c r="P1333" s="1082">
        <f t="shared" si="215"/>
        <v>277777.77599999995</v>
      </c>
      <c r="Q1333" s="1206">
        <f t="shared" si="216"/>
        <v>3749999.9759999998</v>
      </c>
      <c r="R1333" s="1083"/>
      <c r="S1333" s="1083"/>
      <c r="T1333" s="1083"/>
      <c r="U1333" s="1083"/>
      <c r="V1333" s="1083">
        <f t="shared" si="213"/>
        <v>3749999.9759999998</v>
      </c>
    </row>
    <row r="1334" spans="1:22" s="1002" customFormat="1" hidden="1">
      <c r="A1334" s="1000" t="s">
        <v>761</v>
      </c>
      <c r="B1334" s="1028" t="s">
        <v>1496</v>
      </c>
      <c r="C1334" s="1078">
        <v>46255</v>
      </c>
      <c r="D1334" s="1078"/>
      <c r="E1334" s="1002" t="s">
        <v>910</v>
      </c>
      <c r="F1334" s="1077">
        <v>46295</v>
      </c>
      <c r="G1334" s="1002" t="s">
        <v>1382</v>
      </c>
      <c r="H1334" s="1111" t="s">
        <v>1381</v>
      </c>
      <c r="I1334" s="1008" t="s">
        <v>892</v>
      </c>
      <c r="J1334" s="1007" t="s">
        <v>643</v>
      </c>
      <c r="K1334" s="1002" t="s">
        <v>644</v>
      </c>
      <c r="L1334" s="1054" t="s">
        <v>18</v>
      </c>
      <c r="M1334" s="1222">
        <v>1</v>
      </c>
      <c r="N1334" s="1081">
        <v>0</v>
      </c>
      <c r="O1334" s="1223">
        <f t="shared" si="217"/>
        <v>0</v>
      </c>
      <c r="P1334" s="1082">
        <f t="shared" si="215"/>
        <v>0</v>
      </c>
      <c r="Q1334" s="1206">
        <f t="shared" si="216"/>
        <v>0</v>
      </c>
      <c r="R1334" s="1083"/>
      <c r="S1334" s="1083"/>
      <c r="T1334" s="1083"/>
      <c r="U1334" s="1083"/>
      <c r="V1334" s="1083">
        <f t="shared" si="213"/>
        <v>0</v>
      </c>
    </row>
    <row r="1335" spans="1:22" hidden="1">
      <c r="A1335" s="1000" t="s">
        <v>761</v>
      </c>
      <c r="B1335" s="1028" t="s">
        <v>1496</v>
      </c>
      <c r="C1335" s="1078">
        <v>46255</v>
      </c>
      <c r="D1335" s="1078"/>
      <c r="E1335" s="1002" t="s">
        <v>910</v>
      </c>
      <c r="F1335" s="1077">
        <v>46295</v>
      </c>
      <c r="G1335" s="1002" t="s">
        <v>1382</v>
      </c>
      <c r="H1335" s="1111" t="s">
        <v>1381</v>
      </c>
      <c r="I1335" s="1008" t="s">
        <v>892</v>
      </c>
      <c r="J1335" s="1007" t="s">
        <v>645</v>
      </c>
      <c r="K1335" s="1002" t="s">
        <v>646</v>
      </c>
      <c r="L1335" s="1054" t="s">
        <v>18</v>
      </c>
      <c r="M1335" s="1222">
        <v>1</v>
      </c>
      <c r="N1335" s="1081">
        <v>0</v>
      </c>
      <c r="O1335" s="1223">
        <f t="shared" si="217"/>
        <v>0</v>
      </c>
      <c r="P1335" s="1082">
        <f t="shared" si="215"/>
        <v>0</v>
      </c>
      <c r="Q1335" s="1206">
        <f t="shared" si="216"/>
        <v>0</v>
      </c>
      <c r="R1335" s="1083"/>
      <c r="S1335" s="1083"/>
      <c r="T1335" s="1083"/>
      <c r="U1335" s="1083"/>
      <c r="V1335" s="1083">
        <f t="shared" si="213"/>
        <v>0</v>
      </c>
    </row>
    <row r="1336" spans="1:22" hidden="1">
      <c r="A1336" s="1000" t="s">
        <v>761</v>
      </c>
      <c r="B1336" s="1028" t="s">
        <v>1496</v>
      </c>
      <c r="C1336" s="1078">
        <v>46255</v>
      </c>
      <c r="D1336" s="1078"/>
      <c r="E1336" s="1002" t="s">
        <v>910</v>
      </c>
      <c r="F1336" s="1077">
        <v>46295</v>
      </c>
      <c r="G1336" s="1002" t="s">
        <v>1382</v>
      </c>
      <c r="H1336" s="1111" t="s">
        <v>1381</v>
      </c>
      <c r="I1336" s="1008" t="s">
        <v>892</v>
      </c>
      <c r="J1336" s="1007" t="s">
        <v>655</v>
      </c>
      <c r="K1336" s="1002" t="s">
        <v>656</v>
      </c>
      <c r="L1336" s="1054" t="s">
        <v>18</v>
      </c>
      <c r="M1336" s="1222">
        <v>1</v>
      </c>
      <c r="N1336" s="1081">
        <v>0</v>
      </c>
      <c r="O1336" s="1223">
        <f t="shared" si="217"/>
        <v>0</v>
      </c>
      <c r="P1336" s="1082">
        <f t="shared" si="215"/>
        <v>0</v>
      </c>
      <c r="Q1336" s="1206">
        <f t="shared" si="216"/>
        <v>0</v>
      </c>
      <c r="R1336" s="1083"/>
      <c r="S1336" s="1083"/>
      <c r="T1336" s="1083"/>
      <c r="U1336" s="1083"/>
      <c r="V1336" s="1083">
        <f t="shared" si="213"/>
        <v>0</v>
      </c>
    </row>
    <row r="1337" spans="1:22" hidden="1">
      <c r="A1337" s="1000" t="s">
        <v>761</v>
      </c>
      <c r="B1337" s="1028" t="s">
        <v>1496</v>
      </c>
      <c r="C1337" s="1078">
        <v>46255</v>
      </c>
      <c r="D1337" s="1078"/>
      <c r="E1337" s="1002" t="s">
        <v>1012</v>
      </c>
      <c r="F1337" s="1077"/>
      <c r="G1337" s="1002"/>
      <c r="H1337" s="1111"/>
      <c r="I1337" s="1002" t="s">
        <v>915</v>
      </c>
      <c r="J1337" s="1007" t="s">
        <v>148</v>
      </c>
      <c r="K1337" s="1002" t="s">
        <v>149</v>
      </c>
      <c r="L1337" s="1054" t="s">
        <v>18</v>
      </c>
      <c r="M1337" s="1086">
        <v>-16</v>
      </c>
      <c r="N1337" s="1081">
        <v>358333.33</v>
      </c>
      <c r="O1337" s="1223">
        <f t="shared" si="217"/>
        <v>-5733333.2800000003</v>
      </c>
      <c r="P1337" s="1082">
        <f t="shared" ref="P1337:P1388" si="218">O1337*8%</f>
        <v>-458666.66240000003</v>
      </c>
      <c r="Q1337" s="1082">
        <f t="shared" ref="Q1337:Q1400" si="219">O1337+P1337</f>
        <v>-6191999.9424000001</v>
      </c>
      <c r="V1337" s="1083">
        <f t="shared" ref="V1337:V1344" si="220">Q1337-R1337-S1337-T1337-U1337</f>
        <v>-6191999.9424000001</v>
      </c>
    </row>
    <row r="1338" spans="1:22" hidden="1">
      <c r="A1338" s="1000" t="s">
        <v>761</v>
      </c>
      <c r="B1338" s="1028" t="s">
        <v>1496</v>
      </c>
      <c r="C1338" s="1078">
        <v>46255</v>
      </c>
      <c r="D1338" s="1078"/>
      <c r="E1338" s="1002" t="s">
        <v>1012</v>
      </c>
      <c r="F1338" s="1077"/>
      <c r="G1338" s="1002"/>
      <c r="H1338" s="1111"/>
      <c r="I1338" s="1002" t="s">
        <v>915</v>
      </c>
      <c r="J1338" s="1007" t="s">
        <v>42</v>
      </c>
      <c r="K1338" s="1002" t="s">
        <v>43</v>
      </c>
      <c r="L1338" s="1054" t="s">
        <v>18</v>
      </c>
      <c r="M1338" s="1086">
        <v>-4</v>
      </c>
      <c r="N1338" s="1081">
        <v>569444.43999999994</v>
      </c>
      <c r="O1338" s="1223">
        <f t="shared" si="217"/>
        <v>-2277777.7599999998</v>
      </c>
      <c r="P1338" s="1082">
        <f t="shared" si="218"/>
        <v>-182222.22079999998</v>
      </c>
      <c r="Q1338" s="1082">
        <f t="shared" si="219"/>
        <v>-2459999.9807999996</v>
      </c>
      <c r="V1338" s="1083">
        <f t="shared" si="220"/>
        <v>-2459999.9807999996</v>
      </c>
    </row>
    <row r="1339" spans="1:22" hidden="1">
      <c r="A1339" s="1000" t="s">
        <v>761</v>
      </c>
      <c r="B1339" s="1028" t="s">
        <v>1496</v>
      </c>
      <c r="C1339" s="1078">
        <v>46255</v>
      </c>
      <c r="D1339" s="1078"/>
      <c r="E1339" s="1002" t="s">
        <v>1012</v>
      </c>
      <c r="F1339" s="1077"/>
      <c r="G1339" s="1002"/>
      <c r="H1339" s="1111"/>
      <c r="I1339" s="1002" t="s">
        <v>915</v>
      </c>
      <c r="J1339" s="1007" t="s">
        <v>119</v>
      </c>
      <c r="K1339" s="1002" t="s">
        <v>191</v>
      </c>
      <c r="L1339" s="1054" t="s">
        <v>18</v>
      </c>
      <c r="M1339" s="1086">
        <v>-5</v>
      </c>
      <c r="N1339" s="1081">
        <v>659259.26</v>
      </c>
      <c r="O1339" s="1223">
        <f t="shared" si="217"/>
        <v>-3296296.3</v>
      </c>
      <c r="P1339" s="1082">
        <f t="shared" si="218"/>
        <v>-263703.70399999997</v>
      </c>
      <c r="Q1339" s="1082">
        <f t="shared" si="219"/>
        <v>-3560000.0039999997</v>
      </c>
      <c r="V1339" s="1083">
        <f t="shared" si="220"/>
        <v>-3560000.0039999997</v>
      </c>
    </row>
    <row r="1340" spans="1:22" hidden="1">
      <c r="A1340" s="1000" t="s">
        <v>761</v>
      </c>
      <c r="B1340" s="1028" t="s">
        <v>1496</v>
      </c>
      <c r="C1340" s="1078">
        <v>46255</v>
      </c>
      <c r="D1340" s="1078"/>
      <c r="E1340" s="1002" t="s">
        <v>1012</v>
      </c>
      <c r="F1340" s="1077"/>
      <c r="G1340" s="1002"/>
      <c r="H1340" s="1111"/>
      <c r="I1340" s="1002" t="s">
        <v>915</v>
      </c>
      <c r="J1340" s="1007" t="s">
        <v>44</v>
      </c>
      <c r="K1340" s="1002" t="s">
        <v>45</v>
      </c>
      <c r="L1340" s="1054" t="s">
        <v>18</v>
      </c>
      <c r="M1340" s="1086">
        <v>-13</v>
      </c>
      <c r="N1340" s="1081">
        <v>564814.81000000006</v>
      </c>
      <c r="O1340" s="1223">
        <f t="shared" si="217"/>
        <v>-7342592.5300000012</v>
      </c>
      <c r="P1340" s="1082">
        <f t="shared" si="218"/>
        <v>-587407.40240000014</v>
      </c>
      <c r="Q1340" s="1082">
        <f t="shared" si="219"/>
        <v>-7929999.9324000012</v>
      </c>
      <c r="V1340" s="1083">
        <f t="shared" si="220"/>
        <v>-7929999.9324000012</v>
      </c>
    </row>
    <row r="1341" spans="1:22" hidden="1">
      <c r="A1341" s="1000" t="s">
        <v>761</v>
      </c>
      <c r="B1341" s="1028" t="s">
        <v>1496</v>
      </c>
      <c r="C1341" s="1078">
        <v>46255</v>
      </c>
      <c r="D1341" s="1078"/>
      <c r="E1341" s="1002" t="s">
        <v>1012</v>
      </c>
      <c r="F1341" s="1077"/>
      <c r="G1341" s="1002"/>
      <c r="H1341" s="1111"/>
      <c r="I1341" s="1002" t="s">
        <v>915</v>
      </c>
      <c r="J1341" s="1007" t="s">
        <v>68</v>
      </c>
      <c r="K1341" s="1002" t="s">
        <v>69</v>
      </c>
      <c r="L1341" s="1054" t="s">
        <v>18</v>
      </c>
      <c r="M1341" s="1086">
        <v>-42</v>
      </c>
      <c r="N1341" s="1081">
        <v>111111.11</v>
      </c>
      <c r="O1341" s="1223">
        <f t="shared" si="217"/>
        <v>-4666666.62</v>
      </c>
      <c r="P1341" s="1082">
        <f t="shared" si="218"/>
        <v>-373333.3296</v>
      </c>
      <c r="Q1341" s="1082">
        <f t="shared" si="219"/>
        <v>-5039999.9495999999</v>
      </c>
      <c r="V1341" s="1083">
        <f t="shared" si="220"/>
        <v>-5039999.9495999999</v>
      </c>
    </row>
    <row r="1342" spans="1:22" hidden="1">
      <c r="A1342" s="1000" t="s">
        <v>761</v>
      </c>
      <c r="B1342" s="1028" t="s">
        <v>1496</v>
      </c>
      <c r="C1342" s="1078">
        <v>46255</v>
      </c>
      <c r="D1342" s="1078"/>
      <c r="E1342" s="1002" t="s">
        <v>1012</v>
      </c>
      <c r="F1342" s="1077"/>
      <c r="G1342" s="1002"/>
      <c r="H1342" s="1111"/>
      <c r="I1342" s="1002" t="s">
        <v>915</v>
      </c>
      <c r="J1342" s="1007" t="s">
        <v>70</v>
      </c>
      <c r="K1342" s="1002" t="s">
        <v>179</v>
      </c>
      <c r="L1342" s="1054" t="s">
        <v>18</v>
      </c>
      <c r="M1342" s="1086">
        <v>-59</v>
      </c>
      <c r="N1342" s="1081">
        <v>120370.37</v>
      </c>
      <c r="O1342" s="1223">
        <f t="shared" si="217"/>
        <v>-7101851.8300000001</v>
      </c>
      <c r="P1342" s="1082">
        <f t="shared" si="218"/>
        <v>-568148.14639999997</v>
      </c>
      <c r="Q1342" s="1082">
        <f t="shared" si="219"/>
        <v>-7669999.9764</v>
      </c>
      <c r="V1342" s="1083">
        <f t="shared" si="220"/>
        <v>-7669999.9764</v>
      </c>
    </row>
    <row r="1343" spans="1:22" hidden="1">
      <c r="A1343" s="1000" t="s">
        <v>761</v>
      </c>
      <c r="B1343" s="1028" t="s">
        <v>1496</v>
      </c>
      <c r="C1343" s="1078">
        <v>46255</v>
      </c>
      <c r="D1343" s="1078"/>
      <c r="E1343" s="1002" t="s">
        <v>1012</v>
      </c>
      <c r="F1343" s="1077"/>
      <c r="G1343" s="1002"/>
      <c r="H1343" s="1111"/>
      <c r="I1343" s="1002" t="s">
        <v>915</v>
      </c>
      <c r="J1343" s="1007" t="s">
        <v>72</v>
      </c>
      <c r="K1343" s="1002" t="s">
        <v>73</v>
      </c>
      <c r="L1343" s="1054" t="s">
        <v>18</v>
      </c>
      <c r="M1343" s="1086">
        <v>-33</v>
      </c>
      <c r="N1343" s="1081">
        <v>129629.63</v>
      </c>
      <c r="O1343" s="1223">
        <f t="shared" si="217"/>
        <v>-4277777.79</v>
      </c>
      <c r="P1343" s="1082">
        <f t="shared" si="218"/>
        <v>-342222.22320000001</v>
      </c>
      <c r="Q1343" s="1082">
        <f t="shared" si="219"/>
        <v>-4620000.0131999999</v>
      </c>
      <c r="V1343" s="1083">
        <f t="shared" si="220"/>
        <v>-4620000.0131999999</v>
      </c>
    </row>
    <row r="1344" spans="1:22" s="1002" customFormat="1" hidden="1">
      <c r="A1344" s="1000" t="s">
        <v>761</v>
      </c>
      <c r="B1344" s="1028" t="s">
        <v>1496</v>
      </c>
      <c r="C1344" s="1078">
        <v>46255</v>
      </c>
      <c r="D1344" s="1078"/>
      <c r="E1344" s="1002" t="s">
        <v>1012</v>
      </c>
      <c r="F1344" s="1077"/>
      <c r="H1344" s="1111"/>
      <c r="I1344" s="1002" t="s">
        <v>915</v>
      </c>
      <c r="J1344" s="1007" t="s">
        <v>192</v>
      </c>
      <c r="K1344" s="1002" t="s">
        <v>193</v>
      </c>
      <c r="L1344" s="1054" t="s">
        <v>18</v>
      </c>
      <c r="M1344" s="1086">
        <v>-15</v>
      </c>
      <c r="N1344" s="1081">
        <v>398148.15</v>
      </c>
      <c r="O1344" s="1223">
        <f t="shared" si="217"/>
        <v>-5972222.25</v>
      </c>
      <c r="P1344" s="1082">
        <f t="shared" si="218"/>
        <v>-477777.78</v>
      </c>
      <c r="Q1344" s="1082">
        <f t="shared" si="219"/>
        <v>-6450000.0300000003</v>
      </c>
      <c r="R1344" s="1107"/>
      <c r="S1344" s="1107"/>
      <c r="T1344" s="1107"/>
      <c r="U1344" s="1107"/>
      <c r="V1344" s="1083">
        <f t="shared" si="220"/>
        <v>-6450000.0300000003</v>
      </c>
    </row>
    <row r="1345" spans="1:23" s="1002" customFormat="1" hidden="1">
      <c r="A1345" s="1000" t="s">
        <v>756</v>
      </c>
      <c r="B1345" s="1001" t="s">
        <v>759</v>
      </c>
      <c r="C1345" s="1078">
        <v>46256</v>
      </c>
      <c r="D1345" s="1078"/>
      <c r="F1345" s="1077"/>
      <c r="H1345" s="1111"/>
      <c r="I1345" s="1002" t="s">
        <v>844</v>
      </c>
      <c r="J1345" s="1007"/>
      <c r="M1345" s="1086"/>
      <c r="N1345" s="1081"/>
      <c r="O1345" s="1223">
        <f t="shared" si="217"/>
        <v>0</v>
      </c>
      <c r="P1345" s="1082">
        <f t="shared" si="218"/>
        <v>0</v>
      </c>
      <c r="Q1345" s="1082">
        <f t="shared" si="219"/>
        <v>0</v>
      </c>
      <c r="R1345" s="1107">
        <v>8784000</v>
      </c>
      <c r="S1345" s="1107"/>
      <c r="T1345" s="1107"/>
      <c r="U1345" s="1107"/>
      <c r="V1345" s="1107"/>
    </row>
    <row r="1346" spans="1:23" s="1002" customFormat="1" hidden="1">
      <c r="A1346" s="1000" t="s">
        <v>711</v>
      </c>
      <c r="B1346" s="1001" t="s">
        <v>715</v>
      </c>
      <c r="C1346" s="1078">
        <v>46258</v>
      </c>
      <c r="D1346" s="1078"/>
      <c r="E1346" s="1002" t="s">
        <v>923</v>
      </c>
      <c r="F1346" s="1077">
        <v>46258</v>
      </c>
      <c r="G1346" s="1002" t="s">
        <v>939</v>
      </c>
      <c r="H1346" s="1111" t="s">
        <v>938</v>
      </c>
      <c r="I1346" s="1002" t="s">
        <v>813</v>
      </c>
      <c r="J1346" s="1007" t="s">
        <v>46</v>
      </c>
      <c r="K1346" s="1002" t="s">
        <v>47</v>
      </c>
      <c r="L1346" s="1054" t="s">
        <v>18</v>
      </c>
      <c r="M1346" s="1222">
        <v>12</v>
      </c>
      <c r="N1346" s="1081">
        <v>240740.74</v>
      </c>
      <c r="O1346" s="1223">
        <f t="shared" si="217"/>
        <v>2888888.88</v>
      </c>
      <c r="P1346" s="1082">
        <f t="shared" si="218"/>
        <v>231111.11040000001</v>
      </c>
      <c r="Q1346" s="1206">
        <f t="shared" si="219"/>
        <v>3119999.9904</v>
      </c>
      <c r="R1346" s="1083"/>
      <c r="S1346" s="1083"/>
      <c r="T1346" s="1083"/>
      <c r="U1346" s="1083"/>
      <c r="V1346" s="1083">
        <f t="shared" ref="V1346:V1348" si="221">Q1346-R1346-S1346-T1346-U1346</f>
        <v>3119999.9904</v>
      </c>
    </row>
    <row r="1347" spans="1:23" s="1002" customFormat="1" hidden="1">
      <c r="A1347" s="1000" t="s">
        <v>711</v>
      </c>
      <c r="B1347" s="1001" t="s">
        <v>715</v>
      </c>
      <c r="C1347" s="1078">
        <v>46258</v>
      </c>
      <c r="D1347" s="1078"/>
      <c r="E1347" s="1002" t="s">
        <v>923</v>
      </c>
      <c r="F1347" s="1077">
        <v>46258</v>
      </c>
      <c r="G1347" s="1002" t="s">
        <v>939</v>
      </c>
      <c r="H1347" s="1111" t="s">
        <v>938</v>
      </c>
      <c r="I1347" s="1002" t="s">
        <v>813</v>
      </c>
      <c r="J1347" s="1007" t="s">
        <v>157</v>
      </c>
      <c r="K1347" s="1002" t="s">
        <v>158</v>
      </c>
      <c r="L1347" s="1054" t="s">
        <v>18</v>
      </c>
      <c r="M1347" s="1222">
        <v>40</v>
      </c>
      <c r="N1347" s="1081">
        <v>342592.59</v>
      </c>
      <c r="O1347" s="1223">
        <f t="shared" si="217"/>
        <v>13703703.600000001</v>
      </c>
      <c r="P1347" s="1082">
        <f t="shared" si="218"/>
        <v>1096296.2880000002</v>
      </c>
      <c r="Q1347" s="1206">
        <f t="shared" si="219"/>
        <v>14799999.888000002</v>
      </c>
      <c r="R1347" s="1083"/>
      <c r="S1347" s="1083"/>
      <c r="T1347" s="1083"/>
      <c r="U1347" s="1083"/>
      <c r="V1347" s="1083">
        <f t="shared" si="221"/>
        <v>14799999.888000002</v>
      </c>
    </row>
    <row r="1348" spans="1:23" hidden="1">
      <c r="A1348" s="1000" t="s">
        <v>711</v>
      </c>
      <c r="B1348" s="1001" t="s">
        <v>715</v>
      </c>
      <c r="C1348" s="1078">
        <v>46258</v>
      </c>
      <c r="D1348" s="1078"/>
      <c r="E1348" s="1002" t="s">
        <v>923</v>
      </c>
      <c r="F1348" s="1077">
        <v>46258</v>
      </c>
      <c r="G1348" s="1002" t="s">
        <v>939</v>
      </c>
      <c r="H1348" s="1111" t="s">
        <v>938</v>
      </c>
      <c r="I1348" s="1002" t="s">
        <v>813</v>
      </c>
      <c r="J1348" s="1007" t="s">
        <v>74</v>
      </c>
      <c r="K1348" s="1002" t="s">
        <v>141</v>
      </c>
      <c r="L1348" s="1054" t="s">
        <v>18</v>
      </c>
      <c r="M1348" s="1222">
        <v>8</v>
      </c>
      <c r="N1348" s="1081">
        <v>388888.89</v>
      </c>
      <c r="O1348" s="1223">
        <f t="shared" si="217"/>
        <v>3111111.12</v>
      </c>
      <c r="P1348" s="1082">
        <f t="shared" si="218"/>
        <v>248888.88960000002</v>
      </c>
      <c r="Q1348" s="1206">
        <f t="shared" si="219"/>
        <v>3360000.0096</v>
      </c>
      <c r="R1348" s="1083"/>
      <c r="S1348" s="1083"/>
      <c r="T1348" s="1083"/>
      <c r="U1348" s="1083"/>
      <c r="V1348" s="1083">
        <f t="shared" si="221"/>
        <v>3360000.0096</v>
      </c>
    </row>
    <row r="1349" spans="1:23" hidden="1">
      <c r="A1349" s="1000" t="s">
        <v>872</v>
      </c>
      <c r="B1349" s="1001" t="s">
        <v>875</v>
      </c>
      <c r="C1349" s="1078">
        <v>46258</v>
      </c>
      <c r="D1349" s="1078"/>
      <c r="E1349" s="1002"/>
      <c r="F1349" s="1077"/>
      <c r="G1349" s="1002"/>
      <c r="H1349" s="1111"/>
      <c r="I1349" s="1002" t="s">
        <v>844</v>
      </c>
      <c r="J1349" s="1007"/>
      <c r="N1349" s="1081"/>
      <c r="O1349" s="1223">
        <f t="shared" si="217"/>
        <v>0</v>
      </c>
      <c r="P1349" s="1082">
        <f t="shared" si="218"/>
        <v>0</v>
      </c>
      <c r="Q1349" s="1082">
        <f t="shared" si="219"/>
        <v>0</v>
      </c>
      <c r="R1349" s="1083">
        <v>45466002</v>
      </c>
      <c r="S1349" s="1083"/>
      <c r="T1349" s="1083"/>
      <c r="U1349" s="1083"/>
      <c r="V1349" s="1083">
        <f t="shared" si="213"/>
        <v>-45466002</v>
      </c>
      <c r="W1349" s="1226" t="s">
        <v>925</v>
      </c>
    </row>
    <row r="1350" spans="1:23" s="1002" customFormat="1" hidden="1">
      <c r="A1350" s="1000" t="s">
        <v>734</v>
      </c>
      <c r="B1350" s="1001" t="s">
        <v>745</v>
      </c>
      <c r="C1350" s="1078">
        <v>46258</v>
      </c>
      <c r="D1350" s="1078"/>
      <c r="F1350" s="1077"/>
      <c r="H1350" s="1111"/>
      <c r="I1350" s="1002" t="s">
        <v>844</v>
      </c>
      <c r="J1350" s="1007"/>
      <c r="M1350" s="1086"/>
      <c r="N1350" s="1081"/>
      <c r="O1350" s="1223">
        <f t="shared" si="217"/>
        <v>0</v>
      </c>
      <c r="P1350" s="1082">
        <f t="shared" si="218"/>
        <v>0</v>
      </c>
      <c r="Q1350" s="1082">
        <f t="shared" si="219"/>
        <v>0</v>
      </c>
      <c r="R1350" s="1107">
        <v>17760001</v>
      </c>
      <c r="S1350" s="1107"/>
      <c r="T1350" s="1107"/>
      <c r="U1350" s="1107"/>
      <c r="V1350" s="1083">
        <f t="shared" si="213"/>
        <v>-17760001</v>
      </c>
    </row>
    <row r="1351" spans="1:23" s="1002" customFormat="1" hidden="1">
      <c r="A1351" s="1000" t="s">
        <v>717</v>
      </c>
      <c r="B1351" s="1001" t="s">
        <v>743</v>
      </c>
      <c r="C1351" s="1078">
        <v>46258</v>
      </c>
      <c r="D1351" s="1078"/>
      <c r="F1351" s="1077"/>
      <c r="H1351" s="1111"/>
      <c r="I1351" s="1002" t="s">
        <v>929</v>
      </c>
      <c r="J1351" s="1007"/>
      <c r="M1351" s="1086"/>
      <c r="N1351" s="1081"/>
      <c r="O1351" s="1223">
        <f t="shared" si="217"/>
        <v>0</v>
      </c>
      <c r="P1351" s="1082">
        <f t="shared" si="218"/>
        <v>0</v>
      </c>
      <c r="Q1351" s="1082">
        <f t="shared" si="219"/>
        <v>0</v>
      </c>
      <c r="R1351" s="1107">
        <v>52000000</v>
      </c>
      <c r="S1351" s="1107"/>
      <c r="T1351" s="1107"/>
      <c r="U1351" s="1107"/>
      <c r="V1351" s="1083">
        <f t="shared" ref="V1351" si="222">Q1351-R1351-S1351-T1351-U1351</f>
        <v>-52000000</v>
      </c>
    </row>
    <row r="1352" spans="1:23" s="1002" customFormat="1" hidden="1">
      <c r="A1352" s="1000"/>
      <c r="B1352" s="1001" t="s">
        <v>932</v>
      </c>
      <c r="C1352" s="1078">
        <v>46258</v>
      </c>
      <c r="D1352" s="1078"/>
      <c r="E1352" s="1002" t="s">
        <v>1047</v>
      </c>
      <c r="F1352" s="1077"/>
      <c r="H1352" s="1111"/>
      <c r="I1352" s="1002" t="s">
        <v>1506</v>
      </c>
      <c r="J1352" s="1007" t="s">
        <v>355</v>
      </c>
      <c r="K1352" s="1002" t="s">
        <v>522</v>
      </c>
      <c r="L1352" s="1224" t="s">
        <v>25</v>
      </c>
      <c r="M1352" s="1222">
        <v>-1</v>
      </c>
      <c r="N1352" s="1081"/>
      <c r="O1352" s="1223">
        <f t="shared" si="217"/>
        <v>0</v>
      </c>
      <c r="P1352" s="1082">
        <f t="shared" si="218"/>
        <v>0</v>
      </c>
      <c r="Q1352" s="1082">
        <f t="shared" si="219"/>
        <v>0</v>
      </c>
      <c r="R1352" s="1083"/>
      <c r="S1352" s="1083"/>
      <c r="T1352" s="1083"/>
      <c r="U1352" s="1083"/>
      <c r="V1352" s="1083">
        <f t="shared" ref="V1352:V1411" si="223">Q1352-R1352-S1352-T1352-U1352</f>
        <v>0</v>
      </c>
    </row>
    <row r="1353" spans="1:23" s="1002" customFormat="1" hidden="1">
      <c r="A1353" s="1040" t="s">
        <v>1150</v>
      </c>
      <c r="B1353" s="1001" t="s">
        <v>1271</v>
      </c>
      <c r="C1353" s="1078">
        <v>46258</v>
      </c>
      <c r="D1353" s="1078"/>
      <c r="E1353" s="1002" t="s">
        <v>1011</v>
      </c>
      <c r="F1353" s="1077"/>
      <c r="H1353" s="1111"/>
      <c r="I1353" s="1002" t="s">
        <v>1507</v>
      </c>
      <c r="J1353" s="1007" t="s">
        <v>655</v>
      </c>
      <c r="K1353" s="1002" t="s">
        <v>930</v>
      </c>
      <c r="L1353" s="1224" t="s">
        <v>18</v>
      </c>
      <c r="M1353" s="1222">
        <v>-1</v>
      </c>
      <c r="N1353" s="1081">
        <v>0</v>
      </c>
      <c r="O1353" s="1081">
        <f t="shared" si="217"/>
        <v>0</v>
      </c>
      <c r="P1353" s="1081">
        <f t="shared" si="218"/>
        <v>0</v>
      </c>
      <c r="Q1353" s="1082">
        <f t="shared" si="219"/>
        <v>0</v>
      </c>
      <c r="R1353" s="1083"/>
      <c r="S1353" s="1083"/>
      <c r="T1353" s="1083"/>
      <c r="U1353" s="1083"/>
      <c r="V1353" s="1083">
        <f t="shared" si="223"/>
        <v>0</v>
      </c>
    </row>
    <row r="1354" spans="1:23" s="1002" customFormat="1" hidden="1">
      <c r="A1354" s="1040" t="s">
        <v>1150</v>
      </c>
      <c r="B1354" s="1001" t="s">
        <v>1271</v>
      </c>
      <c r="C1354" s="1078">
        <v>46258</v>
      </c>
      <c r="D1354" s="1078"/>
      <c r="E1354" s="1002" t="s">
        <v>1011</v>
      </c>
      <c r="F1354" s="1077"/>
      <c r="H1354" s="1111"/>
      <c r="I1354" s="1002" t="s">
        <v>1507</v>
      </c>
      <c r="J1354" s="1007" t="s">
        <v>167</v>
      </c>
      <c r="K1354" s="1002" t="s">
        <v>931</v>
      </c>
      <c r="L1354" s="1224" t="s">
        <v>18</v>
      </c>
      <c r="M1354" s="1222">
        <v>-1</v>
      </c>
      <c r="N1354" s="1081">
        <v>0</v>
      </c>
      <c r="O1354" s="1081">
        <f t="shared" si="217"/>
        <v>0</v>
      </c>
      <c r="P1354" s="1081">
        <f t="shared" si="218"/>
        <v>0</v>
      </c>
      <c r="Q1354" s="1082">
        <f t="shared" si="219"/>
        <v>0</v>
      </c>
      <c r="R1354" s="1083"/>
      <c r="S1354" s="1083"/>
      <c r="T1354" s="1083"/>
      <c r="U1354" s="1083"/>
      <c r="V1354" s="1083">
        <f t="shared" si="223"/>
        <v>0</v>
      </c>
    </row>
    <row r="1355" spans="1:23" s="1002" customFormat="1" hidden="1">
      <c r="A1355" s="1000"/>
      <c r="B1355" s="1001" t="s">
        <v>932</v>
      </c>
      <c r="C1355" s="1078">
        <v>46258</v>
      </c>
      <c r="D1355" s="1078"/>
      <c r="E1355" s="1002" t="s">
        <v>1010</v>
      </c>
      <c r="F1355" s="1077"/>
      <c r="H1355" s="1111"/>
      <c r="I1355" s="1008" t="s">
        <v>1100</v>
      </c>
      <c r="J1355" s="1007" t="s">
        <v>208</v>
      </c>
      <c r="K1355" s="1002" t="s">
        <v>209</v>
      </c>
      <c r="L1355" s="1002" t="s">
        <v>25</v>
      </c>
      <c r="M1355" s="1222">
        <v>-1</v>
      </c>
      <c r="N1355" s="1081"/>
      <c r="O1355" s="1081">
        <f t="shared" ref="O1355:O1386" si="224">M1355*N1355</f>
        <v>0</v>
      </c>
      <c r="P1355" s="1081">
        <f t="shared" si="218"/>
        <v>0</v>
      </c>
      <c r="Q1355" s="1082">
        <f t="shared" si="219"/>
        <v>0</v>
      </c>
      <c r="R1355" s="1083"/>
      <c r="S1355" s="1083"/>
      <c r="T1355" s="1083"/>
      <c r="U1355" s="1083"/>
      <c r="V1355" s="1083">
        <f t="shared" si="223"/>
        <v>0</v>
      </c>
    </row>
    <row r="1356" spans="1:23" s="1002" customFormat="1" hidden="1">
      <c r="A1356" s="1000"/>
      <c r="B1356" s="1001" t="s">
        <v>932</v>
      </c>
      <c r="C1356" s="1078">
        <v>46258</v>
      </c>
      <c r="D1356" s="1078"/>
      <c r="E1356" s="1002" t="s">
        <v>1010</v>
      </c>
      <c r="F1356" s="1077"/>
      <c r="H1356" s="1111"/>
      <c r="I1356" s="1008" t="s">
        <v>1100</v>
      </c>
      <c r="J1356" s="1007" t="s">
        <v>77</v>
      </c>
      <c r="K1356" s="1002" t="s">
        <v>78</v>
      </c>
      <c r="L1356" s="1002" t="s">
        <v>25</v>
      </c>
      <c r="M1356" s="1222">
        <v>-1</v>
      </c>
      <c r="N1356" s="1081"/>
      <c r="O1356" s="1081">
        <f t="shared" si="224"/>
        <v>0</v>
      </c>
      <c r="P1356" s="1081">
        <f t="shared" si="218"/>
        <v>0</v>
      </c>
      <c r="Q1356" s="1082">
        <f t="shared" si="219"/>
        <v>0</v>
      </c>
      <c r="R1356" s="1083"/>
      <c r="S1356" s="1083"/>
      <c r="T1356" s="1083"/>
      <c r="U1356" s="1083"/>
      <c r="V1356" s="1083">
        <f t="shared" si="223"/>
        <v>0</v>
      </c>
    </row>
    <row r="1357" spans="1:23" s="1002" customFormat="1" hidden="1">
      <c r="A1357" s="1000"/>
      <c r="B1357" s="1001" t="s">
        <v>932</v>
      </c>
      <c r="C1357" s="1078">
        <v>46258</v>
      </c>
      <c r="D1357" s="1078"/>
      <c r="E1357" s="1002" t="s">
        <v>1010</v>
      </c>
      <c r="F1357" s="1077"/>
      <c r="H1357" s="1111"/>
      <c r="I1357" s="1008" t="s">
        <v>1100</v>
      </c>
      <c r="J1357" s="1007" t="s">
        <v>62</v>
      </c>
      <c r="K1357" s="1002" t="s">
        <v>63</v>
      </c>
      <c r="L1357" s="1002" t="s">
        <v>18</v>
      </c>
      <c r="M1357" s="1222">
        <v>-1</v>
      </c>
      <c r="N1357" s="1081"/>
      <c r="O1357" s="1081">
        <f t="shared" si="224"/>
        <v>0</v>
      </c>
      <c r="P1357" s="1081">
        <f t="shared" si="218"/>
        <v>0</v>
      </c>
      <c r="Q1357" s="1082">
        <f t="shared" si="219"/>
        <v>0</v>
      </c>
      <c r="R1357" s="1083"/>
      <c r="S1357" s="1083"/>
      <c r="T1357" s="1083"/>
      <c r="U1357" s="1083"/>
      <c r="V1357" s="1083">
        <f t="shared" si="223"/>
        <v>0</v>
      </c>
    </row>
    <row r="1358" spans="1:23" s="1002" customFormat="1" hidden="1">
      <c r="A1358" s="1000"/>
      <c r="B1358" s="1001" t="s">
        <v>932</v>
      </c>
      <c r="C1358" s="1078">
        <v>46258</v>
      </c>
      <c r="D1358" s="1078"/>
      <c r="E1358" s="1002" t="s">
        <v>1010</v>
      </c>
      <c r="F1358" s="1077"/>
      <c r="H1358" s="1111"/>
      <c r="I1358" s="1008" t="s">
        <v>1100</v>
      </c>
      <c r="J1358" s="1007" t="s">
        <v>258</v>
      </c>
      <c r="K1358" s="1002" t="s">
        <v>259</v>
      </c>
      <c r="L1358" s="1002" t="s">
        <v>25</v>
      </c>
      <c r="M1358" s="1222">
        <v>-1</v>
      </c>
      <c r="N1358" s="1081"/>
      <c r="O1358" s="1081">
        <f t="shared" si="224"/>
        <v>0</v>
      </c>
      <c r="P1358" s="1081">
        <f t="shared" si="218"/>
        <v>0</v>
      </c>
      <c r="Q1358" s="1082">
        <f t="shared" si="219"/>
        <v>0</v>
      </c>
      <c r="R1358" s="1083"/>
      <c r="S1358" s="1083"/>
      <c r="T1358" s="1083"/>
      <c r="U1358" s="1083"/>
      <c r="V1358" s="1083">
        <f t="shared" si="223"/>
        <v>0</v>
      </c>
    </row>
    <row r="1359" spans="1:23" s="1002" customFormat="1" hidden="1">
      <c r="A1359" s="1000"/>
      <c r="B1359" s="1001" t="s">
        <v>932</v>
      </c>
      <c r="C1359" s="1078">
        <v>46258</v>
      </c>
      <c r="D1359" s="1078"/>
      <c r="E1359" s="1002" t="s">
        <v>1010</v>
      </c>
      <c r="F1359" s="1077"/>
      <c r="H1359" s="1111"/>
      <c r="I1359" s="1008" t="s">
        <v>1100</v>
      </c>
      <c r="J1359" s="1007" t="s">
        <v>23</v>
      </c>
      <c r="K1359" s="1002" t="s">
        <v>82</v>
      </c>
      <c r="L1359" s="1224" t="s">
        <v>25</v>
      </c>
      <c r="M1359" s="1222">
        <v>-1</v>
      </c>
      <c r="N1359" s="1081"/>
      <c r="O1359" s="1081">
        <f t="shared" si="224"/>
        <v>0</v>
      </c>
      <c r="P1359" s="1081">
        <f t="shared" si="218"/>
        <v>0</v>
      </c>
      <c r="Q1359" s="1082">
        <f t="shared" si="219"/>
        <v>0</v>
      </c>
      <c r="R1359" s="1083"/>
      <c r="S1359" s="1083"/>
      <c r="T1359" s="1083"/>
      <c r="U1359" s="1083"/>
      <c r="V1359" s="1083">
        <f t="shared" si="223"/>
        <v>0</v>
      </c>
    </row>
    <row r="1360" spans="1:23" s="1002" customFormat="1" hidden="1">
      <c r="A1360" s="1000"/>
      <c r="B1360" s="1001" t="s">
        <v>932</v>
      </c>
      <c r="C1360" s="1078">
        <v>46258</v>
      </c>
      <c r="D1360" s="1078"/>
      <c r="E1360" s="1002" t="s">
        <v>1010</v>
      </c>
      <c r="F1360" s="1077"/>
      <c r="H1360" s="1111"/>
      <c r="I1360" s="1008" t="s">
        <v>1100</v>
      </c>
      <c r="J1360" s="1007" t="s">
        <v>40</v>
      </c>
      <c r="K1360" s="1008" t="s">
        <v>41</v>
      </c>
      <c r="L1360" s="1224" t="s">
        <v>18</v>
      </c>
      <c r="M1360" s="1222">
        <v>-1</v>
      </c>
      <c r="N1360" s="1081"/>
      <c r="O1360" s="1081">
        <f t="shared" si="224"/>
        <v>0</v>
      </c>
      <c r="P1360" s="1081">
        <f t="shared" si="218"/>
        <v>0</v>
      </c>
      <c r="Q1360" s="1082">
        <f t="shared" si="219"/>
        <v>0</v>
      </c>
      <c r="R1360" s="1083"/>
      <c r="S1360" s="1083"/>
      <c r="T1360" s="1083"/>
      <c r="U1360" s="1083"/>
      <c r="V1360" s="1083">
        <f t="shared" si="223"/>
        <v>0</v>
      </c>
    </row>
    <row r="1361" spans="1:22" s="1002" customFormat="1" hidden="1">
      <c r="A1361" s="1000"/>
      <c r="B1361" s="1001" t="s">
        <v>932</v>
      </c>
      <c r="C1361" s="1078">
        <v>46258</v>
      </c>
      <c r="D1361" s="1078"/>
      <c r="E1361" s="1002" t="s">
        <v>1010</v>
      </c>
      <c r="F1361" s="1077"/>
      <c r="H1361" s="1111"/>
      <c r="I1361" s="1008" t="s">
        <v>1100</v>
      </c>
      <c r="J1361" s="1007" t="s">
        <v>274</v>
      </c>
      <c r="K1361" s="1005" t="s">
        <v>297</v>
      </c>
      <c r="L1361" s="1224" t="s">
        <v>18</v>
      </c>
      <c r="M1361" s="1222">
        <v>-1</v>
      </c>
      <c r="N1361" s="1081"/>
      <c r="O1361" s="1081">
        <f t="shared" si="224"/>
        <v>0</v>
      </c>
      <c r="P1361" s="1081">
        <f t="shared" si="218"/>
        <v>0</v>
      </c>
      <c r="Q1361" s="1082">
        <f t="shared" si="219"/>
        <v>0</v>
      </c>
      <c r="R1361" s="1083"/>
      <c r="S1361" s="1083"/>
      <c r="T1361" s="1083"/>
      <c r="U1361" s="1083"/>
      <c r="V1361" s="1083">
        <f t="shared" si="223"/>
        <v>0</v>
      </c>
    </row>
    <row r="1362" spans="1:22" s="1002" customFormat="1" hidden="1">
      <c r="A1362" s="1000"/>
      <c r="B1362" s="1001" t="s">
        <v>932</v>
      </c>
      <c r="C1362" s="1078">
        <v>46258</v>
      </c>
      <c r="D1362" s="1078"/>
      <c r="E1362" s="1002" t="s">
        <v>1010</v>
      </c>
      <c r="F1362" s="1077"/>
      <c r="H1362" s="1111"/>
      <c r="I1362" s="1008" t="s">
        <v>1100</v>
      </c>
      <c r="J1362" s="1007" t="s">
        <v>60</v>
      </c>
      <c r="K1362" s="1003" t="s">
        <v>61</v>
      </c>
      <c r="L1362" s="1224" t="s">
        <v>18</v>
      </c>
      <c r="M1362" s="1222">
        <v>-1</v>
      </c>
      <c r="N1362" s="1081"/>
      <c r="O1362" s="1081">
        <f t="shared" si="224"/>
        <v>0</v>
      </c>
      <c r="P1362" s="1081">
        <f t="shared" si="218"/>
        <v>0</v>
      </c>
      <c r="Q1362" s="1082">
        <f t="shared" si="219"/>
        <v>0</v>
      </c>
      <c r="R1362" s="1083"/>
      <c r="S1362" s="1083"/>
      <c r="T1362" s="1083"/>
      <c r="U1362" s="1083"/>
      <c r="V1362" s="1083">
        <f t="shared" si="223"/>
        <v>0</v>
      </c>
    </row>
    <row r="1363" spans="1:22" s="1002" customFormat="1" hidden="1">
      <c r="A1363" s="1000"/>
      <c r="B1363" s="1001" t="s">
        <v>932</v>
      </c>
      <c r="C1363" s="1078">
        <v>46258</v>
      </c>
      <c r="D1363" s="1078"/>
      <c r="E1363" s="1002" t="s">
        <v>1010</v>
      </c>
      <c r="F1363" s="1077"/>
      <c r="H1363" s="1111"/>
      <c r="I1363" s="1008" t="s">
        <v>1100</v>
      </c>
      <c r="J1363" s="1007" t="s">
        <v>83</v>
      </c>
      <c r="K1363" s="1008" t="s">
        <v>84</v>
      </c>
      <c r="L1363" s="1224" t="s">
        <v>18</v>
      </c>
      <c r="M1363" s="1222">
        <v>-1</v>
      </c>
      <c r="N1363" s="1081"/>
      <c r="O1363" s="1081">
        <f t="shared" si="224"/>
        <v>0</v>
      </c>
      <c r="P1363" s="1081">
        <f t="shared" si="218"/>
        <v>0</v>
      </c>
      <c r="Q1363" s="1082">
        <f t="shared" si="219"/>
        <v>0</v>
      </c>
      <c r="R1363" s="1083"/>
      <c r="S1363" s="1083"/>
      <c r="T1363" s="1083"/>
      <c r="U1363" s="1083"/>
      <c r="V1363" s="1083">
        <f t="shared" si="223"/>
        <v>0</v>
      </c>
    </row>
    <row r="1364" spans="1:22" s="1002" customFormat="1" hidden="1">
      <c r="A1364" s="1000"/>
      <c r="B1364" s="1001" t="s">
        <v>932</v>
      </c>
      <c r="C1364" s="1078">
        <v>46258</v>
      </c>
      <c r="D1364" s="1078"/>
      <c r="E1364" s="1002" t="s">
        <v>1010</v>
      </c>
      <c r="F1364" s="1077"/>
      <c r="H1364" s="1111"/>
      <c r="I1364" s="1008" t="s">
        <v>1100</v>
      </c>
      <c r="J1364" s="1007" t="s">
        <v>16</v>
      </c>
      <c r="K1364" s="1002" t="s">
        <v>17</v>
      </c>
      <c r="L1364" s="1224" t="s">
        <v>18</v>
      </c>
      <c r="M1364" s="1222">
        <v>-1</v>
      </c>
      <c r="N1364" s="1081"/>
      <c r="O1364" s="1081">
        <f t="shared" si="224"/>
        <v>0</v>
      </c>
      <c r="P1364" s="1081">
        <f t="shared" si="218"/>
        <v>0</v>
      </c>
      <c r="Q1364" s="1082">
        <f t="shared" si="219"/>
        <v>0</v>
      </c>
      <c r="R1364" s="1083"/>
      <c r="S1364" s="1083"/>
      <c r="T1364" s="1083"/>
      <c r="U1364" s="1083"/>
      <c r="V1364" s="1083">
        <f t="shared" si="223"/>
        <v>0</v>
      </c>
    </row>
    <row r="1365" spans="1:22" s="1002" customFormat="1" hidden="1">
      <c r="A1365" s="1000"/>
      <c r="B1365" s="1001" t="s">
        <v>932</v>
      </c>
      <c r="C1365" s="1078">
        <v>46258</v>
      </c>
      <c r="D1365" s="1078"/>
      <c r="E1365" s="1002" t="s">
        <v>1010</v>
      </c>
      <c r="F1365" s="1077"/>
      <c r="H1365" s="1111"/>
      <c r="I1365" s="1008" t="s">
        <v>1100</v>
      </c>
      <c r="J1365" s="1007" t="s">
        <v>639</v>
      </c>
      <c r="K1365" s="1002" t="s">
        <v>640</v>
      </c>
      <c r="L1365" s="1224" t="s">
        <v>18</v>
      </c>
      <c r="M1365" s="1222">
        <v>-1</v>
      </c>
      <c r="N1365" s="1081"/>
      <c r="O1365" s="1081">
        <f t="shared" si="224"/>
        <v>0</v>
      </c>
      <c r="P1365" s="1081">
        <f t="shared" si="218"/>
        <v>0</v>
      </c>
      <c r="Q1365" s="1082">
        <f t="shared" si="219"/>
        <v>0</v>
      </c>
      <c r="R1365" s="1083"/>
      <c r="S1365" s="1083"/>
      <c r="T1365" s="1083"/>
      <c r="U1365" s="1083"/>
      <c r="V1365" s="1083">
        <f t="shared" si="223"/>
        <v>0</v>
      </c>
    </row>
    <row r="1366" spans="1:22" s="1002" customFormat="1" hidden="1">
      <c r="A1366" s="1000"/>
      <c r="B1366" s="1001" t="s">
        <v>932</v>
      </c>
      <c r="C1366" s="1078">
        <v>46258</v>
      </c>
      <c r="D1366" s="1078"/>
      <c r="E1366" s="1002" t="s">
        <v>1010</v>
      </c>
      <c r="F1366" s="1077"/>
      <c r="H1366" s="1111"/>
      <c r="I1366" s="1008" t="s">
        <v>1100</v>
      </c>
      <c r="J1366" s="1007" t="s">
        <v>645</v>
      </c>
      <c r="K1366" s="1002" t="s">
        <v>646</v>
      </c>
      <c r="L1366" s="1224" t="s">
        <v>18</v>
      </c>
      <c r="M1366" s="1222">
        <v>-1</v>
      </c>
      <c r="N1366" s="1081"/>
      <c r="O1366" s="1081">
        <f t="shared" si="224"/>
        <v>0</v>
      </c>
      <c r="P1366" s="1081">
        <f t="shared" si="218"/>
        <v>0</v>
      </c>
      <c r="Q1366" s="1082">
        <f t="shared" si="219"/>
        <v>0</v>
      </c>
      <c r="R1366" s="1083"/>
      <c r="S1366" s="1083"/>
      <c r="T1366" s="1083"/>
      <c r="U1366" s="1083"/>
      <c r="V1366" s="1083">
        <f t="shared" si="223"/>
        <v>0</v>
      </c>
    </row>
    <row r="1367" spans="1:22" s="1002" customFormat="1" hidden="1">
      <c r="A1367" s="1000"/>
      <c r="B1367" s="1001" t="s">
        <v>932</v>
      </c>
      <c r="C1367" s="1078">
        <v>46258</v>
      </c>
      <c r="D1367" s="1078"/>
      <c r="E1367" s="1002" t="s">
        <v>1010</v>
      </c>
      <c r="F1367" s="1077"/>
      <c r="H1367" s="1111"/>
      <c r="I1367" s="1008" t="s">
        <v>1100</v>
      </c>
      <c r="J1367" s="1007" t="s">
        <v>651</v>
      </c>
      <c r="K1367" s="1002" t="s">
        <v>652</v>
      </c>
      <c r="L1367" s="1224" t="s">
        <v>18</v>
      </c>
      <c r="M1367" s="1222">
        <v>-1</v>
      </c>
      <c r="N1367" s="1081"/>
      <c r="O1367" s="1081">
        <f t="shared" si="224"/>
        <v>0</v>
      </c>
      <c r="P1367" s="1081">
        <f t="shared" si="218"/>
        <v>0</v>
      </c>
      <c r="Q1367" s="1082">
        <f t="shared" si="219"/>
        <v>0</v>
      </c>
      <c r="R1367" s="1083"/>
      <c r="S1367" s="1083"/>
      <c r="T1367" s="1083"/>
      <c r="U1367" s="1083"/>
      <c r="V1367" s="1083">
        <f t="shared" si="223"/>
        <v>0</v>
      </c>
    </row>
    <row r="1368" spans="1:22" s="1002" customFormat="1" hidden="1">
      <c r="A1368" s="1000"/>
      <c r="B1368" s="1001" t="s">
        <v>932</v>
      </c>
      <c r="C1368" s="1078">
        <v>46258</v>
      </c>
      <c r="D1368" s="1078"/>
      <c r="E1368" s="1002" t="s">
        <v>1010</v>
      </c>
      <c r="F1368" s="1077"/>
      <c r="H1368" s="1111"/>
      <c r="I1368" s="1008" t="s">
        <v>1100</v>
      </c>
      <c r="J1368" s="1007" t="s">
        <v>653</v>
      </c>
      <c r="K1368" s="1002" t="s">
        <v>654</v>
      </c>
      <c r="L1368" s="1224" t="s">
        <v>18</v>
      </c>
      <c r="M1368" s="1222">
        <v>-1</v>
      </c>
      <c r="N1368" s="1081"/>
      <c r="O1368" s="1081">
        <f t="shared" si="224"/>
        <v>0</v>
      </c>
      <c r="P1368" s="1081">
        <f t="shared" si="218"/>
        <v>0</v>
      </c>
      <c r="Q1368" s="1082">
        <f t="shared" si="219"/>
        <v>0</v>
      </c>
      <c r="R1368" s="1083"/>
      <c r="S1368" s="1083"/>
      <c r="T1368" s="1083"/>
      <c r="U1368" s="1083"/>
      <c r="V1368" s="1083">
        <f t="shared" si="223"/>
        <v>0</v>
      </c>
    </row>
    <row r="1369" spans="1:22" s="1002" customFormat="1" hidden="1">
      <c r="A1369" s="1000"/>
      <c r="B1369" s="1001" t="s">
        <v>932</v>
      </c>
      <c r="C1369" s="1078">
        <v>46258</v>
      </c>
      <c r="D1369" s="1078"/>
      <c r="E1369" s="1002" t="s">
        <v>1010</v>
      </c>
      <c r="F1369" s="1077"/>
      <c r="H1369" s="1111"/>
      <c r="I1369" s="1008" t="s">
        <v>1100</v>
      </c>
      <c r="J1369" s="1007" t="s">
        <v>647</v>
      </c>
      <c r="K1369" s="1002" t="s">
        <v>648</v>
      </c>
      <c r="L1369" s="1224" t="s">
        <v>18</v>
      </c>
      <c r="M1369" s="1222">
        <v>-1</v>
      </c>
      <c r="N1369" s="1081"/>
      <c r="O1369" s="1081">
        <f t="shared" si="224"/>
        <v>0</v>
      </c>
      <c r="P1369" s="1081">
        <f t="shared" si="218"/>
        <v>0</v>
      </c>
      <c r="Q1369" s="1082">
        <f t="shared" si="219"/>
        <v>0</v>
      </c>
      <c r="R1369" s="1083"/>
      <c r="S1369" s="1083"/>
      <c r="T1369" s="1083"/>
      <c r="U1369" s="1083"/>
      <c r="V1369" s="1083">
        <f t="shared" si="223"/>
        <v>0</v>
      </c>
    </row>
    <row r="1370" spans="1:22" s="1002" customFormat="1" hidden="1">
      <c r="A1370" s="1000"/>
      <c r="B1370" s="1001" t="s">
        <v>932</v>
      </c>
      <c r="C1370" s="1078">
        <v>46258</v>
      </c>
      <c r="D1370" s="1078"/>
      <c r="E1370" s="1002" t="s">
        <v>1010</v>
      </c>
      <c r="F1370" s="1077"/>
      <c r="H1370" s="1111"/>
      <c r="I1370" s="1008" t="s">
        <v>1100</v>
      </c>
      <c r="J1370" s="1007" t="s">
        <v>226</v>
      </c>
      <c r="K1370" s="1002" t="s">
        <v>227</v>
      </c>
      <c r="L1370" s="1224" t="s">
        <v>18</v>
      </c>
      <c r="M1370" s="1222">
        <v>-1</v>
      </c>
      <c r="N1370" s="1081"/>
      <c r="O1370" s="1081">
        <f t="shared" si="224"/>
        <v>0</v>
      </c>
      <c r="P1370" s="1081">
        <f t="shared" si="218"/>
        <v>0</v>
      </c>
      <c r="Q1370" s="1082">
        <f t="shared" si="219"/>
        <v>0</v>
      </c>
      <c r="R1370" s="1083"/>
      <c r="S1370" s="1083"/>
      <c r="T1370" s="1083"/>
      <c r="U1370" s="1083"/>
      <c r="V1370" s="1083">
        <f t="shared" si="223"/>
        <v>0</v>
      </c>
    </row>
    <row r="1371" spans="1:22" s="1002" customFormat="1" hidden="1">
      <c r="A1371" s="1000"/>
      <c r="B1371" s="1001" t="s">
        <v>932</v>
      </c>
      <c r="C1371" s="1078">
        <v>46258</v>
      </c>
      <c r="D1371" s="1078"/>
      <c r="E1371" s="1002" t="s">
        <v>1010</v>
      </c>
      <c r="F1371" s="1077"/>
      <c r="H1371" s="1111"/>
      <c r="I1371" s="1008" t="s">
        <v>1100</v>
      </c>
      <c r="J1371" s="1007" t="s">
        <v>56</v>
      </c>
      <c r="K1371" s="1002" t="s">
        <v>57</v>
      </c>
      <c r="L1371" s="1224" t="s">
        <v>18</v>
      </c>
      <c r="M1371" s="1222">
        <v>-1</v>
      </c>
      <c r="N1371" s="1081"/>
      <c r="O1371" s="1081">
        <f t="shared" si="224"/>
        <v>0</v>
      </c>
      <c r="P1371" s="1081">
        <f t="shared" si="218"/>
        <v>0</v>
      </c>
      <c r="Q1371" s="1082">
        <f t="shared" si="219"/>
        <v>0</v>
      </c>
      <c r="R1371" s="1083"/>
      <c r="S1371" s="1083"/>
      <c r="T1371" s="1083"/>
      <c r="U1371" s="1083"/>
      <c r="V1371" s="1083">
        <f t="shared" si="223"/>
        <v>0</v>
      </c>
    </row>
    <row r="1372" spans="1:22" s="1002" customFormat="1" hidden="1">
      <c r="A1372" s="1000"/>
      <c r="B1372" s="1001" t="s">
        <v>932</v>
      </c>
      <c r="C1372" s="1078">
        <v>46258</v>
      </c>
      <c r="D1372" s="1078"/>
      <c r="E1372" s="1002" t="s">
        <v>1010</v>
      </c>
      <c r="F1372" s="1077"/>
      <c r="H1372" s="1111"/>
      <c r="I1372" s="1008" t="s">
        <v>1100</v>
      </c>
      <c r="J1372" s="1007" t="s">
        <v>107</v>
      </c>
      <c r="K1372" s="1002" t="s">
        <v>108</v>
      </c>
      <c r="L1372" s="1224" t="s">
        <v>18</v>
      </c>
      <c r="M1372" s="1222">
        <v>-1</v>
      </c>
      <c r="N1372" s="1081"/>
      <c r="O1372" s="1081">
        <f t="shared" si="224"/>
        <v>0</v>
      </c>
      <c r="P1372" s="1081">
        <f t="shared" si="218"/>
        <v>0</v>
      </c>
      <c r="Q1372" s="1082">
        <f t="shared" si="219"/>
        <v>0</v>
      </c>
      <c r="R1372" s="1083"/>
      <c r="S1372" s="1083"/>
      <c r="T1372" s="1083"/>
      <c r="U1372" s="1083"/>
      <c r="V1372" s="1083">
        <f t="shared" si="223"/>
        <v>0</v>
      </c>
    </row>
    <row r="1373" spans="1:22" s="1002" customFormat="1" hidden="1">
      <c r="A1373" s="1000"/>
      <c r="B1373" s="1001" t="s">
        <v>932</v>
      </c>
      <c r="C1373" s="1078">
        <v>46258</v>
      </c>
      <c r="D1373" s="1078"/>
      <c r="E1373" s="1002" t="s">
        <v>1010</v>
      </c>
      <c r="F1373" s="1077"/>
      <c r="H1373" s="1111"/>
      <c r="I1373" s="1008" t="s">
        <v>1100</v>
      </c>
      <c r="J1373" s="1007" t="s">
        <v>127</v>
      </c>
      <c r="K1373" s="1002" t="s">
        <v>128</v>
      </c>
      <c r="L1373" s="1224" t="s">
        <v>18</v>
      </c>
      <c r="M1373" s="1222">
        <v>-1</v>
      </c>
      <c r="N1373" s="1081"/>
      <c r="O1373" s="1081">
        <f t="shared" si="224"/>
        <v>0</v>
      </c>
      <c r="P1373" s="1081">
        <f t="shared" si="218"/>
        <v>0</v>
      </c>
      <c r="Q1373" s="1082">
        <f t="shared" si="219"/>
        <v>0</v>
      </c>
      <c r="R1373" s="1083"/>
      <c r="S1373" s="1083"/>
      <c r="T1373" s="1083"/>
      <c r="U1373" s="1083"/>
      <c r="V1373" s="1083">
        <f t="shared" si="223"/>
        <v>0</v>
      </c>
    </row>
    <row r="1374" spans="1:22" s="1002" customFormat="1" hidden="1">
      <c r="A1374" s="1000"/>
      <c r="B1374" s="1001" t="s">
        <v>932</v>
      </c>
      <c r="C1374" s="1078">
        <v>46258</v>
      </c>
      <c r="D1374" s="1078"/>
      <c r="E1374" s="1002" t="s">
        <v>1010</v>
      </c>
      <c r="F1374" s="1077"/>
      <c r="H1374" s="1111"/>
      <c r="I1374" s="1008" t="s">
        <v>1100</v>
      </c>
      <c r="J1374" s="1007" t="s">
        <v>219</v>
      </c>
      <c r="K1374" s="1013" t="s">
        <v>584</v>
      </c>
      <c r="L1374" s="1224" t="s">
        <v>18</v>
      </c>
      <c r="M1374" s="1222">
        <v>-1</v>
      </c>
      <c r="N1374" s="1081"/>
      <c r="O1374" s="1081">
        <f t="shared" si="224"/>
        <v>0</v>
      </c>
      <c r="P1374" s="1081">
        <f t="shared" si="218"/>
        <v>0</v>
      </c>
      <c r="Q1374" s="1082">
        <f t="shared" si="219"/>
        <v>0</v>
      </c>
      <c r="R1374" s="1083"/>
      <c r="S1374" s="1083"/>
      <c r="T1374" s="1083"/>
      <c r="U1374" s="1083"/>
      <c r="V1374" s="1083">
        <f t="shared" si="223"/>
        <v>0</v>
      </c>
    </row>
    <row r="1375" spans="1:22" s="1002" customFormat="1" hidden="1">
      <c r="A1375" s="1000"/>
      <c r="B1375" s="1001" t="s">
        <v>932</v>
      </c>
      <c r="C1375" s="1078">
        <v>46258</v>
      </c>
      <c r="D1375" s="1078"/>
      <c r="E1375" s="1002" t="s">
        <v>1010</v>
      </c>
      <c r="F1375" s="1077"/>
      <c r="H1375" s="1111"/>
      <c r="I1375" s="1008" t="s">
        <v>1100</v>
      </c>
      <c r="J1375" s="1007" t="s">
        <v>194</v>
      </c>
      <c r="K1375" s="1002" t="s">
        <v>720</v>
      </c>
      <c r="L1375" s="1224" t="s">
        <v>18</v>
      </c>
      <c r="M1375" s="1222">
        <v>-1</v>
      </c>
      <c r="N1375" s="1081">
        <v>0</v>
      </c>
      <c r="O1375" s="1081">
        <f t="shared" si="224"/>
        <v>0</v>
      </c>
      <c r="P1375" s="1081">
        <f t="shared" si="218"/>
        <v>0</v>
      </c>
      <c r="Q1375" s="1082">
        <f t="shared" si="219"/>
        <v>0</v>
      </c>
      <c r="R1375" s="1083"/>
      <c r="S1375" s="1083"/>
      <c r="T1375" s="1083"/>
      <c r="U1375" s="1083"/>
      <c r="V1375" s="1083">
        <f t="shared" si="223"/>
        <v>0</v>
      </c>
    </row>
    <row r="1376" spans="1:22" s="1002" customFormat="1" hidden="1">
      <c r="A1376" s="1000"/>
      <c r="B1376" s="1001" t="s">
        <v>932</v>
      </c>
      <c r="C1376" s="1078">
        <v>46258</v>
      </c>
      <c r="D1376" s="1078"/>
      <c r="E1376" s="1002" t="s">
        <v>1010</v>
      </c>
      <c r="F1376" s="1077"/>
      <c r="H1376" s="1111"/>
      <c r="I1376" s="1008" t="s">
        <v>1100</v>
      </c>
      <c r="J1376" s="1007" t="s">
        <v>101</v>
      </c>
      <c r="K1376" s="1002" t="s">
        <v>102</v>
      </c>
      <c r="L1376" s="1224" t="s">
        <v>18</v>
      </c>
      <c r="M1376" s="1222">
        <v>-2</v>
      </c>
      <c r="N1376" s="1081"/>
      <c r="O1376" s="1081">
        <f t="shared" si="224"/>
        <v>0</v>
      </c>
      <c r="P1376" s="1081">
        <f t="shared" si="218"/>
        <v>0</v>
      </c>
      <c r="Q1376" s="1082">
        <f t="shared" si="219"/>
        <v>0</v>
      </c>
      <c r="R1376" s="1083"/>
      <c r="S1376" s="1083"/>
      <c r="T1376" s="1083"/>
      <c r="U1376" s="1083"/>
      <c r="V1376" s="1083">
        <f t="shared" si="223"/>
        <v>0</v>
      </c>
    </row>
    <row r="1377" spans="1:23" s="1002" customFormat="1" hidden="1">
      <c r="A1377" s="1000"/>
      <c r="B1377" s="1001" t="s">
        <v>932</v>
      </c>
      <c r="C1377" s="1078">
        <v>46258</v>
      </c>
      <c r="D1377" s="1078"/>
      <c r="E1377" s="1002" t="s">
        <v>1010</v>
      </c>
      <c r="F1377" s="1077"/>
      <c r="H1377" s="1111"/>
      <c r="I1377" s="1008" t="s">
        <v>1100</v>
      </c>
      <c r="J1377" s="1007" t="s">
        <v>90</v>
      </c>
      <c r="K1377" s="1002" t="s">
        <v>91</v>
      </c>
      <c r="L1377" s="1224" t="s">
        <v>18</v>
      </c>
      <c r="M1377" s="1222">
        <v>-1</v>
      </c>
      <c r="N1377" s="1081"/>
      <c r="O1377" s="1081">
        <f t="shared" si="224"/>
        <v>0</v>
      </c>
      <c r="P1377" s="1081">
        <f t="shared" si="218"/>
        <v>0</v>
      </c>
      <c r="Q1377" s="1082">
        <f t="shared" si="219"/>
        <v>0</v>
      </c>
      <c r="R1377" s="1083"/>
      <c r="S1377" s="1083"/>
      <c r="T1377" s="1083"/>
      <c r="U1377" s="1083"/>
      <c r="V1377" s="1083">
        <f t="shared" si="223"/>
        <v>0</v>
      </c>
    </row>
    <row r="1378" spans="1:23" s="1002" customFormat="1" hidden="1">
      <c r="A1378" s="1000"/>
      <c r="B1378" s="1001" t="s">
        <v>932</v>
      </c>
      <c r="C1378" s="1078">
        <v>46258</v>
      </c>
      <c r="D1378" s="1078"/>
      <c r="E1378" s="1002" t="s">
        <v>1010</v>
      </c>
      <c r="F1378" s="1077"/>
      <c r="H1378" s="1111"/>
      <c r="I1378" s="1008" t="s">
        <v>1100</v>
      </c>
      <c r="J1378" s="1007" t="s">
        <v>93</v>
      </c>
      <c r="K1378" s="1008" t="s">
        <v>94</v>
      </c>
      <c r="L1378" s="1224" t="s">
        <v>18</v>
      </c>
      <c r="M1378" s="1222">
        <v>-1</v>
      </c>
      <c r="N1378" s="1081"/>
      <c r="O1378" s="1081">
        <f t="shared" si="224"/>
        <v>0</v>
      </c>
      <c r="P1378" s="1081">
        <f t="shared" si="218"/>
        <v>0</v>
      </c>
      <c r="Q1378" s="1082">
        <f t="shared" si="219"/>
        <v>0</v>
      </c>
      <c r="R1378" s="1083"/>
      <c r="S1378" s="1083"/>
      <c r="T1378" s="1083"/>
      <c r="U1378" s="1083"/>
      <c r="V1378" s="1083">
        <f t="shared" si="223"/>
        <v>0</v>
      </c>
    </row>
    <row r="1379" spans="1:23" s="1002" customFormat="1" hidden="1">
      <c r="A1379" s="1000"/>
      <c r="B1379" s="1001" t="s">
        <v>932</v>
      </c>
      <c r="C1379" s="1078">
        <v>46258</v>
      </c>
      <c r="D1379" s="1078"/>
      <c r="E1379" s="1002" t="s">
        <v>1010</v>
      </c>
      <c r="F1379" s="1077"/>
      <c r="H1379" s="1111"/>
      <c r="I1379" s="1008" t="s">
        <v>1100</v>
      </c>
      <c r="J1379" s="1007" t="s">
        <v>80</v>
      </c>
      <c r="K1379" s="1002" t="s">
        <v>81</v>
      </c>
      <c r="L1379" s="1002" t="s">
        <v>18</v>
      </c>
      <c r="M1379" s="1222">
        <v>-1</v>
      </c>
      <c r="N1379" s="1081"/>
      <c r="O1379" s="1081">
        <f t="shared" si="224"/>
        <v>0</v>
      </c>
      <c r="P1379" s="1081">
        <f t="shared" si="218"/>
        <v>0</v>
      </c>
      <c r="Q1379" s="1082">
        <f t="shared" si="219"/>
        <v>0</v>
      </c>
      <c r="R1379" s="1083"/>
      <c r="S1379" s="1083"/>
      <c r="T1379" s="1083"/>
      <c r="U1379" s="1083"/>
      <c r="V1379" s="1083">
        <f t="shared" si="223"/>
        <v>0</v>
      </c>
    </row>
    <row r="1380" spans="1:23" s="1002" customFormat="1" hidden="1">
      <c r="A1380" s="1000"/>
      <c r="B1380" s="1001" t="s">
        <v>932</v>
      </c>
      <c r="C1380" s="1078">
        <v>46258</v>
      </c>
      <c r="D1380" s="1078"/>
      <c r="E1380" s="1002" t="s">
        <v>1010</v>
      </c>
      <c r="F1380" s="1077"/>
      <c r="H1380" s="1111"/>
      <c r="I1380" s="1008" t="s">
        <v>1100</v>
      </c>
      <c r="J1380" s="1007" t="s">
        <v>68</v>
      </c>
      <c r="K1380" s="1002" t="s">
        <v>69</v>
      </c>
      <c r="L1380" s="1224" t="s">
        <v>18</v>
      </c>
      <c r="M1380" s="1222">
        <v>-1</v>
      </c>
      <c r="N1380" s="1081"/>
      <c r="O1380" s="1081">
        <f t="shared" si="224"/>
        <v>0</v>
      </c>
      <c r="P1380" s="1081">
        <f t="shared" si="218"/>
        <v>0</v>
      </c>
      <c r="Q1380" s="1082">
        <f t="shared" si="219"/>
        <v>0</v>
      </c>
      <c r="R1380" s="1083"/>
      <c r="S1380" s="1083"/>
      <c r="T1380" s="1083"/>
      <c r="U1380" s="1083"/>
      <c r="V1380" s="1083">
        <f t="shared" si="223"/>
        <v>0</v>
      </c>
    </row>
    <row r="1381" spans="1:23" s="1002" customFormat="1" hidden="1">
      <c r="A1381" s="1000" t="s">
        <v>752</v>
      </c>
      <c r="B1381" s="1028" t="s">
        <v>1494</v>
      </c>
      <c r="C1381" s="1078">
        <v>46259</v>
      </c>
      <c r="D1381" s="1078"/>
      <c r="E1381" s="1002" t="s">
        <v>946</v>
      </c>
      <c r="F1381" s="1077"/>
      <c r="H1381" s="1111"/>
      <c r="I1381" s="1002" t="s">
        <v>812</v>
      </c>
      <c r="J1381" s="1007" t="s">
        <v>643</v>
      </c>
      <c r="K1381" s="1002" t="s">
        <v>644</v>
      </c>
      <c r="L1381" s="1224" t="s">
        <v>18</v>
      </c>
      <c r="M1381" s="1222">
        <v>15</v>
      </c>
      <c r="N1381" s="1081">
        <v>527777.78</v>
      </c>
      <c r="O1381" s="1081">
        <f t="shared" si="224"/>
        <v>7916666.7000000002</v>
      </c>
      <c r="P1381" s="1081">
        <f t="shared" si="218"/>
        <v>633333.33600000001</v>
      </c>
      <c r="Q1381" s="1206">
        <f t="shared" si="219"/>
        <v>8550000.0360000003</v>
      </c>
      <c r="R1381" s="1083"/>
      <c r="S1381" s="1083"/>
      <c r="T1381" s="1083"/>
      <c r="U1381" s="1083"/>
      <c r="V1381" s="1083">
        <f t="shared" si="223"/>
        <v>8550000.0360000003</v>
      </c>
    </row>
    <row r="1382" spans="1:23" s="1002" customFormat="1" hidden="1">
      <c r="A1382" s="1000" t="s">
        <v>752</v>
      </c>
      <c r="B1382" s="1028" t="s">
        <v>1494</v>
      </c>
      <c r="C1382" s="1078">
        <v>46259</v>
      </c>
      <c r="D1382" s="1078"/>
      <c r="E1382" s="1002" t="s">
        <v>946</v>
      </c>
      <c r="F1382" s="1077"/>
      <c r="H1382" s="1111"/>
      <c r="I1382" s="1002" t="s">
        <v>812</v>
      </c>
      <c r="J1382" s="1007" t="s">
        <v>645</v>
      </c>
      <c r="K1382" s="1002" t="s">
        <v>646</v>
      </c>
      <c r="L1382" s="1224" t="s">
        <v>18</v>
      </c>
      <c r="M1382" s="1222">
        <v>2</v>
      </c>
      <c r="N1382" s="1081">
        <v>629629.63</v>
      </c>
      <c r="O1382" s="1081">
        <f t="shared" si="224"/>
        <v>1259259.26</v>
      </c>
      <c r="P1382" s="1081">
        <f t="shared" si="218"/>
        <v>100740.7408</v>
      </c>
      <c r="Q1382" s="1206">
        <f t="shared" si="219"/>
        <v>1360000.0008</v>
      </c>
      <c r="R1382" s="1083"/>
      <c r="S1382" s="1083"/>
      <c r="T1382" s="1083"/>
      <c r="U1382" s="1083"/>
      <c r="V1382" s="1083">
        <f t="shared" si="223"/>
        <v>1360000.0008</v>
      </c>
    </row>
    <row r="1383" spans="1:23" s="1002" customFormat="1" hidden="1">
      <c r="A1383" s="1000" t="s">
        <v>752</v>
      </c>
      <c r="B1383" s="1028" t="s">
        <v>1494</v>
      </c>
      <c r="C1383" s="1078">
        <v>46259</v>
      </c>
      <c r="D1383" s="1078"/>
      <c r="E1383" s="1002" t="s">
        <v>946</v>
      </c>
      <c r="F1383" s="1077">
        <v>46261</v>
      </c>
      <c r="G1383" s="1002" t="s">
        <v>1081</v>
      </c>
      <c r="H1383" s="1111" t="s">
        <v>1080</v>
      </c>
      <c r="I1383" s="1002" t="s">
        <v>812</v>
      </c>
      <c r="J1383" s="1007" t="s">
        <v>40</v>
      </c>
      <c r="K1383" s="1002" t="s">
        <v>41</v>
      </c>
      <c r="L1383" s="1224" t="s">
        <v>18</v>
      </c>
      <c r="M1383" s="1222">
        <v>4</v>
      </c>
      <c r="N1383" s="1081">
        <v>844444.44</v>
      </c>
      <c r="O1383" s="1081">
        <f t="shared" si="224"/>
        <v>3377777.76</v>
      </c>
      <c r="P1383" s="1081">
        <f t="shared" si="218"/>
        <v>270222.22080000001</v>
      </c>
      <c r="Q1383" s="1206">
        <f t="shared" si="219"/>
        <v>3647999.9808</v>
      </c>
      <c r="R1383" s="1083"/>
      <c r="S1383" s="1083"/>
      <c r="T1383" s="1083"/>
      <c r="U1383" s="1083"/>
      <c r="V1383" s="1083">
        <f t="shared" si="223"/>
        <v>3647999.9808</v>
      </c>
    </row>
    <row r="1384" spans="1:23" s="1002" customFormat="1" hidden="1">
      <c r="A1384" s="1000" t="s">
        <v>752</v>
      </c>
      <c r="B1384" s="1028" t="s">
        <v>1494</v>
      </c>
      <c r="C1384" s="1078">
        <v>46259</v>
      </c>
      <c r="D1384" s="1078"/>
      <c r="E1384" s="1002" t="s">
        <v>946</v>
      </c>
      <c r="F1384" s="1077"/>
      <c r="H1384" s="1111"/>
      <c r="I1384" s="1002" t="s">
        <v>812</v>
      </c>
      <c r="J1384" s="1007" t="s">
        <v>103</v>
      </c>
      <c r="K1384" s="1002" t="s">
        <v>104</v>
      </c>
      <c r="L1384" s="1224" t="s">
        <v>18</v>
      </c>
      <c r="M1384" s="1222">
        <v>12</v>
      </c>
      <c r="N1384" s="1081">
        <v>675925.93</v>
      </c>
      <c r="O1384" s="1081">
        <f t="shared" si="224"/>
        <v>8111111.1600000001</v>
      </c>
      <c r="P1384" s="1081">
        <f t="shared" si="218"/>
        <v>648888.89280000003</v>
      </c>
      <c r="Q1384" s="1206">
        <f t="shared" si="219"/>
        <v>8760000.0527999997</v>
      </c>
      <c r="R1384" s="1083"/>
      <c r="S1384" s="1083"/>
      <c r="T1384" s="1083"/>
      <c r="U1384" s="1083"/>
      <c r="V1384" s="1083">
        <f t="shared" si="223"/>
        <v>8760000.0527999997</v>
      </c>
    </row>
    <row r="1385" spans="1:23" s="1002" customFormat="1" hidden="1">
      <c r="A1385" s="1000" t="s">
        <v>752</v>
      </c>
      <c r="B1385" s="1028" t="s">
        <v>1494</v>
      </c>
      <c r="C1385" s="1078">
        <v>46259</v>
      </c>
      <c r="D1385" s="1078"/>
      <c r="E1385" s="1002" t="s">
        <v>946</v>
      </c>
      <c r="F1385" s="1077">
        <v>46261</v>
      </c>
      <c r="G1385" s="1002" t="s">
        <v>1081</v>
      </c>
      <c r="H1385" s="1111" t="s">
        <v>1080</v>
      </c>
      <c r="I1385" s="1002" t="s">
        <v>812</v>
      </c>
      <c r="J1385" s="1007" t="s">
        <v>62</v>
      </c>
      <c r="K1385" s="1002" t="s">
        <v>63</v>
      </c>
      <c r="L1385" s="1224" t="s">
        <v>18</v>
      </c>
      <c r="M1385" s="1222">
        <v>50</v>
      </c>
      <c r="N1385" s="1081">
        <v>111111.11</v>
      </c>
      <c r="O1385" s="1081">
        <f t="shared" si="224"/>
        <v>5555555.5</v>
      </c>
      <c r="P1385" s="1081">
        <f t="shared" si="218"/>
        <v>444444.44</v>
      </c>
      <c r="Q1385" s="1206">
        <f t="shared" si="219"/>
        <v>5999999.9400000004</v>
      </c>
      <c r="R1385" s="1083"/>
      <c r="S1385" s="1083"/>
      <c r="T1385" s="1083"/>
      <c r="U1385" s="1083"/>
      <c r="V1385" s="1083">
        <f t="shared" si="223"/>
        <v>5999999.9400000004</v>
      </c>
    </row>
    <row r="1386" spans="1:23" s="1002" customFormat="1" ht="31.5" hidden="1">
      <c r="A1386" s="1000" t="s">
        <v>752</v>
      </c>
      <c r="B1386" s="1028" t="s">
        <v>1494</v>
      </c>
      <c r="C1386" s="1078">
        <v>46259</v>
      </c>
      <c r="D1386" s="1078"/>
      <c r="E1386" s="1002" t="s">
        <v>946</v>
      </c>
      <c r="F1386" s="1077"/>
      <c r="H1386" s="1111"/>
      <c r="I1386" s="1002" t="s">
        <v>812</v>
      </c>
      <c r="J1386" s="1007" t="s">
        <v>62</v>
      </c>
      <c r="K1386" s="1002" t="s">
        <v>63</v>
      </c>
      <c r="L1386" s="1224" t="s">
        <v>18</v>
      </c>
      <c r="M1386" s="1222">
        <v>12</v>
      </c>
      <c r="N1386" s="1081">
        <v>0</v>
      </c>
      <c r="O1386" s="1081">
        <f t="shared" si="224"/>
        <v>0</v>
      </c>
      <c r="P1386" s="1081">
        <f>O1386*8%</f>
        <v>0</v>
      </c>
      <c r="Q1386" s="1206">
        <f t="shared" si="219"/>
        <v>0</v>
      </c>
      <c r="R1386" s="1083"/>
      <c r="S1386" s="1083"/>
      <c r="T1386" s="1083"/>
      <c r="U1386" s="1083"/>
      <c r="V1386" s="1083">
        <f t="shared" si="223"/>
        <v>0</v>
      </c>
      <c r="W1386" s="1217" t="s">
        <v>950</v>
      </c>
    </row>
    <row r="1387" spans="1:23" s="1002" customFormat="1" hidden="1">
      <c r="A1387" s="1000" t="s">
        <v>752</v>
      </c>
      <c r="B1387" s="1028" t="s">
        <v>1494</v>
      </c>
      <c r="C1387" s="1078">
        <v>46259</v>
      </c>
      <c r="D1387" s="1078"/>
      <c r="E1387" s="1002" t="s">
        <v>946</v>
      </c>
      <c r="F1387" s="1077"/>
      <c r="H1387" s="1111"/>
      <c r="I1387" s="1002" t="s">
        <v>812</v>
      </c>
      <c r="J1387" s="1007" t="s">
        <v>643</v>
      </c>
      <c r="K1387" s="1002" t="s">
        <v>644</v>
      </c>
      <c r="L1387" s="1224" t="s">
        <v>18</v>
      </c>
      <c r="M1387" s="1222">
        <v>1</v>
      </c>
      <c r="N1387" s="1081">
        <v>0</v>
      </c>
      <c r="O1387" s="1081">
        <f t="shared" ref="O1387:O1388" si="225">M1387*N1387</f>
        <v>0</v>
      </c>
      <c r="P1387" s="1081">
        <f t="shared" si="218"/>
        <v>0</v>
      </c>
      <c r="Q1387" s="1206">
        <f t="shared" si="219"/>
        <v>0</v>
      </c>
      <c r="R1387" s="1083"/>
      <c r="S1387" s="1083"/>
      <c r="T1387" s="1083"/>
      <c r="U1387" s="1083"/>
      <c r="V1387" s="1083">
        <f t="shared" si="223"/>
        <v>0</v>
      </c>
    </row>
    <row r="1388" spans="1:23" s="1002" customFormat="1" hidden="1">
      <c r="A1388" s="1000" t="s">
        <v>761</v>
      </c>
      <c r="B1388" s="1028" t="s">
        <v>1496</v>
      </c>
      <c r="C1388" s="1078">
        <v>46269</v>
      </c>
      <c r="D1388" s="1078">
        <v>46272</v>
      </c>
      <c r="E1388" s="1002" t="s">
        <v>949</v>
      </c>
      <c r="F1388" s="1077"/>
      <c r="H1388" s="1111"/>
      <c r="J1388" s="1007" t="s">
        <v>1360</v>
      </c>
      <c r="K1388" s="1002" t="s">
        <v>1359</v>
      </c>
      <c r="L1388" s="1054" t="s">
        <v>18</v>
      </c>
      <c r="M1388" s="1222">
        <v>24</v>
      </c>
      <c r="N1388" s="1081">
        <v>78703.7</v>
      </c>
      <c r="O1388" s="1081">
        <f t="shared" si="225"/>
        <v>1888888.7999999998</v>
      </c>
      <c r="P1388" s="1081">
        <f t="shared" si="218"/>
        <v>151111.10399999999</v>
      </c>
      <c r="Q1388" s="1206">
        <f t="shared" si="219"/>
        <v>2039999.9039999999</v>
      </c>
      <c r="R1388" s="1083"/>
      <c r="S1388" s="1083"/>
      <c r="T1388" s="1083"/>
      <c r="U1388" s="1083"/>
      <c r="V1388" s="1083">
        <f>Q1388-R1388-S1388-T1388-U1388</f>
        <v>2039999.9039999999</v>
      </c>
    </row>
    <row r="1389" spans="1:23" s="1002" customFormat="1" hidden="1">
      <c r="A1389" s="1000" t="s">
        <v>711</v>
      </c>
      <c r="B1389" s="1001" t="s">
        <v>715</v>
      </c>
      <c r="C1389" s="1078">
        <v>46259</v>
      </c>
      <c r="D1389" s="1078"/>
      <c r="E1389" s="1002" t="s">
        <v>951</v>
      </c>
      <c r="F1389" s="1077">
        <v>46260</v>
      </c>
      <c r="G1389" s="1002" t="s">
        <v>1076</v>
      </c>
      <c r="H1389" s="1111" t="s">
        <v>1077</v>
      </c>
      <c r="I1389" s="1002" t="s">
        <v>813</v>
      </c>
      <c r="J1389" s="1007" t="s">
        <v>157</v>
      </c>
      <c r="K1389" s="1002" t="s">
        <v>158</v>
      </c>
      <c r="L1389" s="1224" t="s">
        <v>18</v>
      </c>
      <c r="M1389" s="1222">
        <v>12</v>
      </c>
      <c r="N1389" s="1081">
        <v>342592.59</v>
      </c>
      <c r="O1389" s="1081">
        <f>M1389*N1389</f>
        <v>4111111.08</v>
      </c>
      <c r="P1389" s="1081">
        <f t="shared" ref="P1389:P1452" si="226">O1389*8%</f>
        <v>328888.88640000002</v>
      </c>
      <c r="Q1389" s="1206">
        <f t="shared" si="219"/>
        <v>4439999.9664000003</v>
      </c>
      <c r="R1389" s="1083"/>
      <c r="S1389" s="1083"/>
      <c r="T1389" s="1083"/>
      <c r="U1389" s="1083"/>
      <c r="V1389" s="1083">
        <f t="shared" ref="V1389:V1392" si="227">Q1389-R1389-S1389-T1389-U1389</f>
        <v>4439999.9664000003</v>
      </c>
    </row>
    <row r="1390" spans="1:23" s="1002" customFormat="1" hidden="1">
      <c r="A1390" s="1000" t="s">
        <v>711</v>
      </c>
      <c r="B1390" s="1001" t="s">
        <v>715</v>
      </c>
      <c r="C1390" s="1078">
        <v>46259</v>
      </c>
      <c r="D1390" s="1078"/>
      <c r="E1390" s="1002" t="s">
        <v>951</v>
      </c>
      <c r="F1390" s="1077">
        <v>46260</v>
      </c>
      <c r="G1390" s="1002" t="s">
        <v>1076</v>
      </c>
      <c r="H1390" s="1111" t="s">
        <v>1077</v>
      </c>
      <c r="I1390" s="1002" t="s">
        <v>813</v>
      </c>
      <c r="J1390" s="1007" t="s">
        <v>260</v>
      </c>
      <c r="K1390" s="1002" t="s">
        <v>261</v>
      </c>
      <c r="L1390" s="1224" t="s">
        <v>18</v>
      </c>
      <c r="M1390" s="1222">
        <v>16</v>
      </c>
      <c r="N1390" s="1081">
        <v>407407.41</v>
      </c>
      <c r="O1390" s="1081">
        <f>M1390*N1390</f>
        <v>6518518.5599999996</v>
      </c>
      <c r="P1390" s="1081">
        <f t="shared" si="226"/>
        <v>521481.48479999998</v>
      </c>
      <c r="Q1390" s="1206">
        <f t="shared" si="219"/>
        <v>7040000.0447999993</v>
      </c>
      <c r="R1390" s="1083"/>
      <c r="S1390" s="1083"/>
      <c r="T1390" s="1083"/>
      <c r="U1390" s="1083"/>
      <c r="V1390" s="1083">
        <f t="shared" si="227"/>
        <v>7040000.0447999993</v>
      </c>
    </row>
    <row r="1391" spans="1:23" s="1002" customFormat="1" hidden="1">
      <c r="A1391" s="1000" t="s">
        <v>711</v>
      </c>
      <c r="B1391" s="1001" t="s">
        <v>715</v>
      </c>
      <c r="C1391" s="1078">
        <v>46259</v>
      </c>
      <c r="D1391" s="1078"/>
      <c r="E1391" s="1002" t="s">
        <v>951</v>
      </c>
      <c r="F1391" s="1077">
        <v>46260</v>
      </c>
      <c r="G1391" s="1002" t="s">
        <v>1076</v>
      </c>
      <c r="H1391" s="1111" t="s">
        <v>1077</v>
      </c>
      <c r="I1391" s="1002" t="s">
        <v>813</v>
      </c>
      <c r="J1391" s="1007" t="s">
        <v>119</v>
      </c>
      <c r="K1391" s="1002" t="s">
        <v>191</v>
      </c>
      <c r="L1391" s="1224" t="s">
        <v>18</v>
      </c>
      <c r="M1391" s="1222">
        <v>8</v>
      </c>
      <c r="N1391" s="1081">
        <v>574074.06999999995</v>
      </c>
      <c r="O1391" s="1081">
        <f>M1391*N1391</f>
        <v>4592592.5599999996</v>
      </c>
      <c r="P1391" s="1081">
        <f t="shared" si="226"/>
        <v>367407.40479999996</v>
      </c>
      <c r="Q1391" s="1206">
        <f t="shared" si="219"/>
        <v>4959999.9647999993</v>
      </c>
      <c r="R1391" s="1083"/>
      <c r="S1391" s="1083"/>
      <c r="T1391" s="1083"/>
      <c r="U1391" s="1083"/>
      <c r="V1391" s="1083">
        <f t="shared" si="227"/>
        <v>4959999.9647999993</v>
      </c>
    </row>
    <row r="1392" spans="1:23" hidden="1">
      <c r="A1392" s="1000" t="s">
        <v>711</v>
      </c>
      <c r="B1392" s="1001" t="s">
        <v>715</v>
      </c>
      <c r="C1392" s="1078">
        <v>46259</v>
      </c>
      <c r="D1392" s="1078"/>
      <c r="E1392" s="1002" t="s">
        <v>951</v>
      </c>
      <c r="F1392" s="1077">
        <v>46260</v>
      </c>
      <c r="G1392" s="1002" t="s">
        <v>1076</v>
      </c>
      <c r="H1392" s="1111" t="s">
        <v>1077</v>
      </c>
      <c r="I1392" s="1002" t="s">
        <v>813</v>
      </c>
      <c r="J1392" s="1007" t="s">
        <v>42</v>
      </c>
      <c r="K1392" s="1002" t="s">
        <v>43</v>
      </c>
      <c r="L1392" s="1224" t="s">
        <v>18</v>
      </c>
      <c r="M1392" s="1222">
        <v>12</v>
      </c>
      <c r="N1392" s="1081">
        <v>527777.78</v>
      </c>
      <c r="O1392" s="1081">
        <f>M1392*N1392</f>
        <v>6333333.3600000003</v>
      </c>
      <c r="P1392" s="1081">
        <f t="shared" si="226"/>
        <v>506666.66880000004</v>
      </c>
      <c r="Q1392" s="1206">
        <f t="shared" si="219"/>
        <v>6840000.0288000004</v>
      </c>
      <c r="R1392" s="1083"/>
      <c r="S1392" s="1083"/>
      <c r="T1392" s="1083"/>
      <c r="U1392" s="1083"/>
      <c r="V1392" s="1083">
        <f t="shared" si="227"/>
        <v>6840000.0288000004</v>
      </c>
    </row>
    <row r="1393" spans="1:22" s="1002" customFormat="1" hidden="1">
      <c r="A1393" s="1000" t="s">
        <v>741</v>
      </c>
      <c r="B1393" s="1001" t="s">
        <v>749</v>
      </c>
      <c r="C1393" s="1078">
        <v>46259</v>
      </c>
      <c r="D1393" s="1078"/>
      <c r="E1393" s="1002" t="s">
        <v>952</v>
      </c>
      <c r="F1393" s="1077">
        <v>46260</v>
      </c>
      <c r="G1393" s="1002" t="s">
        <v>1079</v>
      </c>
      <c r="H1393" s="1111" t="s">
        <v>1078</v>
      </c>
      <c r="I1393" s="1002" t="s">
        <v>815</v>
      </c>
      <c r="J1393" s="1007" t="s">
        <v>98</v>
      </c>
      <c r="K1393" s="1002" t="s">
        <v>251</v>
      </c>
      <c r="L1393" s="1224" t="s">
        <v>18</v>
      </c>
      <c r="M1393" s="1222">
        <v>6</v>
      </c>
      <c r="N1393" s="1081">
        <v>740740.74</v>
      </c>
      <c r="O1393" s="1081">
        <f>M1393*N1393</f>
        <v>4444444.4399999995</v>
      </c>
      <c r="P1393" s="1081">
        <f t="shared" si="226"/>
        <v>355555.55519999994</v>
      </c>
      <c r="Q1393" s="1206">
        <f t="shared" si="219"/>
        <v>4799999.9951999998</v>
      </c>
      <c r="R1393" s="1083"/>
      <c r="S1393" s="1083"/>
      <c r="T1393" s="1083"/>
      <c r="U1393" s="1083"/>
      <c r="V1393" s="1083">
        <f t="shared" si="223"/>
        <v>4799999.9951999998</v>
      </c>
    </row>
    <row r="1394" spans="1:22" s="1002" customFormat="1" hidden="1">
      <c r="A1394" s="1039" t="s">
        <v>736</v>
      </c>
      <c r="B1394" s="1040" t="s">
        <v>747</v>
      </c>
      <c r="C1394" s="1078">
        <v>46259</v>
      </c>
      <c r="D1394" s="1078"/>
      <c r="F1394" s="1077"/>
      <c r="H1394" s="1111"/>
      <c r="I1394" s="1002" t="s">
        <v>844</v>
      </c>
      <c r="J1394" s="1007"/>
      <c r="M1394" s="1086"/>
      <c r="N1394" s="1081"/>
      <c r="O1394" s="1081"/>
      <c r="P1394" s="1081">
        <f t="shared" si="226"/>
        <v>0</v>
      </c>
      <c r="Q1394" s="1082">
        <f t="shared" si="219"/>
        <v>0</v>
      </c>
      <c r="R1394" s="1107">
        <v>5280000</v>
      </c>
      <c r="S1394" s="1107"/>
      <c r="T1394" s="1107"/>
      <c r="U1394" s="1107"/>
      <c r="V1394" s="1083">
        <f>Q1394-R1394-S1394-T1394-U1394</f>
        <v>-5280000</v>
      </c>
    </row>
    <row r="1395" spans="1:22" s="1002" customFormat="1" hidden="1">
      <c r="A1395" s="1000" t="s">
        <v>738</v>
      </c>
      <c r="B1395" s="1001" t="s">
        <v>748</v>
      </c>
      <c r="C1395" s="1078">
        <v>46260</v>
      </c>
      <c r="D1395" s="1078"/>
      <c r="E1395" s="1002" t="s">
        <v>958</v>
      </c>
      <c r="F1395" s="1077"/>
      <c r="H1395" s="1111"/>
      <c r="I1395" s="1002" t="s">
        <v>750</v>
      </c>
      <c r="J1395" s="1007" t="s">
        <v>192</v>
      </c>
      <c r="K1395" s="1002" t="s">
        <v>193</v>
      </c>
      <c r="L1395" s="1007" t="s">
        <v>18</v>
      </c>
      <c r="M1395" s="1222">
        <v>1</v>
      </c>
      <c r="N1395" s="1081">
        <v>398148.15</v>
      </c>
      <c r="O1395" s="1081">
        <f t="shared" ref="O1395:O1439" si="228">M1395*N1395</f>
        <v>398148.15</v>
      </c>
      <c r="P1395" s="1081">
        <f t="shared" si="226"/>
        <v>31851.852000000003</v>
      </c>
      <c r="Q1395" s="1206">
        <f t="shared" si="219"/>
        <v>430000.00200000004</v>
      </c>
      <c r="R1395" s="1083"/>
      <c r="S1395" s="1083"/>
      <c r="T1395" s="1083"/>
      <c r="U1395" s="1083"/>
      <c r="V1395" s="1083">
        <f t="shared" si="223"/>
        <v>430000.00200000004</v>
      </c>
    </row>
    <row r="1396" spans="1:22" s="1002" customFormat="1" hidden="1">
      <c r="A1396" s="1000" t="s">
        <v>962</v>
      </c>
      <c r="B1396" s="1001" t="s">
        <v>1518</v>
      </c>
      <c r="C1396" s="1078">
        <v>46260</v>
      </c>
      <c r="D1396" s="1078"/>
      <c r="E1396" s="1002" t="s">
        <v>975</v>
      </c>
      <c r="F1396" s="1077"/>
      <c r="H1396" s="1111"/>
      <c r="I1396" s="1002" t="s">
        <v>963</v>
      </c>
      <c r="J1396" s="1007" t="s">
        <v>959</v>
      </c>
      <c r="K1396" s="1002" t="s">
        <v>960</v>
      </c>
      <c r="L1396" s="1007" t="s">
        <v>18</v>
      </c>
      <c r="M1396" s="1222">
        <v>1</v>
      </c>
      <c r="N1396" s="1081">
        <v>111111.11</v>
      </c>
      <c r="O1396" s="1081">
        <f t="shared" si="228"/>
        <v>111111.11</v>
      </c>
      <c r="P1396" s="1081">
        <f t="shared" si="226"/>
        <v>8888.8888000000006</v>
      </c>
      <c r="Q1396" s="1206">
        <f t="shared" si="219"/>
        <v>119999.9988</v>
      </c>
      <c r="R1396" s="1083"/>
      <c r="S1396" s="1083"/>
      <c r="T1396" s="1083"/>
      <c r="U1396" s="1083"/>
      <c r="V1396" s="1083">
        <f t="shared" si="223"/>
        <v>119999.9988</v>
      </c>
    </row>
    <row r="1397" spans="1:22" hidden="1">
      <c r="A1397" s="1000" t="s">
        <v>711</v>
      </c>
      <c r="B1397" s="1001" t="s">
        <v>715</v>
      </c>
      <c r="C1397" s="1078">
        <v>46260</v>
      </c>
      <c r="D1397" s="1078"/>
      <c r="E1397" s="1002"/>
      <c r="F1397" s="1077"/>
      <c r="G1397" s="1002"/>
      <c r="H1397" s="1111"/>
      <c r="I1397" s="1002" t="s">
        <v>844</v>
      </c>
      <c r="J1397" s="1007"/>
      <c r="N1397" s="1081"/>
      <c r="O1397" s="1081">
        <f t="shared" si="228"/>
        <v>0</v>
      </c>
      <c r="P1397" s="1081">
        <f t="shared" si="226"/>
        <v>0</v>
      </c>
      <c r="Q1397" s="1082">
        <f t="shared" si="219"/>
        <v>0</v>
      </c>
      <c r="R1397" s="1107">
        <v>41460000</v>
      </c>
      <c r="V1397" s="1083">
        <f t="shared" ref="V1397:V1398" si="229">Q1397-R1397-S1397-T1397-U1397</f>
        <v>-41460000</v>
      </c>
    </row>
    <row r="1398" spans="1:22" hidden="1">
      <c r="A1398" s="1000" t="s">
        <v>752</v>
      </c>
      <c r="B1398" s="1028" t="s">
        <v>1494</v>
      </c>
      <c r="C1398" s="1078">
        <v>46261</v>
      </c>
      <c r="D1398" s="1078"/>
      <c r="E1398" s="1002"/>
      <c r="F1398" s="1077"/>
      <c r="G1398" s="1002"/>
      <c r="H1398" s="1111"/>
      <c r="I1398" s="1002" t="s">
        <v>760</v>
      </c>
      <c r="J1398" s="1007"/>
      <c r="N1398" s="1081"/>
      <c r="O1398" s="1081">
        <f t="shared" si="228"/>
        <v>0</v>
      </c>
      <c r="P1398" s="1081">
        <f t="shared" si="226"/>
        <v>0</v>
      </c>
      <c r="Q1398" s="1082">
        <f t="shared" si="219"/>
        <v>0</v>
      </c>
      <c r="S1398" s="1107">
        <v>400000</v>
      </c>
      <c r="V1398" s="1083">
        <f t="shared" si="229"/>
        <v>-400000</v>
      </c>
    </row>
    <row r="1399" spans="1:22" s="1002" customFormat="1" hidden="1">
      <c r="A1399" s="1000" t="s">
        <v>717</v>
      </c>
      <c r="B1399" s="1001" t="s">
        <v>743</v>
      </c>
      <c r="C1399" s="1078">
        <v>46261</v>
      </c>
      <c r="D1399" s="1078"/>
      <c r="E1399" s="1002" t="s">
        <v>977</v>
      </c>
      <c r="F1399" s="1077"/>
      <c r="H1399" s="1111"/>
      <c r="I1399" s="1002" t="s">
        <v>822</v>
      </c>
      <c r="J1399" s="1007" t="s">
        <v>101</v>
      </c>
      <c r="K1399" s="1002" t="s">
        <v>102</v>
      </c>
      <c r="L1399" s="1007" t="s">
        <v>18</v>
      </c>
      <c r="M1399" s="1222">
        <v>4</v>
      </c>
      <c r="N1399" s="1081">
        <v>861111.11</v>
      </c>
      <c r="O1399" s="1081">
        <f t="shared" si="228"/>
        <v>3444444.44</v>
      </c>
      <c r="P1399" s="1081">
        <f t="shared" si="226"/>
        <v>275555.5552</v>
      </c>
      <c r="Q1399" s="1206">
        <f t="shared" si="219"/>
        <v>3719999.9951999998</v>
      </c>
      <c r="R1399" s="1083"/>
      <c r="S1399" s="1083"/>
      <c r="T1399" s="1083"/>
      <c r="U1399" s="1083"/>
      <c r="V1399" s="1083">
        <f t="shared" si="223"/>
        <v>3719999.9951999998</v>
      </c>
    </row>
    <row r="1400" spans="1:22" s="1002" customFormat="1" hidden="1">
      <c r="A1400" s="1000" t="s">
        <v>717</v>
      </c>
      <c r="B1400" s="1001" t="s">
        <v>743</v>
      </c>
      <c r="C1400" s="1078">
        <v>46261</v>
      </c>
      <c r="D1400" s="1078"/>
      <c r="E1400" s="1002" t="s">
        <v>977</v>
      </c>
      <c r="F1400" s="1077">
        <v>46273</v>
      </c>
      <c r="G1400" s="1002" t="s">
        <v>1087</v>
      </c>
      <c r="H1400" s="1111" t="s">
        <v>1086</v>
      </c>
      <c r="I1400" s="1002" t="s">
        <v>822</v>
      </c>
      <c r="J1400" s="1007" t="s">
        <v>90</v>
      </c>
      <c r="K1400" s="1002" t="s">
        <v>91</v>
      </c>
      <c r="L1400" s="1007" t="s">
        <v>18</v>
      </c>
      <c r="M1400" s="1222">
        <v>10</v>
      </c>
      <c r="N1400" s="1081">
        <v>814814.81</v>
      </c>
      <c r="O1400" s="1081">
        <f t="shared" si="228"/>
        <v>8148148.1000000006</v>
      </c>
      <c r="P1400" s="1081">
        <f t="shared" si="226"/>
        <v>651851.84800000011</v>
      </c>
      <c r="Q1400" s="1206">
        <f t="shared" si="219"/>
        <v>8799999.9480000008</v>
      </c>
      <c r="R1400" s="1083"/>
      <c r="S1400" s="1083"/>
      <c r="T1400" s="1083"/>
      <c r="U1400" s="1083"/>
      <c r="V1400" s="1083">
        <f t="shared" si="223"/>
        <v>8799999.9480000008</v>
      </c>
    </row>
    <row r="1401" spans="1:22" s="1002" customFormat="1" hidden="1">
      <c r="A1401" s="1000" t="s">
        <v>717</v>
      </c>
      <c r="B1401" s="1001" t="s">
        <v>743</v>
      </c>
      <c r="C1401" s="1078">
        <v>46261</v>
      </c>
      <c r="D1401" s="1078"/>
      <c r="E1401" s="1002" t="s">
        <v>977</v>
      </c>
      <c r="F1401" s="1077">
        <v>46273</v>
      </c>
      <c r="G1401" s="1002" t="s">
        <v>1087</v>
      </c>
      <c r="H1401" s="1111" t="s">
        <v>1086</v>
      </c>
      <c r="I1401" s="1002" t="s">
        <v>822</v>
      </c>
      <c r="J1401" s="1007" t="s">
        <v>80</v>
      </c>
      <c r="K1401" s="1002" t="s">
        <v>81</v>
      </c>
      <c r="L1401" s="1007" t="s">
        <v>18</v>
      </c>
      <c r="M1401" s="1222">
        <v>2</v>
      </c>
      <c r="N1401" s="1081">
        <v>824074.07</v>
      </c>
      <c r="O1401" s="1081">
        <f t="shared" si="228"/>
        <v>1648148.14</v>
      </c>
      <c r="P1401" s="1081">
        <f t="shared" si="226"/>
        <v>131851.8512</v>
      </c>
      <c r="Q1401" s="1206">
        <f t="shared" ref="Q1401:Q1465" si="230">O1401+P1401</f>
        <v>1779999.9911999998</v>
      </c>
      <c r="R1401" s="1083"/>
      <c r="S1401" s="1083"/>
      <c r="T1401" s="1083"/>
      <c r="U1401" s="1083"/>
      <c r="V1401" s="1083">
        <f t="shared" si="223"/>
        <v>1779999.9911999998</v>
      </c>
    </row>
    <row r="1402" spans="1:22" s="1002" customFormat="1" hidden="1">
      <c r="A1402" s="1000" t="s">
        <v>717</v>
      </c>
      <c r="B1402" s="1001" t="s">
        <v>743</v>
      </c>
      <c r="C1402" s="1078">
        <v>46261</v>
      </c>
      <c r="D1402" s="1078"/>
      <c r="E1402" s="1002" t="s">
        <v>977</v>
      </c>
      <c r="F1402" s="1077">
        <v>46273</v>
      </c>
      <c r="G1402" s="1002" t="s">
        <v>1087</v>
      </c>
      <c r="H1402" s="1111" t="s">
        <v>1086</v>
      </c>
      <c r="I1402" s="1002" t="s">
        <v>822</v>
      </c>
      <c r="J1402" s="1007" t="s">
        <v>77</v>
      </c>
      <c r="K1402" s="1002" t="s">
        <v>78</v>
      </c>
      <c r="L1402" s="1007" t="s">
        <v>18</v>
      </c>
      <c r="M1402" s="1222">
        <v>12</v>
      </c>
      <c r="N1402" s="1081">
        <v>324074.07</v>
      </c>
      <c r="O1402" s="1081">
        <f t="shared" si="228"/>
        <v>3888888.84</v>
      </c>
      <c r="P1402" s="1081">
        <f t="shared" si="226"/>
        <v>311111.10719999997</v>
      </c>
      <c r="Q1402" s="1206">
        <f t="shared" si="230"/>
        <v>4199999.9472000003</v>
      </c>
      <c r="R1402" s="1083"/>
      <c r="S1402" s="1083"/>
      <c r="T1402" s="1083"/>
      <c r="U1402" s="1083"/>
      <c r="V1402" s="1083">
        <f t="shared" si="223"/>
        <v>4199999.9472000003</v>
      </c>
    </row>
    <row r="1403" spans="1:22" s="1002" customFormat="1" hidden="1">
      <c r="A1403" s="1000" t="s">
        <v>717</v>
      </c>
      <c r="B1403" s="1001" t="s">
        <v>743</v>
      </c>
      <c r="C1403" s="1078">
        <v>46261</v>
      </c>
      <c r="D1403" s="1078"/>
      <c r="E1403" s="1002" t="s">
        <v>977</v>
      </c>
      <c r="F1403" s="1077">
        <v>46273</v>
      </c>
      <c r="G1403" s="1002" t="s">
        <v>1087</v>
      </c>
      <c r="H1403" s="1111" t="s">
        <v>1086</v>
      </c>
      <c r="I1403" s="1002" t="s">
        <v>822</v>
      </c>
      <c r="J1403" s="1007" t="s">
        <v>262</v>
      </c>
      <c r="K1403" s="1002" t="s">
        <v>976</v>
      </c>
      <c r="L1403" s="1007" t="s">
        <v>18</v>
      </c>
      <c r="M1403" s="1222">
        <v>4</v>
      </c>
      <c r="N1403" s="1081">
        <v>851851.85</v>
      </c>
      <c r="O1403" s="1081">
        <f t="shared" si="228"/>
        <v>3407407.4</v>
      </c>
      <c r="P1403" s="1081">
        <f t="shared" si="226"/>
        <v>272592.592</v>
      </c>
      <c r="Q1403" s="1206">
        <f t="shared" si="230"/>
        <v>3679999.9920000001</v>
      </c>
      <c r="R1403" s="1083"/>
      <c r="S1403" s="1083"/>
      <c r="T1403" s="1083"/>
      <c r="U1403" s="1083"/>
      <c r="V1403" s="1083">
        <f t="shared" si="223"/>
        <v>3679999.9920000001</v>
      </c>
    </row>
    <row r="1404" spans="1:22" s="1002" customFormat="1" hidden="1">
      <c r="A1404" s="1000" t="s">
        <v>717</v>
      </c>
      <c r="B1404" s="1001" t="s">
        <v>743</v>
      </c>
      <c r="C1404" s="1078">
        <v>46261</v>
      </c>
      <c r="D1404" s="1078"/>
      <c r="E1404" s="1002" t="s">
        <v>977</v>
      </c>
      <c r="F1404" s="1077">
        <v>46273</v>
      </c>
      <c r="G1404" s="1002" t="s">
        <v>1087</v>
      </c>
      <c r="H1404" s="1111" t="s">
        <v>1086</v>
      </c>
      <c r="I1404" s="1002" t="s">
        <v>822</v>
      </c>
      <c r="J1404" s="1007" t="s">
        <v>34</v>
      </c>
      <c r="K1404" s="1002" t="s">
        <v>35</v>
      </c>
      <c r="L1404" s="1007" t="s">
        <v>18</v>
      </c>
      <c r="M1404" s="1222">
        <v>10</v>
      </c>
      <c r="N1404" s="1081">
        <v>240740.74</v>
      </c>
      <c r="O1404" s="1081">
        <f t="shared" si="228"/>
        <v>2407407.4</v>
      </c>
      <c r="P1404" s="1081">
        <f t="shared" si="226"/>
        <v>192592.592</v>
      </c>
      <c r="Q1404" s="1206">
        <f t="shared" si="230"/>
        <v>2599999.9920000001</v>
      </c>
      <c r="R1404" s="1083"/>
      <c r="S1404" s="1083"/>
      <c r="T1404" s="1083"/>
      <c r="U1404" s="1083"/>
      <c r="V1404" s="1083">
        <f t="shared" si="223"/>
        <v>2599999.9920000001</v>
      </c>
    </row>
    <row r="1405" spans="1:22" s="1002" customFormat="1" hidden="1">
      <c r="A1405" s="1000" t="s">
        <v>717</v>
      </c>
      <c r="B1405" s="1001" t="s">
        <v>743</v>
      </c>
      <c r="C1405" s="1078">
        <v>46261</v>
      </c>
      <c r="D1405" s="1078"/>
      <c r="E1405" s="1002" t="s">
        <v>977</v>
      </c>
      <c r="F1405" s="1077">
        <v>46273</v>
      </c>
      <c r="G1405" s="1002" t="s">
        <v>1087</v>
      </c>
      <c r="H1405" s="1111" t="s">
        <v>1086</v>
      </c>
      <c r="I1405" s="1002" t="s">
        <v>822</v>
      </c>
      <c r="J1405" s="1007" t="s">
        <v>56</v>
      </c>
      <c r="K1405" s="1002" t="s">
        <v>57</v>
      </c>
      <c r="L1405" s="1007" t="s">
        <v>18</v>
      </c>
      <c r="M1405" s="1222">
        <v>20</v>
      </c>
      <c r="N1405" s="1081">
        <v>325925.93</v>
      </c>
      <c r="O1405" s="1081">
        <f t="shared" si="228"/>
        <v>6518518.5999999996</v>
      </c>
      <c r="P1405" s="1081">
        <f t="shared" si="226"/>
        <v>521481.48799999995</v>
      </c>
      <c r="Q1405" s="1206">
        <f t="shared" si="230"/>
        <v>7040000.0879999995</v>
      </c>
      <c r="R1405" s="1083"/>
      <c r="S1405" s="1083"/>
      <c r="T1405" s="1083"/>
      <c r="U1405" s="1083"/>
      <c r="V1405" s="1083">
        <f t="shared" si="223"/>
        <v>7040000.0879999995</v>
      </c>
    </row>
    <row r="1406" spans="1:22" s="1002" customFormat="1" hidden="1">
      <c r="A1406" s="1000" t="s">
        <v>717</v>
      </c>
      <c r="B1406" s="1001" t="s">
        <v>743</v>
      </c>
      <c r="C1406" s="1078">
        <v>46261</v>
      </c>
      <c r="D1406" s="1078"/>
      <c r="E1406" s="1002" t="s">
        <v>977</v>
      </c>
      <c r="F1406" s="1077">
        <v>46273</v>
      </c>
      <c r="G1406" s="1002" t="s">
        <v>1087</v>
      </c>
      <c r="H1406" s="1111" t="s">
        <v>1086</v>
      </c>
      <c r="I1406" s="1002" t="s">
        <v>822</v>
      </c>
      <c r="J1406" s="1007" t="s">
        <v>107</v>
      </c>
      <c r="K1406" s="1002" t="s">
        <v>108</v>
      </c>
      <c r="L1406" s="1007" t="s">
        <v>18</v>
      </c>
      <c r="M1406" s="1222">
        <v>20</v>
      </c>
      <c r="N1406" s="1081">
        <v>349074.07</v>
      </c>
      <c r="O1406" s="1081">
        <f t="shared" si="228"/>
        <v>6981481.4000000004</v>
      </c>
      <c r="P1406" s="1081">
        <f t="shared" si="226"/>
        <v>558518.51199999999</v>
      </c>
      <c r="Q1406" s="1206">
        <f t="shared" si="230"/>
        <v>7539999.9120000005</v>
      </c>
      <c r="R1406" s="1083"/>
      <c r="S1406" s="1083"/>
      <c r="T1406" s="1083"/>
      <c r="U1406" s="1083"/>
      <c r="V1406" s="1083">
        <f t="shared" si="223"/>
        <v>7539999.9120000005</v>
      </c>
    </row>
    <row r="1407" spans="1:22" s="1002" customFormat="1" hidden="1">
      <c r="A1407" s="1000" t="s">
        <v>717</v>
      </c>
      <c r="B1407" s="1001" t="s">
        <v>743</v>
      </c>
      <c r="C1407" s="1078">
        <v>46261</v>
      </c>
      <c r="D1407" s="1078"/>
      <c r="E1407" s="1002" t="s">
        <v>977</v>
      </c>
      <c r="F1407" s="1077">
        <v>46273</v>
      </c>
      <c r="G1407" s="1002" t="s">
        <v>1087</v>
      </c>
      <c r="H1407" s="1111" t="s">
        <v>1086</v>
      </c>
      <c r="I1407" s="1002" t="s">
        <v>822</v>
      </c>
      <c r="J1407" s="1007" t="s">
        <v>127</v>
      </c>
      <c r="K1407" s="1002" t="s">
        <v>128</v>
      </c>
      <c r="L1407" s="1007" t="s">
        <v>18</v>
      </c>
      <c r="M1407" s="1222">
        <v>20</v>
      </c>
      <c r="N1407" s="1081">
        <v>284259.26</v>
      </c>
      <c r="O1407" s="1081">
        <f t="shared" si="228"/>
        <v>5685185.2000000002</v>
      </c>
      <c r="P1407" s="1081">
        <f t="shared" si="226"/>
        <v>454814.81600000005</v>
      </c>
      <c r="Q1407" s="1206">
        <f t="shared" si="230"/>
        <v>6140000.0159999998</v>
      </c>
      <c r="R1407" s="1083"/>
      <c r="S1407" s="1083"/>
      <c r="T1407" s="1083"/>
      <c r="U1407" s="1083"/>
      <c r="V1407" s="1083">
        <f t="shared" si="223"/>
        <v>6140000.0159999998</v>
      </c>
    </row>
    <row r="1408" spans="1:22" s="1002" customFormat="1" hidden="1">
      <c r="A1408" s="1000" t="s">
        <v>717</v>
      </c>
      <c r="B1408" s="1001" t="s">
        <v>743</v>
      </c>
      <c r="C1408" s="1078">
        <v>46261</v>
      </c>
      <c r="D1408" s="1078"/>
      <c r="E1408" s="1002" t="s">
        <v>977</v>
      </c>
      <c r="F1408" s="1077">
        <v>46273</v>
      </c>
      <c r="G1408" s="1002" t="s">
        <v>1087</v>
      </c>
      <c r="H1408" s="1111" t="s">
        <v>1086</v>
      </c>
      <c r="I1408" s="1002" t="s">
        <v>822</v>
      </c>
      <c r="J1408" s="1007" t="s">
        <v>274</v>
      </c>
      <c r="K1408" s="1002" t="s">
        <v>297</v>
      </c>
      <c r="L1408" s="1007" t="s">
        <v>18</v>
      </c>
      <c r="M1408" s="1222">
        <v>3</v>
      </c>
      <c r="N1408" s="1081">
        <v>416666.67</v>
      </c>
      <c r="O1408" s="1081">
        <f t="shared" si="228"/>
        <v>1250000.01</v>
      </c>
      <c r="P1408" s="1081">
        <f t="shared" si="226"/>
        <v>100000.00080000001</v>
      </c>
      <c r="Q1408" s="1206">
        <f t="shared" si="230"/>
        <v>1350000.0108</v>
      </c>
      <c r="R1408" s="1083"/>
      <c r="S1408" s="1083"/>
      <c r="T1408" s="1083"/>
      <c r="U1408" s="1083"/>
      <c r="V1408" s="1083">
        <f t="shared" si="223"/>
        <v>1350000.0108</v>
      </c>
    </row>
    <row r="1409" spans="1:23" s="1002" customFormat="1" hidden="1">
      <c r="A1409" s="1000" t="s">
        <v>717</v>
      </c>
      <c r="B1409" s="1001" t="s">
        <v>743</v>
      </c>
      <c r="C1409" s="1078">
        <v>46261</v>
      </c>
      <c r="D1409" s="1078"/>
      <c r="E1409" s="1002" t="s">
        <v>977</v>
      </c>
      <c r="F1409" s="1077">
        <v>46273</v>
      </c>
      <c r="G1409" s="1002" t="s">
        <v>1087</v>
      </c>
      <c r="H1409" s="1111" t="s">
        <v>1086</v>
      </c>
      <c r="I1409" s="1002" t="s">
        <v>822</v>
      </c>
      <c r="J1409" s="1007" t="s">
        <v>148</v>
      </c>
      <c r="K1409" s="1002" t="s">
        <v>149</v>
      </c>
      <c r="L1409" s="1007" t="s">
        <v>18</v>
      </c>
      <c r="M1409" s="1222">
        <v>2</v>
      </c>
      <c r="N1409" s="1081">
        <v>358333.33</v>
      </c>
      <c r="O1409" s="1081">
        <f t="shared" si="228"/>
        <v>716666.66</v>
      </c>
      <c r="P1409" s="1081">
        <f t="shared" si="226"/>
        <v>57333.332800000004</v>
      </c>
      <c r="Q1409" s="1206">
        <f t="shared" si="230"/>
        <v>773999.99280000001</v>
      </c>
      <c r="R1409" s="1083"/>
      <c r="S1409" s="1083"/>
      <c r="T1409" s="1083"/>
      <c r="U1409" s="1083"/>
      <c r="V1409" s="1083">
        <f t="shared" si="223"/>
        <v>773999.99280000001</v>
      </c>
    </row>
    <row r="1410" spans="1:23" s="1002" customFormat="1" hidden="1">
      <c r="A1410" s="1000" t="s">
        <v>717</v>
      </c>
      <c r="B1410" s="1001" t="s">
        <v>743</v>
      </c>
      <c r="C1410" s="1078">
        <v>46261</v>
      </c>
      <c r="D1410" s="1078"/>
      <c r="E1410" s="1002" t="s">
        <v>977</v>
      </c>
      <c r="F1410" s="1077">
        <v>46273</v>
      </c>
      <c r="G1410" s="1002" t="s">
        <v>1087</v>
      </c>
      <c r="H1410" s="1111" t="s">
        <v>1086</v>
      </c>
      <c r="I1410" s="1002" t="s">
        <v>822</v>
      </c>
      <c r="J1410" s="1007" t="s">
        <v>192</v>
      </c>
      <c r="K1410" s="1002" t="s">
        <v>193</v>
      </c>
      <c r="L1410" s="1007" t="s">
        <v>18</v>
      </c>
      <c r="M1410" s="1222">
        <v>4</v>
      </c>
      <c r="N1410" s="1081">
        <v>398148.15</v>
      </c>
      <c r="O1410" s="1081">
        <f t="shared" si="228"/>
        <v>1592592.6</v>
      </c>
      <c r="P1410" s="1081">
        <f t="shared" si="226"/>
        <v>127407.40800000001</v>
      </c>
      <c r="Q1410" s="1206">
        <f t="shared" si="230"/>
        <v>1720000.0080000001</v>
      </c>
      <c r="R1410" s="1083"/>
      <c r="S1410" s="1083"/>
      <c r="T1410" s="1083"/>
      <c r="U1410" s="1083"/>
      <c r="V1410" s="1083">
        <f t="shared" si="223"/>
        <v>1720000.0080000001</v>
      </c>
    </row>
    <row r="1411" spans="1:23" s="1002" customFormat="1" hidden="1">
      <c r="A1411" s="1000" t="s">
        <v>717</v>
      </c>
      <c r="B1411" s="1001" t="s">
        <v>743</v>
      </c>
      <c r="C1411" s="1078">
        <v>46261</v>
      </c>
      <c r="D1411" s="1078"/>
      <c r="E1411" s="1002" t="s">
        <v>977</v>
      </c>
      <c r="F1411" s="1077">
        <v>46273</v>
      </c>
      <c r="G1411" s="1002" t="s">
        <v>1087</v>
      </c>
      <c r="H1411" s="1111" t="s">
        <v>1086</v>
      </c>
      <c r="I1411" s="1002" t="s">
        <v>822</v>
      </c>
      <c r="J1411" s="1007" t="s">
        <v>46</v>
      </c>
      <c r="K1411" s="1002" t="s">
        <v>47</v>
      </c>
      <c r="L1411" s="1007" t="s">
        <v>18</v>
      </c>
      <c r="M1411" s="1222">
        <v>2</v>
      </c>
      <c r="N1411" s="1081">
        <v>240740.74</v>
      </c>
      <c r="O1411" s="1081">
        <f t="shared" si="228"/>
        <v>481481.48</v>
      </c>
      <c r="P1411" s="1081">
        <f t="shared" si="226"/>
        <v>38518.518400000001</v>
      </c>
      <c r="Q1411" s="1206">
        <f t="shared" si="230"/>
        <v>519999.99839999998</v>
      </c>
      <c r="R1411" s="1083"/>
      <c r="S1411" s="1083"/>
      <c r="T1411" s="1083"/>
      <c r="U1411" s="1083"/>
      <c r="V1411" s="1083">
        <f t="shared" si="223"/>
        <v>519999.99839999998</v>
      </c>
    </row>
    <row r="1412" spans="1:23" s="1002" customFormat="1" hidden="1">
      <c r="A1412" s="1000" t="s">
        <v>717</v>
      </c>
      <c r="B1412" s="1001" t="s">
        <v>743</v>
      </c>
      <c r="C1412" s="1078">
        <v>46261</v>
      </c>
      <c r="D1412" s="1078"/>
      <c r="E1412" s="1002" t="s">
        <v>977</v>
      </c>
      <c r="F1412" s="1077">
        <v>46273</v>
      </c>
      <c r="G1412" s="1002" t="s">
        <v>1087</v>
      </c>
      <c r="H1412" s="1111" t="s">
        <v>1086</v>
      </c>
      <c r="I1412" s="1002" t="s">
        <v>822</v>
      </c>
      <c r="J1412" s="1007" t="s">
        <v>157</v>
      </c>
      <c r="K1412" s="1002" t="s">
        <v>158</v>
      </c>
      <c r="L1412" s="1007" t="s">
        <v>18</v>
      </c>
      <c r="M1412" s="1222">
        <v>2</v>
      </c>
      <c r="N1412" s="1081">
        <v>342592.59</v>
      </c>
      <c r="O1412" s="1081">
        <f t="shared" si="228"/>
        <v>685185.18</v>
      </c>
      <c r="P1412" s="1081">
        <f t="shared" si="226"/>
        <v>54814.814400000003</v>
      </c>
      <c r="Q1412" s="1206">
        <f t="shared" si="230"/>
        <v>739999.99440000008</v>
      </c>
      <c r="R1412" s="1083"/>
      <c r="S1412" s="1083"/>
      <c r="T1412" s="1083"/>
      <c r="U1412" s="1083"/>
      <c r="V1412" s="1083">
        <f t="shared" ref="V1412:V1475" si="231">Q1412-R1412-S1412-T1412-U1412</f>
        <v>739999.99440000008</v>
      </c>
    </row>
    <row r="1413" spans="1:23" s="1002" customFormat="1" hidden="1">
      <c r="A1413" s="1000" t="s">
        <v>717</v>
      </c>
      <c r="B1413" s="1001" t="s">
        <v>743</v>
      </c>
      <c r="C1413" s="1078">
        <v>46261</v>
      </c>
      <c r="D1413" s="1078"/>
      <c r="E1413" s="1002" t="s">
        <v>977</v>
      </c>
      <c r="F1413" s="1077">
        <v>46273</v>
      </c>
      <c r="G1413" s="1002" t="s">
        <v>1087</v>
      </c>
      <c r="H1413" s="1111" t="s">
        <v>1086</v>
      </c>
      <c r="I1413" s="1002" t="s">
        <v>822</v>
      </c>
      <c r="J1413" s="1007" t="s">
        <v>74</v>
      </c>
      <c r="K1413" s="1002" t="s">
        <v>141</v>
      </c>
      <c r="L1413" s="1007" t="s">
        <v>18</v>
      </c>
      <c r="M1413" s="1222">
        <v>8</v>
      </c>
      <c r="N1413" s="1081">
        <v>382407.41</v>
      </c>
      <c r="O1413" s="1081">
        <f t="shared" si="228"/>
        <v>3059259.28</v>
      </c>
      <c r="P1413" s="1081">
        <f t="shared" si="226"/>
        <v>244740.74239999999</v>
      </c>
      <c r="Q1413" s="1206">
        <f t="shared" si="230"/>
        <v>3304000.0223999997</v>
      </c>
      <c r="R1413" s="1083"/>
      <c r="S1413" s="1083"/>
      <c r="T1413" s="1083"/>
      <c r="U1413" s="1083"/>
      <c r="V1413" s="1083">
        <f t="shared" si="231"/>
        <v>3304000.0223999997</v>
      </c>
    </row>
    <row r="1414" spans="1:23" s="1002" customFormat="1" ht="47.25" hidden="1">
      <c r="A1414" s="1000" t="s">
        <v>717</v>
      </c>
      <c r="B1414" s="1001" t="s">
        <v>743</v>
      </c>
      <c r="C1414" s="1078">
        <v>46261</v>
      </c>
      <c r="D1414" s="1078"/>
      <c r="E1414" s="1002" t="s">
        <v>977</v>
      </c>
      <c r="F1414" s="1077">
        <v>46273</v>
      </c>
      <c r="G1414" s="1002" t="s">
        <v>1087</v>
      </c>
      <c r="H1414" s="1111" t="s">
        <v>1086</v>
      </c>
      <c r="I1414" s="1054" t="s">
        <v>980</v>
      </c>
      <c r="J1414" s="1007" t="s">
        <v>56</v>
      </c>
      <c r="K1414" s="1002" t="s">
        <v>57</v>
      </c>
      <c r="L1414" s="1007" t="s">
        <v>18</v>
      </c>
      <c r="M1414" s="1222">
        <v>3</v>
      </c>
      <c r="N1414" s="1081">
        <v>0</v>
      </c>
      <c r="O1414" s="1081">
        <f t="shared" si="228"/>
        <v>0</v>
      </c>
      <c r="P1414" s="1081">
        <f t="shared" si="226"/>
        <v>0</v>
      </c>
      <c r="Q1414" s="1206">
        <f t="shared" si="230"/>
        <v>0</v>
      </c>
      <c r="R1414" s="1083"/>
      <c r="S1414" s="1083"/>
      <c r="T1414" s="1083"/>
      <c r="U1414" s="1083"/>
      <c r="V1414" s="1083">
        <f t="shared" si="231"/>
        <v>0</v>
      </c>
      <c r="W1414" s="1227" t="s">
        <v>979</v>
      </c>
    </row>
    <row r="1415" spans="1:23" s="1002" customFormat="1" ht="47.25" hidden="1">
      <c r="A1415" s="1000" t="s">
        <v>717</v>
      </c>
      <c r="B1415" s="1001" t="s">
        <v>743</v>
      </c>
      <c r="C1415" s="1078">
        <v>46261</v>
      </c>
      <c r="D1415" s="1078"/>
      <c r="E1415" s="1002" t="s">
        <v>977</v>
      </c>
      <c r="F1415" s="1077">
        <v>46273</v>
      </c>
      <c r="G1415" s="1002" t="s">
        <v>1087</v>
      </c>
      <c r="H1415" s="1111" t="s">
        <v>1086</v>
      </c>
      <c r="I1415" s="1054" t="s">
        <v>980</v>
      </c>
      <c r="J1415" s="1007" t="s">
        <v>107</v>
      </c>
      <c r="K1415" s="1002" t="s">
        <v>108</v>
      </c>
      <c r="L1415" s="1007" t="s">
        <v>18</v>
      </c>
      <c r="M1415" s="1222">
        <v>4</v>
      </c>
      <c r="N1415" s="1081">
        <v>0</v>
      </c>
      <c r="O1415" s="1081">
        <f t="shared" si="228"/>
        <v>0</v>
      </c>
      <c r="P1415" s="1081">
        <f t="shared" si="226"/>
        <v>0</v>
      </c>
      <c r="Q1415" s="1206">
        <f t="shared" si="230"/>
        <v>0</v>
      </c>
      <c r="R1415" s="1083"/>
      <c r="S1415" s="1083"/>
      <c r="T1415" s="1083"/>
      <c r="U1415" s="1083"/>
      <c r="V1415" s="1083">
        <f t="shared" si="231"/>
        <v>0</v>
      </c>
      <c r="W1415" s="1219"/>
    </row>
    <row r="1416" spans="1:23" s="1002" customFormat="1" ht="47.25" hidden="1">
      <c r="A1416" s="1000" t="s">
        <v>717</v>
      </c>
      <c r="B1416" s="1001" t="s">
        <v>743</v>
      </c>
      <c r="C1416" s="1078">
        <v>46261</v>
      </c>
      <c r="D1416" s="1078"/>
      <c r="E1416" s="1002" t="s">
        <v>977</v>
      </c>
      <c r="F1416" s="1077">
        <v>46273</v>
      </c>
      <c r="G1416" s="1002" t="s">
        <v>1087</v>
      </c>
      <c r="H1416" s="1111" t="s">
        <v>1086</v>
      </c>
      <c r="I1416" s="1054" t="s">
        <v>980</v>
      </c>
      <c r="J1416" s="1007" t="s">
        <v>127</v>
      </c>
      <c r="K1416" s="1002" t="s">
        <v>128</v>
      </c>
      <c r="L1416" s="1007" t="s">
        <v>18</v>
      </c>
      <c r="M1416" s="1222">
        <v>3</v>
      </c>
      <c r="N1416" s="1081">
        <v>0</v>
      </c>
      <c r="O1416" s="1081">
        <f t="shared" si="228"/>
        <v>0</v>
      </c>
      <c r="P1416" s="1081">
        <f t="shared" si="226"/>
        <v>0</v>
      </c>
      <c r="Q1416" s="1206">
        <f t="shared" si="230"/>
        <v>0</v>
      </c>
      <c r="R1416" s="1083"/>
      <c r="S1416" s="1083"/>
      <c r="T1416" s="1083"/>
      <c r="U1416" s="1083"/>
      <c r="V1416" s="1083">
        <f t="shared" si="231"/>
        <v>0</v>
      </c>
      <c r="W1416" s="1220"/>
    </row>
    <row r="1417" spans="1:23" s="1002" customFormat="1" hidden="1">
      <c r="A1417" s="1000" t="s">
        <v>872</v>
      </c>
      <c r="B1417" s="1001" t="s">
        <v>875</v>
      </c>
      <c r="C1417" s="1078">
        <v>46261</v>
      </c>
      <c r="D1417" s="1078"/>
      <c r="E1417" s="1002" t="s">
        <v>978</v>
      </c>
      <c r="F1417" s="1077">
        <v>46295</v>
      </c>
      <c r="G1417" s="1002" t="s">
        <v>1346</v>
      </c>
      <c r="H1417" s="1111" t="s">
        <v>1344</v>
      </c>
      <c r="I1417" s="1002" t="s">
        <v>1503</v>
      </c>
      <c r="J1417" s="1007" t="s">
        <v>639</v>
      </c>
      <c r="K1417" s="1002" t="s">
        <v>640</v>
      </c>
      <c r="L1417" s="1007" t="s">
        <v>18</v>
      </c>
      <c r="M1417" s="1222">
        <v>15</v>
      </c>
      <c r="N1417" s="1081">
        <v>542592.59</v>
      </c>
      <c r="O1417" s="1081">
        <f t="shared" si="228"/>
        <v>8138888.8499999996</v>
      </c>
      <c r="P1417" s="1081">
        <f t="shared" si="226"/>
        <v>651111.10800000001</v>
      </c>
      <c r="Q1417" s="1206">
        <f t="shared" si="230"/>
        <v>8789999.9580000006</v>
      </c>
      <c r="R1417" s="1083"/>
      <c r="S1417" s="1083"/>
      <c r="T1417" s="1083"/>
      <c r="U1417" s="1083"/>
      <c r="V1417" s="1083">
        <f t="shared" si="231"/>
        <v>8789999.9580000006</v>
      </c>
    </row>
    <row r="1418" spans="1:23" s="1002" customFormat="1" hidden="1">
      <c r="A1418" s="1000" t="s">
        <v>872</v>
      </c>
      <c r="B1418" s="1001" t="s">
        <v>875</v>
      </c>
      <c r="C1418" s="1078">
        <v>46261</v>
      </c>
      <c r="D1418" s="1078"/>
      <c r="E1418" s="1002" t="s">
        <v>978</v>
      </c>
      <c r="F1418" s="1077">
        <v>46295</v>
      </c>
      <c r="G1418" s="1002" t="s">
        <v>1346</v>
      </c>
      <c r="H1418" s="1111" t="s">
        <v>1344</v>
      </c>
      <c r="I1418" s="1002" t="s">
        <v>1503</v>
      </c>
      <c r="J1418" s="1007" t="s">
        <v>641</v>
      </c>
      <c r="K1418" s="1002" t="s">
        <v>657</v>
      </c>
      <c r="L1418" s="1007" t="s">
        <v>18</v>
      </c>
      <c r="M1418" s="1222">
        <v>15</v>
      </c>
      <c r="N1418" s="1081">
        <v>644444.43999999994</v>
      </c>
      <c r="O1418" s="1081">
        <f t="shared" si="228"/>
        <v>9666666.5999999996</v>
      </c>
      <c r="P1418" s="1081">
        <f t="shared" si="226"/>
        <v>773333.32799999998</v>
      </c>
      <c r="Q1418" s="1206">
        <f t="shared" si="230"/>
        <v>10439999.927999999</v>
      </c>
      <c r="R1418" s="1083"/>
      <c r="S1418" s="1083"/>
      <c r="T1418" s="1083"/>
      <c r="U1418" s="1083"/>
      <c r="V1418" s="1083">
        <f t="shared" si="231"/>
        <v>10439999.927999999</v>
      </c>
    </row>
    <row r="1419" spans="1:23" s="1002" customFormat="1" hidden="1">
      <c r="A1419" s="1000" t="s">
        <v>872</v>
      </c>
      <c r="B1419" s="1001" t="s">
        <v>875</v>
      </c>
      <c r="C1419" s="1078">
        <v>46261</v>
      </c>
      <c r="D1419" s="1078"/>
      <c r="E1419" s="1002" t="s">
        <v>978</v>
      </c>
      <c r="F1419" s="1077">
        <v>46295</v>
      </c>
      <c r="G1419" s="1002" t="s">
        <v>1346</v>
      </c>
      <c r="H1419" s="1111" t="s">
        <v>1344</v>
      </c>
      <c r="I1419" s="1002" t="s">
        <v>1503</v>
      </c>
      <c r="J1419" s="1007" t="s">
        <v>643</v>
      </c>
      <c r="K1419" s="1002" t="s">
        <v>644</v>
      </c>
      <c r="L1419" s="1007" t="s">
        <v>18</v>
      </c>
      <c r="M1419" s="1222">
        <v>15</v>
      </c>
      <c r="N1419" s="1081">
        <v>527777.78</v>
      </c>
      <c r="O1419" s="1081">
        <f t="shared" si="228"/>
        <v>7916666.7000000002</v>
      </c>
      <c r="P1419" s="1081">
        <f t="shared" si="226"/>
        <v>633333.33600000001</v>
      </c>
      <c r="Q1419" s="1206">
        <f t="shared" si="230"/>
        <v>8550000.0360000003</v>
      </c>
      <c r="R1419" s="1083"/>
      <c r="S1419" s="1083"/>
      <c r="T1419" s="1083"/>
      <c r="U1419" s="1083"/>
      <c r="V1419" s="1083">
        <f t="shared" si="231"/>
        <v>8550000.0360000003</v>
      </c>
    </row>
    <row r="1420" spans="1:23" s="1002" customFormat="1" hidden="1">
      <c r="A1420" s="1000" t="s">
        <v>872</v>
      </c>
      <c r="B1420" s="1001" t="s">
        <v>875</v>
      </c>
      <c r="C1420" s="1078">
        <v>46261</v>
      </c>
      <c r="D1420" s="1078"/>
      <c r="E1420" s="1002" t="s">
        <v>978</v>
      </c>
      <c r="F1420" s="1077">
        <v>46295</v>
      </c>
      <c r="G1420" s="1002" t="s">
        <v>1346</v>
      </c>
      <c r="H1420" s="1111" t="s">
        <v>1344</v>
      </c>
      <c r="I1420" s="1002" t="s">
        <v>1503</v>
      </c>
      <c r="J1420" s="1007" t="s">
        <v>653</v>
      </c>
      <c r="K1420" s="1002" t="s">
        <v>654</v>
      </c>
      <c r="L1420" s="1007" t="s">
        <v>18</v>
      </c>
      <c r="M1420" s="1222">
        <v>15</v>
      </c>
      <c r="N1420" s="1081">
        <v>481481.48</v>
      </c>
      <c r="O1420" s="1081">
        <f t="shared" si="228"/>
        <v>7222222.1999999993</v>
      </c>
      <c r="P1420" s="1081">
        <f t="shared" si="226"/>
        <v>577777.77599999995</v>
      </c>
      <c r="Q1420" s="1206">
        <f t="shared" si="230"/>
        <v>7799999.9759999989</v>
      </c>
      <c r="R1420" s="1083"/>
      <c r="S1420" s="1083"/>
      <c r="T1420" s="1083"/>
      <c r="U1420" s="1083"/>
      <c r="V1420" s="1083">
        <f t="shared" si="231"/>
        <v>7799999.9759999989</v>
      </c>
    </row>
    <row r="1421" spans="1:23" s="1002" customFormat="1" hidden="1">
      <c r="A1421" s="1000" t="s">
        <v>872</v>
      </c>
      <c r="B1421" s="1001" t="s">
        <v>875</v>
      </c>
      <c r="C1421" s="1078">
        <v>46261</v>
      </c>
      <c r="D1421" s="1078"/>
      <c r="E1421" s="1002" t="s">
        <v>978</v>
      </c>
      <c r="F1421" s="1077">
        <v>46295</v>
      </c>
      <c r="G1421" s="1002" t="s">
        <v>1346</v>
      </c>
      <c r="H1421" s="1111" t="s">
        <v>1344</v>
      </c>
      <c r="I1421" s="1002" t="s">
        <v>1503</v>
      </c>
      <c r="J1421" s="1007" t="s">
        <v>655</v>
      </c>
      <c r="K1421" s="1002" t="s">
        <v>656</v>
      </c>
      <c r="L1421" s="1007" t="s">
        <v>18</v>
      </c>
      <c r="M1421" s="1222">
        <v>15</v>
      </c>
      <c r="N1421" s="1081">
        <v>574074.06999999995</v>
      </c>
      <c r="O1421" s="1081">
        <f t="shared" si="228"/>
        <v>8611111.0499999989</v>
      </c>
      <c r="P1421" s="1081">
        <f t="shared" si="226"/>
        <v>688888.88399999996</v>
      </c>
      <c r="Q1421" s="1206">
        <f t="shared" si="230"/>
        <v>9299999.9339999985</v>
      </c>
      <c r="R1421" s="1083"/>
      <c r="S1421" s="1083"/>
      <c r="T1421" s="1083"/>
      <c r="U1421" s="1083"/>
      <c r="V1421" s="1083">
        <f t="shared" si="231"/>
        <v>9299999.9339999985</v>
      </c>
    </row>
    <row r="1422" spans="1:23" s="1002" customFormat="1" hidden="1">
      <c r="A1422" s="1000" t="s">
        <v>872</v>
      </c>
      <c r="B1422" s="1001" t="s">
        <v>875</v>
      </c>
      <c r="C1422" s="1078">
        <v>46261</v>
      </c>
      <c r="D1422" s="1078"/>
      <c r="E1422" s="1002" t="s">
        <v>978</v>
      </c>
      <c r="F1422" s="1077">
        <v>46273</v>
      </c>
      <c r="G1422" s="1002" t="s">
        <v>1089</v>
      </c>
      <c r="H1422" s="1111" t="s">
        <v>1088</v>
      </c>
      <c r="I1422" s="1002" t="s">
        <v>1503</v>
      </c>
      <c r="J1422" s="1007" t="s">
        <v>947</v>
      </c>
      <c r="K1422" s="1002" t="s">
        <v>948</v>
      </c>
      <c r="L1422" s="1007" t="s">
        <v>18</v>
      </c>
      <c r="M1422" s="1222">
        <v>30</v>
      </c>
      <c r="N1422" s="1081">
        <v>78703.7</v>
      </c>
      <c r="O1422" s="1081">
        <f t="shared" si="228"/>
        <v>2361111</v>
      </c>
      <c r="P1422" s="1081">
        <f t="shared" si="226"/>
        <v>188888.88</v>
      </c>
      <c r="Q1422" s="1206">
        <f t="shared" si="230"/>
        <v>2549999.88</v>
      </c>
      <c r="R1422" s="1083"/>
      <c r="S1422" s="1083"/>
      <c r="T1422" s="1083"/>
      <c r="U1422" s="1083"/>
      <c r="V1422" s="1083">
        <f t="shared" si="231"/>
        <v>2549999.88</v>
      </c>
    </row>
    <row r="1423" spans="1:23" s="1002" customFormat="1" hidden="1">
      <c r="A1423" s="1000" t="s">
        <v>872</v>
      </c>
      <c r="B1423" s="1001" t="s">
        <v>875</v>
      </c>
      <c r="C1423" s="1078">
        <v>46261</v>
      </c>
      <c r="D1423" s="1078"/>
      <c r="E1423" s="1002" t="s">
        <v>978</v>
      </c>
      <c r="F1423" s="1077">
        <v>46273</v>
      </c>
      <c r="G1423" s="1002" t="s">
        <v>1089</v>
      </c>
      <c r="H1423" s="1111" t="s">
        <v>1088</v>
      </c>
      <c r="I1423" s="1002" t="s">
        <v>1503</v>
      </c>
      <c r="J1423" s="1007" t="s">
        <v>959</v>
      </c>
      <c r="K1423" s="1002" t="s">
        <v>960</v>
      </c>
      <c r="L1423" s="1007" t="s">
        <v>18</v>
      </c>
      <c r="M1423" s="1222">
        <v>30</v>
      </c>
      <c r="N1423" s="1081">
        <v>111111.11</v>
      </c>
      <c r="O1423" s="1081">
        <f t="shared" si="228"/>
        <v>3333333.3</v>
      </c>
      <c r="P1423" s="1081">
        <f t="shared" si="226"/>
        <v>266666.66399999999</v>
      </c>
      <c r="Q1423" s="1206">
        <f t="shared" si="230"/>
        <v>3599999.9639999997</v>
      </c>
      <c r="R1423" s="1083"/>
      <c r="S1423" s="1083"/>
      <c r="T1423" s="1083"/>
      <c r="U1423" s="1083"/>
      <c r="V1423" s="1083">
        <f t="shared" si="231"/>
        <v>3599999.9639999997</v>
      </c>
    </row>
    <row r="1424" spans="1:23" s="1002" customFormat="1" hidden="1">
      <c r="A1424" s="1000" t="s">
        <v>872</v>
      </c>
      <c r="B1424" s="1001" t="s">
        <v>875</v>
      </c>
      <c r="C1424" s="1078">
        <v>46261</v>
      </c>
      <c r="D1424" s="1078"/>
      <c r="E1424" s="1002" t="s">
        <v>978</v>
      </c>
      <c r="F1424" s="1077">
        <v>46273</v>
      </c>
      <c r="G1424" s="1002" t="s">
        <v>1089</v>
      </c>
      <c r="H1424" s="1111" t="s">
        <v>1088</v>
      </c>
      <c r="I1424" s="1002" t="s">
        <v>1503</v>
      </c>
      <c r="J1424" s="1007" t="s">
        <v>42</v>
      </c>
      <c r="K1424" s="1002" t="s">
        <v>43</v>
      </c>
      <c r="L1424" s="1007" t="s">
        <v>18</v>
      </c>
      <c r="M1424" s="1222">
        <v>4</v>
      </c>
      <c r="N1424" s="1081">
        <v>569444.43999999994</v>
      </c>
      <c r="O1424" s="1081">
        <f t="shared" si="228"/>
        <v>2277777.7599999998</v>
      </c>
      <c r="P1424" s="1081">
        <f t="shared" si="226"/>
        <v>182222.22079999998</v>
      </c>
      <c r="Q1424" s="1206">
        <f t="shared" si="230"/>
        <v>2459999.9807999996</v>
      </c>
      <c r="R1424" s="1083"/>
      <c r="S1424" s="1083"/>
      <c r="T1424" s="1083"/>
      <c r="U1424" s="1083"/>
      <c r="V1424" s="1083">
        <f t="shared" si="231"/>
        <v>2459999.9807999996</v>
      </c>
    </row>
    <row r="1425" spans="1:23" s="1002" customFormat="1" hidden="1">
      <c r="A1425" s="1000" t="s">
        <v>872</v>
      </c>
      <c r="B1425" s="1001" t="s">
        <v>875</v>
      </c>
      <c r="C1425" s="1078">
        <v>46261</v>
      </c>
      <c r="D1425" s="1078"/>
      <c r="E1425" s="1002" t="s">
        <v>978</v>
      </c>
      <c r="F1425" s="1077">
        <v>46273</v>
      </c>
      <c r="G1425" s="1002" t="s">
        <v>1089</v>
      </c>
      <c r="H1425" s="1111" t="s">
        <v>1088</v>
      </c>
      <c r="I1425" s="1002" t="s">
        <v>1503</v>
      </c>
      <c r="J1425" s="1007" t="s">
        <v>148</v>
      </c>
      <c r="K1425" s="1002" t="s">
        <v>149</v>
      </c>
      <c r="L1425" s="1007" t="s">
        <v>18</v>
      </c>
      <c r="M1425" s="1222">
        <v>4</v>
      </c>
      <c r="N1425" s="1081">
        <v>358333.33</v>
      </c>
      <c r="O1425" s="1081">
        <f t="shared" si="228"/>
        <v>1433333.32</v>
      </c>
      <c r="P1425" s="1081">
        <f t="shared" si="226"/>
        <v>114666.66560000001</v>
      </c>
      <c r="Q1425" s="1206">
        <f t="shared" si="230"/>
        <v>1547999.9856</v>
      </c>
      <c r="R1425" s="1083"/>
      <c r="S1425" s="1083"/>
      <c r="T1425" s="1083"/>
      <c r="U1425" s="1083"/>
      <c r="V1425" s="1083">
        <f t="shared" si="231"/>
        <v>1547999.9856</v>
      </c>
    </row>
    <row r="1426" spans="1:23" s="1002" customFormat="1" hidden="1">
      <c r="A1426" s="1000" t="s">
        <v>872</v>
      </c>
      <c r="B1426" s="1001" t="s">
        <v>875</v>
      </c>
      <c r="C1426" s="1078">
        <v>46261</v>
      </c>
      <c r="D1426" s="1078"/>
      <c r="E1426" s="1002" t="s">
        <v>978</v>
      </c>
      <c r="F1426" s="1077">
        <v>46273</v>
      </c>
      <c r="G1426" s="1002" t="s">
        <v>1089</v>
      </c>
      <c r="H1426" s="1111" t="s">
        <v>1088</v>
      </c>
      <c r="I1426" s="1002" t="s">
        <v>1503</v>
      </c>
      <c r="J1426" s="1007" t="s">
        <v>192</v>
      </c>
      <c r="K1426" s="1002" t="s">
        <v>193</v>
      </c>
      <c r="L1426" s="1007" t="s">
        <v>18</v>
      </c>
      <c r="M1426" s="1222">
        <v>4</v>
      </c>
      <c r="N1426" s="1081">
        <v>398148.15</v>
      </c>
      <c r="O1426" s="1081">
        <f t="shared" si="228"/>
        <v>1592592.6</v>
      </c>
      <c r="P1426" s="1081">
        <f t="shared" si="226"/>
        <v>127407.40800000001</v>
      </c>
      <c r="Q1426" s="1206">
        <f t="shared" si="230"/>
        <v>1720000.0080000001</v>
      </c>
      <c r="R1426" s="1083"/>
      <c r="S1426" s="1083"/>
      <c r="T1426" s="1083"/>
      <c r="U1426" s="1083"/>
      <c r="V1426" s="1083">
        <f t="shared" si="231"/>
        <v>1720000.0080000001</v>
      </c>
    </row>
    <row r="1427" spans="1:23" s="1002" customFormat="1" hidden="1">
      <c r="A1427" s="1000" t="s">
        <v>872</v>
      </c>
      <c r="B1427" s="1001" t="s">
        <v>875</v>
      </c>
      <c r="C1427" s="1078">
        <v>46261</v>
      </c>
      <c r="D1427" s="1078"/>
      <c r="E1427" s="1002" t="s">
        <v>978</v>
      </c>
      <c r="F1427" s="1077">
        <v>46273</v>
      </c>
      <c r="G1427" s="1002" t="s">
        <v>1089</v>
      </c>
      <c r="H1427" s="1111" t="s">
        <v>1088</v>
      </c>
      <c r="I1427" s="1002" t="s">
        <v>1503</v>
      </c>
      <c r="J1427" s="1007" t="s">
        <v>46</v>
      </c>
      <c r="K1427" s="1002" t="s">
        <v>47</v>
      </c>
      <c r="L1427" s="1007" t="s">
        <v>18</v>
      </c>
      <c r="M1427" s="1222">
        <v>6</v>
      </c>
      <c r="N1427" s="1081">
        <v>240740.74</v>
      </c>
      <c r="O1427" s="1081">
        <f t="shared" si="228"/>
        <v>1444444.44</v>
      </c>
      <c r="P1427" s="1081">
        <f t="shared" si="226"/>
        <v>115555.5552</v>
      </c>
      <c r="Q1427" s="1206">
        <f t="shared" si="230"/>
        <v>1559999.9952</v>
      </c>
      <c r="R1427" s="1083"/>
      <c r="S1427" s="1083"/>
      <c r="T1427" s="1083"/>
      <c r="U1427" s="1083"/>
      <c r="V1427" s="1083">
        <f t="shared" si="231"/>
        <v>1559999.9952</v>
      </c>
    </row>
    <row r="1428" spans="1:23" s="1002" customFormat="1" hidden="1">
      <c r="A1428" s="1000" t="s">
        <v>872</v>
      </c>
      <c r="B1428" s="1001" t="s">
        <v>875</v>
      </c>
      <c r="C1428" s="1078">
        <v>46261</v>
      </c>
      <c r="D1428" s="1078"/>
      <c r="E1428" s="1002" t="s">
        <v>978</v>
      </c>
      <c r="F1428" s="1077">
        <v>46273</v>
      </c>
      <c r="G1428" s="1002" t="s">
        <v>1089</v>
      </c>
      <c r="H1428" s="1111" t="s">
        <v>1088</v>
      </c>
      <c r="I1428" s="1002" t="s">
        <v>1503</v>
      </c>
      <c r="J1428" s="1007" t="s">
        <v>157</v>
      </c>
      <c r="K1428" s="1002" t="s">
        <v>158</v>
      </c>
      <c r="L1428" s="1007" t="s">
        <v>18</v>
      </c>
      <c r="M1428" s="1222">
        <v>6</v>
      </c>
      <c r="N1428" s="1081">
        <v>342592.59</v>
      </c>
      <c r="O1428" s="1081">
        <f t="shared" si="228"/>
        <v>2055555.54</v>
      </c>
      <c r="P1428" s="1081">
        <f t="shared" si="226"/>
        <v>164444.44320000001</v>
      </c>
      <c r="Q1428" s="1206">
        <f t="shared" si="230"/>
        <v>2219999.9832000001</v>
      </c>
      <c r="R1428" s="1083"/>
      <c r="S1428" s="1083"/>
      <c r="T1428" s="1083"/>
      <c r="U1428" s="1083"/>
      <c r="V1428" s="1083">
        <f t="shared" si="231"/>
        <v>2219999.9832000001</v>
      </c>
    </row>
    <row r="1429" spans="1:23" s="1002" customFormat="1" hidden="1">
      <c r="A1429" s="1000" t="s">
        <v>872</v>
      </c>
      <c r="B1429" s="1001" t="s">
        <v>875</v>
      </c>
      <c r="C1429" s="1078">
        <v>46261</v>
      </c>
      <c r="D1429" s="1078"/>
      <c r="E1429" s="1002" t="s">
        <v>978</v>
      </c>
      <c r="F1429" s="1077">
        <v>46273</v>
      </c>
      <c r="G1429" s="1002" t="s">
        <v>1089</v>
      </c>
      <c r="H1429" s="1111" t="s">
        <v>1088</v>
      </c>
      <c r="I1429" s="1002" t="s">
        <v>1503</v>
      </c>
      <c r="J1429" s="1007" t="s">
        <v>180</v>
      </c>
      <c r="K1429" s="1002" t="s">
        <v>181</v>
      </c>
      <c r="L1429" s="1007" t="s">
        <v>18</v>
      </c>
      <c r="M1429" s="1222">
        <v>20</v>
      </c>
      <c r="N1429" s="1081">
        <v>234259.26</v>
      </c>
      <c r="O1429" s="1081">
        <f t="shared" si="228"/>
        <v>4685185.2</v>
      </c>
      <c r="P1429" s="1081">
        <f t="shared" si="226"/>
        <v>374814.81600000005</v>
      </c>
      <c r="Q1429" s="1206">
        <f t="shared" si="230"/>
        <v>5060000.0159999998</v>
      </c>
      <c r="R1429" s="1083"/>
      <c r="S1429" s="1083"/>
      <c r="T1429" s="1083"/>
      <c r="U1429" s="1083"/>
      <c r="V1429" s="1083">
        <f t="shared" si="231"/>
        <v>5060000.0159999998</v>
      </c>
    </row>
    <row r="1430" spans="1:23" s="1002" customFormat="1" hidden="1">
      <c r="A1430" s="1000" t="s">
        <v>872</v>
      </c>
      <c r="B1430" s="1001" t="s">
        <v>875</v>
      </c>
      <c r="C1430" s="1078">
        <v>46261</v>
      </c>
      <c r="D1430" s="1078"/>
      <c r="E1430" s="1002" t="s">
        <v>978</v>
      </c>
      <c r="F1430" s="1077">
        <v>46273</v>
      </c>
      <c r="G1430" s="1002" t="s">
        <v>1089</v>
      </c>
      <c r="H1430" s="1111" t="s">
        <v>1088</v>
      </c>
      <c r="I1430" s="1002" t="s">
        <v>1503</v>
      </c>
      <c r="J1430" s="1007" t="s">
        <v>26</v>
      </c>
      <c r="K1430" s="1002" t="s">
        <v>27</v>
      </c>
      <c r="L1430" s="1007" t="s">
        <v>18</v>
      </c>
      <c r="M1430" s="1222">
        <v>20</v>
      </c>
      <c r="N1430" s="1081">
        <v>256481.48</v>
      </c>
      <c r="O1430" s="1081">
        <f t="shared" si="228"/>
        <v>5129629.6000000006</v>
      </c>
      <c r="P1430" s="1081">
        <f t="shared" si="226"/>
        <v>410370.36800000007</v>
      </c>
      <c r="Q1430" s="1206">
        <f t="shared" si="230"/>
        <v>5539999.9680000003</v>
      </c>
      <c r="R1430" s="1083"/>
      <c r="S1430" s="1083"/>
      <c r="T1430" s="1083"/>
      <c r="U1430" s="1083"/>
      <c r="V1430" s="1083">
        <f t="shared" si="231"/>
        <v>5539999.9680000003</v>
      </c>
    </row>
    <row r="1431" spans="1:23" s="1002" customFormat="1" hidden="1">
      <c r="A1431" s="1000" t="s">
        <v>872</v>
      </c>
      <c r="B1431" s="1001" t="s">
        <v>875</v>
      </c>
      <c r="C1431" s="1078">
        <v>46261</v>
      </c>
      <c r="D1431" s="1078"/>
      <c r="E1431" s="1002" t="s">
        <v>978</v>
      </c>
      <c r="F1431" s="1077">
        <v>46273</v>
      </c>
      <c r="G1431" s="1002" t="s">
        <v>1089</v>
      </c>
      <c r="H1431" s="1111" t="s">
        <v>1088</v>
      </c>
      <c r="I1431" s="1002" t="s">
        <v>1503</v>
      </c>
      <c r="J1431" s="1007" t="s">
        <v>28</v>
      </c>
      <c r="K1431" s="1002" t="s">
        <v>29</v>
      </c>
      <c r="L1431" s="1007" t="s">
        <v>18</v>
      </c>
      <c r="M1431" s="1222">
        <v>20</v>
      </c>
      <c r="N1431" s="1081">
        <v>281481.48</v>
      </c>
      <c r="O1431" s="1081">
        <f t="shared" si="228"/>
        <v>5629629.5999999996</v>
      </c>
      <c r="P1431" s="1081">
        <f t="shared" si="226"/>
        <v>450370.36799999996</v>
      </c>
      <c r="Q1431" s="1206">
        <f t="shared" si="230"/>
        <v>6079999.9679999994</v>
      </c>
      <c r="R1431" s="1083"/>
      <c r="S1431" s="1083"/>
      <c r="T1431" s="1083"/>
      <c r="U1431" s="1083"/>
      <c r="V1431" s="1083">
        <f t="shared" si="231"/>
        <v>6079999.9679999994</v>
      </c>
    </row>
    <row r="1432" spans="1:23" s="1002" customFormat="1" hidden="1">
      <c r="A1432" s="1000" t="s">
        <v>872</v>
      </c>
      <c r="B1432" s="1001" t="s">
        <v>875</v>
      </c>
      <c r="C1432" s="1078">
        <v>46261</v>
      </c>
      <c r="D1432" s="1078"/>
      <c r="E1432" s="1002" t="s">
        <v>978</v>
      </c>
      <c r="F1432" s="1077">
        <v>46273</v>
      </c>
      <c r="G1432" s="1002" t="s">
        <v>1089</v>
      </c>
      <c r="H1432" s="1111" t="s">
        <v>1088</v>
      </c>
      <c r="I1432" s="1002" t="s">
        <v>1503</v>
      </c>
      <c r="J1432" s="1007" t="s">
        <v>243</v>
      </c>
      <c r="K1432" s="1002" t="s">
        <v>249</v>
      </c>
      <c r="L1432" s="1007" t="s">
        <v>18</v>
      </c>
      <c r="M1432" s="1222">
        <v>20</v>
      </c>
      <c r="N1432" s="1081">
        <v>298148.15000000002</v>
      </c>
      <c r="O1432" s="1081">
        <f t="shared" si="228"/>
        <v>5962963</v>
      </c>
      <c r="P1432" s="1081">
        <f t="shared" si="226"/>
        <v>477037.04000000004</v>
      </c>
      <c r="Q1432" s="1206">
        <f t="shared" si="230"/>
        <v>6440000.04</v>
      </c>
      <c r="R1432" s="1083"/>
      <c r="S1432" s="1083"/>
      <c r="T1432" s="1083"/>
      <c r="U1432" s="1083"/>
      <c r="V1432" s="1083">
        <f t="shared" si="231"/>
        <v>6440000.04</v>
      </c>
    </row>
    <row r="1433" spans="1:23" s="1002" customFormat="1" hidden="1">
      <c r="A1433" s="1000" t="s">
        <v>872</v>
      </c>
      <c r="B1433" s="1001" t="s">
        <v>875</v>
      </c>
      <c r="C1433" s="1078">
        <v>46261</v>
      </c>
      <c r="D1433" s="1078"/>
      <c r="E1433" s="1002" t="s">
        <v>978</v>
      </c>
      <c r="F1433" s="1077">
        <v>46295</v>
      </c>
      <c r="G1433" s="1002" t="s">
        <v>1346</v>
      </c>
      <c r="H1433" s="1111" t="s">
        <v>1344</v>
      </c>
      <c r="I1433" s="1002" t="s">
        <v>1503</v>
      </c>
      <c r="J1433" s="1007" t="s">
        <v>639</v>
      </c>
      <c r="K1433" s="1002" t="s">
        <v>640</v>
      </c>
      <c r="L1433" s="1007" t="s">
        <v>18</v>
      </c>
      <c r="M1433" s="1222">
        <v>1</v>
      </c>
      <c r="N1433" s="1081">
        <v>0</v>
      </c>
      <c r="O1433" s="1081">
        <f t="shared" si="228"/>
        <v>0</v>
      </c>
      <c r="P1433" s="1081">
        <f t="shared" si="226"/>
        <v>0</v>
      </c>
      <c r="Q1433" s="1206">
        <f t="shared" si="230"/>
        <v>0</v>
      </c>
      <c r="R1433" s="1083"/>
      <c r="S1433" s="1083"/>
      <c r="T1433" s="1083"/>
      <c r="U1433" s="1083"/>
      <c r="V1433" s="1083">
        <f t="shared" si="231"/>
        <v>0</v>
      </c>
    </row>
    <row r="1434" spans="1:23" s="1002" customFormat="1" hidden="1">
      <c r="A1434" s="1000" t="s">
        <v>872</v>
      </c>
      <c r="B1434" s="1001" t="s">
        <v>875</v>
      </c>
      <c r="C1434" s="1078">
        <v>46261</v>
      </c>
      <c r="D1434" s="1078"/>
      <c r="E1434" s="1002" t="s">
        <v>978</v>
      </c>
      <c r="F1434" s="1077">
        <v>46295</v>
      </c>
      <c r="G1434" s="1002" t="s">
        <v>1346</v>
      </c>
      <c r="H1434" s="1111" t="s">
        <v>1344</v>
      </c>
      <c r="I1434" s="1002" t="s">
        <v>1503</v>
      </c>
      <c r="J1434" s="1007" t="s">
        <v>641</v>
      </c>
      <c r="K1434" s="1002" t="s">
        <v>657</v>
      </c>
      <c r="L1434" s="1007" t="s">
        <v>18</v>
      </c>
      <c r="M1434" s="1222">
        <v>1</v>
      </c>
      <c r="N1434" s="1081">
        <v>0</v>
      </c>
      <c r="O1434" s="1081">
        <f t="shared" si="228"/>
        <v>0</v>
      </c>
      <c r="P1434" s="1081">
        <f t="shared" si="226"/>
        <v>0</v>
      </c>
      <c r="Q1434" s="1206">
        <f t="shared" si="230"/>
        <v>0</v>
      </c>
      <c r="R1434" s="1083"/>
      <c r="S1434" s="1083"/>
      <c r="T1434" s="1083"/>
      <c r="U1434" s="1083"/>
      <c r="V1434" s="1083">
        <f t="shared" si="231"/>
        <v>0</v>
      </c>
    </row>
    <row r="1435" spans="1:23" s="1002" customFormat="1" hidden="1">
      <c r="A1435" s="1000" t="s">
        <v>872</v>
      </c>
      <c r="B1435" s="1001" t="s">
        <v>875</v>
      </c>
      <c r="C1435" s="1078">
        <v>46261</v>
      </c>
      <c r="D1435" s="1078"/>
      <c r="E1435" s="1002" t="s">
        <v>978</v>
      </c>
      <c r="F1435" s="1077">
        <v>46295</v>
      </c>
      <c r="G1435" s="1002" t="s">
        <v>1346</v>
      </c>
      <c r="H1435" s="1111" t="s">
        <v>1344</v>
      </c>
      <c r="I1435" s="1002" t="s">
        <v>1503</v>
      </c>
      <c r="J1435" s="1007" t="s">
        <v>643</v>
      </c>
      <c r="K1435" s="1002" t="s">
        <v>644</v>
      </c>
      <c r="L1435" s="1007" t="s">
        <v>18</v>
      </c>
      <c r="M1435" s="1222">
        <v>1</v>
      </c>
      <c r="N1435" s="1081">
        <v>0</v>
      </c>
      <c r="O1435" s="1081">
        <f t="shared" si="228"/>
        <v>0</v>
      </c>
      <c r="P1435" s="1081">
        <f t="shared" si="226"/>
        <v>0</v>
      </c>
      <c r="Q1435" s="1206">
        <f t="shared" si="230"/>
        <v>0</v>
      </c>
      <c r="R1435" s="1083"/>
      <c r="S1435" s="1083"/>
      <c r="T1435" s="1083"/>
      <c r="U1435" s="1083"/>
      <c r="V1435" s="1083">
        <f t="shared" si="231"/>
        <v>0</v>
      </c>
    </row>
    <row r="1436" spans="1:23" s="1002" customFormat="1" hidden="1">
      <c r="A1436" s="1000" t="s">
        <v>872</v>
      </c>
      <c r="B1436" s="1001" t="s">
        <v>875</v>
      </c>
      <c r="C1436" s="1078">
        <v>46261</v>
      </c>
      <c r="D1436" s="1078"/>
      <c r="E1436" s="1002" t="s">
        <v>978</v>
      </c>
      <c r="F1436" s="1077">
        <v>46295</v>
      </c>
      <c r="G1436" s="1002" t="s">
        <v>1346</v>
      </c>
      <c r="H1436" s="1111" t="s">
        <v>1344</v>
      </c>
      <c r="I1436" s="1002" t="s">
        <v>1503</v>
      </c>
      <c r="J1436" s="1007" t="s">
        <v>653</v>
      </c>
      <c r="K1436" s="1002" t="s">
        <v>654</v>
      </c>
      <c r="L1436" s="1007" t="s">
        <v>18</v>
      </c>
      <c r="M1436" s="1222">
        <v>1</v>
      </c>
      <c r="N1436" s="1081">
        <v>0</v>
      </c>
      <c r="O1436" s="1081">
        <f t="shared" si="228"/>
        <v>0</v>
      </c>
      <c r="P1436" s="1081">
        <f t="shared" si="226"/>
        <v>0</v>
      </c>
      <c r="Q1436" s="1206">
        <f t="shared" si="230"/>
        <v>0</v>
      </c>
      <c r="R1436" s="1083"/>
      <c r="S1436" s="1083"/>
      <c r="T1436" s="1083"/>
      <c r="U1436" s="1083"/>
      <c r="V1436" s="1083">
        <f t="shared" si="231"/>
        <v>0</v>
      </c>
    </row>
    <row r="1437" spans="1:23" s="1002" customFormat="1" hidden="1">
      <c r="A1437" s="1000" t="s">
        <v>872</v>
      </c>
      <c r="B1437" s="1001" t="s">
        <v>875</v>
      </c>
      <c r="C1437" s="1078">
        <v>46261</v>
      </c>
      <c r="D1437" s="1078"/>
      <c r="E1437" s="1002" t="s">
        <v>978</v>
      </c>
      <c r="F1437" s="1077">
        <v>46295</v>
      </c>
      <c r="G1437" s="1002" t="s">
        <v>1346</v>
      </c>
      <c r="H1437" s="1111" t="s">
        <v>1344</v>
      </c>
      <c r="I1437" s="1002" t="s">
        <v>1503</v>
      </c>
      <c r="J1437" s="1007" t="s">
        <v>655</v>
      </c>
      <c r="K1437" s="1002" t="s">
        <v>656</v>
      </c>
      <c r="L1437" s="1007" t="s">
        <v>18</v>
      </c>
      <c r="M1437" s="1222">
        <v>1</v>
      </c>
      <c r="N1437" s="1081">
        <v>0</v>
      </c>
      <c r="O1437" s="1081">
        <f t="shared" si="228"/>
        <v>0</v>
      </c>
      <c r="P1437" s="1081">
        <f t="shared" si="226"/>
        <v>0</v>
      </c>
      <c r="Q1437" s="1206">
        <f t="shared" si="230"/>
        <v>0</v>
      </c>
      <c r="R1437" s="1083"/>
      <c r="S1437" s="1083"/>
      <c r="T1437" s="1083"/>
      <c r="U1437" s="1083"/>
      <c r="V1437" s="1083">
        <f t="shared" si="231"/>
        <v>0</v>
      </c>
    </row>
    <row r="1438" spans="1:23" s="1002" customFormat="1" hidden="1">
      <c r="A1438" s="1000" t="s">
        <v>943</v>
      </c>
      <c r="B1438" s="1001" t="s">
        <v>860</v>
      </c>
      <c r="C1438" s="1078">
        <v>46261</v>
      </c>
      <c r="D1438" s="1078"/>
      <c r="F1438" s="1077"/>
      <c r="H1438" s="1111"/>
      <c r="I1438" s="1002" t="s">
        <v>844</v>
      </c>
      <c r="J1438" s="1007"/>
      <c r="M1438" s="1086"/>
      <c r="N1438" s="1081"/>
      <c r="O1438" s="1081"/>
      <c r="P1438" s="1081">
        <f t="shared" si="226"/>
        <v>0</v>
      </c>
      <c r="Q1438" s="1082">
        <f t="shared" si="230"/>
        <v>0</v>
      </c>
      <c r="R1438" s="1083">
        <v>70000000</v>
      </c>
      <c r="S1438" s="1083"/>
      <c r="T1438" s="1083"/>
      <c r="U1438" s="1083"/>
      <c r="V1438" s="1083">
        <f t="shared" si="231"/>
        <v>-70000000</v>
      </c>
    </row>
    <row r="1439" spans="1:23" s="1002" customFormat="1" hidden="1">
      <c r="A1439" s="1000" t="s">
        <v>962</v>
      </c>
      <c r="B1439" s="1001" t="s">
        <v>1518</v>
      </c>
      <c r="C1439" s="1078">
        <v>46262</v>
      </c>
      <c r="D1439" s="1078"/>
      <c r="F1439" s="1077"/>
      <c r="H1439" s="1111"/>
      <c r="I1439" s="1002" t="s">
        <v>702</v>
      </c>
      <c r="J1439" s="1007"/>
      <c r="M1439" s="1086"/>
      <c r="N1439" s="1081"/>
      <c r="O1439" s="1081">
        <f t="shared" si="228"/>
        <v>0</v>
      </c>
      <c r="P1439" s="1081">
        <f t="shared" si="226"/>
        <v>0</v>
      </c>
      <c r="Q1439" s="1082">
        <f t="shared" si="230"/>
        <v>0</v>
      </c>
      <c r="R1439" s="1083">
        <v>120000</v>
      </c>
      <c r="S1439" s="1083"/>
      <c r="T1439" s="1083"/>
      <c r="U1439" s="1083"/>
      <c r="V1439" s="1083">
        <f t="shared" si="231"/>
        <v>-120000</v>
      </c>
      <c r="W1439" s="1002" t="s">
        <v>975</v>
      </c>
    </row>
    <row r="1440" spans="1:23" s="1002" customFormat="1" hidden="1">
      <c r="A1440" s="1000" t="s">
        <v>971</v>
      </c>
      <c r="B1440" s="1028" t="s">
        <v>988</v>
      </c>
      <c r="C1440" s="1078">
        <v>46262</v>
      </c>
      <c r="D1440" s="1078"/>
      <c r="E1440" s="1002" t="s">
        <v>985</v>
      </c>
      <c r="F1440" s="1077"/>
      <c r="H1440" s="1111"/>
      <c r="I1440" s="1002" t="s">
        <v>987</v>
      </c>
      <c r="J1440" s="1007" t="s">
        <v>103</v>
      </c>
      <c r="K1440" s="1002" t="s">
        <v>104</v>
      </c>
      <c r="L1440" s="1007" t="s">
        <v>18</v>
      </c>
      <c r="M1440" s="1222">
        <v>1</v>
      </c>
      <c r="N1440" s="1081">
        <v>722222.22</v>
      </c>
      <c r="O1440" s="1081">
        <f t="shared" ref="O1440:O1473" si="232">M1440*N1440</f>
        <v>722222.22</v>
      </c>
      <c r="P1440" s="1081">
        <f t="shared" si="226"/>
        <v>57777.777600000001</v>
      </c>
      <c r="Q1440" s="1206">
        <f t="shared" si="230"/>
        <v>779999.9976</v>
      </c>
      <c r="R1440" s="1083"/>
      <c r="S1440" s="1083"/>
      <c r="T1440" s="1083"/>
      <c r="U1440" s="1083"/>
      <c r="V1440" s="1083">
        <f t="shared" si="231"/>
        <v>779999.9976</v>
      </c>
    </row>
    <row r="1441" spans="1:22" s="1002" customFormat="1" hidden="1">
      <c r="A1441" s="1000" t="s">
        <v>971</v>
      </c>
      <c r="B1441" s="1028" t="s">
        <v>988</v>
      </c>
      <c r="C1441" s="1078">
        <v>46262</v>
      </c>
      <c r="D1441" s="1078"/>
      <c r="E1441" s="1002" t="s">
        <v>985</v>
      </c>
      <c r="F1441" s="1077"/>
      <c r="H1441" s="1111"/>
      <c r="I1441" s="1002" t="s">
        <v>987</v>
      </c>
      <c r="J1441" s="1007" t="s">
        <v>959</v>
      </c>
      <c r="K1441" s="1002" t="s">
        <v>960</v>
      </c>
      <c r="L1441" s="1007" t="s">
        <v>18</v>
      </c>
      <c r="M1441" s="1222">
        <v>1</v>
      </c>
      <c r="N1441" s="1081">
        <v>0</v>
      </c>
      <c r="O1441" s="1081">
        <f t="shared" si="232"/>
        <v>0</v>
      </c>
      <c r="P1441" s="1081">
        <f t="shared" si="226"/>
        <v>0</v>
      </c>
      <c r="Q1441" s="1206">
        <f t="shared" si="230"/>
        <v>0</v>
      </c>
      <c r="R1441" s="1083"/>
      <c r="S1441" s="1083"/>
      <c r="T1441" s="1083"/>
      <c r="U1441" s="1083"/>
      <c r="V1441" s="1083">
        <f t="shared" si="231"/>
        <v>0</v>
      </c>
    </row>
    <row r="1442" spans="1:22" s="1002" customFormat="1" hidden="1">
      <c r="A1442" s="1039" t="s">
        <v>736</v>
      </c>
      <c r="B1442" s="1040" t="s">
        <v>747</v>
      </c>
      <c r="C1442" s="1078">
        <v>46262</v>
      </c>
      <c r="D1442" s="1078"/>
      <c r="E1442" s="1002" t="s">
        <v>986</v>
      </c>
      <c r="F1442" s="1077">
        <v>46295</v>
      </c>
      <c r="G1442" s="1002" t="s">
        <v>1345</v>
      </c>
      <c r="H1442" s="1111" t="s">
        <v>1309</v>
      </c>
      <c r="I1442" s="1002" t="s">
        <v>818</v>
      </c>
      <c r="J1442" s="1007" t="s">
        <v>651</v>
      </c>
      <c r="K1442" s="1002" t="s">
        <v>652</v>
      </c>
      <c r="L1442" s="1054" t="s">
        <v>18</v>
      </c>
      <c r="M1442" s="1222">
        <v>15</v>
      </c>
      <c r="N1442" s="1081">
        <v>694444.44</v>
      </c>
      <c r="O1442" s="1081">
        <f t="shared" si="232"/>
        <v>10416666.6</v>
      </c>
      <c r="P1442" s="1081">
        <f t="shared" si="226"/>
        <v>833333.32799999998</v>
      </c>
      <c r="Q1442" s="1206">
        <f t="shared" si="230"/>
        <v>11249999.927999999</v>
      </c>
      <c r="R1442" s="1083"/>
      <c r="S1442" s="1083"/>
      <c r="T1442" s="1083"/>
      <c r="U1442" s="1083"/>
      <c r="V1442" s="1083">
        <f t="shared" si="231"/>
        <v>11249999.927999999</v>
      </c>
    </row>
    <row r="1443" spans="1:22" s="1002" customFormat="1" hidden="1">
      <c r="A1443" s="1039" t="s">
        <v>736</v>
      </c>
      <c r="B1443" s="1040" t="s">
        <v>747</v>
      </c>
      <c r="C1443" s="1078">
        <v>46262</v>
      </c>
      <c r="D1443" s="1078"/>
      <c r="E1443" s="1002" t="s">
        <v>986</v>
      </c>
      <c r="F1443" s="1077">
        <v>46275</v>
      </c>
      <c r="G1443" s="1002" t="s">
        <v>1153</v>
      </c>
      <c r="H1443" s="1111" t="s">
        <v>1152</v>
      </c>
      <c r="I1443" s="1002" t="s">
        <v>818</v>
      </c>
      <c r="J1443" s="1007" t="s">
        <v>56</v>
      </c>
      <c r="K1443" s="1002" t="s">
        <v>57</v>
      </c>
      <c r="L1443" s="1054" t="s">
        <v>18</v>
      </c>
      <c r="M1443" s="1222">
        <v>12</v>
      </c>
      <c r="N1443" s="1081">
        <v>325925.92</v>
      </c>
      <c r="O1443" s="1081">
        <f t="shared" si="232"/>
        <v>3911111.04</v>
      </c>
      <c r="P1443" s="1081">
        <f t="shared" si="226"/>
        <v>312888.88319999998</v>
      </c>
      <c r="Q1443" s="1206">
        <f t="shared" si="230"/>
        <v>4223999.9232000001</v>
      </c>
      <c r="R1443" s="1083"/>
      <c r="S1443" s="1083"/>
      <c r="T1443" s="1083"/>
      <c r="U1443" s="1083"/>
      <c r="V1443" s="1083">
        <f t="shared" si="231"/>
        <v>4223999.9232000001</v>
      </c>
    </row>
    <row r="1444" spans="1:22" s="1002" customFormat="1" hidden="1">
      <c r="A1444" s="1039" t="s">
        <v>736</v>
      </c>
      <c r="B1444" s="1040" t="s">
        <v>747</v>
      </c>
      <c r="C1444" s="1078">
        <v>46262</v>
      </c>
      <c r="D1444" s="1078"/>
      <c r="E1444" s="1002" t="s">
        <v>986</v>
      </c>
      <c r="F1444" s="1077">
        <v>46275</v>
      </c>
      <c r="G1444" s="1002" t="s">
        <v>1153</v>
      </c>
      <c r="H1444" s="1111" t="s">
        <v>1152</v>
      </c>
      <c r="I1444" s="1002" t="s">
        <v>818</v>
      </c>
      <c r="J1444" s="1007" t="s">
        <v>58</v>
      </c>
      <c r="K1444" s="1002" t="s">
        <v>59</v>
      </c>
      <c r="L1444" s="1054" t="s">
        <v>18</v>
      </c>
      <c r="M1444" s="1222">
        <v>2</v>
      </c>
      <c r="N1444" s="1081">
        <v>1361111.11</v>
      </c>
      <c r="O1444" s="1081">
        <f t="shared" si="232"/>
        <v>2722222.22</v>
      </c>
      <c r="P1444" s="1081">
        <f t="shared" si="226"/>
        <v>217777.77760000003</v>
      </c>
      <c r="Q1444" s="1206">
        <f t="shared" si="230"/>
        <v>2939999.9976000004</v>
      </c>
      <c r="R1444" s="1083"/>
      <c r="S1444" s="1083"/>
      <c r="T1444" s="1083"/>
      <c r="U1444" s="1083"/>
      <c r="V1444" s="1083">
        <f t="shared" si="231"/>
        <v>2939999.9976000004</v>
      </c>
    </row>
    <row r="1445" spans="1:22" s="1002" customFormat="1" hidden="1">
      <c r="A1445" s="1039" t="s">
        <v>736</v>
      </c>
      <c r="B1445" s="1040" t="s">
        <v>747</v>
      </c>
      <c r="C1445" s="1078">
        <v>46262</v>
      </c>
      <c r="D1445" s="1078"/>
      <c r="E1445" s="1002" t="s">
        <v>986</v>
      </c>
      <c r="F1445" s="1077">
        <v>46295</v>
      </c>
      <c r="G1445" s="1002" t="s">
        <v>1345</v>
      </c>
      <c r="H1445" s="1111" t="s">
        <v>1309</v>
      </c>
      <c r="I1445" s="1002" t="s">
        <v>818</v>
      </c>
      <c r="J1445" s="1007" t="s">
        <v>651</v>
      </c>
      <c r="K1445" s="1002" t="s">
        <v>652</v>
      </c>
      <c r="L1445" s="1054" t="s">
        <v>18</v>
      </c>
      <c r="M1445" s="1222">
        <v>1</v>
      </c>
      <c r="N1445" s="1081">
        <v>0</v>
      </c>
      <c r="O1445" s="1081">
        <f t="shared" si="232"/>
        <v>0</v>
      </c>
      <c r="P1445" s="1081">
        <f t="shared" si="226"/>
        <v>0</v>
      </c>
      <c r="Q1445" s="1206">
        <f t="shared" si="230"/>
        <v>0</v>
      </c>
      <c r="R1445" s="1083"/>
      <c r="S1445" s="1083"/>
      <c r="T1445" s="1083"/>
      <c r="U1445" s="1083"/>
      <c r="V1445" s="1083">
        <f t="shared" si="231"/>
        <v>0</v>
      </c>
    </row>
    <row r="1446" spans="1:22" s="1002" customFormat="1" hidden="1">
      <c r="A1446" s="1039" t="s">
        <v>736</v>
      </c>
      <c r="B1446" s="1040" t="s">
        <v>747</v>
      </c>
      <c r="C1446" s="1078">
        <v>46262</v>
      </c>
      <c r="D1446" s="1078"/>
      <c r="E1446" s="1002" t="s">
        <v>986</v>
      </c>
      <c r="F1446" s="1077">
        <v>46275</v>
      </c>
      <c r="G1446" s="1002" t="s">
        <v>1153</v>
      </c>
      <c r="H1446" s="1111" t="s">
        <v>1152</v>
      </c>
      <c r="I1446" s="1002" t="s">
        <v>818</v>
      </c>
      <c r="J1446" s="1007" t="s">
        <v>56</v>
      </c>
      <c r="K1446" s="1002" t="s">
        <v>57</v>
      </c>
      <c r="L1446" s="1054" t="s">
        <v>18</v>
      </c>
      <c r="M1446" s="1222">
        <v>1</v>
      </c>
      <c r="N1446" s="1081">
        <v>0</v>
      </c>
      <c r="O1446" s="1081">
        <f t="shared" si="232"/>
        <v>0</v>
      </c>
      <c r="P1446" s="1081">
        <f t="shared" si="226"/>
        <v>0</v>
      </c>
      <c r="Q1446" s="1206">
        <f t="shared" si="230"/>
        <v>0</v>
      </c>
      <c r="R1446" s="1083"/>
      <c r="S1446" s="1083"/>
      <c r="T1446" s="1083"/>
      <c r="U1446" s="1083"/>
      <c r="V1446" s="1083">
        <f t="shared" si="231"/>
        <v>0</v>
      </c>
    </row>
    <row r="1447" spans="1:22" s="1002" customFormat="1" hidden="1">
      <c r="A1447" s="1000" t="s">
        <v>768</v>
      </c>
      <c r="B1447" s="1001" t="s">
        <v>770</v>
      </c>
      <c r="C1447" s="1078">
        <v>46262</v>
      </c>
      <c r="D1447" s="1078"/>
      <c r="E1447" s="1002" t="s">
        <v>989</v>
      </c>
      <c r="F1447" s="1077"/>
      <c r="H1447" s="1111"/>
      <c r="I1447" s="1002" t="s">
        <v>820</v>
      </c>
      <c r="J1447" s="1007" t="s">
        <v>103</v>
      </c>
      <c r="K1447" s="1002" t="s">
        <v>104</v>
      </c>
      <c r="L1447" s="1007" t="s">
        <v>18</v>
      </c>
      <c r="M1447" s="1222">
        <v>30</v>
      </c>
      <c r="N1447" s="1081">
        <v>675925.93</v>
      </c>
      <c r="O1447" s="1081">
        <f t="shared" si="232"/>
        <v>20277777.900000002</v>
      </c>
      <c r="P1447" s="1081">
        <f t="shared" si="226"/>
        <v>1622222.2320000003</v>
      </c>
      <c r="Q1447" s="1206">
        <f t="shared" si="230"/>
        <v>21900000.132000003</v>
      </c>
      <c r="R1447" s="1083"/>
      <c r="S1447" s="1083"/>
      <c r="T1447" s="1083"/>
      <c r="U1447" s="1083"/>
      <c r="V1447" s="1083">
        <f t="shared" si="231"/>
        <v>21900000.132000003</v>
      </c>
    </row>
    <row r="1448" spans="1:22" s="1002" customFormat="1" hidden="1">
      <c r="A1448" s="1000" t="s">
        <v>768</v>
      </c>
      <c r="B1448" s="1001" t="s">
        <v>770</v>
      </c>
      <c r="C1448" s="1078">
        <v>46262</v>
      </c>
      <c r="D1448" s="1078"/>
      <c r="E1448" s="1002" t="s">
        <v>989</v>
      </c>
      <c r="F1448" s="1077">
        <v>46296</v>
      </c>
      <c r="G1448" s="1002" t="s">
        <v>1353</v>
      </c>
      <c r="H1448" s="1111" t="s">
        <v>1352</v>
      </c>
      <c r="I1448" s="1002" t="s">
        <v>820</v>
      </c>
      <c r="J1448" s="1007" t="s">
        <v>643</v>
      </c>
      <c r="K1448" s="1002" t="s">
        <v>644</v>
      </c>
      <c r="L1448" s="1007" t="s">
        <v>18</v>
      </c>
      <c r="M1448" s="1222">
        <v>15</v>
      </c>
      <c r="N1448" s="1081">
        <v>527777.78</v>
      </c>
      <c r="O1448" s="1081">
        <f t="shared" si="232"/>
        <v>7916666.7000000002</v>
      </c>
      <c r="P1448" s="1081">
        <f t="shared" si="226"/>
        <v>633333.33600000001</v>
      </c>
      <c r="Q1448" s="1206">
        <f t="shared" si="230"/>
        <v>8550000.0360000003</v>
      </c>
      <c r="R1448" s="1083"/>
      <c r="S1448" s="1083"/>
      <c r="T1448" s="1083"/>
      <c r="U1448" s="1083"/>
      <c r="V1448" s="1083">
        <f t="shared" si="231"/>
        <v>8550000.0360000003</v>
      </c>
    </row>
    <row r="1449" spans="1:22" s="1002" customFormat="1" hidden="1">
      <c r="A1449" s="1000" t="s">
        <v>768</v>
      </c>
      <c r="B1449" s="1001" t="s">
        <v>770</v>
      </c>
      <c r="C1449" s="1078">
        <v>46262</v>
      </c>
      <c r="D1449" s="1078"/>
      <c r="E1449" s="1002" t="s">
        <v>989</v>
      </c>
      <c r="F1449" s="1077">
        <v>46296</v>
      </c>
      <c r="G1449" s="1002" t="s">
        <v>1353</v>
      </c>
      <c r="H1449" s="1111" t="s">
        <v>1352</v>
      </c>
      <c r="I1449" s="1002" t="s">
        <v>820</v>
      </c>
      <c r="J1449" s="1007" t="s">
        <v>653</v>
      </c>
      <c r="K1449" s="1002" t="s">
        <v>654</v>
      </c>
      <c r="L1449" s="1007" t="s">
        <v>18</v>
      </c>
      <c r="M1449" s="1222">
        <v>15</v>
      </c>
      <c r="N1449" s="1081">
        <v>481481.48</v>
      </c>
      <c r="O1449" s="1081">
        <f t="shared" si="232"/>
        <v>7222222.1999999993</v>
      </c>
      <c r="P1449" s="1081">
        <f t="shared" si="226"/>
        <v>577777.77599999995</v>
      </c>
      <c r="Q1449" s="1206">
        <f t="shared" si="230"/>
        <v>7799999.9759999989</v>
      </c>
      <c r="R1449" s="1083"/>
      <c r="S1449" s="1083"/>
      <c r="T1449" s="1083"/>
      <c r="U1449" s="1083"/>
      <c r="V1449" s="1083">
        <f t="shared" si="231"/>
        <v>7799999.9759999989</v>
      </c>
    </row>
    <row r="1450" spans="1:22" s="1002" customFormat="1" hidden="1">
      <c r="A1450" s="1000" t="s">
        <v>768</v>
      </c>
      <c r="B1450" s="1001" t="s">
        <v>770</v>
      </c>
      <c r="C1450" s="1078">
        <v>46262</v>
      </c>
      <c r="D1450" s="1078"/>
      <c r="E1450" s="1002" t="s">
        <v>989</v>
      </c>
      <c r="F1450" s="1077"/>
      <c r="H1450" s="1111"/>
      <c r="I1450" s="1002" t="s">
        <v>820</v>
      </c>
      <c r="J1450" s="1007" t="s">
        <v>959</v>
      </c>
      <c r="K1450" s="1002" t="s">
        <v>960</v>
      </c>
      <c r="L1450" s="1007" t="s">
        <v>18</v>
      </c>
      <c r="M1450" s="1222">
        <v>20</v>
      </c>
      <c r="N1450" s="1081">
        <v>111111.11</v>
      </c>
      <c r="O1450" s="1081">
        <f t="shared" si="232"/>
        <v>2222222.2000000002</v>
      </c>
      <c r="P1450" s="1081">
        <f t="shared" si="226"/>
        <v>177777.77600000001</v>
      </c>
      <c r="Q1450" s="1206">
        <f t="shared" si="230"/>
        <v>2399999.9760000003</v>
      </c>
      <c r="R1450" s="1083"/>
      <c r="S1450" s="1083"/>
      <c r="T1450" s="1083"/>
      <c r="U1450" s="1083"/>
      <c r="V1450" s="1083">
        <f t="shared" si="231"/>
        <v>2399999.9760000003</v>
      </c>
    </row>
    <row r="1451" spans="1:22" s="1002" customFormat="1" hidden="1">
      <c r="A1451" s="1000" t="s">
        <v>768</v>
      </c>
      <c r="B1451" s="1001" t="s">
        <v>770</v>
      </c>
      <c r="C1451" s="1078">
        <v>46262</v>
      </c>
      <c r="D1451" s="1078"/>
      <c r="E1451" s="1002" t="s">
        <v>989</v>
      </c>
      <c r="F1451" s="1077">
        <v>46296</v>
      </c>
      <c r="G1451" s="1002" t="s">
        <v>1353</v>
      </c>
      <c r="H1451" s="1111" t="s">
        <v>1352</v>
      </c>
      <c r="I1451" s="1002" t="s">
        <v>820</v>
      </c>
      <c r="J1451" s="1007" t="s">
        <v>643</v>
      </c>
      <c r="K1451" s="1002" t="s">
        <v>644</v>
      </c>
      <c r="L1451" s="1007" t="s">
        <v>18</v>
      </c>
      <c r="M1451" s="1222">
        <v>1</v>
      </c>
      <c r="N1451" s="1081">
        <v>0</v>
      </c>
      <c r="O1451" s="1081">
        <f t="shared" si="232"/>
        <v>0</v>
      </c>
      <c r="P1451" s="1081">
        <f t="shared" si="226"/>
        <v>0</v>
      </c>
      <c r="Q1451" s="1206">
        <f t="shared" si="230"/>
        <v>0</v>
      </c>
      <c r="R1451" s="1083"/>
      <c r="S1451" s="1083"/>
      <c r="T1451" s="1083"/>
      <c r="U1451" s="1083"/>
      <c r="V1451" s="1083">
        <f t="shared" si="231"/>
        <v>0</v>
      </c>
    </row>
    <row r="1452" spans="1:22" s="1002" customFormat="1" hidden="1">
      <c r="A1452" s="1000" t="s">
        <v>768</v>
      </c>
      <c r="B1452" s="1001" t="s">
        <v>770</v>
      </c>
      <c r="C1452" s="1078">
        <v>46262</v>
      </c>
      <c r="D1452" s="1078"/>
      <c r="E1452" s="1002" t="s">
        <v>989</v>
      </c>
      <c r="F1452" s="1077">
        <v>46296</v>
      </c>
      <c r="G1452" s="1002" t="s">
        <v>1353</v>
      </c>
      <c r="H1452" s="1111" t="s">
        <v>1352</v>
      </c>
      <c r="I1452" s="1002" t="s">
        <v>820</v>
      </c>
      <c r="J1452" s="1007" t="s">
        <v>653</v>
      </c>
      <c r="K1452" s="1002" t="s">
        <v>654</v>
      </c>
      <c r="L1452" s="1007" t="s">
        <v>18</v>
      </c>
      <c r="M1452" s="1222">
        <v>1</v>
      </c>
      <c r="N1452" s="1081">
        <v>0</v>
      </c>
      <c r="O1452" s="1081">
        <f t="shared" si="232"/>
        <v>0</v>
      </c>
      <c r="P1452" s="1081">
        <f t="shared" si="226"/>
        <v>0</v>
      </c>
      <c r="Q1452" s="1206">
        <f t="shared" si="230"/>
        <v>0</v>
      </c>
      <c r="R1452" s="1083"/>
      <c r="S1452" s="1083"/>
      <c r="T1452" s="1083"/>
      <c r="U1452" s="1083"/>
      <c r="V1452" s="1083">
        <f t="shared" si="231"/>
        <v>0</v>
      </c>
    </row>
    <row r="1453" spans="1:22" s="1002" customFormat="1" hidden="1">
      <c r="A1453" s="1000" t="s">
        <v>768</v>
      </c>
      <c r="B1453" s="1001" t="s">
        <v>770</v>
      </c>
      <c r="C1453" s="1078">
        <v>46262</v>
      </c>
      <c r="D1453" s="1078"/>
      <c r="E1453" s="1002" t="s">
        <v>989</v>
      </c>
      <c r="F1453" s="1077"/>
      <c r="H1453" s="1111"/>
      <c r="I1453" s="1002" t="s">
        <v>820</v>
      </c>
      <c r="J1453" s="1007" t="s">
        <v>959</v>
      </c>
      <c r="K1453" s="1002" t="s">
        <v>960</v>
      </c>
      <c r="L1453" s="1007" t="s">
        <v>18</v>
      </c>
      <c r="M1453" s="1222">
        <v>30</v>
      </c>
      <c r="N1453" s="1081">
        <v>0</v>
      </c>
      <c r="O1453" s="1081">
        <f t="shared" si="232"/>
        <v>0</v>
      </c>
      <c r="P1453" s="1081">
        <f t="shared" ref="P1453:P1473" si="233">O1453*8%</f>
        <v>0</v>
      </c>
      <c r="Q1453" s="1206">
        <f t="shared" si="230"/>
        <v>0</v>
      </c>
      <c r="R1453" s="1083"/>
      <c r="S1453" s="1083"/>
      <c r="T1453" s="1083"/>
      <c r="U1453" s="1083"/>
      <c r="V1453" s="1083">
        <f t="shared" si="231"/>
        <v>0</v>
      </c>
    </row>
    <row r="1454" spans="1:22" s="1002" customFormat="1" hidden="1">
      <c r="A1454" s="1000" t="s">
        <v>756</v>
      </c>
      <c r="B1454" s="1001" t="s">
        <v>759</v>
      </c>
      <c r="C1454" s="1078">
        <v>46262</v>
      </c>
      <c r="D1454" s="1078"/>
      <c r="E1454" s="1002" t="s">
        <v>990</v>
      </c>
      <c r="F1454" s="1077">
        <v>46268</v>
      </c>
      <c r="G1454" s="1002" t="s">
        <v>1085</v>
      </c>
      <c r="H1454" s="1111" t="s">
        <v>1084</v>
      </c>
      <c r="I1454" s="1002" t="s">
        <v>758</v>
      </c>
      <c r="J1454" s="1007" t="s">
        <v>52</v>
      </c>
      <c r="K1454" s="1002" t="s">
        <v>53</v>
      </c>
      <c r="L1454" s="1007" t="s">
        <v>18</v>
      </c>
      <c r="M1454" s="1222">
        <v>3</v>
      </c>
      <c r="N1454" s="1081">
        <v>1007407.41</v>
      </c>
      <c r="O1454" s="1081">
        <f t="shared" si="232"/>
        <v>3022222.23</v>
      </c>
      <c r="P1454" s="1081">
        <f t="shared" si="233"/>
        <v>241777.77840000001</v>
      </c>
      <c r="Q1454" s="1206">
        <f t="shared" si="230"/>
        <v>3264000.0084000002</v>
      </c>
      <c r="R1454" s="1083"/>
      <c r="S1454" s="1083"/>
      <c r="T1454" s="1083"/>
      <c r="U1454" s="1083"/>
      <c r="V1454" s="1083">
        <f t="shared" si="231"/>
        <v>3264000.0084000002</v>
      </c>
    </row>
    <row r="1455" spans="1:22" s="1002" customFormat="1" hidden="1">
      <c r="A1455" s="1000" t="s">
        <v>756</v>
      </c>
      <c r="B1455" s="1001" t="s">
        <v>759</v>
      </c>
      <c r="C1455" s="1078">
        <v>46262</v>
      </c>
      <c r="D1455" s="1078"/>
      <c r="E1455" s="1002" t="s">
        <v>990</v>
      </c>
      <c r="F1455" s="1077">
        <v>46268</v>
      </c>
      <c r="G1455" s="1002" t="s">
        <v>1085</v>
      </c>
      <c r="H1455" s="1111" t="s">
        <v>1084</v>
      </c>
      <c r="I1455" s="1002" t="s">
        <v>758</v>
      </c>
      <c r="J1455" s="1007" t="s">
        <v>959</v>
      </c>
      <c r="K1455" s="1002" t="s">
        <v>960</v>
      </c>
      <c r="L1455" s="1007" t="s">
        <v>18</v>
      </c>
      <c r="M1455" s="1222">
        <v>3</v>
      </c>
      <c r="N1455" s="1081">
        <v>0</v>
      </c>
      <c r="O1455" s="1081">
        <f t="shared" ref="O1455" si="234">M1455*N1455</f>
        <v>0</v>
      </c>
      <c r="P1455" s="1081">
        <f t="shared" ref="P1455" si="235">O1455*8%</f>
        <v>0</v>
      </c>
      <c r="Q1455" s="1206">
        <f t="shared" ref="Q1455" si="236">O1455+P1455</f>
        <v>0</v>
      </c>
      <c r="R1455" s="1083"/>
      <c r="S1455" s="1083"/>
      <c r="T1455" s="1083"/>
      <c r="U1455" s="1083"/>
      <c r="V1455" s="1083">
        <f t="shared" ref="V1455" si="237">Q1455-R1455-S1455-T1455-U1455</f>
        <v>0</v>
      </c>
    </row>
    <row r="1456" spans="1:22" s="1002" customFormat="1" hidden="1">
      <c r="A1456" s="1000" t="s">
        <v>756</v>
      </c>
      <c r="B1456" s="1001" t="s">
        <v>759</v>
      </c>
      <c r="C1456" s="1078">
        <v>46262</v>
      </c>
      <c r="D1456" s="1078"/>
      <c r="E1456" s="1002" t="s">
        <v>990</v>
      </c>
      <c r="F1456" s="1077"/>
      <c r="H1456" s="1111"/>
      <c r="I1456" s="1002" t="s">
        <v>758</v>
      </c>
      <c r="J1456" s="1007" t="s">
        <v>103</v>
      </c>
      <c r="K1456" s="1002" t="s">
        <v>104</v>
      </c>
      <c r="L1456" s="1007" t="s">
        <v>18</v>
      </c>
      <c r="M1456" s="1222">
        <v>2</v>
      </c>
      <c r="N1456" s="1081">
        <v>722222.22</v>
      </c>
      <c r="O1456" s="1081">
        <f t="shared" si="232"/>
        <v>1444444.44</v>
      </c>
      <c r="P1456" s="1081">
        <f t="shared" si="233"/>
        <v>115555.5552</v>
      </c>
      <c r="Q1456" s="1206">
        <f t="shared" si="230"/>
        <v>1559999.9952</v>
      </c>
      <c r="R1456" s="1083"/>
      <c r="S1456" s="1083"/>
      <c r="T1456" s="1083"/>
      <c r="U1456" s="1083"/>
      <c r="V1456" s="1083">
        <f t="shared" si="231"/>
        <v>1559999.9952</v>
      </c>
    </row>
    <row r="1457" spans="1:22" s="1002" customFormat="1" hidden="1">
      <c r="A1457" s="1000" t="s">
        <v>756</v>
      </c>
      <c r="B1457" s="1001" t="s">
        <v>759</v>
      </c>
      <c r="C1457" s="1078">
        <v>46262</v>
      </c>
      <c r="D1457" s="1078"/>
      <c r="E1457" s="1002" t="s">
        <v>990</v>
      </c>
      <c r="F1457" s="1077"/>
      <c r="H1457" s="1111"/>
      <c r="I1457" s="1002" t="s">
        <v>758</v>
      </c>
      <c r="J1457" s="1007" t="s">
        <v>873</v>
      </c>
      <c r="K1457" s="1002" t="s">
        <v>874</v>
      </c>
      <c r="L1457" s="1007" t="s">
        <v>18</v>
      </c>
      <c r="M1457" s="1222">
        <v>2</v>
      </c>
      <c r="N1457" s="1081">
        <v>416666.66</v>
      </c>
      <c r="O1457" s="1081">
        <f t="shared" si="232"/>
        <v>833333.32</v>
      </c>
      <c r="P1457" s="1081">
        <f t="shared" si="233"/>
        <v>66666.665599999993</v>
      </c>
      <c r="Q1457" s="1206">
        <f t="shared" si="230"/>
        <v>899999.9855999999</v>
      </c>
      <c r="R1457" s="1083"/>
      <c r="S1457" s="1083"/>
      <c r="T1457" s="1083"/>
      <c r="U1457" s="1083"/>
      <c r="V1457" s="1083">
        <f t="shared" si="231"/>
        <v>899999.9855999999</v>
      </c>
    </row>
    <row r="1458" spans="1:22" s="1002" customFormat="1" hidden="1">
      <c r="A1458" s="1000" t="s">
        <v>756</v>
      </c>
      <c r="B1458" s="1001" t="s">
        <v>759</v>
      </c>
      <c r="C1458" s="1078">
        <v>46262</v>
      </c>
      <c r="D1458" s="1078"/>
      <c r="E1458" s="1002" t="s">
        <v>990</v>
      </c>
      <c r="F1458" s="1077"/>
      <c r="H1458" s="1111"/>
      <c r="I1458" s="1002" t="s">
        <v>758</v>
      </c>
      <c r="J1458" s="1007" t="s">
        <v>796</v>
      </c>
      <c r="K1458" s="1002" t="s">
        <v>797</v>
      </c>
      <c r="L1458" s="1007" t="s">
        <v>18</v>
      </c>
      <c r="M1458" s="1222">
        <v>2</v>
      </c>
      <c r="N1458" s="1081">
        <v>320370.37</v>
      </c>
      <c r="O1458" s="1081">
        <f t="shared" si="232"/>
        <v>640740.74</v>
      </c>
      <c r="P1458" s="1081">
        <f t="shared" si="233"/>
        <v>51259.2592</v>
      </c>
      <c r="Q1458" s="1206">
        <f t="shared" si="230"/>
        <v>691999.99919999996</v>
      </c>
      <c r="R1458" s="1083"/>
      <c r="S1458" s="1083"/>
      <c r="T1458" s="1083"/>
      <c r="U1458" s="1083"/>
      <c r="V1458" s="1083">
        <f t="shared" si="231"/>
        <v>691999.99919999996</v>
      </c>
    </row>
    <row r="1459" spans="1:22" s="1002" customFormat="1" hidden="1">
      <c r="A1459" s="1000" t="s">
        <v>756</v>
      </c>
      <c r="B1459" s="1001" t="s">
        <v>759</v>
      </c>
      <c r="C1459" s="1078">
        <v>46262</v>
      </c>
      <c r="D1459" s="1078"/>
      <c r="E1459" s="1002" t="s">
        <v>990</v>
      </c>
      <c r="F1459" s="1077"/>
      <c r="H1459" s="1111"/>
      <c r="I1459" s="1002" t="s">
        <v>758</v>
      </c>
      <c r="J1459" s="1007" t="s">
        <v>798</v>
      </c>
      <c r="K1459" s="1002" t="s">
        <v>799</v>
      </c>
      <c r="L1459" s="1007" t="s">
        <v>18</v>
      </c>
      <c r="M1459" s="1222">
        <v>2</v>
      </c>
      <c r="N1459" s="1081">
        <v>259259.26</v>
      </c>
      <c r="O1459" s="1081">
        <f t="shared" si="232"/>
        <v>518518.52</v>
      </c>
      <c r="P1459" s="1081">
        <f t="shared" si="233"/>
        <v>41481.481599999999</v>
      </c>
      <c r="Q1459" s="1206">
        <f t="shared" si="230"/>
        <v>560000.00160000008</v>
      </c>
      <c r="R1459" s="1083"/>
      <c r="S1459" s="1083"/>
      <c r="T1459" s="1083"/>
      <c r="U1459" s="1083"/>
      <c r="V1459" s="1083">
        <f t="shared" si="231"/>
        <v>560000.00160000008</v>
      </c>
    </row>
    <row r="1460" spans="1:22" s="1002" customFormat="1" hidden="1">
      <c r="A1460" s="1000" t="s">
        <v>756</v>
      </c>
      <c r="B1460" s="1001" t="s">
        <v>759</v>
      </c>
      <c r="C1460" s="1078">
        <v>46262</v>
      </c>
      <c r="D1460" s="1078"/>
      <c r="E1460" s="1002" t="s">
        <v>990</v>
      </c>
      <c r="F1460" s="1077">
        <v>46289</v>
      </c>
      <c r="G1460" s="1002" t="s">
        <v>1319</v>
      </c>
      <c r="H1460" s="1111" t="s">
        <v>1318</v>
      </c>
      <c r="I1460" s="1002" t="s">
        <v>758</v>
      </c>
      <c r="J1460" s="1007" t="s">
        <v>959</v>
      </c>
      <c r="K1460" s="1002" t="s">
        <v>960</v>
      </c>
      <c r="L1460" s="1007" t="s">
        <v>18</v>
      </c>
      <c r="M1460" s="1222">
        <v>2</v>
      </c>
      <c r="N1460" s="1081">
        <v>0</v>
      </c>
      <c r="O1460" s="1081">
        <f t="shared" si="232"/>
        <v>0</v>
      </c>
      <c r="P1460" s="1081">
        <f t="shared" si="233"/>
        <v>0</v>
      </c>
      <c r="Q1460" s="1206">
        <f t="shared" si="230"/>
        <v>0</v>
      </c>
      <c r="R1460" s="1083"/>
      <c r="S1460" s="1083"/>
      <c r="T1460" s="1083"/>
      <c r="U1460" s="1083"/>
      <c r="V1460" s="1083">
        <f t="shared" si="231"/>
        <v>0</v>
      </c>
    </row>
    <row r="1461" spans="1:22" s="1002" customFormat="1" hidden="1">
      <c r="A1461" s="1040" t="s">
        <v>1150</v>
      </c>
      <c r="B1461" s="1001" t="s">
        <v>1271</v>
      </c>
      <c r="C1461" s="1078">
        <v>46262</v>
      </c>
      <c r="D1461" s="1078"/>
      <c r="E1461" s="1002" t="s">
        <v>991</v>
      </c>
      <c r="F1461" s="1077"/>
      <c r="H1461" s="1111"/>
      <c r="I1461" s="1008" t="s">
        <v>1100</v>
      </c>
      <c r="J1461" s="1007" t="s">
        <v>226</v>
      </c>
      <c r="K1461" s="1002" t="s">
        <v>227</v>
      </c>
      <c r="L1461" s="1007" t="s">
        <v>18</v>
      </c>
      <c r="M1461" s="1222">
        <v>1</v>
      </c>
      <c r="N1461" s="1081">
        <v>0</v>
      </c>
      <c r="O1461" s="1081">
        <f t="shared" si="232"/>
        <v>0</v>
      </c>
      <c r="P1461" s="1081">
        <f t="shared" si="233"/>
        <v>0</v>
      </c>
      <c r="Q1461" s="1206">
        <f t="shared" si="230"/>
        <v>0</v>
      </c>
      <c r="R1461" s="1083"/>
      <c r="S1461" s="1083"/>
      <c r="T1461" s="1083"/>
      <c r="U1461" s="1083"/>
      <c r="V1461" s="1083">
        <f t="shared" si="231"/>
        <v>0</v>
      </c>
    </row>
    <row r="1462" spans="1:22" s="1002" customFormat="1" hidden="1">
      <c r="A1462" s="1040" t="s">
        <v>1150</v>
      </c>
      <c r="B1462" s="1001" t="s">
        <v>1271</v>
      </c>
      <c r="C1462" s="1078">
        <v>46262</v>
      </c>
      <c r="D1462" s="1078"/>
      <c r="E1462" s="1002" t="s">
        <v>991</v>
      </c>
      <c r="F1462" s="1077"/>
      <c r="H1462" s="1111"/>
      <c r="I1462" s="1008" t="s">
        <v>1100</v>
      </c>
      <c r="J1462" s="1007" t="s">
        <v>101</v>
      </c>
      <c r="K1462" s="1002" t="s">
        <v>102</v>
      </c>
      <c r="L1462" s="1007" t="s">
        <v>18</v>
      </c>
      <c r="M1462" s="1222">
        <v>1</v>
      </c>
      <c r="N1462" s="1081">
        <v>0</v>
      </c>
      <c r="O1462" s="1081">
        <f t="shared" si="232"/>
        <v>0</v>
      </c>
      <c r="P1462" s="1081">
        <f t="shared" si="233"/>
        <v>0</v>
      </c>
      <c r="Q1462" s="1206">
        <f t="shared" si="230"/>
        <v>0</v>
      </c>
      <c r="R1462" s="1083"/>
      <c r="S1462" s="1083"/>
      <c r="T1462" s="1083"/>
      <c r="U1462" s="1083"/>
      <c r="V1462" s="1083">
        <f t="shared" si="231"/>
        <v>0</v>
      </c>
    </row>
    <row r="1463" spans="1:22" s="1002" customFormat="1" hidden="1">
      <c r="A1463" s="1040" t="s">
        <v>1150</v>
      </c>
      <c r="B1463" s="1001" t="s">
        <v>1271</v>
      </c>
      <c r="C1463" s="1078">
        <v>46262</v>
      </c>
      <c r="D1463" s="1078"/>
      <c r="E1463" s="1002" t="s">
        <v>991</v>
      </c>
      <c r="F1463" s="1077"/>
      <c r="H1463" s="1111"/>
      <c r="I1463" s="1008" t="s">
        <v>1100</v>
      </c>
      <c r="J1463" s="1007" t="s">
        <v>90</v>
      </c>
      <c r="K1463" s="1002" t="s">
        <v>91</v>
      </c>
      <c r="L1463" s="1007" t="s">
        <v>18</v>
      </c>
      <c r="M1463" s="1222">
        <v>1</v>
      </c>
      <c r="N1463" s="1081">
        <v>0</v>
      </c>
      <c r="O1463" s="1081">
        <f t="shared" si="232"/>
        <v>0</v>
      </c>
      <c r="P1463" s="1081">
        <f t="shared" si="233"/>
        <v>0</v>
      </c>
      <c r="Q1463" s="1206">
        <f t="shared" si="230"/>
        <v>0</v>
      </c>
      <c r="R1463" s="1083"/>
      <c r="S1463" s="1083"/>
      <c r="T1463" s="1083"/>
      <c r="U1463" s="1083"/>
      <c r="V1463" s="1083">
        <f t="shared" si="231"/>
        <v>0</v>
      </c>
    </row>
    <row r="1464" spans="1:22" s="1002" customFormat="1" hidden="1">
      <c r="A1464" s="1040" t="s">
        <v>1150</v>
      </c>
      <c r="B1464" s="1001" t="s">
        <v>1271</v>
      </c>
      <c r="C1464" s="1078">
        <v>46262</v>
      </c>
      <c r="D1464" s="1078"/>
      <c r="E1464" s="1002" t="s">
        <v>991</v>
      </c>
      <c r="F1464" s="1077"/>
      <c r="H1464" s="1111"/>
      <c r="I1464" s="1008" t="s">
        <v>1100</v>
      </c>
      <c r="J1464" s="1007" t="s">
        <v>93</v>
      </c>
      <c r="K1464" s="1008" t="s">
        <v>94</v>
      </c>
      <c r="L1464" s="1007" t="s">
        <v>18</v>
      </c>
      <c r="M1464" s="1222">
        <v>1</v>
      </c>
      <c r="N1464" s="1081">
        <v>0</v>
      </c>
      <c r="O1464" s="1081">
        <f t="shared" si="232"/>
        <v>0</v>
      </c>
      <c r="P1464" s="1081">
        <f t="shared" si="233"/>
        <v>0</v>
      </c>
      <c r="Q1464" s="1206">
        <f t="shared" si="230"/>
        <v>0</v>
      </c>
      <c r="R1464" s="1083"/>
      <c r="S1464" s="1083"/>
      <c r="T1464" s="1083"/>
      <c r="U1464" s="1083"/>
      <c r="V1464" s="1083">
        <f t="shared" si="231"/>
        <v>0</v>
      </c>
    </row>
    <row r="1465" spans="1:22" s="1002" customFormat="1" hidden="1">
      <c r="A1465" s="1040" t="s">
        <v>1150</v>
      </c>
      <c r="B1465" s="1001" t="s">
        <v>1271</v>
      </c>
      <c r="C1465" s="1078">
        <v>46262</v>
      </c>
      <c r="D1465" s="1078"/>
      <c r="E1465" s="1002" t="s">
        <v>991</v>
      </c>
      <c r="F1465" s="1077"/>
      <c r="H1465" s="1111"/>
      <c r="I1465" s="1008" t="s">
        <v>1100</v>
      </c>
      <c r="J1465" s="1007" t="s">
        <v>16</v>
      </c>
      <c r="K1465" s="1002" t="s">
        <v>17</v>
      </c>
      <c r="L1465" s="1007" t="s">
        <v>18</v>
      </c>
      <c r="M1465" s="1222">
        <v>1</v>
      </c>
      <c r="N1465" s="1081">
        <v>0</v>
      </c>
      <c r="O1465" s="1081">
        <f t="shared" si="232"/>
        <v>0</v>
      </c>
      <c r="P1465" s="1081">
        <f t="shared" si="233"/>
        <v>0</v>
      </c>
      <c r="Q1465" s="1206">
        <f t="shared" si="230"/>
        <v>0</v>
      </c>
      <c r="R1465" s="1083"/>
      <c r="S1465" s="1083"/>
      <c r="T1465" s="1083"/>
      <c r="U1465" s="1083"/>
      <c r="V1465" s="1083">
        <f t="shared" si="231"/>
        <v>0</v>
      </c>
    </row>
    <row r="1466" spans="1:22" s="1002" customFormat="1" hidden="1">
      <c r="A1466" s="1040" t="s">
        <v>1150</v>
      </c>
      <c r="B1466" s="1001" t="s">
        <v>1271</v>
      </c>
      <c r="C1466" s="1078">
        <v>46262</v>
      </c>
      <c r="D1466" s="1078"/>
      <c r="E1466" s="1002" t="s">
        <v>991</v>
      </c>
      <c r="F1466" s="1077"/>
      <c r="H1466" s="1111"/>
      <c r="I1466" s="1008" t="s">
        <v>1100</v>
      </c>
      <c r="J1466" s="1007" t="s">
        <v>56</v>
      </c>
      <c r="K1466" s="1002" t="s">
        <v>57</v>
      </c>
      <c r="L1466" s="1007" t="s">
        <v>18</v>
      </c>
      <c r="M1466" s="1222">
        <v>1</v>
      </c>
      <c r="N1466" s="1081">
        <v>0</v>
      </c>
      <c r="O1466" s="1081">
        <f t="shared" si="232"/>
        <v>0</v>
      </c>
      <c r="P1466" s="1081">
        <f t="shared" si="233"/>
        <v>0</v>
      </c>
      <c r="Q1466" s="1206">
        <f t="shared" ref="Q1466:Q1472" si="238">O1466+P1466</f>
        <v>0</v>
      </c>
      <c r="R1466" s="1083"/>
      <c r="S1466" s="1083"/>
      <c r="T1466" s="1083"/>
      <c r="U1466" s="1083"/>
      <c r="V1466" s="1083">
        <f t="shared" si="231"/>
        <v>0</v>
      </c>
    </row>
    <row r="1467" spans="1:22" s="1002" customFormat="1" hidden="1">
      <c r="A1467" s="1040" t="s">
        <v>1150</v>
      </c>
      <c r="B1467" s="1001" t="s">
        <v>1271</v>
      </c>
      <c r="C1467" s="1078">
        <v>46262</v>
      </c>
      <c r="D1467" s="1078"/>
      <c r="E1467" s="1002" t="s">
        <v>991</v>
      </c>
      <c r="F1467" s="1077"/>
      <c r="H1467" s="1111"/>
      <c r="I1467" s="1008" t="s">
        <v>1100</v>
      </c>
      <c r="J1467" s="1007" t="s">
        <v>107</v>
      </c>
      <c r="K1467" s="1002" t="s">
        <v>382</v>
      </c>
      <c r="L1467" s="1007" t="s">
        <v>18</v>
      </c>
      <c r="M1467" s="1222">
        <v>1</v>
      </c>
      <c r="N1467" s="1081">
        <v>0</v>
      </c>
      <c r="O1467" s="1081">
        <f t="shared" si="232"/>
        <v>0</v>
      </c>
      <c r="P1467" s="1081">
        <f t="shared" si="233"/>
        <v>0</v>
      </c>
      <c r="Q1467" s="1206">
        <f t="shared" si="238"/>
        <v>0</v>
      </c>
      <c r="R1467" s="1083"/>
      <c r="S1467" s="1083"/>
      <c r="T1467" s="1083"/>
      <c r="U1467" s="1083"/>
      <c r="V1467" s="1083">
        <f t="shared" si="231"/>
        <v>0</v>
      </c>
    </row>
    <row r="1468" spans="1:22" s="1002" customFormat="1" hidden="1">
      <c r="A1468" s="1040" t="s">
        <v>1150</v>
      </c>
      <c r="B1468" s="1001" t="s">
        <v>1271</v>
      </c>
      <c r="C1468" s="1078">
        <v>46262</v>
      </c>
      <c r="D1468" s="1078"/>
      <c r="E1468" s="1002" t="s">
        <v>991</v>
      </c>
      <c r="F1468" s="1077"/>
      <c r="H1468" s="1111"/>
      <c r="I1468" s="1008" t="s">
        <v>1100</v>
      </c>
      <c r="J1468" s="1007" t="s">
        <v>127</v>
      </c>
      <c r="K1468" s="1002" t="s">
        <v>128</v>
      </c>
      <c r="L1468" s="1007" t="s">
        <v>18</v>
      </c>
      <c r="M1468" s="1222">
        <v>1</v>
      </c>
      <c r="N1468" s="1081">
        <v>0</v>
      </c>
      <c r="O1468" s="1081">
        <f t="shared" si="232"/>
        <v>0</v>
      </c>
      <c r="P1468" s="1081">
        <f t="shared" si="233"/>
        <v>0</v>
      </c>
      <c r="Q1468" s="1206">
        <f t="shared" si="238"/>
        <v>0</v>
      </c>
      <c r="R1468" s="1083"/>
      <c r="S1468" s="1083"/>
      <c r="T1468" s="1083"/>
      <c r="U1468" s="1083"/>
      <c r="V1468" s="1083">
        <f t="shared" si="231"/>
        <v>0</v>
      </c>
    </row>
    <row r="1469" spans="1:22" s="1002" customFormat="1" hidden="1">
      <c r="A1469" s="1040" t="s">
        <v>1150</v>
      </c>
      <c r="B1469" s="1001" t="s">
        <v>1271</v>
      </c>
      <c r="C1469" s="1078">
        <v>46262</v>
      </c>
      <c r="D1469" s="1078"/>
      <c r="E1469" s="1002" t="s">
        <v>991</v>
      </c>
      <c r="F1469" s="1077"/>
      <c r="H1469" s="1111"/>
      <c r="I1469" s="1008" t="s">
        <v>1100</v>
      </c>
      <c r="J1469" s="1007" t="s">
        <v>130</v>
      </c>
      <c r="K1469" s="1002" t="s">
        <v>131</v>
      </c>
      <c r="L1469" s="1007" t="s">
        <v>18</v>
      </c>
      <c r="M1469" s="1222">
        <v>1</v>
      </c>
      <c r="N1469" s="1081">
        <v>0</v>
      </c>
      <c r="O1469" s="1081">
        <f t="shared" si="232"/>
        <v>0</v>
      </c>
      <c r="P1469" s="1081">
        <f t="shared" si="233"/>
        <v>0</v>
      </c>
      <c r="Q1469" s="1206">
        <f t="shared" si="238"/>
        <v>0</v>
      </c>
      <c r="R1469" s="1083"/>
      <c r="S1469" s="1083"/>
      <c r="T1469" s="1083"/>
      <c r="U1469" s="1083"/>
      <c r="V1469" s="1083">
        <f t="shared" si="231"/>
        <v>0</v>
      </c>
    </row>
    <row r="1470" spans="1:22" s="1002" customFormat="1" hidden="1">
      <c r="A1470" s="1040" t="s">
        <v>1150</v>
      </c>
      <c r="B1470" s="1001" t="s">
        <v>1271</v>
      </c>
      <c r="C1470" s="1078">
        <v>46262</v>
      </c>
      <c r="D1470" s="1078"/>
      <c r="E1470" s="1002" t="s">
        <v>991</v>
      </c>
      <c r="F1470" s="1077"/>
      <c r="H1470" s="1111"/>
      <c r="I1470" s="1008" t="s">
        <v>1100</v>
      </c>
      <c r="J1470" s="1007" t="s">
        <v>40</v>
      </c>
      <c r="K1470" s="1002" t="s">
        <v>992</v>
      </c>
      <c r="L1470" s="1007" t="s">
        <v>18</v>
      </c>
      <c r="M1470" s="1222">
        <v>1</v>
      </c>
      <c r="N1470" s="1081">
        <v>0</v>
      </c>
      <c r="O1470" s="1081">
        <f t="shared" si="232"/>
        <v>0</v>
      </c>
      <c r="P1470" s="1081">
        <f t="shared" si="233"/>
        <v>0</v>
      </c>
      <c r="Q1470" s="1206">
        <f t="shared" si="238"/>
        <v>0</v>
      </c>
      <c r="R1470" s="1083"/>
      <c r="S1470" s="1083"/>
      <c r="T1470" s="1083"/>
      <c r="U1470" s="1083"/>
      <c r="V1470" s="1083">
        <f t="shared" si="231"/>
        <v>0</v>
      </c>
    </row>
    <row r="1471" spans="1:22" s="1002" customFormat="1" hidden="1">
      <c r="A1471" s="1040" t="s">
        <v>1150</v>
      </c>
      <c r="B1471" s="1001" t="s">
        <v>1271</v>
      </c>
      <c r="C1471" s="1078">
        <v>46262</v>
      </c>
      <c r="D1471" s="1078"/>
      <c r="E1471" s="1002" t="s">
        <v>991</v>
      </c>
      <c r="F1471" s="1077"/>
      <c r="H1471" s="1111"/>
      <c r="I1471" s="1008" t="s">
        <v>1100</v>
      </c>
      <c r="J1471" s="1007" t="s">
        <v>23</v>
      </c>
      <c r="K1471" s="1002" t="s">
        <v>82</v>
      </c>
      <c r="L1471" s="1007" t="s">
        <v>18</v>
      </c>
      <c r="M1471" s="1222">
        <v>1</v>
      </c>
      <c r="N1471" s="1081">
        <v>0</v>
      </c>
      <c r="O1471" s="1081">
        <f t="shared" si="232"/>
        <v>0</v>
      </c>
      <c r="P1471" s="1081">
        <f t="shared" si="233"/>
        <v>0</v>
      </c>
      <c r="Q1471" s="1206">
        <f t="shared" si="238"/>
        <v>0</v>
      </c>
      <c r="R1471" s="1083"/>
      <c r="S1471" s="1083"/>
      <c r="T1471" s="1083"/>
      <c r="U1471" s="1083"/>
      <c r="V1471" s="1083">
        <f t="shared" si="231"/>
        <v>0</v>
      </c>
    </row>
    <row r="1472" spans="1:22" s="1002" customFormat="1" hidden="1">
      <c r="A1472" s="1040" t="s">
        <v>1150</v>
      </c>
      <c r="B1472" s="1001" t="s">
        <v>1271</v>
      </c>
      <c r="C1472" s="1078">
        <v>46262</v>
      </c>
      <c r="D1472" s="1078"/>
      <c r="E1472" s="1002" t="s">
        <v>991</v>
      </c>
      <c r="F1472" s="1077"/>
      <c r="H1472" s="1111"/>
      <c r="I1472" s="1008" t="s">
        <v>1100</v>
      </c>
      <c r="J1472" s="1007" t="s">
        <v>274</v>
      </c>
      <c r="K1472" s="1002" t="s">
        <v>297</v>
      </c>
      <c r="L1472" s="1007" t="s">
        <v>18</v>
      </c>
      <c r="M1472" s="1222">
        <v>1</v>
      </c>
      <c r="N1472" s="1081">
        <v>0</v>
      </c>
      <c r="O1472" s="1081">
        <f t="shared" si="232"/>
        <v>0</v>
      </c>
      <c r="P1472" s="1081">
        <f t="shared" si="233"/>
        <v>0</v>
      </c>
      <c r="Q1472" s="1206">
        <f t="shared" si="238"/>
        <v>0</v>
      </c>
      <c r="R1472" s="1083"/>
      <c r="S1472" s="1083"/>
      <c r="T1472" s="1083"/>
      <c r="U1472" s="1083"/>
      <c r="V1472" s="1083">
        <f t="shared" si="231"/>
        <v>0</v>
      </c>
    </row>
    <row r="1473" spans="1:23" hidden="1">
      <c r="A1473" s="1000" t="s">
        <v>752</v>
      </c>
      <c r="B1473" s="1028" t="s">
        <v>1494</v>
      </c>
      <c r="C1473" s="1078">
        <v>46262</v>
      </c>
      <c r="D1473" s="1078"/>
      <c r="E1473" s="1002" t="s">
        <v>993</v>
      </c>
      <c r="F1473" s="1077">
        <v>46280</v>
      </c>
      <c r="G1473" s="1002"/>
      <c r="H1473" s="1111" t="s">
        <v>1165</v>
      </c>
      <c r="I1473" s="1002" t="s">
        <v>812</v>
      </c>
      <c r="J1473" s="1007" t="s">
        <v>959</v>
      </c>
      <c r="K1473" s="1002" t="s">
        <v>960</v>
      </c>
      <c r="L1473" s="1007" t="s">
        <v>18</v>
      </c>
      <c r="M1473" s="1222">
        <v>100</v>
      </c>
      <c r="N1473" s="1081">
        <v>111111.11</v>
      </c>
      <c r="O1473" s="1081">
        <f t="shared" si="232"/>
        <v>11111111</v>
      </c>
      <c r="P1473" s="1081">
        <f t="shared" si="233"/>
        <v>888888.88</v>
      </c>
      <c r="Q1473" s="1206">
        <f>O1473+P1473</f>
        <v>11999999.880000001</v>
      </c>
      <c r="V1473" s="1083">
        <f t="shared" si="231"/>
        <v>11999999.880000001</v>
      </c>
    </row>
    <row r="1474" spans="1:23" hidden="1">
      <c r="A1474" s="1000" t="s">
        <v>794</v>
      </c>
      <c r="B1474" s="1001" t="s">
        <v>804</v>
      </c>
      <c r="C1474" s="1066">
        <v>46262</v>
      </c>
      <c r="E1474" s="1002"/>
      <c r="F1474" s="1077"/>
      <c r="G1474" s="1002"/>
      <c r="H1474" s="1111"/>
      <c r="I1474" s="1002" t="s">
        <v>844</v>
      </c>
      <c r="J1474" s="1007"/>
      <c r="N1474" s="1081"/>
      <c r="Q1474" s="1082">
        <f t="shared" ref="Q1474:Q1537" si="239">O1474+P1474</f>
        <v>0</v>
      </c>
      <c r="R1474" s="1107">
        <v>50000000</v>
      </c>
      <c r="V1474" s="1083">
        <f t="shared" si="231"/>
        <v>-50000000</v>
      </c>
    </row>
    <row r="1475" spans="1:23" hidden="1">
      <c r="A1475" s="1000" t="s">
        <v>738</v>
      </c>
      <c r="B1475" s="1001" t="s">
        <v>748</v>
      </c>
      <c r="C1475" s="1066">
        <v>46263</v>
      </c>
      <c r="E1475" s="1002"/>
      <c r="F1475" s="1077"/>
      <c r="G1475" s="1002"/>
      <c r="H1475" s="1111"/>
      <c r="I1475" s="1002" t="s">
        <v>844</v>
      </c>
      <c r="J1475" s="1007"/>
      <c r="N1475" s="1081"/>
      <c r="Q1475" s="1082">
        <f t="shared" si="239"/>
        <v>0</v>
      </c>
      <c r="R1475" s="1107">
        <v>430000</v>
      </c>
      <c r="V1475" s="1083">
        <f t="shared" si="231"/>
        <v>-430000</v>
      </c>
    </row>
    <row r="1476" spans="1:23" hidden="1">
      <c r="A1476" s="1000" t="s">
        <v>768</v>
      </c>
      <c r="B1476" s="1001" t="s">
        <v>770</v>
      </c>
      <c r="C1476" s="1066">
        <v>46263</v>
      </c>
      <c r="E1476" s="1002"/>
      <c r="F1476" s="1077"/>
      <c r="G1476" s="1002"/>
      <c r="H1476" s="1111"/>
      <c r="I1476" s="1002" t="s">
        <v>760</v>
      </c>
      <c r="J1476" s="1007"/>
      <c r="N1476" s="1081"/>
      <c r="P1476" s="1081">
        <f t="shared" ref="P1476:P1477" si="240">O1476*8%</f>
        <v>0</v>
      </c>
      <c r="Q1476" s="1082">
        <f t="shared" si="239"/>
        <v>0</v>
      </c>
      <c r="S1476" s="1107">
        <v>600000</v>
      </c>
      <c r="V1476" s="1083">
        <f t="shared" ref="V1476:V1477" si="241">Q1476-R1476-S1476-T1476-U1476</f>
        <v>-600000</v>
      </c>
    </row>
    <row r="1477" spans="1:23" hidden="1">
      <c r="A1477" s="1000" t="s">
        <v>768</v>
      </c>
      <c r="B1477" s="1001" t="s">
        <v>770</v>
      </c>
      <c r="C1477" s="1066">
        <v>46263</v>
      </c>
      <c r="E1477" s="1002"/>
      <c r="F1477" s="1077"/>
      <c r="G1477" s="1002"/>
      <c r="H1477" s="1111"/>
      <c r="I1477" s="1002" t="s">
        <v>844</v>
      </c>
      <c r="J1477" s="1007"/>
      <c r="N1477" s="1081"/>
      <c r="P1477" s="1081">
        <f t="shared" si="240"/>
        <v>0</v>
      </c>
      <c r="Q1477" s="1082">
        <f t="shared" si="239"/>
        <v>0</v>
      </c>
      <c r="R1477" s="1107">
        <v>50000000</v>
      </c>
      <c r="V1477" s="1083">
        <f t="shared" si="241"/>
        <v>-50000000</v>
      </c>
    </row>
    <row r="1478" spans="1:23" s="1003" customFormat="1" hidden="1">
      <c r="A1478" s="1000" t="s">
        <v>972</v>
      </c>
      <c r="B1478" s="1001" t="s">
        <v>1378</v>
      </c>
      <c r="C1478" s="1091">
        <v>46242</v>
      </c>
      <c r="D1478" s="1091"/>
      <c r="E1478" s="1008" t="s">
        <v>1008</v>
      </c>
      <c r="F1478" s="1077"/>
      <c r="G1478" s="1002"/>
      <c r="H1478" s="1111"/>
      <c r="I1478" s="1055" t="s">
        <v>1091</v>
      </c>
      <c r="J1478" s="1007" t="s">
        <v>1009</v>
      </c>
      <c r="K1478" s="1008" t="s">
        <v>102</v>
      </c>
      <c r="L1478" s="1024" t="s">
        <v>18</v>
      </c>
      <c r="M1478" s="1093">
        <v>-1</v>
      </c>
      <c r="N1478" s="1081"/>
      <c r="O1478" s="1081"/>
      <c r="P1478" s="1081">
        <f t="shared" ref="P1478:P1533" si="242">O1478*8%</f>
        <v>0</v>
      </c>
      <c r="Q1478" s="1082">
        <f t="shared" si="239"/>
        <v>0</v>
      </c>
      <c r="R1478" s="1081"/>
      <c r="S1478" s="1081"/>
      <c r="T1478" s="1081"/>
      <c r="U1478" s="1081"/>
      <c r="V1478" s="1083">
        <f t="shared" ref="V1478:V1541" si="243">Q1478-R1478-S1478-T1478-U1478</f>
        <v>0</v>
      </c>
      <c r="W1478" s="1003" t="s">
        <v>1092</v>
      </c>
    </row>
    <row r="1479" spans="1:23" s="1003" customFormat="1" hidden="1">
      <c r="A1479" s="1040" t="s">
        <v>1150</v>
      </c>
      <c r="B1479" s="1001" t="s">
        <v>1271</v>
      </c>
      <c r="C1479" s="1091">
        <v>46248</v>
      </c>
      <c r="D1479" s="1091"/>
      <c r="E1479" s="1008" t="s">
        <v>1013</v>
      </c>
      <c r="F1479" s="1077"/>
      <c r="G1479" s="1002"/>
      <c r="H1479" s="1111"/>
      <c r="I1479" s="1055"/>
      <c r="J1479" s="1007" t="s">
        <v>1014</v>
      </c>
      <c r="K1479" s="1002" t="s">
        <v>425</v>
      </c>
      <c r="L1479" s="1024" t="s">
        <v>18</v>
      </c>
      <c r="M1479" s="1093">
        <v>-9</v>
      </c>
      <c r="N1479" s="1081">
        <v>0</v>
      </c>
      <c r="O1479" s="1081">
        <f t="shared" ref="O1479:O1510" si="244">M1479*N1479</f>
        <v>0</v>
      </c>
      <c r="P1479" s="1081">
        <f t="shared" si="242"/>
        <v>0</v>
      </c>
      <c r="Q1479" s="1082">
        <f t="shared" si="239"/>
        <v>0</v>
      </c>
      <c r="R1479" s="1081"/>
      <c r="S1479" s="1081"/>
      <c r="T1479" s="1081"/>
      <c r="U1479" s="1081"/>
      <c r="V1479" s="1083">
        <f t="shared" si="243"/>
        <v>0</v>
      </c>
    </row>
    <row r="1480" spans="1:23" s="1003" customFormat="1" hidden="1">
      <c r="A1480" s="1040" t="s">
        <v>1150</v>
      </c>
      <c r="B1480" s="1001" t="s">
        <v>1271</v>
      </c>
      <c r="C1480" s="1091">
        <v>46237</v>
      </c>
      <c r="D1480" s="1091"/>
      <c r="E1480" s="1008" t="s">
        <v>1093</v>
      </c>
      <c r="F1480" s="1077"/>
      <c r="G1480" s="1002"/>
      <c r="H1480" s="1111"/>
      <c r="I1480" s="1008" t="s">
        <v>1100</v>
      </c>
      <c r="J1480" s="1007" t="s">
        <v>1022</v>
      </c>
      <c r="K1480" s="1002" t="s">
        <v>141</v>
      </c>
      <c r="L1480" s="1024" t="s">
        <v>18</v>
      </c>
      <c r="M1480" s="1093">
        <v>1</v>
      </c>
      <c r="N1480" s="1081">
        <v>0</v>
      </c>
      <c r="O1480" s="1081">
        <f t="shared" si="244"/>
        <v>0</v>
      </c>
      <c r="P1480" s="1081">
        <f t="shared" si="242"/>
        <v>0</v>
      </c>
      <c r="Q1480" s="1082">
        <f t="shared" si="239"/>
        <v>0</v>
      </c>
      <c r="R1480" s="1081"/>
      <c r="S1480" s="1081"/>
      <c r="T1480" s="1081"/>
      <c r="U1480" s="1081"/>
      <c r="V1480" s="1083">
        <f t="shared" si="243"/>
        <v>0</v>
      </c>
    </row>
    <row r="1481" spans="1:23" s="1003" customFormat="1" hidden="1">
      <c r="A1481" s="1040" t="s">
        <v>1150</v>
      </c>
      <c r="B1481" s="1001" t="s">
        <v>1271</v>
      </c>
      <c r="C1481" s="1091">
        <v>46237</v>
      </c>
      <c r="D1481" s="1091"/>
      <c r="E1481" s="1008" t="s">
        <v>1038</v>
      </c>
      <c r="F1481" s="1077"/>
      <c r="G1481" s="1002"/>
      <c r="H1481" s="1111"/>
      <c r="I1481" s="1008" t="s">
        <v>1100</v>
      </c>
      <c r="J1481" s="1007" t="s">
        <v>1023</v>
      </c>
      <c r="K1481" s="1002" t="s">
        <v>654</v>
      </c>
      <c r="L1481" s="1024" t="s">
        <v>18</v>
      </c>
      <c r="M1481" s="1093">
        <v>1</v>
      </c>
      <c r="N1481" s="1081">
        <v>0</v>
      </c>
      <c r="O1481" s="1081">
        <f t="shared" si="244"/>
        <v>0</v>
      </c>
      <c r="P1481" s="1081">
        <f t="shared" si="242"/>
        <v>0</v>
      </c>
      <c r="Q1481" s="1082">
        <f t="shared" si="239"/>
        <v>0</v>
      </c>
      <c r="R1481" s="1081"/>
      <c r="S1481" s="1081"/>
      <c r="T1481" s="1081"/>
      <c r="U1481" s="1081"/>
      <c r="V1481" s="1083">
        <f t="shared" si="243"/>
        <v>0</v>
      </c>
    </row>
    <row r="1482" spans="1:23" s="1003" customFormat="1" hidden="1">
      <c r="A1482" s="1040" t="s">
        <v>1150</v>
      </c>
      <c r="B1482" s="1001" t="s">
        <v>1271</v>
      </c>
      <c r="C1482" s="1091">
        <v>46237</v>
      </c>
      <c r="D1482" s="1091"/>
      <c r="E1482" s="1008" t="s">
        <v>1038</v>
      </c>
      <c r="F1482" s="1077"/>
      <c r="G1482" s="1002"/>
      <c r="H1482" s="1111"/>
      <c r="I1482" s="1008" t="s">
        <v>1100</v>
      </c>
      <c r="J1482" s="1007" t="s">
        <v>1024</v>
      </c>
      <c r="K1482" s="1002" t="s">
        <v>640</v>
      </c>
      <c r="L1482" s="1024" t="s">
        <v>18</v>
      </c>
      <c r="M1482" s="1093">
        <v>1</v>
      </c>
      <c r="N1482" s="1081">
        <v>0</v>
      </c>
      <c r="O1482" s="1081">
        <f t="shared" si="244"/>
        <v>0</v>
      </c>
      <c r="P1482" s="1081">
        <f t="shared" si="242"/>
        <v>0</v>
      </c>
      <c r="Q1482" s="1082">
        <f t="shared" si="239"/>
        <v>0</v>
      </c>
      <c r="R1482" s="1081"/>
      <c r="S1482" s="1081"/>
      <c r="T1482" s="1081"/>
      <c r="U1482" s="1081"/>
      <c r="V1482" s="1083">
        <f t="shared" si="243"/>
        <v>0</v>
      </c>
    </row>
    <row r="1483" spans="1:23" s="1003" customFormat="1" hidden="1">
      <c r="A1483" s="1040" t="s">
        <v>1150</v>
      </c>
      <c r="B1483" s="1001" t="s">
        <v>1271</v>
      </c>
      <c r="C1483" s="1091">
        <v>46237</v>
      </c>
      <c r="D1483" s="1091"/>
      <c r="E1483" s="1008" t="s">
        <v>1038</v>
      </c>
      <c r="F1483" s="1077"/>
      <c r="G1483" s="1002"/>
      <c r="H1483" s="1111"/>
      <c r="I1483" s="1008" t="s">
        <v>1100</v>
      </c>
      <c r="J1483" s="1007" t="s">
        <v>1019</v>
      </c>
      <c r="K1483" s="1003" t="s">
        <v>61</v>
      </c>
      <c r="L1483" s="1024" t="s">
        <v>18</v>
      </c>
      <c r="M1483" s="1093">
        <v>1</v>
      </c>
      <c r="N1483" s="1081">
        <v>0</v>
      </c>
      <c r="O1483" s="1081">
        <f t="shared" si="244"/>
        <v>0</v>
      </c>
      <c r="P1483" s="1081">
        <f t="shared" si="242"/>
        <v>0</v>
      </c>
      <c r="Q1483" s="1082">
        <f t="shared" si="239"/>
        <v>0</v>
      </c>
      <c r="R1483" s="1081"/>
      <c r="S1483" s="1081"/>
      <c r="T1483" s="1081"/>
      <c r="U1483" s="1081"/>
      <c r="V1483" s="1083">
        <f t="shared" si="243"/>
        <v>0</v>
      </c>
    </row>
    <row r="1484" spans="1:23" s="1003" customFormat="1" hidden="1">
      <c r="A1484" s="1040" t="s">
        <v>1150</v>
      </c>
      <c r="B1484" s="1001" t="s">
        <v>1271</v>
      </c>
      <c r="C1484" s="1091">
        <v>46237</v>
      </c>
      <c r="D1484" s="1091"/>
      <c r="E1484" s="1008" t="s">
        <v>1038</v>
      </c>
      <c r="F1484" s="1077"/>
      <c r="G1484" s="1002"/>
      <c r="H1484" s="1111"/>
      <c r="I1484" s="1008" t="s">
        <v>1100</v>
      </c>
      <c r="J1484" s="1007" t="s">
        <v>1020</v>
      </c>
      <c r="K1484" s="1008" t="s">
        <v>84</v>
      </c>
      <c r="L1484" s="1024" t="s">
        <v>18</v>
      </c>
      <c r="M1484" s="1093">
        <v>1</v>
      </c>
      <c r="N1484" s="1081">
        <v>0</v>
      </c>
      <c r="O1484" s="1081">
        <f t="shared" si="244"/>
        <v>0</v>
      </c>
      <c r="P1484" s="1081">
        <f t="shared" si="242"/>
        <v>0</v>
      </c>
      <c r="Q1484" s="1082">
        <f t="shared" si="239"/>
        <v>0</v>
      </c>
      <c r="R1484" s="1081"/>
      <c r="S1484" s="1081"/>
      <c r="T1484" s="1081"/>
      <c r="U1484" s="1081"/>
      <c r="V1484" s="1083">
        <f t="shared" si="243"/>
        <v>0</v>
      </c>
    </row>
    <row r="1485" spans="1:23" s="1003" customFormat="1" hidden="1">
      <c r="A1485" s="1040" t="s">
        <v>1150</v>
      </c>
      <c r="B1485" s="1001" t="s">
        <v>1271</v>
      </c>
      <c r="C1485" s="1091">
        <v>46237</v>
      </c>
      <c r="D1485" s="1091"/>
      <c r="E1485" s="1008" t="s">
        <v>1038</v>
      </c>
      <c r="F1485" s="1077"/>
      <c r="G1485" s="1002"/>
      <c r="H1485" s="1111"/>
      <c r="I1485" s="1008" t="s">
        <v>1100</v>
      </c>
      <c r="J1485" s="1007" t="s">
        <v>1025</v>
      </c>
      <c r="K1485" s="1002" t="s">
        <v>646</v>
      </c>
      <c r="L1485" s="1024" t="s">
        <v>18</v>
      </c>
      <c r="M1485" s="1093">
        <v>1</v>
      </c>
      <c r="N1485" s="1081">
        <v>0</v>
      </c>
      <c r="O1485" s="1081">
        <f t="shared" si="244"/>
        <v>0</v>
      </c>
      <c r="P1485" s="1081">
        <f t="shared" si="242"/>
        <v>0</v>
      </c>
      <c r="Q1485" s="1082">
        <f t="shared" si="239"/>
        <v>0</v>
      </c>
      <c r="R1485" s="1081"/>
      <c r="S1485" s="1081"/>
      <c r="T1485" s="1081"/>
      <c r="U1485" s="1081"/>
      <c r="V1485" s="1083">
        <f t="shared" si="243"/>
        <v>0</v>
      </c>
    </row>
    <row r="1486" spans="1:23" s="1003" customFormat="1" hidden="1">
      <c r="A1486" s="1040" t="s">
        <v>1150</v>
      </c>
      <c r="B1486" s="1001" t="s">
        <v>1271</v>
      </c>
      <c r="C1486" s="1091">
        <v>46237</v>
      </c>
      <c r="D1486" s="1091"/>
      <c r="E1486" s="1008" t="s">
        <v>1038</v>
      </c>
      <c r="F1486" s="1077"/>
      <c r="G1486" s="1002"/>
      <c r="H1486" s="1111"/>
      <c r="I1486" s="1008" t="s">
        <v>1100</v>
      </c>
      <c r="J1486" s="1007" t="s">
        <v>1026</v>
      </c>
      <c r="K1486" s="1002" t="s">
        <v>652</v>
      </c>
      <c r="L1486" s="1024" t="s">
        <v>18</v>
      </c>
      <c r="M1486" s="1093">
        <v>1</v>
      </c>
      <c r="N1486" s="1081">
        <v>0</v>
      </c>
      <c r="O1486" s="1081">
        <f t="shared" si="244"/>
        <v>0</v>
      </c>
      <c r="P1486" s="1081">
        <f t="shared" si="242"/>
        <v>0</v>
      </c>
      <c r="Q1486" s="1082">
        <f t="shared" si="239"/>
        <v>0</v>
      </c>
      <c r="R1486" s="1081"/>
      <c r="S1486" s="1081"/>
      <c r="T1486" s="1081"/>
      <c r="U1486" s="1081"/>
      <c r="V1486" s="1083">
        <f t="shared" si="243"/>
        <v>0</v>
      </c>
    </row>
    <row r="1487" spans="1:23" s="1003" customFormat="1" hidden="1">
      <c r="A1487" s="1040" t="s">
        <v>1150</v>
      </c>
      <c r="B1487" s="1001" t="s">
        <v>1271</v>
      </c>
      <c r="C1487" s="1091">
        <v>46237</v>
      </c>
      <c r="D1487" s="1091"/>
      <c r="E1487" s="1008" t="s">
        <v>1038</v>
      </c>
      <c r="F1487" s="1077"/>
      <c r="G1487" s="1002"/>
      <c r="H1487" s="1111"/>
      <c r="I1487" s="1008" t="s">
        <v>1100</v>
      </c>
      <c r="J1487" s="1007" t="s">
        <v>1027</v>
      </c>
      <c r="K1487" s="1002" t="s">
        <v>49</v>
      </c>
      <c r="L1487" s="1024" t="s">
        <v>18</v>
      </c>
      <c r="M1487" s="1093">
        <v>1</v>
      </c>
      <c r="N1487" s="1081">
        <v>0</v>
      </c>
      <c r="O1487" s="1081">
        <f t="shared" si="244"/>
        <v>0</v>
      </c>
      <c r="P1487" s="1081">
        <f t="shared" si="242"/>
        <v>0</v>
      </c>
      <c r="Q1487" s="1082">
        <f t="shared" si="239"/>
        <v>0</v>
      </c>
      <c r="R1487" s="1081"/>
      <c r="S1487" s="1081"/>
      <c r="T1487" s="1081"/>
      <c r="U1487" s="1081"/>
      <c r="V1487" s="1083">
        <f t="shared" si="243"/>
        <v>0</v>
      </c>
    </row>
    <row r="1488" spans="1:23" s="1003" customFormat="1" hidden="1">
      <c r="A1488" s="1040" t="s">
        <v>1150</v>
      </c>
      <c r="B1488" s="1001" t="s">
        <v>1271</v>
      </c>
      <c r="C1488" s="1091">
        <v>46237</v>
      </c>
      <c r="D1488" s="1091"/>
      <c r="E1488" s="1008" t="s">
        <v>1038</v>
      </c>
      <c r="F1488" s="1077"/>
      <c r="G1488" s="1002"/>
      <c r="H1488" s="1111"/>
      <c r="I1488" s="1008" t="s">
        <v>1100</v>
      </c>
      <c r="J1488" s="1007" t="s">
        <v>1028</v>
      </c>
      <c r="K1488" s="1002" t="s">
        <v>81</v>
      </c>
      <c r="L1488" s="1024" t="s">
        <v>18</v>
      </c>
      <c r="M1488" s="1093">
        <v>1</v>
      </c>
      <c r="N1488" s="1081">
        <v>0</v>
      </c>
      <c r="O1488" s="1081">
        <f t="shared" si="244"/>
        <v>0</v>
      </c>
      <c r="P1488" s="1081">
        <f t="shared" si="242"/>
        <v>0</v>
      </c>
      <c r="Q1488" s="1082">
        <f t="shared" si="239"/>
        <v>0</v>
      </c>
      <c r="R1488" s="1081"/>
      <c r="S1488" s="1081"/>
      <c r="T1488" s="1081"/>
      <c r="U1488" s="1081"/>
      <c r="V1488" s="1083">
        <f t="shared" si="243"/>
        <v>0</v>
      </c>
    </row>
    <row r="1489" spans="1:22" s="1003" customFormat="1" hidden="1">
      <c r="A1489" s="1040" t="s">
        <v>1150</v>
      </c>
      <c r="B1489" s="1001" t="s">
        <v>1271</v>
      </c>
      <c r="C1489" s="1091">
        <v>46237</v>
      </c>
      <c r="D1489" s="1091"/>
      <c r="E1489" s="1008" t="s">
        <v>1038</v>
      </c>
      <c r="F1489" s="1077"/>
      <c r="G1489" s="1002"/>
      <c r="H1489" s="1111"/>
      <c r="I1489" s="1008" t="s">
        <v>1100</v>
      </c>
      <c r="J1489" s="1007" t="s">
        <v>62</v>
      </c>
      <c r="K1489" s="1002" t="s">
        <v>63</v>
      </c>
      <c r="L1489" s="1024" t="s">
        <v>18</v>
      </c>
      <c r="M1489" s="1093">
        <v>1</v>
      </c>
      <c r="N1489" s="1081">
        <v>0</v>
      </c>
      <c r="O1489" s="1081">
        <f t="shared" si="244"/>
        <v>0</v>
      </c>
      <c r="P1489" s="1081">
        <f t="shared" si="242"/>
        <v>0</v>
      </c>
      <c r="Q1489" s="1082">
        <f t="shared" si="239"/>
        <v>0</v>
      </c>
      <c r="R1489" s="1081"/>
      <c r="S1489" s="1081"/>
      <c r="T1489" s="1081"/>
      <c r="U1489" s="1081"/>
      <c r="V1489" s="1083">
        <f t="shared" si="243"/>
        <v>0</v>
      </c>
    </row>
    <row r="1490" spans="1:22" s="1003" customFormat="1" hidden="1">
      <c r="A1490" s="1040" t="s">
        <v>1150</v>
      </c>
      <c r="B1490" s="1001" t="s">
        <v>1271</v>
      </c>
      <c r="C1490" s="1091">
        <v>46237</v>
      </c>
      <c r="D1490" s="1091"/>
      <c r="E1490" s="1008" t="s">
        <v>1038</v>
      </c>
      <c r="F1490" s="1077"/>
      <c r="G1490" s="1002"/>
      <c r="H1490" s="1111"/>
      <c r="I1490" s="1008" t="s">
        <v>1100</v>
      </c>
      <c r="J1490" s="1007" t="s">
        <v>1029</v>
      </c>
      <c r="K1490" s="1002" t="s">
        <v>382</v>
      </c>
      <c r="L1490" s="1024" t="s">
        <v>18</v>
      </c>
      <c r="M1490" s="1093">
        <v>1</v>
      </c>
      <c r="N1490" s="1081">
        <v>0</v>
      </c>
      <c r="O1490" s="1081">
        <f t="shared" si="244"/>
        <v>0</v>
      </c>
      <c r="P1490" s="1081">
        <f t="shared" si="242"/>
        <v>0</v>
      </c>
      <c r="Q1490" s="1082">
        <f t="shared" si="239"/>
        <v>0</v>
      </c>
      <c r="R1490" s="1081"/>
      <c r="S1490" s="1081"/>
      <c r="T1490" s="1081"/>
      <c r="U1490" s="1081"/>
      <c r="V1490" s="1083">
        <f t="shared" si="243"/>
        <v>0</v>
      </c>
    </row>
    <row r="1491" spans="1:22" s="1003" customFormat="1" hidden="1">
      <c r="A1491" s="1040" t="s">
        <v>1150</v>
      </c>
      <c r="B1491" s="1001" t="s">
        <v>1271</v>
      </c>
      <c r="C1491" s="1091">
        <v>46237</v>
      </c>
      <c r="D1491" s="1091"/>
      <c r="E1491" s="1008" t="s">
        <v>1038</v>
      </c>
      <c r="F1491" s="1077"/>
      <c r="G1491" s="1002"/>
      <c r="H1491" s="1111"/>
      <c r="I1491" s="1008" t="s">
        <v>1100</v>
      </c>
      <c r="J1491" s="1007" t="s">
        <v>1030</v>
      </c>
      <c r="K1491" s="1003" t="s">
        <v>229</v>
      </c>
      <c r="L1491" s="1024" t="s">
        <v>18</v>
      </c>
      <c r="M1491" s="1093">
        <v>1</v>
      </c>
      <c r="N1491" s="1081">
        <v>0</v>
      </c>
      <c r="O1491" s="1081">
        <f t="shared" si="244"/>
        <v>0</v>
      </c>
      <c r="P1491" s="1081">
        <f t="shared" si="242"/>
        <v>0</v>
      </c>
      <c r="Q1491" s="1082">
        <f t="shared" si="239"/>
        <v>0</v>
      </c>
      <c r="R1491" s="1081"/>
      <c r="S1491" s="1081"/>
      <c r="T1491" s="1081"/>
      <c r="U1491" s="1081"/>
      <c r="V1491" s="1083">
        <f t="shared" si="243"/>
        <v>0</v>
      </c>
    </row>
    <row r="1492" spans="1:22" s="1003" customFormat="1" hidden="1">
      <c r="A1492" s="1040" t="s">
        <v>1150</v>
      </c>
      <c r="B1492" s="1001" t="s">
        <v>1271</v>
      </c>
      <c r="C1492" s="1091">
        <v>46237</v>
      </c>
      <c r="D1492" s="1091"/>
      <c r="E1492" s="1008" t="s">
        <v>1038</v>
      </c>
      <c r="F1492" s="1077"/>
      <c r="G1492" s="1002"/>
      <c r="H1492" s="1111"/>
      <c r="I1492" s="1008" t="s">
        <v>1100</v>
      </c>
      <c r="J1492" s="1007" t="s">
        <v>1031</v>
      </c>
      <c r="K1492" s="1005" t="s">
        <v>69</v>
      </c>
      <c r="L1492" s="1024" t="s">
        <v>18</v>
      </c>
      <c r="M1492" s="1093">
        <v>1</v>
      </c>
      <c r="N1492" s="1081">
        <v>0</v>
      </c>
      <c r="O1492" s="1081">
        <f t="shared" si="244"/>
        <v>0</v>
      </c>
      <c r="P1492" s="1081">
        <f t="shared" si="242"/>
        <v>0</v>
      </c>
      <c r="Q1492" s="1082">
        <f t="shared" si="239"/>
        <v>0</v>
      </c>
      <c r="R1492" s="1081"/>
      <c r="S1492" s="1081"/>
      <c r="T1492" s="1081"/>
      <c r="U1492" s="1081"/>
      <c r="V1492" s="1083">
        <f t="shared" si="243"/>
        <v>0</v>
      </c>
    </row>
    <row r="1493" spans="1:22" s="1003" customFormat="1" hidden="1">
      <c r="A1493" s="1040" t="s">
        <v>1150</v>
      </c>
      <c r="B1493" s="1001" t="s">
        <v>1271</v>
      </c>
      <c r="C1493" s="1091">
        <v>46237</v>
      </c>
      <c r="D1493" s="1091"/>
      <c r="E1493" s="1008" t="s">
        <v>1038</v>
      </c>
      <c r="F1493" s="1077"/>
      <c r="G1493" s="1002"/>
      <c r="H1493" s="1111"/>
      <c r="I1493" s="1008" t="s">
        <v>1100</v>
      </c>
      <c r="J1493" s="1007" t="s">
        <v>1032</v>
      </c>
      <c r="K1493" s="1002" t="s">
        <v>78</v>
      </c>
      <c r="L1493" s="1024" t="s">
        <v>18</v>
      </c>
      <c r="M1493" s="1093">
        <v>1</v>
      </c>
      <c r="N1493" s="1081">
        <v>0</v>
      </c>
      <c r="O1493" s="1081">
        <f t="shared" si="244"/>
        <v>0</v>
      </c>
      <c r="P1493" s="1081">
        <f t="shared" si="242"/>
        <v>0</v>
      </c>
      <c r="Q1493" s="1082">
        <f t="shared" si="239"/>
        <v>0</v>
      </c>
      <c r="R1493" s="1081"/>
      <c r="S1493" s="1081"/>
      <c r="T1493" s="1081"/>
      <c r="U1493" s="1081"/>
      <c r="V1493" s="1083">
        <f t="shared" si="243"/>
        <v>0</v>
      </c>
    </row>
    <row r="1494" spans="1:22" s="1003" customFormat="1" hidden="1">
      <c r="A1494" s="1040" t="s">
        <v>1150</v>
      </c>
      <c r="B1494" s="1001" t="s">
        <v>1271</v>
      </c>
      <c r="C1494" s="1091">
        <v>46237</v>
      </c>
      <c r="D1494" s="1091"/>
      <c r="E1494" s="1008" t="s">
        <v>1038</v>
      </c>
      <c r="F1494" s="1077"/>
      <c r="G1494" s="1002"/>
      <c r="H1494" s="1111"/>
      <c r="I1494" s="1008" t="s">
        <v>1100</v>
      </c>
      <c r="J1494" s="1007" t="s">
        <v>1033</v>
      </c>
      <c r="K1494" s="1002" t="s">
        <v>874</v>
      </c>
      <c r="L1494" s="1024" t="s">
        <v>18</v>
      </c>
      <c r="M1494" s="1093">
        <v>1</v>
      </c>
      <c r="N1494" s="1081">
        <v>0</v>
      </c>
      <c r="O1494" s="1081">
        <f t="shared" si="244"/>
        <v>0</v>
      </c>
      <c r="P1494" s="1081">
        <f t="shared" si="242"/>
        <v>0</v>
      </c>
      <c r="Q1494" s="1082">
        <f t="shared" si="239"/>
        <v>0</v>
      </c>
      <c r="R1494" s="1081"/>
      <c r="S1494" s="1081"/>
      <c r="T1494" s="1081"/>
      <c r="U1494" s="1081"/>
      <c r="V1494" s="1083">
        <f t="shared" si="243"/>
        <v>0</v>
      </c>
    </row>
    <row r="1495" spans="1:22" s="1003" customFormat="1" hidden="1">
      <c r="A1495" s="1040" t="s">
        <v>1150</v>
      </c>
      <c r="B1495" s="1001" t="s">
        <v>1271</v>
      </c>
      <c r="C1495" s="1091">
        <v>46237</v>
      </c>
      <c r="D1495" s="1091"/>
      <c r="E1495" s="1008" t="s">
        <v>1038</v>
      </c>
      <c r="F1495" s="1077"/>
      <c r="G1495" s="1002"/>
      <c r="H1495" s="1111"/>
      <c r="I1495" s="1008" t="s">
        <v>1100</v>
      </c>
      <c r="J1495" s="1007" t="s">
        <v>1034</v>
      </c>
      <c r="K1495" s="1002" t="s">
        <v>797</v>
      </c>
      <c r="L1495" s="1024" t="s">
        <v>18</v>
      </c>
      <c r="M1495" s="1093">
        <v>1</v>
      </c>
      <c r="N1495" s="1081">
        <v>0</v>
      </c>
      <c r="O1495" s="1081">
        <f t="shared" si="244"/>
        <v>0</v>
      </c>
      <c r="P1495" s="1081">
        <f t="shared" si="242"/>
        <v>0</v>
      </c>
      <c r="Q1495" s="1082">
        <f t="shared" si="239"/>
        <v>0</v>
      </c>
      <c r="R1495" s="1081"/>
      <c r="S1495" s="1081"/>
      <c r="T1495" s="1081"/>
      <c r="U1495" s="1081"/>
      <c r="V1495" s="1083">
        <f t="shared" si="243"/>
        <v>0</v>
      </c>
    </row>
    <row r="1496" spans="1:22" s="1003" customFormat="1" hidden="1">
      <c r="A1496" s="1040" t="s">
        <v>1150</v>
      </c>
      <c r="B1496" s="1001" t="s">
        <v>1271</v>
      </c>
      <c r="C1496" s="1091">
        <v>46237</v>
      </c>
      <c r="D1496" s="1091"/>
      <c r="E1496" s="1008" t="s">
        <v>1038</v>
      </c>
      <c r="F1496" s="1077"/>
      <c r="G1496" s="1002"/>
      <c r="H1496" s="1111"/>
      <c r="I1496" s="1008" t="s">
        <v>1100</v>
      </c>
      <c r="J1496" s="1007" t="s">
        <v>1035</v>
      </c>
      <c r="K1496" s="1002" t="s">
        <v>799</v>
      </c>
      <c r="L1496" s="1024" t="s">
        <v>18</v>
      </c>
      <c r="M1496" s="1093">
        <v>1</v>
      </c>
      <c r="N1496" s="1081">
        <v>0</v>
      </c>
      <c r="O1496" s="1081">
        <f t="shared" si="244"/>
        <v>0</v>
      </c>
      <c r="P1496" s="1081">
        <f t="shared" si="242"/>
        <v>0</v>
      </c>
      <c r="Q1496" s="1082">
        <f t="shared" si="239"/>
        <v>0</v>
      </c>
      <c r="R1496" s="1081"/>
      <c r="S1496" s="1081"/>
      <c r="T1496" s="1081"/>
      <c r="U1496" s="1081"/>
      <c r="V1496" s="1083">
        <f t="shared" si="243"/>
        <v>0</v>
      </c>
    </row>
    <row r="1497" spans="1:22" s="1003" customFormat="1" hidden="1">
      <c r="A1497" s="1040" t="s">
        <v>1150</v>
      </c>
      <c r="B1497" s="1001" t="s">
        <v>1271</v>
      </c>
      <c r="C1497" s="1091">
        <v>46237</v>
      </c>
      <c r="D1497" s="1091"/>
      <c r="E1497" s="1008" t="s">
        <v>1038</v>
      </c>
      <c r="F1497" s="1077"/>
      <c r="G1497" s="1002"/>
      <c r="H1497" s="1111"/>
      <c r="I1497" s="1008" t="s">
        <v>1100</v>
      </c>
      <c r="J1497" s="1007" t="s">
        <v>1036</v>
      </c>
      <c r="K1497" s="1002" t="s">
        <v>733</v>
      </c>
      <c r="L1497" s="1024" t="s">
        <v>18</v>
      </c>
      <c r="M1497" s="1093">
        <v>1</v>
      </c>
      <c r="N1497" s="1081">
        <v>0</v>
      </c>
      <c r="O1497" s="1081">
        <f t="shared" si="244"/>
        <v>0</v>
      </c>
      <c r="P1497" s="1081">
        <f t="shared" si="242"/>
        <v>0</v>
      </c>
      <c r="Q1497" s="1082">
        <f t="shared" si="239"/>
        <v>0</v>
      </c>
      <c r="R1497" s="1081"/>
      <c r="S1497" s="1081"/>
      <c r="T1497" s="1081"/>
      <c r="U1497" s="1081"/>
      <c r="V1497" s="1083">
        <f t="shared" si="243"/>
        <v>0</v>
      </c>
    </row>
    <row r="1498" spans="1:22" s="1003" customFormat="1" hidden="1">
      <c r="A1498" s="1040" t="s">
        <v>1150</v>
      </c>
      <c r="B1498" s="1001" t="s">
        <v>1271</v>
      </c>
      <c r="C1498" s="1076">
        <v>46240</v>
      </c>
      <c r="D1498" s="1076"/>
      <c r="E1498" s="1008" t="s">
        <v>1039</v>
      </c>
      <c r="F1498" s="1077"/>
      <c r="G1498" s="1002"/>
      <c r="H1498" s="1111"/>
      <c r="I1498" s="1008" t="s">
        <v>1390</v>
      </c>
      <c r="J1498" s="1007" t="s">
        <v>1033</v>
      </c>
      <c r="K1498" s="1002" t="s">
        <v>874</v>
      </c>
      <c r="L1498" s="1024" t="s">
        <v>18</v>
      </c>
      <c r="M1498" s="1093">
        <v>1</v>
      </c>
      <c r="N1498" s="1081">
        <v>0</v>
      </c>
      <c r="O1498" s="1081">
        <f t="shared" si="244"/>
        <v>0</v>
      </c>
      <c r="P1498" s="1081">
        <f t="shared" si="242"/>
        <v>0</v>
      </c>
      <c r="Q1498" s="1082">
        <f t="shared" si="239"/>
        <v>0</v>
      </c>
      <c r="R1498" s="1081"/>
      <c r="S1498" s="1081"/>
      <c r="T1498" s="1081"/>
      <c r="U1498" s="1081"/>
      <c r="V1498" s="1083">
        <f t="shared" si="243"/>
        <v>0</v>
      </c>
    </row>
    <row r="1499" spans="1:22" s="1003" customFormat="1" hidden="1">
      <c r="A1499" s="1040" t="s">
        <v>1150</v>
      </c>
      <c r="B1499" s="1001" t="s">
        <v>1271</v>
      </c>
      <c r="C1499" s="1076">
        <v>46240</v>
      </c>
      <c r="D1499" s="1076"/>
      <c r="E1499" s="1008" t="s">
        <v>1039</v>
      </c>
      <c r="F1499" s="1077"/>
      <c r="G1499" s="1002"/>
      <c r="H1499" s="1111"/>
      <c r="I1499" s="1008" t="s">
        <v>1390</v>
      </c>
      <c r="J1499" s="1007" t="s">
        <v>1034</v>
      </c>
      <c r="K1499" s="1002" t="s">
        <v>797</v>
      </c>
      <c r="L1499" s="1024" t="s">
        <v>18</v>
      </c>
      <c r="M1499" s="1093">
        <v>1</v>
      </c>
      <c r="N1499" s="1081">
        <v>0</v>
      </c>
      <c r="O1499" s="1081">
        <f t="shared" si="244"/>
        <v>0</v>
      </c>
      <c r="P1499" s="1081">
        <f t="shared" si="242"/>
        <v>0</v>
      </c>
      <c r="Q1499" s="1082">
        <f t="shared" si="239"/>
        <v>0</v>
      </c>
      <c r="R1499" s="1081"/>
      <c r="S1499" s="1081"/>
      <c r="T1499" s="1081"/>
      <c r="U1499" s="1081"/>
      <c r="V1499" s="1083">
        <f t="shared" si="243"/>
        <v>0</v>
      </c>
    </row>
    <row r="1500" spans="1:22" s="1003" customFormat="1" hidden="1">
      <c r="A1500" s="1040" t="s">
        <v>1150</v>
      </c>
      <c r="B1500" s="1001" t="s">
        <v>1271</v>
      </c>
      <c r="C1500" s="1076">
        <v>46240</v>
      </c>
      <c r="D1500" s="1076"/>
      <c r="E1500" s="1008" t="s">
        <v>1039</v>
      </c>
      <c r="F1500" s="1077"/>
      <c r="G1500" s="1002"/>
      <c r="H1500" s="1111"/>
      <c r="I1500" s="1008" t="s">
        <v>1390</v>
      </c>
      <c r="J1500" s="1007" t="s">
        <v>1035</v>
      </c>
      <c r="K1500" s="1002" t="s">
        <v>799</v>
      </c>
      <c r="L1500" s="1024" t="s">
        <v>18</v>
      </c>
      <c r="M1500" s="1093">
        <v>1</v>
      </c>
      <c r="N1500" s="1081">
        <v>0</v>
      </c>
      <c r="O1500" s="1081">
        <f t="shared" si="244"/>
        <v>0</v>
      </c>
      <c r="P1500" s="1081">
        <f t="shared" si="242"/>
        <v>0</v>
      </c>
      <c r="Q1500" s="1082">
        <f t="shared" si="239"/>
        <v>0</v>
      </c>
      <c r="R1500" s="1081"/>
      <c r="S1500" s="1081"/>
      <c r="T1500" s="1081"/>
      <c r="U1500" s="1081"/>
      <c r="V1500" s="1083">
        <f t="shared" si="243"/>
        <v>0</v>
      </c>
    </row>
    <row r="1501" spans="1:22" s="1003" customFormat="1" hidden="1">
      <c r="A1501" s="1040" t="s">
        <v>1150</v>
      </c>
      <c r="B1501" s="1001" t="s">
        <v>1271</v>
      </c>
      <c r="C1501" s="1076">
        <v>46245</v>
      </c>
      <c r="D1501" s="1076"/>
      <c r="E1501" s="1008" t="s">
        <v>1037</v>
      </c>
      <c r="F1501" s="1077"/>
      <c r="G1501" s="1002"/>
      <c r="H1501" s="1111"/>
      <c r="I1501" s="1008" t="s">
        <v>1390</v>
      </c>
      <c r="J1501" s="1007" t="s">
        <v>1024</v>
      </c>
      <c r="K1501" s="1002" t="s">
        <v>640</v>
      </c>
      <c r="L1501" s="1024" t="s">
        <v>18</v>
      </c>
      <c r="M1501" s="1093">
        <v>1</v>
      </c>
      <c r="N1501" s="1081">
        <v>0</v>
      </c>
      <c r="O1501" s="1081">
        <f t="shared" si="244"/>
        <v>0</v>
      </c>
      <c r="P1501" s="1081">
        <f t="shared" si="242"/>
        <v>0</v>
      </c>
      <c r="Q1501" s="1082">
        <f t="shared" si="239"/>
        <v>0</v>
      </c>
      <c r="R1501" s="1081"/>
      <c r="S1501" s="1081"/>
      <c r="T1501" s="1081"/>
      <c r="U1501" s="1081"/>
      <c r="V1501" s="1083">
        <f t="shared" si="243"/>
        <v>0</v>
      </c>
    </row>
    <row r="1502" spans="1:22" s="1003" customFormat="1" hidden="1">
      <c r="A1502" s="1040" t="s">
        <v>1150</v>
      </c>
      <c r="B1502" s="1001" t="s">
        <v>1271</v>
      </c>
      <c r="C1502" s="1076">
        <v>46245</v>
      </c>
      <c r="D1502" s="1076"/>
      <c r="E1502" s="1008" t="s">
        <v>1037</v>
      </c>
      <c r="F1502" s="1077"/>
      <c r="G1502" s="1002"/>
      <c r="H1502" s="1111"/>
      <c r="I1502" s="1008" t="s">
        <v>1390</v>
      </c>
      <c r="J1502" s="1007" t="s">
        <v>1040</v>
      </c>
      <c r="K1502" s="1008" t="s">
        <v>657</v>
      </c>
      <c r="L1502" s="1024" t="s">
        <v>18</v>
      </c>
      <c r="M1502" s="1093">
        <v>1</v>
      </c>
      <c r="N1502" s="1081">
        <v>0</v>
      </c>
      <c r="O1502" s="1081">
        <f t="shared" si="244"/>
        <v>0</v>
      </c>
      <c r="P1502" s="1081">
        <f t="shared" si="242"/>
        <v>0</v>
      </c>
      <c r="Q1502" s="1082">
        <f t="shared" si="239"/>
        <v>0</v>
      </c>
      <c r="R1502" s="1081"/>
      <c r="S1502" s="1081"/>
      <c r="T1502" s="1081"/>
      <c r="U1502" s="1081"/>
      <c r="V1502" s="1083">
        <f t="shared" si="243"/>
        <v>0</v>
      </c>
    </row>
    <row r="1503" spans="1:22" s="1003" customFormat="1" hidden="1">
      <c r="A1503" s="1040" t="s">
        <v>1150</v>
      </c>
      <c r="B1503" s="1001" t="s">
        <v>1271</v>
      </c>
      <c r="C1503" s="1076">
        <v>46245</v>
      </c>
      <c r="D1503" s="1076"/>
      <c r="E1503" s="1008" t="s">
        <v>1037</v>
      </c>
      <c r="F1503" s="1077"/>
      <c r="G1503" s="1002"/>
      <c r="H1503" s="1111"/>
      <c r="I1503" s="1008" t="s">
        <v>1390</v>
      </c>
      <c r="J1503" s="1007" t="s">
        <v>1041</v>
      </c>
      <c r="K1503" s="1002" t="s">
        <v>644</v>
      </c>
      <c r="L1503" s="1024" t="s">
        <v>18</v>
      </c>
      <c r="M1503" s="1093">
        <v>1</v>
      </c>
      <c r="N1503" s="1081">
        <v>0</v>
      </c>
      <c r="O1503" s="1081">
        <f t="shared" si="244"/>
        <v>0</v>
      </c>
      <c r="P1503" s="1081">
        <f t="shared" si="242"/>
        <v>0</v>
      </c>
      <c r="Q1503" s="1082">
        <f t="shared" si="239"/>
        <v>0</v>
      </c>
      <c r="R1503" s="1081"/>
      <c r="S1503" s="1081"/>
      <c r="T1503" s="1081"/>
      <c r="U1503" s="1081"/>
      <c r="V1503" s="1083">
        <f t="shared" si="243"/>
        <v>0</v>
      </c>
    </row>
    <row r="1504" spans="1:22" s="1003" customFormat="1" hidden="1">
      <c r="A1504" s="1040" t="s">
        <v>1150</v>
      </c>
      <c r="B1504" s="1001" t="s">
        <v>1271</v>
      </c>
      <c r="C1504" s="1076">
        <v>46245</v>
      </c>
      <c r="D1504" s="1076"/>
      <c r="E1504" s="1008" t="s">
        <v>1037</v>
      </c>
      <c r="F1504" s="1077"/>
      <c r="G1504" s="1002"/>
      <c r="H1504" s="1111"/>
      <c r="I1504" s="1008" t="s">
        <v>1390</v>
      </c>
      <c r="J1504" s="1007" t="s">
        <v>1025</v>
      </c>
      <c r="K1504" s="1002" t="s">
        <v>646</v>
      </c>
      <c r="L1504" s="1024" t="s">
        <v>18</v>
      </c>
      <c r="M1504" s="1093">
        <v>1</v>
      </c>
      <c r="N1504" s="1081">
        <v>0</v>
      </c>
      <c r="O1504" s="1081">
        <f t="shared" si="244"/>
        <v>0</v>
      </c>
      <c r="P1504" s="1081">
        <f t="shared" si="242"/>
        <v>0</v>
      </c>
      <c r="Q1504" s="1082">
        <f t="shared" si="239"/>
        <v>0</v>
      </c>
      <c r="R1504" s="1081"/>
      <c r="S1504" s="1081"/>
      <c r="T1504" s="1081"/>
      <c r="U1504" s="1081"/>
      <c r="V1504" s="1083">
        <f t="shared" si="243"/>
        <v>0</v>
      </c>
    </row>
    <row r="1505" spans="1:22" s="1003" customFormat="1" hidden="1">
      <c r="A1505" s="1040" t="s">
        <v>1150</v>
      </c>
      <c r="B1505" s="1001" t="s">
        <v>1271</v>
      </c>
      <c r="C1505" s="1076">
        <v>46245</v>
      </c>
      <c r="D1505" s="1076"/>
      <c r="E1505" s="1008" t="s">
        <v>1037</v>
      </c>
      <c r="F1505" s="1077"/>
      <c r="G1505" s="1002"/>
      <c r="H1505" s="1111"/>
      <c r="I1505" s="1008" t="s">
        <v>1390</v>
      </c>
      <c r="J1505" s="1007" t="s">
        <v>1042</v>
      </c>
      <c r="K1505" s="1008" t="s">
        <v>650</v>
      </c>
      <c r="L1505" s="1024" t="s">
        <v>18</v>
      </c>
      <c r="M1505" s="1093">
        <v>1</v>
      </c>
      <c r="N1505" s="1081">
        <v>0</v>
      </c>
      <c r="O1505" s="1081">
        <f t="shared" si="244"/>
        <v>0</v>
      </c>
      <c r="P1505" s="1081">
        <f t="shared" si="242"/>
        <v>0</v>
      </c>
      <c r="Q1505" s="1082">
        <f t="shared" si="239"/>
        <v>0</v>
      </c>
      <c r="R1505" s="1081"/>
      <c r="S1505" s="1081"/>
      <c r="T1505" s="1081"/>
      <c r="U1505" s="1081"/>
      <c r="V1505" s="1083">
        <f t="shared" si="243"/>
        <v>0</v>
      </c>
    </row>
    <row r="1506" spans="1:22" s="1003" customFormat="1" hidden="1">
      <c r="A1506" s="1040" t="s">
        <v>1150</v>
      </c>
      <c r="B1506" s="1001" t="s">
        <v>1271</v>
      </c>
      <c r="C1506" s="1076">
        <v>46245</v>
      </c>
      <c r="D1506" s="1076"/>
      <c r="E1506" s="1008" t="s">
        <v>1037</v>
      </c>
      <c r="F1506" s="1077"/>
      <c r="G1506" s="1002"/>
      <c r="H1506" s="1111"/>
      <c r="I1506" s="1008" t="s">
        <v>1390</v>
      </c>
      <c r="J1506" s="1007" t="s">
        <v>1043</v>
      </c>
      <c r="K1506" s="1002" t="s">
        <v>930</v>
      </c>
      <c r="L1506" s="1024" t="s">
        <v>18</v>
      </c>
      <c r="M1506" s="1093">
        <v>1</v>
      </c>
      <c r="N1506" s="1081">
        <v>0</v>
      </c>
      <c r="O1506" s="1081">
        <f t="shared" si="244"/>
        <v>0</v>
      </c>
      <c r="P1506" s="1081">
        <f t="shared" si="242"/>
        <v>0</v>
      </c>
      <c r="Q1506" s="1082">
        <f t="shared" si="239"/>
        <v>0</v>
      </c>
      <c r="R1506" s="1081"/>
      <c r="S1506" s="1081"/>
      <c r="T1506" s="1081"/>
      <c r="U1506" s="1081"/>
      <c r="V1506" s="1083">
        <f t="shared" si="243"/>
        <v>0</v>
      </c>
    </row>
    <row r="1507" spans="1:22" s="1003" customFormat="1" hidden="1">
      <c r="A1507" s="1040" t="s">
        <v>1150</v>
      </c>
      <c r="B1507" s="1001" t="s">
        <v>1271</v>
      </c>
      <c r="C1507" s="1076">
        <v>46245</v>
      </c>
      <c r="D1507" s="1076"/>
      <c r="E1507" s="1008" t="s">
        <v>1037</v>
      </c>
      <c r="F1507" s="1077"/>
      <c r="G1507" s="1002"/>
      <c r="H1507" s="1111"/>
      <c r="I1507" s="1008" t="s">
        <v>1390</v>
      </c>
      <c r="J1507" s="1007" t="s">
        <v>1044</v>
      </c>
      <c r="K1507" s="1002" t="s">
        <v>648</v>
      </c>
      <c r="L1507" s="1024" t="s">
        <v>18</v>
      </c>
      <c r="M1507" s="1093">
        <v>1</v>
      </c>
      <c r="N1507" s="1081">
        <v>0</v>
      </c>
      <c r="O1507" s="1081">
        <f t="shared" si="244"/>
        <v>0</v>
      </c>
      <c r="P1507" s="1081">
        <f t="shared" si="242"/>
        <v>0</v>
      </c>
      <c r="Q1507" s="1082">
        <f t="shared" si="239"/>
        <v>0</v>
      </c>
      <c r="R1507" s="1081"/>
      <c r="S1507" s="1081"/>
      <c r="T1507" s="1081"/>
      <c r="U1507" s="1081"/>
      <c r="V1507" s="1083">
        <f t="shared" si="243"/>
        <v>0</v>
      </c>
    </row>
    <row r="1508" spans="1:22" s="1003" customFormat="1" hidden="1">
      <c r="A1508" s="1040" t="s">
        <v>1150</v>
      </c>
      <c r="B1508" s="1001" t="s">
        <v>1271</v>
      </c>
      <c r="C1508" s="1076">
        <v>46245</v>
      </c>
      <c r="D1508" s="1076"/>
      <c r="E1508" s="1008" t="s">
        <v>1037</v>
      </c>
      <c r="F1508" s="1077"/>
      <c r="G1508" s="1002"/>
      <c r="H1508" s="1111"/>
      <c r="I1508" s="1008" t="s">
        <v>1390</v>
      </c>
      <c r="J1508" s="1007" t="s">
        <v>1033</v>
      </c>
      <c r="K1508" s="1002" t="s">
        <v>874</v>
      </c>
      <c r="L1508" s="1024" t="s">
        <v>18</v>
      </c>
      <c r="M1508" s="1093">
        <v>1</v>
      </c>
      <c r="N1508" s="1081">
        <v>0</v>
      </c>
      <c r="O1508" s="1081">
        <f t="shared" si="244"/>
        <v>0</v>
      </c>
      <c r="P1508" s="1081">
        <f t="shared" si="242"/>
        <v>0</v>
      </c>
      <c r="Q1508" s="1082">
        <f t="shared" si="239"/>
        <v>0</v>
      </c>
      <c r="R1508" s="1081"/>
      <c r="S1508" s="1081"/>
      <c r="T1508" s="1081"/>
      <c r="U1508" s="1081"/>
      <c r="V1508" s="1083">
        <f t="shared" si="243"/>
        <v>0</v>
      </c>
    </row>
    <row r="1509" spans="1:22" s="1003" customFormat="1" hidden="1">
      <c r="A1509" s="1040" t="s">
        <v>1150</v>
      </c>
      <c r="B1509" s="1001" t="s">
        <v>1271</v>
      </c>
      <c r="C1509" s="1076">
        <v>46245</v>
      </c>
      <c r="D1509" s="1076"/>
      <c r="E1509" s="1008" t="s">
        <v>1037</v>
      </c>
      <c r="F1509" s="1077"/>
      <c r="G1509" s="1002"/>
      <c r="H1509" s="1111"/>
      <c r="I1509" s="1008" t="s">
        <v>1390</v>
      </c>
      <c r="J1509" s="1007" t="s">
        <v>1034</v>
      </c>
      <c r="K1509" s="1002" t="s">
        <v>797</v>
      </c>
      <c r="L1509" s="1024" t="s">
        <v>18</v>
      </c>
      <c r="M1509" s="1093">
        <v>1</v>
      </c>
      <c r="N1509" s="1081">
        <v>0</v>
      </c>
      <c r="O1509" s="1081">
        <f t="shared" si="244"/>
        <v>0</v>
      </c>
      <c r="P1509" s="1081">
        <f t="shared" si="242"/>
        <v>0</v>
      </c>
      <c r="Q1509" s="1082">
        <f t="shared" si="239"/>
        <v>0</v>
      </c>
      <c r="R1509" s="1081"/>
      <c r="S1509" s="1081"/>
      <c r="T1509" s="1081"/>
      <c r="U1509" s="1081"/>
      <c r="V1509" s="1083">
        <f t="shared" si="243"/>
        <v>0</v>
      </c>
    </row>
    <row r="1510" spans="1:22" s="1003" customFormat="1" hidden="1">
      <c r="A1510" s="1040" t="s">
        <v>1150</v>
      </c>
      <c r="B1510" s="1001" t="s">
        <v>1271</v>
      </c>
      <c r="C1510" s="1076">
        <v>46245</v>
      </c>
      <c r="D1510" s="1076"/>
      <c r="E1510" s="1008" t="s">
        <v>1037</v>
      </c>
      <c r="F1510" s="1077"/>
      <c r="G1510" s="1002"/>
      <c r="H1510" s="1111"/>
      <c r="I1510" s="1008" t="s">
        <v>1390</v>
      </c>
      <c r="J1510" s="1007" t="s">
        <v>1035</v>
      </c>
      <c r="K1510" s="1002" t="s">
        <v>799</v>
      </c>
      <c r="L1510" s="1024" t="s">
        <v>18</v>
      </c>
      <c r="M1510" s="1093">
        <v>1</v>
      </c>
      <c r="N1510" s="1081">
        <v>0</v>
      </c>
      <c r="O1510" s="1081">
        <f t="shared" si="244"/>
        <v>0</v>
      </c>
      <c r="P1510" s="1081">
        <f t="shared" si="242"/>
        <v>0</v>
      </c>
      <c r="Q1510" s="1082">
        <f t="shared" si="239"/>
        <v>0</v>
      </c>
      <c r="R1510" s="1081"/>
      <c r="S1510" s="1081"/>
      <c r="T1510" s="1081"/>
      <c r="U1510" s="1081"/>
      <c r="V1510" s="1083">
        <f t="shared" si="243"/>
        <v>0</v>
      </c>
    </row>
    <row r="1511" spans="1:22" s="1003" customFormat="1" hidden="1">
      <c r="A1511" s="1040" t="s">
        <v>1138</v>
      </c>
      <c r="B1511" s="1040" t="s">
        <v>1134</v>
      </c>
      <c r="C1511" s="1076">
        <v>46263</v>
      </c>
      <c r="D1511" s="1076"/>
      <c r="E1511" s="1008" t="s">
        <v>1045</v>
      </c>
      <c r="F1511" s="1077"/>
      <c r="G1511" s="1002"/>
      <c r="H1511" s="1111"/>
      <c r="I1511" s="1008" t="s">
        <v>1135</v>
      </c>
      <c r="J1511" s="1007" t="s">
        <v>77</v>
      </c>
      <c r="K1511" s="1002" t="s">
        <v>78</v>
      </c>
      <c r="L1511" s="1024" t="s">
        <v>18</v>
      </c>
      <c r="M1511" s="1093">
        <v>12</v>
      </c>
      <c r="N1511" s="1081">
        <v>333333.33</v>
      </c>
      <c r="O1511" s="1081">
        <f>M1511*N1511</f>
        <v>3999999.96</v>
      </c>
      <c r="P1511" s="1081">
        <f t="shared" si="242"/>
        <v>319999.99680000002</v>
      </c>
      <c r="Q1511" s="1082">
        <f t="shared" si="239"/>
        <v>4319999.9567999998</v>
      </c>
      <c r="R1511" s="1081"/>
      <c r="S1511" s="1081"/>
      <c r="T1511" s="1081"/>
      <c r="U1511" s="1081"/>
      <c r="V1511" s="1083">
        <f t="shared" si="243"/>
        <v>4319999.9567999998</v>
      </c>
    </row>
    <row r="1512" spans="1:22" s="1003" customFormat="1" hidden="1">
      <c r="A1512" s="1040" t="s">
        <v>1138</v>
      </c>
      <c r="B1512" s="1040" t="s">
        <v>1134</v>
      </c>
      <c r="C1512" s="1076">
        <v>46263</v>
      </c>
      <c r="D1512" s="1076"/>
      <c r="E1512" s="1008" t="s">
        <v>1045</v>
      </c>
      <c r="F1512" s="1076">
        <v>46295</v>
      </c>
      <c r="G1512" s="1002"/>
      <c r="H1512" s="1111" t="s">
        <v>1307</v>
      </c>
      <c r="I1512" s="1008" t="s">
        <v>1135</v>
      </c>
      <c r="J1512" s="1007" t="s">
        <v>639</v>
      </c>
      <c r="K1512" s="1008" t="s">
        <v>640</v>
      </c>
      <c r="L1512" s="1024" t="s">
        <v>18</v>
      </c>
      <c r="M1512" s="1093">
        <v>15</v>
      </c>
      <c r="N1512" s="1081">
        <v>537037.04</v>
      </c>
      <c r="O1512" s="1081">
        <f>M1512*N1512</f>
        <v>8055555.6000000006</v>
      </c>
      <c r="P1512" s="1081">
        <f t="shared" si="242"/>
        <v>644444.44800000009</v>
      </c>
      <c r="Q1512" s="1082">
        <f t="shared" si="239"/>
        <v>8700000.0480000004</v>
      </c>
      <c r="R1512" s="1081"/>
      <c r="S1512" s="1081"/>
      <c r="T1512" s="1081"/>
      <c r="U1512" s="1081"/>
      <c r="V1512" s="1083">
        <f t="shared" si="243"/>
        <v>8700000.0480000004</v>
      </c>
    </row>
    <row r="1513" spans="1:22" s="1003" customFormat="1" hidden="1">
      <c r="A1513" s="1040" t="s">
        <v>1138</v>
      </c>
      <c r="B1513" s="1040" t="s">
        <v>1134</v>
      </c>
      <c r="C1513" s="1076">
        <v>46263</v>
      </c>
      <c r="D1513" s="1076"/>
      <c r="E1513" s="1008" t="s">
        <v>1045</v>
      </c>
      <c r="F1513" s="1076">
        <v>46295</v>
      </c>
      <c r="G1513" s="1002"/>
      <c r="H1513" s="1111" t="s">
        <v>1307</v>
      </c>
      <c r="I1513" s="1008" t="s">
        <v>1135</v>
      </c>
      <c r="J1513" s="1007" t="s">
        <v>641</v>
      </c>
      <c r="K1513" s="1008" t="s">
        <v>657</v>
      </c>
      <c r="L1513" s="1024" t="s">
        <v>18</v>
      </c>
      <c r="M1513" s="1093">
        <v>15</v>
      </c>
      <c r="N1513" s="1081">
        <v>638888.89</v>
      </c>
      <c r="O1513" s="1081">
        <f t="shared" ref="O1513:O1518" si="245">M1513*N1513</f>
        <v>9583333.3499999996</v>
      </c>
      <c r="P1513" s="1081">
        <f t="shared" si="242"/>
        <v>766666.66799999995</v>
      </c>
      <c r="Q1513" s="1082">
        <f t="shared" si="239"/>
        <v>10350000.017999999</v>
      </c>
      <c r="R1513" s="1081"/>
      <c r="S1513" s="1081"/>
      <c r="T1513" s="1081"/>
      <c r="U1513" s="1081"/>
      <c r="V1513" s="1083">
        <f t="shared" si="243"/>
        <v>10350000.017999999</v>
      </c>
    </row>
    <row r="1514" spans="1:22" s="1003" customFormat="1" hidden="1">
      <c r="A1514" s="1040" t="s">
        <v>1138</v>
      </c>
      <c r="B1514" s="1040" t="s">
        <v>1134</v>
      </c>
      <c r="C1514" s="1076">
        <v>46263</v>
      </c>
      <c r="D1514" s="1076"/>
      <c r="E1514" s="1008" t="s">
        <v>1045</v>
      </c>
      <c r="F1514" s="1076">
        <v>46295</v>
      </c>
      <c r="G1514" s="1002"/>
      <c r="H1514" s="1111" t="s">
        <v>1307</v>
      </c>
      <c r="I1514" s="1008" t="s">
        <v>1135</v>
      </c>
      <c r="J1514" s="1007" t="s">
        <v>643</v>
      </c>
      <c r="K1514" s="1008" t="s">
        <v>644</v>
      </c>
      <c r="L1514" s="1024" t="s">
        <v>18</v>
      </c>
      <c r="M1514" s="1093">
        <v>15</v>
      </c>
      <c r="N1514" s="1081">
        <v>527777.78</v>
      </c>
      <c r="O1514" s="1081">
        <f t="shared" si="245"/>
        <v>7916666.7000000002</v>
      </c>
      <c r="P1514" s="1081">
        <f t="shared" si="242"/>
        <v>633333.33600000001</v>
      </c>
      <c r="Q1514" s="1082">
        <f t="shared" si="239"/>
        <v>8550000.0360000003</v>
      </c>
      <c r="R1514" s="1081"/>
      <c r="S1514" s="1081"/>
      <c r="T1514" s="1081"/>
      <c r="U1514" s="1081"/>
      <c r="V1514" s="1083">
        <f t="shared" si="243"/>
        <v>8550000.0360000003</v>
      </c>
    </row>
    <row r="1515" spans="1:22" s="1003" customFormat="1" hidden="1">
      <c r="A1515" s="1040" t="s">
        <v>1138</v>
      </c>
      <c r="B1515" s="1040" t="s">
        <v>1134</v>
      </c>
      <c r="C1515" s="1076">
        <v>46263</v>
      </c>
      <c r="D1515" s="1076"/>
      <c r="E1515" s="1008" t="s">
        <v>1045</v>
      </c>
      <c r="F1515" s="1076">
        <v>46295</v>
      </c>
      <c r="G1515" s="1002"/>
      <c r="H1515" s="1111" t="s">
        <v>1307</v>
      </c>
      <c r="I1515" s="1008" t="s">
        <v>1135</v>
      </c>
      <c r="J1515" s="1007" t="s">
        <v>653</v>
      </c>
      <c r="K1515" s="1008" t="s">
        <v>654</v>
      </c>
      <c r="L1515" s="1024" t="s">
        <v>18</v>
      </c>
      <c r="M1515" s="1093">
        <v>15</v>
      </c>
      <c r="N1515" s="1081">
        <v>481481.48</v>
      </c>
      <c r="O1515" s="1081">
        <f t="shared" si="245"/>
        <v>7222222.1999999993</v>
      </c>
      <c r="P1515" s="1081">
        <f t="shared" si="242"/>
        <v>577777.77599999995</v>
      </c>
      <c r="Q1515" s="1082">
        <f t="shared" si="239"/>
        <v>7799999.9759999989</v>
      </c>
      <c r="R1515" s="1081"/>
      <c r="S1515" s="1081"/>
      <c r="T1515" s="1081"/>
      <c r="U1515" s="1081"/>
      <c r="V1515" s="1083">
        <f t="shared" si="243"/>
        <v>7799999.9759999989</v>
      </c>
    </row>
    <row r="1516" spans="1:22" s="1003" customFormat="1" hidden="1">
      <c r="A1516" s="1040" t="s">
        <v>1138</v>
      </c>
      <c r="B1516" s="1040" t="s">
        <v>1134</v>
      </c>
      <c r="C1516" s="1076">
        <v>46263</v>
      </c>
      <c r="D1516" s="1076"/>
      <c r="E1516" s="1008" t="s">
        <v>1045</v>
      </c>
      <c r="F1516" s="1076">
        <v>46295</v>
      </c>
      <c r="G1516" s="1002"/>
      <c r="H1516" s="1111" t="s">
        <v>1307</v>
      </c>
      <c r="I1516" s="1008" t="s">
        <v>1135</v>
      </c>
      <c r="J1516" s="1007" t="s">
        <v>655</v>
      </c>
      <c r="K1516" s="1008" t="s">
        <v>656</v>
      </c>
      <c r="L1516" s="1024" t="s">
        <v>18</v>
      </c>
      <c r="M1516" s="1093">
        <v>15</v>
      </c>
      <c r="N1516" s="1081">
        <v>574074.06999999995</v>
      </c>
      <c r="O1516" s="1081">
        <f t="shared" si="245"/>
        <v>8611111.0499999989</v>
      </c>
      <c r="P1516" s="1081">
        <f t="shared" si="242"/>
        <v>688888.88399999996</v>
      </c>
      <c r="Q1516" s="1082">
        <f t="shared" si="239"/>
        <v>9299999.9339999985</v>
      </c>
      <c r="R1516" s="1081"/>
      <c r="S1516" s="1081"/>
      <c r="T1516" s="1081"/>
      <c r="U1516" s="1081"/>
      <c r="V1516" s="1083">
        <f t="shared" si="243"/>
        <v>9299999.9339999985</v>
      </c>
    </row>
    <row r="1517" spans="1:22" s="1003" customFormat="1" hidden="1">
      <c r="A1517" s="1040" t="s">
        <v>1138</v>
      </c>
      <c r="B1517" s="1040" t="s">
        <v>1134</v>
      </c>
      <c r="C1517" s="1076">
        <v>46263</v>
      </c>
      <c r="D1517" s="1076"/>
      <c r="E1517" s="1008" t="s">
        <v>1045</v>
      </c>
      <c r="F1517" s="1076">
        <v>46268</v>
      </c>
      <c r="G1517" s="1002" t="s">
        <v>1083</v>
      </c>
      <c r="H1517" s="1111" t="s">
        <v>1082</v>
      </c>
      <c r="I1517" s="1008" t="s">
        <v>1135</v>
      </c>
      <c r="J1517" s="1007" t="s">
        <v>74</v>
      </c>
      <c r="K1517" s="1008" t="s">
        <v>141</v>
      </c>
      <c r="L1517" s="1024" t="s">
        <v>18</v>
      </c>
      <c r="M1517" s="1093">
        <v>16</v>
      </c>
      <c r="N1517" s="1081">
        <v>382407.41</v>
      </c>
      <c r="O1517" s="1081">
        <f t="shared" si="245"/>
        <v>6118518.5599999996</v>
      </c>
      <c r="P1517" s="1081">
        <f t="shared" si="242"/>
        <v>489481.48479999998</v>
      </c>
      <c r="Q1517" s="1082">
        <f t="shared" si="239"/>
        <v>6608000.0447999993</v>
      </c>
      <c r="R1517" s="1081"/>
      <c r="S1517" s="1081"/>
      <c r="T1517" s="1081"/>
      <c r="U1517" s="1081"/>
      <c r="V1517" s="1083">
        <f t="shared" si="243"/>
        <v>6608000.0447999993</v>
      </c>
    </row>
    <row r="1518" spans="1:22" s="1003" customFormat="1" hidden="1">
      <c r="A1518" s="1040" t="s">
        <v>1138</v>
      </c>
      <c r="B1518" s="1040" t="s">
        <v>1134</v>
      </c>
      <c r="C1518" s="1076">
        <v>46263</v>
      </c>
      <c r="D1518" s="1076"/>
      <c r="E1518" s="1008" t="s">
        <v>1045</v>
      </c>
      <c r="F1518" s="1076"/>
      <c r="G1518" s="1002"/>
      <c r="H1518" s="1111"/>
      <c r="I1518" s="1008" t="s">
        <v>1135</v>
      </c>
      <c r="J1518" s="1007" t="s">
        <v>171</v>
      </c>
      <c r="K1518" s="1008" t="s">
        <v>172</v>
      </c>
      <c r="L1518" s="1024" t="s">
        <v>18</v>
      </c>
      <c r="M1518" s="1093">
        <v>40</v>
      </c>
      <c r="N1518" s="1081">
        <v>69444.44</v>
      </c>
      <c r="O1518" s="1081">
        <f t="shared" si="245"/>
        <v>2777777.6</v>
      </c>
      <c r="P1518" s="1081">
        <f t="shared" si="242"/>
        <v>222222.20800000001</v>
      </c>
      <c r="Q1518" s="1082">
        <f t="shared" si="239"/>
        <v>2999999.8080000002</v>
      </c>
      <c r="R1518" s="1081"/>
      <c r="S1518" s="1081"/>
      <c r="T1518" s="1081"/>
      <c r="U1518" s="1081"/>
      <c r="V1518" s="1083">
        <f t="shared" si="243"/>
        <v>2999999.8080000002</v>
      </c>
    </row>
    <row r="1519" spans="1:22" s="1003" customFormat="1" hidden="1">
      <c r="A1519" s="1040" t="s">
        <v>1138</v>
      </c>
      <c r="B1519" s="1040" t="s">
        <v>1134</v>
      </c>
      <c r="C1519" s="1076">
        <v>46263</v>
      </c>
      <c r="D1519" s="1076"/>
      <c r="E1519" s="1008" t="s">
        <v>1045</v>
      </c>
      <c r="F1519" s="1076"/>
      <c r="G1519" s="1002"/>
      <c r="H1519" s="1111"/>
      <c r="I1519" s="1008" t="s">
        <v>1135</v>
      </c>
      <c r="J1519" s="1007" t="s">
        <v>173</v>
      </c>
      <c r="K1519" s="1008" t="s">
        <v>174</v>
      </c>
      <c r="L1519" s="1024" t="s">
        <v>18</v>
      </c>
      <c r="M1519" s="1093">
        <v>40</v>
      </c>
      <c r="N1519" s="1081">
        <v>97222.22</v>
      </c>
      <c r="O1519" s="1081">
        <f>M1519*N1519</f>
        <v>3888888.8</v>
      </c>
      <c r="P1519" s="1081">
        <f t="shared" si="242"/>
        <v>311111.10399999999</v>
      </c>
      <c r="Q1519" s="1082">
        <f t="shared" si="239"/>
        <v>4199999.9040000001</v>
      </c>
      <c r="R1519" s="1081"/>
      <c r="S1519" s="1081"/>
      <c r="T1519" s="1081"/>
      <c r="U1519" s="1081"/>
      <c r="V1519" s="1083">
        <f t="shared" si="243"/>
        <v>4199999.9040000001</v>
      </c>
    </row>
    <row r="1520" spans="1:22" s="1003" customFormat="1" hidden="1">
      <c r="A1520" s="1040" t="s">
        <v>1138</v>
      </c>
      <c r="B1520" s="1040" t="s">
        <v>1134</v>
      </c>
      <c r="C1520" s="1076">
        <v>46263</v>
      </c>
      <c r="D1520" s="1076"/>
      <c r="E1520" s="1008" t="s">
        <v>1045</v>
      </c>
      <c r="F1520" s="1076">
        <v>46295</v>
      </c>
      <c r="G1520" s="1002"/>
      <c r="H1520" s="1111" t="s">
        <v>1307</v>
      </c>
      <c r="I1520" s="1008" t="s">
        <v>1135</v>
      </c>
      <c r="J1520" s="1007" t="s">
        <v>639</v>
      </c>
      <c r="K1520" s="1008" t="s">
        <v>640</v>
      </c>
      <c r="L1520" s="1024" t="s">
        <v>18</v>
      </c>
      <c r="M1520" s="1093">
        <v>1</v>
      </c>
      <c r="N1520" s="1081">
        <v>0</v>
      </c>
      <c r="O1520" s="1081">
        <f>M1520*N1520</f>
        <v>0</v>
      </c>
      <c r="P1520" s="1081">
        <f t="shared" si="242"/>
        <v>0</v>
      </c>
      <c r="Q1520" s="1082">
        <f t="shared" si="239"/>
        <v>0</v>
      </c>
      <c r="R1520" s="1081"/>
      <c r="S1520" s="1081"/>
      <c r="T1520" s="1081"/>
      <c r="U1520" s="1081"/>
      <c r="V1520" s="1083">
        <f t="shared" si="243"/>
        <v>0</v>
      </c>
    </row>
    <row r="1521" spans="1:22" s="1003" customFormat="1" hidden="1">
      <c r="A1521" s="1040" t="s">
        <v>1138</v>
      </c>
      <c r="B1521" s="1040" t="s">
        <v>1134</v>
      </c>
      <c r="C1521" s="1076">
        <v>46263</v>
      </c>
      <c r="D1521" s="1076"/>
      <c r="E1521" s="1008" t="s">
        <v>1045</v>
      </c>
      <c r="F1521" s="1076">
        <v>46295</v>
      </c>
      <c r="G1521" s="1002"/>
      <c r="H1521" s="1111" t="s">
        <v>1307</v>
      </c>
      <c r="I1521" s="1008" t="s">
        <v>1135</v>
      </c>
      <c r="J1521" s="1007" t="s">
        <v>641</v>
      </c>
      <c r="K1521" s="1008" t="s">
        <v>657</v>
      </c>
      <c r="L1521" s="1024" t="s">
        <v>18</v>
      </c>
      <c r="M1521" s="1093">
        <v>1</v>
      </c>
      <c r="N1521" s="1081">
        <v>0</v>
      </c>
      <c r="O1521" s="1081">
        <f t="shared" ref="O1521:O1542" si="246">M1521*N1521</f>
        <v>0</v>
      </c>
      <c r="P1521" s="1081">
        <f t="shared" si="242"/>
        <v>0</v>
      </c>
      <c r="Q1521" s="1082">
        <f t="shared" si="239"/>
        <v>0</v>
      </c>
      <c r="R1521" s="1081"/>
      <c r="S1521" s="1081"/>
      <c r="T1521" s="1081"/>
      <c r="U1521" s="1081"/>
      <c r="V1521" s="1083">
        <f t="shared" si="243"/>
        <v>0</v>
      </c>
    </row>
    <row r="1522" spans="1:22" s="1003" customFormat="1" hidden="1">
      <c r="A1522" s="1040" t="s">
        <v>1138</v>
      </c>
      <c r="B1522" s="1040" t="s">
        <v>1134</v>
      </c>
      <c r="C1522" s="1076">
        <v>46263</v>
      </c>
      <c r="D1522" s="1076"/>
      <c r="E1522" s="1008" t="s">
        <v>1045</v>
      </c>
      <c r="F1522" s="1076">
        <v>46295</v>
      </c>
      <c r="G1522" s="1002"/>
      <c r="H1522" s="1111" t="s">
        <v>1307</v>
      </c>
      <c r="I1522" s="1008" t="s">
        <v>1135</v>
      </c>
      <c r="J1522" s="1007" t="s">
        <v>643</v>
      </c>
      <c r="K1522" s="1008" t="s">
        <v>644</v>
      </c>
      <c r="L1522" s="1024" t="s">
        <v>18</v>
      </c>
      <c r="M1522" s="1093">
        <v>1</v>
      </c>
      <c r="N1522" s="1081">
        <v>0</v>
      </c>
      <c r="O1522" s="1081">
        <f t="shared" si="246"/>
        <v>0</v>
      </c>
      <c r="P1522" s="1081">
        <f t="shared" si="242"/>
        <v>0</v>
      </c>
      <c r="Q1522" s="1082">
        <f t="shared" si="239"/>
        <v>0</v>
      </c>
      <c r="R1522" s="1081"/>
      <c r="S1522" s="1081"/>
      <c r="T1522" s="1081"/>
      <c r="U1522" s="1081"/>
      <c r="V1522" s="1083">
        <f t="shared" si="243"/>
        <v>0</v>
      </c>
    </row>
    <row r="1523" spans="1:22" s="1003" customFormat="1" hidden="1">
      <c r="A1523" s="1040" t="s">
        <v>1138</v>
      </c>
      <c r="B1523" s="1040" t="s">
        <v>1134</v>
      </c>
      <c r="C1523" s="1076">
        <v>46263</v>
      </c>
      <c r="D1523" s="1076"/>
      <c r="E1523" s="1008" t="s">
        <v>1045</v>
      </c>
      <c r="F1523" s="1076">
        <v>46295</v>
      </c>
      <c r="G1523" s="1002"/>
      <c r="H1523" s="1111" t="s">
        <v>1307</v>
      </c>
      <c r="I1523" s="1008" t="s">
        <v>1135</v>
      </c>
      <c r="J1523" s="1007" t="s">
        <v>653</v>
      </c>
      <c r="K1523" s="1008" t="s">
        <v>654</v>
      </c>
      <c r="L1523" s="1024" t="s">
        <v>18</v>
      </c>
      <c r="M1523" s="1093">
        <v>1</v>
      </c>
      <c r="N1523" s="1081">
        <v>0</v>
      </c>
      <c r="O1523" s="1081">
        <f t="shared" si="246"/>
        <v>0</v>
      </c>
      <c r="P1523" s="1081">
        <f t="shared" si="242"/>
        <v>0</v>
      </c>
      <c r="Q1523" s="1082">
        <f t="shared" si="239"/>
        <v>0</v>
      </c>
      <c r="R1523" s="1081"/>
      <c r="S1523" s="1081"/>
      <c r="T1523" s="1081"/>
      <c r="U1523" s="1081"/>
      <c r="V1523" s="1083">
        <f t="shared" si="243"/>
        <v>0</v>
      </c>
    </row>
    <row r="1524" spans="1:22" s="1003" customFormat="1" hidden="1">
      <c r="A1524" s="1040" t="s">
        <v>1138</v>
      </c>
      <c r="B1524" s="1040" t="s">
        <v>1134</v>
      </c>
      <c r="C1524" s="1076">
        <v>46263</v>
      </c>
      <c r="D1524" s="1076"/>
      <c r="E1524" s="1008" t="s">
        <v>1045</v>
      </c>
      <c r="F1524" s="1076">
        <v>46295</v>
      </c>
      <c r="G1524" s="1002"/>
      <c r="H1524" s="1111" t="s">
        <v>1307</v>
      </c>
      <c r="I1524" s="1008" t="s">
        <v>1135</v>
      </c>
      <c r="J1524" s="1007" t="s">
        <v>655</v>
      </c>
      <c r="K1524" s="1008" t="s">
        <v>656</v>
      </c>
      <c r="L1524" s="1024" t="s">
        <v>18</v>
      </c>
      <c r="M1524" s="1093">
        <v>1</v>
      </c>
      <c r="N1524" s="1081">
        <v>0</v>
      </c>
      <c r="O1524" s="1081">
        <f t="shared" si="246"/>
        <v>0</v>
      </c>
      <c r="P1524" s="1081">
        <f t="shared" si="242"/>
        <v>0</v>
      </c>
      <c r="Q1524" s="1082">
        <f t="shared" si="239"/>
        <v>0</v>
      </c>
      <c r="R1524" s="1081"/>
      <c r="S1524" s="1081"/>
      <c r="T1524" s="1081"/>
      <c r="U1524" s="1081"/>
      <c r="V1524" s="1083">
        <f t="shared" si="243"/>
        <v>0</v>
      </c>
    </row>
    <row r="1525" spans="1:22" s="1003" customFormat="1" hidden="1">
      <c r="A1525" s="1040" t="s">
        <v>1150</v>
      </c>
      <c r="B1525" s="1001" t="s">
        <v>1271</v>
      </c>
      <c r="C1525" s="1076">
        <v>46263</v>
      </c>
      <c r="D1525" s="1076"/>
      <c r="E1525" s="1008" t="s">
        <v>1046</v>
      </c>
      <c r="F1525" s="1077"/>
      <c r="G1525" s="1002"/>
      <c r="H1525" s="1111"/>
      <c r="I1525" s="1008" t="s">
        <v>1100</v>
      </c>
      <c r="J1525" s="1007" t="s">
        <v>60</v>
      </c>
      <c r="K1525" s="1008" t="s">
        <v>61</v>
      </c>
      <c r="L1525" s="1024" t="s">
        <v>18</v>
      </c>
      <c r="M1525" s="1093">
        <v>1</v>
      </c>
      <c r="N1525" s="1081">
        <v>0</v>
      </c>
      <c r="O1525" s="1081">
        <f t="shared" si="246"/>
        <v>0</v>
      </c>
      <c r="P1525" s="1081">
        <f t="shared" si="242"/>
        <v>0</v>
      </c>
      <c r="Q1525" s="1082">
        <f t="shared" si="239"/>
        <v>0</v>
      </c>
      <c r="R1525" s="1081"/>
      <c r="S1525" s="1081"/>
      <c r="T1525" s="1081"/>
      <c r="U1525" s="1081"/>
      <c r="V1525" s="1083">
        <f t="shared" si="243"/>
        <v>0</v>
      </c>
    </row>
    <row r="1526" spans="1:22" s="1003" customFormat="1" hidden="1">
      <c r="A1526" s="1040" t="s">
        <v>1150</v>
      </c>
      <c r="B1526" s="1001" t="s">
        <v>1271</v>
      </c>
      <c r="C1526" s="1076">
        <v>46263</v>
      </c>
      <c r="D1526" s="1076"/>
      <c r="E1526" s="1008" t="s">
        <v>1046</v>
      </c>
      <c r="F1526" s="1077"/>
      <c r="G1526" s="1002"/>
      <c r="H1526" s="1111"/>
      <c r="I1526" s="1008" t="s">
        <v>1100</v>
      </c>
      <c r="J1526" s="1007" t="s">
        <v>83</v>
      </c>
      <c r="K1526" s="1008" t="s">
        <v>84</v>
      </c>
      <c r="L1526" s="1024" t="s">
        <v>18</v>
      </c>
      <c r="M1526" s="1093">
        <v>1</v>
      </c>
      <c r="N1526" s="1081">
        <v>0</v>
      </c>
      <c r="O1526" s="1081">
        <f t="shared" si="246"/>
        <v>0</v>
      </c>
      <c r="P1526" s="1081">
        <f t="shared" si="242"/>
        <v>0</v>
      </c>
      <c r="Q1526" s="1082">
        <f t="shared" si="239"/>
        <v>0</v>
      </c>
      <c r="R1526" s="1081"/>
      <c r="S1526" s="1081"/>
      <c r="T1526" s="1081"/>
      <c r="U1526" s="1081"/>
      <c r="V1526" s="1083">
        <f t="shared" si="243"/>
        <v>0</v>
      </c>
    </row>
    <row r="1527" spans="1:22" s="1003" customFormat="1" hidden="1">
      <c r="A1527" s="1040" t="s">
        <v>1150</v>
      </c>
      <c r="B1527" s="1001" t="s">
        <v>1271</v>
      </c>
      <c r="C1527" s="1076">
        <v>46263</v>
      </c>
      <c r="D1527" s="1076"/>
      <c r="E1527" s="1008" t="s">
        <v>1046</v>
      </c>
      <c r="F1527" s="1077"/>
      <c r="G1527" s="1002"/>
      <c r="H1527" s="1111"/>
      <c r="I1527" s="1008" t="s">
        <v>1100</v>
      </c>
      <c r="J1527" s="1007" t="s">
        <v>639</v>
      </c>
      <c r="K1527" s="1008" t="s">
        <v>640</v>
      </c>
      <c r="L1527" s="1024" t="s">
        <v>18</v>
      </c>
      <c r="M1527" s="1093">
        <v>1</v>
      </c>
      <c r="N1527" s="1081">
        <v>0</v>
      </c>
      <c r="O1527" s="1081">
        <f t="shared" si="246"/>
        <v>0</v>
      </c>
      <c r="P1527" s="1081">
        <f t="shared" si="242"/>
        <v>0</v>
      </c>
      <c r="Q1527" s="1082">
        <f t="shared" si="239"/>
        <v>0</v>
      </c>
      <c r="R1527" s="1081"/>
      <c r="S1527" s="1081"/>
      <c r="T1527" s="1081"/>
      <c r="U1527" s="1081"/>
      <c r="V1527" s="1083">
        <f t="shared" si="243"/>
        <v>0</v>
      </c>
    </row>
    <row r="1528" spans="1:22" s="1003" customFormat="1" hidden="1">
      <c r="A1528" s="1040" t="s">
        <v>1150</v>
      </c>
      <c r="B1528" s="1001" t="s">
        <v>1271</v>
      </c>
      <c r="C1528" s="1076">
        <v>46263</v>
      </c>
      <c r="D1528" s="1076"/>
      <c r="E1528" s="1008" t="s">
        <v>1046</v>
      </c>
      <c r="F1528" s="1077"/>
      <c r="G1528" s="1002"/>
      <c r="H1528" s="1111"/>
      <c r="I1528" s="1008" t="s">
        <v>1100</v>
      </c>
      <c r="J1528" s="1007" t="s">
        <v>645</v>
      </c>
      <c r="K1528" s="1008" t="s">
        <v>646</v>
      </c>
      <c r="L1528" s="1024" t="s">
        <v>18</v>
      </c>
      <c r="M1528" s="1093">
        <v>1</v>
      </c>
      <c r="N1528" s="1081">
        <v>0</v>
      </c>
      <c r="O1528" s="1081">
        <f t="shared" si="246"/>
        <v>0</v>
      </c>
      <c r="P1528" s="1081">
        <f t="shared" si="242"/>
        <v>0</v>
      </c>
      <c r="Q1528" s="1082">
        <f t="shared" si="239"/>
        <v>0</v>
      </c>
      <c r="R1528" s="1081"/>
      <c r="S1528" s="1081"/>
      <c r="T1528" s="1081"/>
      <c r="U1528" s="1081"/>
      <c r="V1528" s="1083">
        <f t="shared" si="243"/>
        <v>0</v>
      </c>
    </row>
    <row r="1529" spans="1:22" s="1003" customFormat="1" hidden="1">
      <c r="A1529" s="1040" t="s">
        <v>1150</v>
      </c>
      <c r="B1529" s="1001" t="s">
        <v>1271</v>
      </c>
      <c r="C1529" s="1076">
        <v>46263</v>
      </c>
      <c r="D1529" s="1076"/>
      <c r="E1529" s="1008" t="s">
        <v>1046</v>
      </c>
      <c r="F1529" s="1077"/>
      <c r="G1529" s="1002"/>
      <c r="H1529" s="1111"/>
      <c r="I1529" s="1008" t="s">
        <v>1100</v>
      </c>
      <c r="J1529" s="1007" t="s">
        <v>651</v>
      </c>
      <c r="K1529" s="1008" t="s">
        <v>652</v>
      </c>
      <c r="L1529" s="1024" t="s">
        <v>18</v>
      </c>
      <c r="M1529" s="1093">
        <v>1</v>
      </c>
      <c r="N1529" s="1081">
        <v>0</v>
      </c>
      <c r="O1529" s="1081">
        <f t="shared" si="246"/>
        <v>0</v>
      </c>
      <c r="P1529" s="1081">
        <f t="shared" si="242"/>
        <v>0</v>
      </c>
      <c r="Q1529" s="1082">
        <f t="shared" si="239"/>
        <v>0</v>
      </c>
      <c r="R1529" s="1081"/>
      <c r="S1529" s="1081"/>
      <c r="T1529" s="1081"/>
      <c r="U1529" s="1081"/>
      <c r="V1529" s="1083">
        <f t="shared" si="243"/>
        <v>0</v>
      </c>
    </row>
    <row r="1530" spans="1:22" s="1003" customFormat="1" hidden="1">
      <c r="A1530" s="1040" t="s">
        <v>1150</v>
      </c>
      <c r="B1530" s="1001" t="s">
        <v>1271</v>
      </c>
      <c r="C1530" s="1076">
        <v>46263</v>
      </c>
      <c r="D1530" s="1076"/>
      <c r="E1530" s="1008" t="s">
        <v>1046</v>
      </c>
      <c r="F1530" s="1077"/>
      <c r="G1530" s="1002"/>
      <c r="H1530" s="1111"/>
      <c r="I1530" s="1008" t="s">
        <v>1100</v>
      </c>
      <c r="J1530" s="1007" t="s">
        <v>653</v>
      </c>
      <c r="K1530" s="1008" t="s">
        <v>654</v>
      </c>
      <c r="L1530" s="1024" t="s">
        <v>18</v>
      </c>
      <c r="M1530" s="1093">
        <v>1</v>
      </c>
      <c r="N1530" s="1081">
        <v>0</v>
      </c>
      <c r="O1530" s="1081">
        <f t="shared" si="246"/>
        <v>0</v>
      </c>
      <c r="P1530" s="1081">
        <f t="shared" si="242"/>
        <v>0</v>
      </c>
      <c r="Q1530" s="1082">
        <f t="shared" si="239"/>
        <v>0</v>
      </c>
      <c r="R1530" s="1081"/>
      <c r="S1530" s="1081"/>
      <c r="T1530" s="1081"/>
      <c r="U1530" s="1081"/>
      <c r="V1530" s="1083">
        <f t="shared" si="243"/>
        <v>0</v>
      </c>
    </row>
    <row r="1531" spans="1:22" s="1003" customFormat="1" hidden="1">
      <c r="A1531" s="1040" t="s">
        <v>1150</v>
      </c>
      <c r="B1531" s="1001" t="s">
        <v>1271</v>
      </c>
      <c r="C1531" s="1076">
        <v>46263</v>
      </c>
      <c r="D1531" s="1076"/>
      <c r="E1531" s="1008" t="s">
        <v>1046</v>
      </c>
      <c r="F1531" s="1077"/>
      <c r="G1531" s="1002"/>
      <c r="H1531" s="1111"/>
      <c r="I1531" s="1008" t="s">
        <v>1100</v>
      </c>
      <c r="J1531" s="1007" t="s">
        <v>74</v>
      </c>
      <c r="K1531" s="1008" t="s">
        <v>141</v>
      </c>
      <c r="L1531" s="1024" t="s">
        <v>18</v>
      </c>
      <c r="M1531" s="1093">
        <v>1</v>
      </c>
      <c r="N1531" s="1081">
        <v>0</v>
      </c>
      <c r="O1531" s="1081">
        <f t="shared" si="246"/>
        <v>0</v>
      </c>
      <c r="P1531" s="1081">
        <f t="shared" si="242"/>
        <v>0</v>
      </c>
      <c r="Q1531" s="1082">
        <f t="shared" si="239"/>
        <v>0</v>
      </c>
      <c r="R1531" s="1081"/>
      <c r="S1531" s="1081"/>
      <c r="T1531" s="1081"/>
      <c r="U1531" s="1081"/>
      <c r="V1531" s="1083">
        <f t="shared" si="243"/>
        <v>0</v>
      </c>
    </row>
    <row r="1532" spans="1:22" s="1003" customFormat="1" hidden="1">
      <c r="A1532" s="1040" t="s">
        <v>1150</v>
      </c>
      <c r="B1532" s="1001" t="s">
        <v>1271</v>
      </c>
      <c r="C1532" s="1076">
        <v>46263</v>
      </c>
      <c r="D1532" s="1076"/>
      <c r="E1532" s="1008" t="s">
        <v>1046</v>
      </c>
      <c r="F1532" s="1077"/>
      <c r="G1532" s="1002"/>
      <c r="H1532" s="1111"/>
      <c r="I1532" s="1008" t="s">
        <v>1100</v>
      </c>
      <c r="J1532" s="1007" t="s">
        <v>48</v>
      </c>
      <c r="K1532" s="1008" t="s">
        <v>49</v>
      </c>
      <c r="L1532" s="1024" t="s">
        <v>18</v>
      </c>
      <c r="M1532" s="1093">
        <v>1</v>
      </c>
      <c r="N1532" s="1081">
        <v>0</v>
      </c>
      <c r="O1532" s="1081">
        <f t="shared" si="246"/>
        <v>0</v>
      </c>
      <c r="P1532" s="1081">
        <f t="shared" si="242"/>
        <v>0</v>
      </c>
      <c r="Q1532" s="1082">
        <f t="shared" si="239"/>
        <v>0</v>
      </c>
      <c r="R1532" s="1081"/>
      <c r="S1532" s="1081"/>
      <c r="T1532" s="1081"/>
      <c r="U1532" s="1081"/>
      <c r="V1532" s="1083">
        <f t="shared" si="243"/>
        <v>0</v>
      </c>
    </row>
    <row r="1533" spans="1:22" s="1003" customFormat="1" hidden="1">
      <c r="A1533" s="1040" t="s">
        <v>1150</v>
      </c>
      <c r="B1533" s="1001" t="s">
        <v>1271</v>
      </c>
      <c r="C1533" s="1076">
        <v>46263</v>
      </c>
      <c r="D1533" s="1076"/>
      <c r="E1533" s="1008" t="s">
        <v>1046</v>
      </c>
      <c r="F1533" s="1077"/>
      <c r="G1533" s="1002"/>
      <c r="H1533" s="1111"/>
      <c r="I1533" s="1008" t="s">
        <v>1100</v>
      </c>
      <c r="J1533" s="1007" t="s">
        <v>62</v>
      </c>
      <c r="K1533" s="1002" t="s">
        <v>63</v>
      </c>
      <c r="L1533" s="1024" t="s">
        <v>18</v>
      </c>
      <c r="M1533" s="1093">
        <v>1</v>
      </c>
      <c r="N1533" s="1081">
        <v>0</v>
      </c>
      <c r="O1533" s="1081">
        <f t="shared" si="246"/>
        <v>0</v>
      </c>
      <c r="P1533" s="1081">
        <f t="shared" si="242"/>
        <v>0</v>
      </c>
      <c r="Q1533" s="1082">
        <f t="shared" si="239"/>
        <v>0</v>
      </c>
      <c r="R1533" s="1081"/>
      <c r="S1533" s="1081"/>
      <c r="T1533" s="1081"/>
      <c r="U1533" s="1081"/>
      <c r="V1533" s="1083">
        <f t="shared" si="243"/>
        <v>0</v>
      </c>
    </row>
    <row r="1534" spans="1:22" s="1003" customFormat="1" hidden="1">
      <c r="A1534" s="1040" t="s">
        <v>1150</v>
      </c>
      <c r="B1534" s="1001" t="s">
        <v>1271</v>
      </c>
      <c r="C1534" s="1076">
        <v>46263</v>
      </c>
      <c r="D1534" s="1076"/>
      <c r="E1534" s="1008" t="s">
        <v>1046</v>
      </c>
      <c r="F1534" s="1077"/>
      <c r="G1534" s="1002"/>
      <c r="H1534" s="1111"/>
      <c r="I1534" s="1008" t="s">
        <v>1100</v>
      </c>
      <c r="J1534" s="1007" t="s">
        <v>80</v>
      </c>
      <c r="K1534" s="1002" t="s">
        <v>81</v>
      </c>
      <c r="L1534" s="1024" t="s">
        <v>18</v>
      </c>
      <c r="M1534" s="1093">
        <v>1</v>
      </c>
      <c r="N1534" s="1081">
        <v>0</v>
      </c>
      <c r="O1534" s="1081">
        <f t="shared" si="246"/>
        <v>0</v>
      </c>
      <c r="P1534" s="1081">
        <f t="shared" ref="P1534:P1595" si="247">O1534*8%</f>
        <v>0</v>
      </c>
      <c r="Q1534" s="1082">
        <f t="shared" si="239"/>
        <v>0</v>
      </c>
      <c r="R1534" s="1081"/>
      <c r="S1534" s="1081"/>
      <c r="T1534" s="1081"/>
      <c r="U1534" s="1081"/>
      <c r="V1534" s="1083">
        <f t="shared" si="243"/>
        <v>0</v>
      </c>
    </row>
    <row r="1535" spans="1:22" s="1003" customFormat="1" hidden="1">
      <c r="A1535" s="1040" t="s">
        <v>1150</v>
      </c>
      <c r="B1535" s="1001" t="s">
        <v>1271</v>
      </c>
      <c r="C1535" s="1076">
        <v>46263</v>
      </c>
      <c r="D1535" s="1076"/>
      <c r="E1535" s="1008" t="s">
        <v>1046</v>
      </c>
      <c r="F1535" s="1077"/>
      <c r="G1535" s="1002"/>
      <c r="H1535" s="1111"/>
      <c r="I1535" s="1008" t="s">
        <v>1100</v>
      </c>
      <c r="J1535" s="1007" t="s">
        <v>107</v>
      </c>
      <c r="K1535" s="1002" t="s">
        <v>382</v>
      </c>
      <c r="L1535" s="1024" t="s">
        <v>18</v>
      </c>
      <c r="M1535" s="1093">
        <v>1</v>
      </c>
      <c r="N1535" s="1081">
        <v>0</v>
      </c>
      <c r="O1535" s="1081">
        <f t="shared" si="246"/>
        <v>0</v>
      </c>
      <c r="P1535" s="1081">
        <f t="shared" si="247"/>
        <v>0</v>
      </c>
      <c r="Q1535" s="1082">
        <f t="shared" si="239"/>
        <v>0</v>
      </c>
      <c r="R1535" s="1081"/>
      <c r="S1535" s="1081"/>
      <c r="T1535" s="1081"/>
      <c r="U1535" s="1081"/>
      <c r="V1535" s="1083">
        <f t="shared" si="243"/>
        <v>0</v>
      </c>
    </row>
    <row r="1536" spans="1:22" s="1003" customFormat="1" hidden="1">
      <c r="A1536" s="1040" t="s">
        <v>1150</v>
      </c>
      <c r="B1536" s="1001" t="s">
        <v>1271</v>
      </c>
      <c r="C1536" s="1076">
        <v>46263</v>
      </c>
      <c r="D1536" s="1076"/>
      <c r="E1536" s="1008" t="s">
        <v>1046</v>
      </c>
      <c r="F1536" s="1077"/>
      <c r="G1536" s="1002"/>
      <c r="H1536" s="1111"/>
      <c r="I1536" s="1008" t="s">
        <v>1100</v>
      </c>
      <c r="J1536" s="1007" t="s">
        <v>54</v>
      </c>
      <c r="K1536" s="1008" t="s">
        <v>329</v>
      </c>
      <c r="L1536" s="1024" t="s">
        <v>18</v>
      </c>
      <c r="M1536" s="1093">
        <v>1</v>
      </c>
      <c r="N1536" s="1081">
        <v>0</v>
      </c>
      <c r="O1536" s="1081">
        <f t="shared" si="246"/>
        <v>0</v>
      </c>
      <c r="P1536" s="1081">
        <f t="shared" si="247"/>
        <v>0</v>
      </c>
      <c r="Q1536" s="1082">
        <f t="shared" si="239"/>
        <v>0</v>
      </c>
      <c r="R1536" s="1081"/>
      <c r="S1536" s="1081"/>
      <c r="T1536" s="1081"/>
      <c r="U1536" s="1081"/>
      <c r="V1536" s="1083">
        <f t="shared" si="243"/>
        <v>0</v>
      </c>
    </row>
    <row r="1537" spans="1:22" s="1003" customFormat="1" hidden="1">
      <c r="A1537" s="1040" t="s">
        <v>1150</v>
      </c>
      <c r="B1537" s="1001" t="s">
        <v>1271</v>
      </c>
      <c r="C1537" s="1076">
        <v>46263</v>
      </c>
      <c r="D1537" s="1076"/>
      <c r="E1537" s="1008" t="s">
        <v>1046</v>
      </c>
      <c r="F1537" s="1077"/>
      <c r="G1537" s="1002"/>
      <c r="H1537" s="1111"/>
      <c r="I1537" s="1008" t="s">
        <v>1100</v>
      </c>
      <c r="J1537" s="1007" t="s">
        <v>68</v>
      </c>
      <c r="K1537" s="1008" t="s">
        <v>69</v>
      </c>
      <c r="L1537" s="1024" t="s">
        <v>18</v>
      </c>
      <c r="M1537" s="1093">
        <v>1</v>
      </c>
      <c r="N1537" s="1081">
        <v>0</v>
      </c>
      <c r="O1537" s="1081">
        <f t="shared" si="246"/>
        <v>0</v>
      </c>
      <c r="P1537" s="1081">
        <f t="shared" si="247"/>
        <v>0</v>
      </c>
      <c r="Q1537" s="1082">
        <f t="shared" si="239"/>
        <v>0</v>
      </c>
      <c r="R1537" s="1081"/>
      <c r="S1537" s="1081"/>
      <c r="T1537" s="1081"/>
      <c r="U1537" s="1081"/>
      <c r="V1537" s="1083">
        <f t="shared" si="243"/>
        <v>0</v>
      </c>
    </row>
    <row r="1538" spans="1:22" s="1003" customFormat="1" hidden="1">
      <c r="A1538" s="1040" t="s">
        <v>1150</v>
      </c>
      <c r="B1538" s="1001" t="s">
        <v>1271</v>
      </c>
      <c r="C1538" s="1076">
        <v>46263</v>
      </c>
      <c r="D1538" s="1076"/>
      <c r="E1538" s="1008" t="s">
        <v>1046</v>
      </c>
      <c r="F1538" s="1077"/>
      <c r="G1538" s="1002"/>
      <c r="H1538" s="1111"/>
      <c r="I1538" s="1008" t="s">
        <v>1100</v>
      </c>
      <c r="J1538" s="1007" t="s">
        <v>77</v>
      </c>
      <c r="K1538" s="1008" t="s">
        <v>320</v>
      </c>
      <c r="L1538" s="1024" t="s">
        <v>25</v>
      </c>
      <c r="M1538" s="1093">
        <v>1</v>
      </c>
      <c r="N1538" s="1081">
        <v>0</v>
      </c>
      <c r="O1538" s="1081">
        <f t="shared" si="246"/>
        <v>0</v>
      </c>
      <c r="P1538" s="1081">
        <f t="shared" si="247"/>
        <v>0</v>
      </c>
      <c r="Q1538" s="1082">
        <f t="shared" ref="Q1538:Q1550" si="248">O1538+P1538</f>
        <v>0</v>
      </c>
      <c r="R1538" s="1081"/>
      <c r="S1538" s="1081"/>
      <c r="T1538" s="1081"/>
      <c r="U1538" s="1081"/>
      <c r="V1538" s="1083">
        <f t="shared" si="243"/>
        <v>0</v>
      </c>
    </row>
    <row r="1539" spans="1:22" s="1003" customFormat="1" hidden="1">
      <c r="A1539" s="1040" t="s">
        <v>1150</v>
      </c>
      <c r="B1539" s="1001" t="s">
        <v>1271</v>
      </c>
      <c r="C1539" s="1076">
        <v>46263</v>
      </c>
      <c r="D1539" s="1076"/>
      <c r="E1539" s="1008" t="s">
        <v>1046</v>
      </c>
      <c r="F1539" s="1077"/>
      <c r="G1539" s="1002"/>
      <c r="H1539" s="1111"/>
      <c r="I1539" s="1008" t="s">
        <v>1100</v>
      </c>
      <c r="J1539" s="1007" t="s">
        <v>873</v>
      </c>
      <c r="K1539" s="1008" t="s">
        <v>874</v>
      </c>
      <c r="L1539" s="1024" t="s">
        <v>18</v>
      </c>
      <c r="M1539" s="1093">
        <v>1</v>
      </c>
      <c r="N1539" s="1081">
        <v>0</v>
      </c>
      <c r="O1539" s="1081">
        <f t="shared" si="246"/>
        <v>0</v>
      </c>
      <c r="P1539" s="1081">
        <f t="shared" si="247"/>
        <v>0</v>
      </c>
      <c r="Q1539" s="1082">
        <f t="shared" si="248"/>
        <v>0</v>
      </c>
      <c r="R1539" s="1081"/>
      <c r="S1539" s="1081"/>
      <c r="T1539" s="1081"/>
      <c r="U1539" s="1081"/>
      <c r="V1539" s="1083">
        <f t="shared" si="243"/>
        <v>0</v>
      </c>
    </row>
    <row r="1540" spans="1:22" s="1003" customFormat="1" hidden="1">
      <c r="A1540" s="1040" t="s">
        <v>1150</v>
      </c>
      <c r="B1540" s="1001" t="s">
        <v>1271</v>
      </c>
      <c r="C1540" s="1076">
        <v>46263</v>
      </c>
      <c r="D1540" s="1076"/>
      <c r="E1540" s="1008" t="s">
        <v>1046</v>
      </c>
      <c r="F1540" s="1077"/>
      <c r="G1540" s="1002"/>
      <c r="H1540" s="1111"/>
      <c r="I1540" s="1008" t="s">
        <v>1100</v>
      </c>
      <c r="J1540" s="1007" t="s">
        <v>796</v>
      </c>
      <c r="K1540" s="1008" t="s">
        <v>797</v>
      </c>
      <c r="L1540" s="1024" t="s">
        <v>18</v>
      </c>
      <c r="M1540" s="1093">
        <v>1</v>
      </c>
      <c r="N1540" s="1081">
        <v>0</v>
      </c>
      <c r="O1540" s="1081">
        <f t="shared" si="246"/>
        <v>0</v>
      </c>
      <c r="P1540" s="1081">
        <f t="shared" si="247"/>
        <v>0</v>
      </c>
      <c r="Q1540" s="1082">
        <f t="shared" si="248"/>
        <v>0</v>
      </c>
      <c r="R1540" s="1081"/>
      <c r="S1540" s="1081"/>
      <c r="T1540" s="1081"/>
      <c r="U1540" s="1081"/>
      <c r="V1540" s="1083">
        <f t="shared" si="243"/>
        <v>0</v>
      </c>
    </row>
    <row r="1541" spans="1:22" s="1003" customFormat="1" hidden="1">
      <c r="A1541" s="1040" t="s">
        <v>1150</v>
      </c>
      <c r="B1541" s="1001" t="s">
        <v>1271</v>
      </c>
      <c r="C1541" s="1076">
        <v>46263</v>
      </c>
      <c r="D1541" s="1076"/>
      <c r="E1541" s="1008" t="s">
        <v>1046</v>
      </c>
      <c r="F1541" s="1077"/>
      <c r="G1541" s="1002"/>
      <c r="H1541" s="1111"/>
      <c r="I1541" s="1008" t="s">
        <v>1100</v>
      </c>
      <c r="J1541" s="1007" t="s">
        <v>798</v>
      </c>
      <c r="K1541" s="1008" t="s">
        <v>799</v>
      </c>
      <c r="L1541" s="1024" t="s">
        <v>18</v>
      </c>
      <c r="M1541" s="1093">
        <v>1</v>
      </c>
      <c r="N1541" s="1081">
        <v>0</v>
      </c>
      <c r="O1541" s="1081">
        <f t="shared" si="246"/>
        <v>0</v>
      </c>
      <c r="P1541" s="1081">
        <f t="shared" si="247"/>
        <v>0</v>
      </c>
      <c r="Q1541" s="1082">
        <f t="shared" si="248"/>
        <v>0</v>
      </c>
      <c r="R1541" s="1081"/>
      <c r="S1541" s="1081"/>
      <c r="T1541" s="1081"/>
      <c r="U1541" s="1081"/>
      <c r="V1541" s="1083">
        <f t="shared" si="243"/>
        <v>0</v>
      </c>
    </row>
    <row r="1542" spans="1:22" s="1003" customFormat="1" hidden="1">
      <c r="A1542" s="1040" t="s">
        <v>1150</v>
      </c>
      <c r="B1542" s="1001" t="s">
        <v>1271</v>
      </c>
      <c r="C1542" s="1076">
        <v>46263</v>
      </c>
      <c r="D1542" s="1076"/>
      <c r="E1542" s="1008" t="s">
        <v>1046</v>
      </c>
      <c r="F1542" s="1077"/>
      <c r="G1542" s="1002"/>
      <c r="H1542" s="1111"/>
      <c r="I1542" s="1008" t="s">
        <v>1100</v>
      </c>
      <c r="J1542" s="1007" t="s">
        <v>732</v>
      </c>
      <c r="K1542" s="1008" t="s">
        <v>733</v>
      </c>
      <c r="L1542" s="1024" t="s">
        <v>18</v>
      </c>
      <c r="M1542" s="1093">
        <v>1</v>
      </c>
      <c r="N1542" s="1081">
        <v>0</v>
      </c>
      <c r="O1542" s="1081">
        <f t="shared" si="246"/>
        <v>0</v>
      </c>
      <c r="P1542" s="1081">
        <f t="shared" si="247"/>
        <v>0</v>
      </c>
      <c r="Q1542" s="1082">
        <f t="shared" si="248"/>
        <v>0</v>
      </c>
      <c r="R1542" s="1081"/>
      <c r="S1542" s="1081"/>
      <c r="T1542" s="1081"/>
      <c r="U1542" s="1081"/>
      <c r="V1542" s="1083">
        <f t="shared" ref="V1542:V1605" si="249">Q1542-R1542-S1542-T1542-U1542</f>
        <v>0</v>
      </c>
    </row>
    <row r="1543" spans="1:22" s="1003" customFormat="1" hidden="1">
      <c r="A1543" s="1040"/>
      <c r="B1543" s="1001" t="s">
        <v>932</v>
      </c>
      <c r="C1543" s="1076">
        <v>46242</v>
      </c>
      <c r="D1543" s="1076"/>
      <c r="E1543" s="1008" t="s">
        <v>1048</v>
      </c>
      <c r="F1543" s="1077"/>
      <c r="G1543" s="1002"/>
      <c r="H1543" s="1111"/>
      <c r="I1543" s="1008" t="s">
        <v>1100</v>
      </c>
      <c r="J1543" s="1007" t="s">
        <v>1022</v>
      </c>
      <c r="K1543" s="1008" t="s">
        <v>141</v>
      </c>
      <c r="L1543" s="1024" t="s">
        <v>18</v>
      </c>
      <c r="M1543" s="1093">
        <v>-1</v>
      </c>
      <c r="N1543" s="1081"/>
      <c r="O1543" s="1081"/>
      <c r="P1543" s="1081">
        <f t="shared" si="247"/>
        <v>0</v>
      </c>
      <c r="Q1543" s="1082">
        <f t="shared" si="248"/>
        <v>0</v>
      </c>
      <c r="R1543" s="1081"/>
      <c r="S1543" s="1081"/>
      <c r="T1543" s="1081"/>
      <c r="U1543" s="1081"/>
      <c r="V1543" s="1083">
        <f t="shared" si="249"/>
        <v>0</v>
      </c>
    </row>
    <row r="1544" spans="1:22" hidden="1">
      <c r="A1544" s="1000" t="s">
        <v>711</v>
      </c>
      <c r="B1544" s="1001" t="s">
        <v>715</v>
      </c>
      <c r="C1544" s="1066">
        <v>46268</v>
      </c>
      <c r="D1544" s="1066">
        <v>46268</v>
      </c>
      <c r="E1544" s="1002" t="s">
        <v>1052</v>
      </c>
      <c r="F1544" s="1077">
        <v>46276</v>
      </c>
      <c r="G1544" s="1002"/>
      <c r="H1544" s="1111" t="s">
        <v>1160</v>
      </c>
      <c r="I1544" s="1002" t="s">
        <v>813</v>
      </c>
      <c r="J1544" s="1007" t="s">
        <v>46</v>
      </c>
      <c r="K1544" s="1002" t="s">
        <v>47</v>
      </c>
      <c r="L1544" s="1224" t="s">
        <v>18</v>
      </c>
      <c r="M1544" s="1222">
        <v>4</v>
      </c>
      <c r="N1544" s="1081">
        <v>240740.74</v>
      </c>
      <c r="O1544" s="1081">
        <f>M1544*N1544</f>
        <v>962962.96</v>
      </c>
      <c r="P1544" s="1081">
        <f t="shared" si="247"/>
        <v>77037.036800000002</v>
      </c>
      <c r="Q1544" s="1206">
        <f t="shared" si="248"/>
        <v>1039999.9968</v>
      </c>
      <c r="V1544" s="1083">
        <f t="shared" si="249"/>
        <v>1039999.9968</v>
      </c>
    </row>
    <row r="1545" spans="1:22" hidden="1">
      <c r="A1545" s="1000" t="s">
        <v>711</v>
      </c>
      <c r="B1545" s="1001" t="s">
        <v>715</v>
      </c>
      <c r="C1545" s="1066">
        <v>46268</v>
      </c>
      <c r="D1545" s="1066">
        <v>46268</v>
      </c>
      <c r="E1545" s="1002" t="s">
        <v>1052</v>
      </c>
      <c r="F1545" s="1077">
        <v>46276</v>
      </c>
      <c r="G1545" s="1002"/>
      <c r="H1545" s="1111" t="s">
        <v>1160</v>
      </c>
      <c r="I1545" s="1002" t="s">
        <v>813</v>
      </c>
      <c r="J1545" s="1007" t="s">
        <v>157</v>
      </c>
      <c r="K1545" s="1002" t="s">
        <v>158</v>
      </c>
      <c r="L1545" s="1224" t="s">
        <v>18</v>
      </c>
      <c r="M1545" s="1222">
        <v>4</v>
      </c>
      <c r="N1545" s="1081">
        <v>342592.59</v>
      </c>
      <c r="O1545" s="1081">
        <f>M1545*N1545</f>
        <v>1370370.36</v>
      </c>
      <c r="P1545" s="1081">
        <f t="shared" si="247"/>
        <v>109629.62880000001</v>
      </c>
      <c r="Q1545" s="1206">
        <f t="shared" si="248"/>
        <v>1479999.9888000002</v>
      </c>
      <c r="V1545" s="1083">
        <f t="shared" si="249"/>
        <v>1479999.9888000002</v>
      </c>
    </row>
    <row r="1546" spans="1:22" hidden="1">
      <c r="A1546" s="1000" t="s">
        <v>711</v>
      </c>
      <c r="B1546" s="1001" t="s">
        <v>715</v>
      </c>
      <c r="C1546" s="1066">
        <v>46268</v>
      </c>
      <c r="D1546" s="1066">
        <v>46268</v>
      </c>
      <c r="E1546" s="1002" t="s">
        <v>1052</v>
      </c>
      <c r="F1546" s="1077">
        <v>46276</v>
      </c>
      <c r="G1546" s="1002"/>
      <c r="H1546" s="1111" t="s">
        <v>1160</v>
      </c>
      <c r="I1546" s="1002" t="s">
        <v>813</v>
      </c>
      <c r="J1546" s="1007" t="s">
        <v>119</v>
      </c>
      <c r="K1546" s="1002" t="s">
        <v>191</v>
      </c>
      <c r="L1546" s="1224" t="s">
        <v>18</v>
      </c>
      <c r="M1546" s="1222">
        <v>4</v>
      </c>
      <c r="N1546" s="1081">
        <v>574074.06999999995</v>
      </c>
      <c r="O1546" s="1081">
        <f>M1546*N1546</f>
        <v>2296296.2799999998</v>
      </c>
      <c r="P1546" s="1081">
        <f t="shared" si="247"/>
        <v>183703.70239999998</v>
      </c>
      <c r="Q1546" s="1206">
        <f t="shared" si="248"/>
        <v>2479999.9823999996</v>
      </c>
      <c r="V1546" s="1083">
        <f t="shared" si="249"/>
        <v>2479999.9823999996</v>
      </c>
    </row>
    <row r="1547" spans="1:22" hidden="1">
      <c r="A1547" s="1000" t="s">
        <v>711</v>
      </c>
      <c r="B1547" s="1001" t="s">
        <v>715</v>
      </c>
      <c r="C1547" s="1066">
        <v>46268</v>
      </c>
      <c r="D1547" s="1066">
        <v>46268</v>
      </c>
      <c r="E1547" s="1002" t="s">
        <v>1052</v>
      </c>
      <c r="F1547" s="1077">
        <v>46276</v>
      </c>
      <c r="G1547" s="1002"/>
      <c r="H1547" s="1111" t="s">
        <v>1160</v>
      </c>
      <c r="I1547" s="1002" t="s">
        <v>813</v>
      </c>
      <c r="J1547" s="1007" t="s">
        <v>42</v>
      </c>
      <c r="K1547" s="1002" t="s">
        <v>43</v>
      </c>
      <c r="L1547" s="1224" t="s">
        <v>18</v>
      </c>
      <c r="M1547" s="1222">
        <v>18</v>
      </c>
      <c r="N1547" s="1081">
        <v>527777.78</v>
      </c>
      <c r="O1547" s="1081">
        <f t="shared" ref="O1547" si="250">M1547*N1547</f>
        <v>9500000.040000001</v>
      </c>
      <c r="P1547" s="1081">
        <f t="shared" si="247"/>
        <v>760000.00320000004</v>
      </c>
      <c r="Q1547" s="1206">
        <f t="shared" si="248"/>
        <v>10260000.043200001</v>
      </c>
      <c r="V1547" s="1083">
        <f t="shared" si="249"/>
        <v>10260000.043200001</v>
      </c>
    </row>
    <row r="1548" spans="1:22" hidden="1">
      <c r="A1548" s="1000" t="s">
        <v>711</v>
      </c>
      <c r="B1548" s="1001" t="s">
        <v>715</v>
      </c>
      <c r="C1548" s="1066">
        <v>46268</v>
      </c>
      <c r="D1548" s="1066">
        <v>46268</v>
      </c>
      <c r="E1548" s="1002" t="s">
        <v>1052</v>
      </c>
      <c r="F1548" s="1077">
        <v>46276</v>
      </c>
      <c r="G1548" s="1002"/>
      <c r="H1548" s="1111" t="s">
        <v>1160</v>
      </c>
      <c r="I1548" s="1002" t="s">
        <v>813</v>
      </c>
      <c r="J1548" s="1007" t="s">
        <v>44</v>
      </c>
      <c r="K1548" s="1002" t="s">
        <v>45</v>
      </c>
      <c r="L1548" s="1224" t="s">
        <v>18</v>
      </c>
      <c r="M1548" s="1222">
        <v>4</v>
      </c>
      <c r="N1548" s="1081">
        <v>537037.04</v>
      </c>
      <c r="O1548" s="1081">
        <f>M1548*N1548</f>
        <v>2148148.16</v>
      </c>
      <c r="P1548" s="1081">
        <f t="shared" si="247"/>
        <v>171851.85280000002</v>
      </c>
      <c r="Q1548" s="1206">
        <f t="shared" si="248"/>
        <v>2320000.0128000001</v>
      </c>
      <c r="V1548" s="1083">
        <f t="shared" si="249"/>
        <v>2320000.0128000001</v>
      </c>
    </row>
    <row r="1549" spans="1:22" hidden="1">
      <c r="A1549" s="1000" t="s">
        <v>711</v>
      </c>
      <c r="B1549" s="1001" t="s">
        <v>715</v>
      </c>
      <c r="C1549" s="1066">
        <v>46268</v>
      </c>
      <c r="D1549" s="1066">
        <v>46268</v>
      </c>
      <c r="E1549" s="1002" t="s">
        <v>1052</v>
      </c>
      <c r="F1549" s="1077">
        <v>46276</v>
      </c>
      <c r="G1549" s="1002"/>
      <c r="H1549" s="1111" t="s">
        <v>1160</v>
      </c>
      <c r="I1549" s="1002" t="s">
        <v>813</v>
      </c>
      <c r="J1549" s="1007" t="s">
        <v>148</v>
      </c>
      <c r="K1549" s="1002" t="s">
        <v>149</v>
      </c>
      <c r="L1549" s="1224" t="s">
        <v>18</v>
      </c>
      <c r="M1549" s="1222">
        <v>12</v>
      </c>
      <c r="N1549" s="1081">
        <v>296296.3</v>
      </c>
      <c r="O1549" s="1081">
        <f t="shared" ref="O1549:O1551" si="251">M1549*N1549</f>
        <v>3555555.5999999996</v>
      </c>
      <c r="P1549" s="1081">
        <f t="shared" si="247"/>
        <v>284444.44799999997</v>
      </c>
      <c r="Q1549" s="1206">
        <f t="shared" si="248"/>
        <v>3840000.0479999995</v>
      </c>
      <c r="V1549" s="1083">
        <f t="shared" si="249"/>
        <v>3840000.0479999995</v>
      </c>
    </row>
    <row r="1550" spans="1:22" hidden="1">
      <c r="A1550" s="1000" t="s">
        <v>711</v>
      </c>
      <c r="B1550" s="1001" t="s">
        <v>715</v>
      </c>
      <c r="C1550" s="1066">
        <v>46268</v>
      </c>
      <c r="D1550" s="1066">
        <v>46268</v>
      </c>
      <c r="E1550" s="1002" t="s">
        <v>1052</v>
      </c>
      <c r="F1550" s="1077">
        <v>46276</v>
      </c>
      <c r="G1550" s="1002"/>
      <c r="H1550" s="1111" t="s">
        <v>1160</v>
      </c>
      <c r="I1550" s="1002" t="s">
        <v>813</v>
      </c>
      <c r="J1550" s="1007" t="s">
        <v>192</v>
      </c>
      <c r="K1550" s="1002" t="s">
        <v>193</v>
      </c>
      <c r="L1550" s="1224" t="s">
        <v>18</v>
      </c>
      <c r="M1550" s="1222">
        <v>8</v>
      </c>
      <c r="N1550" s="1081">
        <v>333333.33</v>
      </c>
      <c r="O1550" s="1081">
        <f t="shared" si="251"/>
        <v>2666666.64</v>
      </c>
      <c r="P1550" s="1081">
        <f t="shared" si="247"/>
        <v>213333.33120000002</v>
      </c>
      <c r="Q1550" s="1206">
        <f t="shared" si="248"/>
        <v>2879999.9712</v>
      </c>
      <c r="V1550" s="1083">
        <f t="shared" si="249"/>
        <v>2879999.9712</v>
      </c>
    </row>
    <row r="1551" spans="1:22" hidden="1">
      <c r="A1551" s="1000" t="s">
        <v>711</v>
      </c>
      <c r="B1551" s="1001" t="s">
        <v>715</v>
      </c>
      <c r="C1551" s="1066">
        <v>46268</v>
      </c>
      <c r="D1551" s="1066">
        <v>46268</v>
      </c>
      <c r="E1551" s="1002" t="s">
        <v>1052</v>
      </c>
      <c r="F1551" s="1077">
        <v>46276</v>
      </c>
      <c r="G1551" s="1002"/>
      <c r="H1551" s="1111" t="s">
        <v>1160</v>
      </c>
      <c r="I1551" s="1002" t="s">
        <v>813</v>
      </c>
      <c r="J1551" s="1007" t="s">
        <v>260</v>
      </c>
      <c r="K1551" s="1002" t="s">
        <v>261</v>
      </c>
      <c r="L1551" s="1224" t="s">
        <v>18</v>
      </c>
      <c r="M1551" s="1222">
        <v>12</v>
      </c>
      <c r="N1551" s="1081">
        <v>407407.41</v>
      </c>
      <c r="O1551" s="1081">
        <f t="shared" si="251"/>
        <v>4888888.92</v>
      </c>
      <c r="P1551" s="1081">
        <f t="shared" si="247"/>
        <v>391111.11359999998</v>
      </c>
      <c r="Q1551" s="1206">
        <f t="shared" ref="Q1551:Q1602" si="252">O1551+P1551</f>
        <v>5280000.0335999997</v>
      </c>
      <c r="V1551" s="1083">
        <f t="shared" si="249"/>
        <v>5280000.0335999997</v>
      </c>
    </row>
    <row r="1552" spans="1:22" hidden="1">
      <c r="A1552" s="1000" t="s">
        <v>1004</v>
      </c>
      <c r="B1552" s="1028" t="s">
        <v>888</v>
      </c>
      <c r="C1552" s="1066">
        <v>46265</v>
      </c>
      <c r="D1552" s="1066">
        <v>46268</v>
      </c>
      <c r="E1552" s="1002"/>
      <c r="F1552" s="1077"/>
      <c r="G1552" s="1002"/>
      <c r="H1552" s="1111"/>
      <c r="I1552" s="1002" t="s">
        <v>844</v>
      </c>
      <c r="J1552" s="1007"/>
      <c r="L1552" s="1224"/>
      <c r="M1552" s="1222"/>
      <c r="N1552" s="1081"/>
      <c r="Q1552" s="1206"/>
      <c r="R1552" s="1107">
        <v>50000000</v>
      </c>
      <c r="V1552" s="1083">
        <f t="shared" si="249"/>
        <v>-50000000</v>
      </c>
    </row>
    <row r="1553" spans="1:22" hidden="1">
      <c r="A1553" s="1000" t="s">
        <v>1004</v>
      </c>
      <c r="B1553" s="1028" t="s">
        <v>888</v>
      </c>
      <c r="C1553" s="1066">
        <v>46268</v>
      </c>
      <c r="D1553" s="1066">
        <v>46268</v>
      </c>
      <c r="E1553" s="1002" t="s">
        <v>1053</v>
      </c>
      <c r="F1553" s="1077">
        <v>46279</v>
      </c>
      <c r="G1553" s="1002" t="s">
        <v>1162</v>
      </c>
      <c r="H1553" s="1111" t="s">
        <v>1161</v>
      </c>
      <c r="I1553" s="1008" t="s">
        <v>893</v>
      </c>
      <c r="J1553" s="1007" t="s">
        <v>50</v>
      </c>
      <c r="K1553" s="1002" t="s">
        <v>51</v>
      </c>
      <c r="L1553" s="1224" t="s">
        <v>18</v>
      </c>
      <c r="M1553" s="1222">
        <v>24</v>
      </c>
      <c r="N1553" s="1081">
        <v>937962.96</v>
      </c>
      <c r="O1553" s="1081">
        <f>M1553*N1553</f>
        <v>22511111.039999999</v>
      </c>
      <c r="P1553" s="1081">
        <f t="shared" si="247"/>
        <v>1800888.8832</v>
      </c>
      <c r="Q1553" s="1206">
        <f t="shared" si="252"/>
        <v>24311999.9232</v>
      </c>
      <c r="V1553" s="1083">
        <f t="shared" si="249"/>
        <v>24311999.9232</v>
      </c>
    </row>
    <row r="1554" spans="1:22" hidden="1">
      <c r="A1554" s="1000" t="s">
        <v>1004</v>
      </c>
      <c r="B1554" s="1028" t="s">
        <v>888</v>
      </c>
      <c r="C1554" s="1066">
        <v>46268</v>
      </c>
      <c r="D1554" s="1066">
        <v>46268</v>
      </c>
      <c r="E1554" s="1002" t="s">
        <v>1053</v>
      </c>
      <c r="F1554" s="1077"/>
      <c r="G1554" s="1002"/>
      <c r="H1554" s="1111"/>
      <c r="I1554" s="1008" t="s">
        <v>893</v>
      </c>
      <c r="J1554" s="1007" t="s">
        <v>103</v>
      </c>
      <c r="K1554" s="1002" t="s">
        <v>104</v>
      </c>
      <c r="L1554" s="1224" t="s">
        <v>18</v>
      </c>
      <c r="M1554" s="1222">
        <v>24</v>
      </c>
      <c r="N1554" s="1081">
        <v>675925.93</v>
      </c>
      <c r="O1554" s="1081">
        <f t="shared" ref="O1554:O1561" si="253">M1554*N1554</f>
        <v>16222222.32</v>
      </c>
      <c r="P1554" s="1081">
        <f t="shared" si="247"/>
        <v>1297777.7856000001</v>
      </c>
      <c r="Q1554" s="1206">
        <f t="shared" si="252"/>
        <v>17520000.105599999</v>
      </c>
      <c r="V1554" s="1083">
        <f t="shared" si="249"/>
        <v>17520000.105599999</v>
      </c>
    </row>
    <row r="1555" spans="1:22" hidden="1">
      <c r="A1555" s="1000" t="s">
        <v>1004</v>
      </c>
      <c r="B1555" s="1028" t="s">
        <v>888</v>
      </c>
      <c r="C1555" s="1066">
        <v>46268</v>
      </c>
      <c r="D1555" s="1066">
        <v>46268</v>
      </c>
      <c r="E1555" s="1002" t="s">
        <v>1053</v>
      </c>
      <c r="F1555" s="1077">
        <v>46279</v>
      </c>
      <c r="G1555" s="1002" t="s">
        <v>1162</v>
      </c>
      <c r="H1555" s="1111" t="s">
        <v>1161</v>
      </c>
      <c r="I1555" s="1008" t="s">
        <v>893</v>
      </c>
      <c r="J1555" s="1007" t="s">
        <v>90</v>
      </c>
      <c r="K1555" s="1002" t="s">
        <v>91</v>
      </c>
      <c r="L1555" s="1224" t="s">
        <v>18</v>
      </c>
      <c r="M1555" s="1222">
        <v>20</v>
      </c>
      <c r="N1555" s="1081">
        <v>814814.81</v>
      </c>
      <c r="O1555" s="1081">
        <f t="shared" si="253"/>
        <v>16296296.200000001</v>
      </c>
      <c r="P1555" s="1081">
        <f t="shared" si="247"/>
        <v>1303703.6960000002</v>
      </c>
      <c r="Q1555" s="1206">
        <f t="shared" si="252"/>
        <v>17599999.896000002</v>
      </c>
      <c r="V1555" s="1083">
        <f t="shared" si="249"/>
        <v>17599999.896000002</v>
      </c>
    </row>
    <row r="1556" spans="1:22" hidden="1">
      <c r="A1556" s="1000" t="s">
        <v>1004</v>
      </c>
      <c r="B1556" s="1028" t="s">
        <v>888</v>
      </c>
      <c r="C1556" s="1066">
        <v>46268</v>
      </c>
      <c r="D1556" s="1066">
        <v>46268</v>
      </c>
      <c r="E1556" s="1002" t="s">
        <v>1053</v>
      </c>
      <c r="F1556" s="1077"/>
      <c r="G1556" s="1002"/>
      <c r="H1556" s="1111"/>
      <c r="I1556" s="1008" t="s">
        <v>893</v>
      </c>
      <c r="J1556" s="1007" t="s">
        <v>653</v>
      </c>
      <c r="K1556" s="1002" t="s">
        <v>654</v>
      </c>
      <c r="L1556" s="1224" t="s">
        <v>18</v>
      </c>
      <c r="M1556" s="1222">
        <v>45</v>
      </c>
      <c r="N1556" s="1081">
        <v>481481.48</v>
      </c>
      <c r="O1556" s="1081">
        <f t="shared" si="253"/>
        <v>21666666.599999998</v>
      </c>
      <c r="P1556" s="1081">
        <f t="shared" si="247"/>
        <v>1733333.3279999997</v>
      </c>
      <c r="Q1556" s="1206">
        <f t="shared" si="252"/>
        <v>23399999.927999996</v>
      </c>
      <c r="V1556" s="1083">
        <f t="shared" si="249"/>
        <v>23399999.927999996</v>
      </c>
    </row>
    <row r="1557" spans="1:22" hidden="1">
      <c r="A1557" s="1000" t="s">
        <v>1004</v>
      </c>
      <c r="B1557" s="1028" t="s">
        <v>888</v>
      </c>
      <c r="C1557" s="1066">
        <v>46268</v>
      </c>
      <c r="D1557" s="1066">
        <v>46268</v>
      </c>
      <c r="E1557" s="1002" t="s">
        <v>1053</v>
      </c>
      <c r="F1557" s="1077">
        <v>46298</v>
      </c>
      <c r="G1557" s="1002" t="s">
        <v>1380</v>
      </c>
      <c r="H1557" s="1111" t="s">
        <v>1379</v>
      </c>
      <c r="I1557" s="1008" t="s">
        <v>893</v>
      </c>
      <c r="J1557" s="1007" t="s">
        <v>655</v>
      </c>
      <c r="K1557" s="1002" t="s">
        <v>656</v>
      </c>
      <c r="L1557" s="1224" t="s">
        <v>18</v>
      </c>
      <c r="M1557" s="1086">
        <v>15</v>
      </c>
      <c r="N1557" s="1081">
        <v>574074.06999999995</v>
      </c>
      <c r="O1557" s="1081">
        <f t="shared" si="253"/>
        <v>8611111.0499999989</v>
      </c>
      <c r="P1557" s="1081">
        <f t="shared" si="247"/>
        <v>688888.88399999996</v>
      </c>
      <c r="Q1557" s="1206">
        <f t="shared" si="252"/>
        <v>9299999.9339999985</v>
      </c>
      <c r="V1557" s="1083">
        <f t="shared" si="249"/>
        <v>9299999.9339999985</v>
      </c>
    </row>
    <row r="1558" spans="1:22" hidden="1">
      <c r="A1558" s="1000" t="s">
        <v>1004</v>
      </c>
      <c r="B1558" s="1028" t="s">
        <v>888</v>
      </c>
      <c r="C1558" s="1066">
        <v>46268</v>
      </c>
      <c r="D1558" s="1066">
        <v>46268</v>
      </c>
      <c r="E1558" s="1002" t="s">
        <v>1053</v>
      </c>
      <c r="F1558" s="1077"/>
      <c r="G1558" s="1002"/>
      <c r="H1558" s="1111"/>
      <c r="I1558" s="1008" t="s">
        <v>893</v>
      </c>
      <c r="J1558" s="1007" t="s">
        <v>653</v>
      </c>
      <c r="K1558" s="1002" t="s">
        <v>654</v>
      </c>
      <c r="L1558" s="1224" t="s">
        <v>18</v>
      </c>
      <c r="M1558" s="1093">
        <v>3</v>
      </c>
      <c r="N1558" s="1081">
        <v>0</v>
      </c>
      <c r="O1558" s="1081">
        <f t="shared" si="253"/>
        <v>0</v>
      </c>
      <c r="P1558" s="1081">
        <f t="shared" si="247"/>
        <v>0</v>
      </c>
      <c r="Q1558" s="1206">
        <f t="shared" si="252"/>
        <v>0</v>
      </c>
      <c r="V1558" s="1083">
        <f t="shared" si="249"/>
        <v>0</v>
      </c>
    </row>
    <row r="1559" spans="1:22" hidden="1">
      <c r="A1559" s="1000" t="s">
        <v>1004</v>
      </c>
      <c r="B1559" s="1028" t="s">
        <v>888</v>
      </c>
      <c r="C1559" s="1066">
        <v>46268</v>
      </c>
      <c r="D1559" s="1066">
        <v>46268</v>
      </c>
      <c r="E1559" s="1002" t="s">
        <v>1053</v>
      </c>
      <c r="F1559" s="1077"/>
      <c r="G1559" s="1002"/>
      <c r="H1559" s="1111"/>
      <c r="I1559" s="1008" t="s">
        <v>893</v>
      </c>
      <c r="J1559" s="1007" t="s">
        <v>655</v>
      </c>
      <c r="K1559" s="1002" t="s">
        <v>656</v>
      </c>
      <c r="L1559" s="1224" t="s">
        <v>18</v>
      </c>
      <c r="M1559" s="1093">
        <v>1</v>
      </c>
      <c r="N1559" s="1081">
        <v>0</v>
      </c>
      <c r="O1559" s="1081">
        <f t="shared" si="253"/>
        <v>0</v>
      </c>
      <c r="P1559" s="1081">
        <f t="shared" si="247"/>
        <v>0</v>
      </c>
      <c r="Q1559" s="1206">
        <f t="shared" si="252"/>
        <v>0</v>
      </c>
      <c r="V1559" s="1083">
        <f t="shared" si="249"/>
        <v>0</v>
      </c>
    </row>
    <row r="1560" spans="1:22" hidden="1">
      <c r="A1560" s="1000" t="s">
        <v>1004</v>
      </c>
      <c r="B1560" s="1028" t="s">
        <v>888</v>
      </c>
      <c r="C1560" s="1066">
        <v>46268</v>
      </c>
      <c r="D1560" s="1066">
        <v>46268</v>
      </c>
      <c r="E1560" s="1002" t="s">
        <v>1053</v>
      </c>
      <c r="F1560" s="1077"/>
      <c r="G1560" s="1002"/>
      <c r="H1560" s="1111"/>
      <c r="I1560" s="1008" t="s">
        <v>893</v>
      </c>
      <c r="J1560" s="1007" t="s">
        <v>107</v>
      </c>
      <c r="K1560" s="1002" t="s">
        <v>108</v>
      </c>
      <c r="L1560" s="1224" t="s">
        <v>18</v>
      </c>
      <c r="M1560" s="1093">
        <v>8</v>
      </c>
      <c r="N1560" s="1081">
        <v>0</v>
      </c>
      <c r="O1560" s="1081">
        <f t="shared" si="253"/>
        <v>0</v>
      </c>
      <c r="P1560" s="1081">
        <f t="shared" si="247"/>
        <v>0</v>
      </c>
      <c r="Q1560" s="1206">
        <f t="shared" si="252"/>
        <v>0</v>
      </c>
      <c r="V1560" s="1083">
        <f t="shared" si="249"/>
        <v>0</v>
      </c>
    </row>
    <row r="1561" spans="1:22" hidden="1">
      <c r="A1561" s="1000" t="s">
        <v>1004</v>
      </c>
      <c r="B1561" s="1028" t="s">
        <v>888</v>
      </c>
      <c r="C1561" s="1066">
        <v>46268</v>
      </c>
      <c r="D1561" s="1066">
        <v>46269</v>
      </c>
      <c r="E1561" s="1002" t="s">
        <v>1053</v>
      </c>
      <c r="F1561" s="1077">
        <v>46279</v>
      </c>
      <c r="G1561" s="1002" t="s">
        <v>1162</v>
      </c>
      <c r="H1561" s="1111" t="s">
        <v>1161</v>
      </c>
      <c r="I1561" s="1008" t="s">
        <v>893</v>
      </c>
      <c r="J1561" s="1007" t="s">
        <v>959</v>
      </c>
      <c r="K1561" s="1002" t="s">
        <v>960</v>
      </c>
      <c r="L1561" s="1224" t="s">
        <v>18</v>
      </c>
      <c r="M1561" s="1093">
        <v>48</v>
      </c>
      <c r="N1561" s="1081">
        <v>0</v>
      </c>
      <c r="O1561" s="1081">
        <f t="shared" si="253"/>
        <v>0</v>
      </c>
      <c r="P1561" s="1081">
        <f t="shared" si="247"/>
        <v>0</v>
      </c>
      <c r="Q1561" s="1206">
        <f t="shared" si="252"/>
        <v>0</v>
      </c>
      <c r="V1561" s="1083">
        <f t="shared" si="249"/>
        <v>0</v>
      </c>
    </row>
    <row r="1562" spans="1:22" hidden="1">
      <c r="A1562" s="1001" t="s">
        <v>792</v>
      </c>
      <c r="B1562" s="1001" t="s">
        <v>714</v>
      </c>
      <c r="C1562" s="1066">
        <v>46269</v>
      </c>
      <c r="D1562" s="1066">
        <v>46269</v>
      </c>
      <c r="E1562" s="1002" t="s">
        <v>1054</v>
      </c>
      <c r="F1562" s="1077">
        <v>46287</v>
      </c>
      <c r="G1562" s="1002" t="s">
        <v>1315</v>
      </c>
      <c r="H1562" s="1111" t="s">
        <v>1314</v>
      </c>
      <c r="I1562" s="1002" t="s">
        <v>810</v>
      </c>
      <c r="J1562" s="1007" t="s">
        <v>204</v>
      </c>
      <c r="K1562" s="1002" t="s">
        <v>269</v>
      </c>
      <c r="L1562" s="1224" t="s">
        <v>18</v>
      </c>
      <c r="M1562" s="1093">
        <v>10</v>
      </c>
      <c r="N1562" s="1081">
        <v>480555.56</v>
      </c>
      <c r="O1562" s="1081">
        <f>M1562*N1562</f>
        <v>4805555.5999999996</v>
      </c>
      <c r="P1562" s="1081">
        <f t="shared" si="247"/>
        <v>384444.44799999997</v>
      </c>
      <c r="Q1562" s="1206">
        <f t="shared" si="252"/>
        <v>5190000.0479999995</v>
      </c>
      <c r="V1562" s="1083">
        <f t="shared" si="249"/>
        <v>5190000.0479999995</v>
      </c>
    </row>
    <row r="1563" spans="1:22" hidden="1">
      <c r="A1563" s="1001" t="s">
        <v>792</v>
      </c>
      <c r="B1563" s="1001" t="s">
        <v>714</v>
      </c>
      <c r="C1563" s="1066">
        <v>46269</v>
      </c>
      <c r="D1563" s="1066">
        <v>46269</v>
      </c>
      <c r="E1563" s="1002" t="s">
        <v>1054</v>
      </c>
      <c r="F1563" s="1077">
        <v>46287</v>
      </c>
      <c r="G1563" s="1002" t="s">
        <v>1315</v>
      </c>
      <c r="H1563" s="1111" t="s">
        <v>1314</v>
      </c>
      <c r="I1563" s="1002" t="s">
        <v>810</v>
      </c>
      <c r="J1563" s="1007" t="s">
        <v>77</v>
      </c>
      <c r="K1563" s="1002" t="s">
        <v>320</v>
      </c>
      <c r="L1563" s="1224" t="s">
        <v>18</v>
      </c>
      <c r="M1563" s="1093">
        <v>20</v>
      </c>
      <c r="N1563" s="1081">
        <v>324074.07</v>
      </c>
      <c r="O1563" s="1081">
        <f t="shared" ref="O1563:O1566" si="254">M1563*N1563</f>
        <v>6481481.4000000004</v>
      </c>
      <c r="P1563" s="1081">
        <f t="shared" si="247"/>
        <v>518518.51200000005</v>
      </c>
      <c r="Q1563" s="1206">
        <f t="shared" si="252"/>
        <v>6999999.9120000005</v>
      </c>
      <c r="V1563" s="1083">
        <f t="shared" si="249"/>
        <v>6999999.9120000005</v>
      </c>
    </row>
    <row r="1564" spans="1:22" hidden="1">
      <c r="A1564" s="1001" t="s">
        <v>792</v>
      </c>
      <c r="B1564" s="1001" t="s">
        <v>714</v>
      </c>
      <c r="C1564" s="1066">
        <v>46269</v>
      </c>
      <c r="D1564" s="1066">
        <v>46269</v>
      </c>
      <c r="E1564" s="1002" t="s">
        <v>1054</v>
      </c>
      <c r="F1564" s="1077">
        <v>46287</v>
      </c>
      <c r="G1564" s="1002" t="s">
        <v>1315</v>
      </c>
      <c r="H1564" s="1111" t="s">
        <v>1314</v>
      </c>
      <c r="I1564" s="1002" t="s">
        <v>810</v>
      </c>
      <c r="J1564" s="1007" t="s">
        <v>206</v>
      </c>
      <c r="K1564" s="1002" t="s">
        <v>835</v>
      </c>
      <c r="L1564" s="1224" t="s">
        <v>18</v>
      </c>
      <c r="M1564" s="1093">
        <v>10</v>
      </c>
      <c r="N1564" s="1081">
        <v>483333.33</v>
      </c>
      <c r="O1564" s="1081">
        <f t="shared" si="254"/>
        <v>4833333.3</v>
      </c>
      <c r="P1564" s="1081">
        <f t="shared" si="247"/>
        <v>386666.66399999999</v>
      </c>
      <c r="Q1564" s="1206">
        <f t="shared" si="252"/>
        <v>5219999.9639999997</v>
      </c>
      <c r="V1564" s="1083">
        <f t="shared" si="249"/>
        <v>5219999.9639999997</v>
      </c>
    </row>
    <row r="1565" spans="1:22" hidden="1">
      <c r="A1565" s="1001" t="s">
        <v>792</v>
      </c>
      <c r="B1565" s="1001" t="s">
        <v>714</v>
      </c>
      <c r="C1565" s="1066">
        <v>46269</v>
      </c>
      <c r="D1565" s="1066">
        <v>46269</v>
      </c>
      <c r="E1565" s="1002" t="s">
        <v>1054</v>
      </c>
      <c r="F1565" s="1077">
        <v>46287</v>
      </c>
      <c r="G1565" s="1002" t="s">
        <v>1315</v>
      </c>
      <c r="H1565" s="1111" t="s">
        <v>1314</v>
      </c>
      <c r="I1565" s="1002" t="s">
        <v>810</v>
      </c>
      <c r="J1565" s="1007" t="s">
        <v>444</v>
      </c>
      <c r="K1565" s="1002" t="s">
        <v>445</v>
      </c>
      <c r="L1565" s="1224" t="s">
        <v>18</v>
      </c>
      <c r="M1565" s="1093">
        <v>4</v>
      </c>
      <c r="N1565" s="1081">
        <v>601851.85</v>
      </c>
      <c r="O1565" s="1081">
        <f t="shared" si="254"/>
        <v>2407407.4</v>
      </c>
      <c r="P1565" s="1081">
        <f t="shared" si="247"/>
        <v>192592.592</v>
      </c>
      <c r="Q1565" s="1206">
        <f t="shared" si="252"/>
        <v>2599999.9920000001</v>
      </c>
      <c r="V1565" s="1083">
        <f t="shared" si="249"/>
        <v>2599999.9920000001</v>
      </c>
    </row>
    <row r="1566" spans="1:22" hidden="1">
      <c r="A1566" s="1001" t="s">
        <v>792</v>
      </c>
      <c r="B1566" s="1001" t="s">
        <v>714</v>
      </c>
      <c r="C1566" s="1066">
        <v>46269</v>
      </c>
      <c r="D1566" s="1066">
        <v>46269</v>
      </c>
      <c r="E1566" s="1002" t="s">
        <v>1054</v>
      </c>
      <c r="F1566" s="1077">
        <v>46287</v>
      </c>
      <c r="G1566" s="1002" t="s">
        <v>1315</v>
      </c>
      <c r="H1566" s="1111" t="s">
        <v>1314</v>
      </c>
      <c r="I1566" s="1002" t="s">
        <v>810</v>
      </c>
      <c r="J1566" s="1007" t="s">
        <v>274</v>
      </c>
      <c r="K1566" s="1002" t="s">
        <v>297</v>
      </c>
      <c r="L1566" s="1224" t="s">
        <v>18</v>
      </c>
      <c r="M1566" s="1093">
        <v>2</v>
      </c>
      <c r="N1566" s="1081">
        <v>416666.67</v>
      </c>
      <c r="O1566" s="1081">
        <f t="shared" si="254"/>
        <v>833333.34</v>
      </c>
      <c r="P1566" s="1081">
        <f t="shared" si="247"/>
        <v>66666.667199999996</v>
      </c>
      <c r="Q1566" s="1206">
        <f t="shared" si="252"/>
        <v>900000.00719999999</v>
      </c>
      <c r="V1566" s="1083">
        <f t="shared" si="249"/>
        <v>900000.00719999999</v>
      </c>
    </row>
    <row r="1567" spans="1:22" hidden="1">
      <c r="A1567" s="1001" t="s">
        <v>792</v>
      </c>
      <c r="B1567" s="1001" t="s">
        <v>714</v>
      </c>
      <c r="C1567" s="1066">
        <v>46269</v>
      </c>
      <c r="D1567" s="1066">
        <v>46269</v>
      </c>
      <c r="E1567" s="1002" t="s">
        <v>1054</v>
      </c>
      <c r="F1567" s="1077">
        <v>46295</v>
      </c>
      <c r="G1567" s="1002"/>
      <c r="H1567" s="1111" t="s">
        <v>1308</v>
      </c>
      <c r="I1567" s="1002" t="s">
        <v>810</v>
      </c>
      <c r="J1567" s="1007" t="s">
        <v>639</v>
      </c>
      <c r="K1567" s="1002" t="s">
        <v>640</v>
      </c>
      <c r="L1567" s="1224" t="s">
        <v>18</v>
      </c>
      <c r="M1567" s="1093">
        <v>15</v>
      </c>
      <c r="N1567" s="1081">
        <v>537037.04</v>
      </c>
      <c r="O1567" s="1081">
        <f>M1567*N1567</f>
        <v>8055555.6000000006</v>
      </c>
      <c r="P1567" s="1081">
        <f t="shared" si="247"/>
        <v>644444.44800000009</v>
      </c>
      <c r="Q1567" s="1206">
        <f t="shared" si="252"/>
        <v>8700000.0480000004</v>
      </c>
      <c r="V1567" s="1083">
        <f t="shared" si="249"/>
        <v>8700000.0480000004</v>
      </c>
    </row>
    <row r="1568" spans="1:22" hidden="1">
      <c r="A1568" s="1001" t="s">
        <v>792</v>
      </c>
      <c r="B1568" s="1001" t="s">
        <v>714</v>
      </c>
      <c r="C1568" s="1066">
        <v>46269</v>
      </c>
      <c r="D1568" s="1066">
        <v>46269</v>
      </c>
      <c r="E1568" s="1002" t="s">
        <v>1054</v>
      </c>
      <c r="F1568" s="1077">
        <v>46295</v>
      </c>
      <c r="G1568" s="1002"/>
      <c r="H1568" s="1111" t="s">
        <v>1308</v>
      </c>
      <c r="I1568" s="1002" t="s">
        <v>810</v>
      </c>
      <c r="J1568" s="1007" t="s">
        <v>641</v>
      </c>
      <c r="K1568" s="1002" t="s">
        <v>657</v>
      </c>
      <c r="L1568" s="1224" t="s">
        <v>18</v>
      </c>
      <c r="M1568" s="1093">
        <v>30</v>
      </c>
      <c r="N1568" s="1081">
        <v>638888.89</v>
      </c>
      <c r="O1568" s="1081">
        <f t="shared" ref="O1568:O1569" si="255">M1568*N1568</f>
        <v>19166666.699999999</v>
      </c>
      <c r="P1568" s="1081">
        <f t="shared" si="247"/>
        <v>1533333.3359999999</v>
      </c>
      <c r="Q1568" s="1206">
        <f t="shared" si="252"/>
        <v>20700000.035999998</v>
      </c>
      <c r="V1568" s="1083">
        <f t="shared" si="249"/>
        <v>20700000.035999998</v>
      </c>
    </row>
    <row r="1569" spans="1:22" hidden="1">
      <c r="A1569" s="1001" t="s">
        <v>792</v>
      </c>
      <c r="B1569" s="1001" t="s">
        <v>714</v>
      </c>
      <c r="C1569" s="1066">
        <v>46269</v>
      </c>
      <c r="D1569" s="1066">
        <v>46269</v>
      </c>
      <c r="E1569" s="1002" t="s">
        <v>1054</v>
      </c>
      <c r="F1569" s="1077">
        <v>46295</v>
      </c>
      <c r="G1569" s="1002"/>
      <c r="H1569" s="1111" t="s">
        <v>1308</v>
      </c>
      <c r="I1569" s="1002" t="s">
        <v>810</v>
      </c>
      <c r="J1569" s="1007" t="s">
        <v>643</v>
      </c>
      <c r="K1569" s="1002" t="s">
        <v>644</v>
      </c>
      <c r="L1569" s="1224" t="s">
        <v>18</v>
      </c>
      <c r="M1569" s="1093">
        <v>15</v>
      </c>
      <c r="N1569" s="1081">
        <v>527777.78</v>
      </c>
      <c r="O1569" s="1081">
        <f t="shared" si="255"/>
        <v>7916666.7000000002</v>
      </c>
      <c r="P1569" s="1081">
        <f t="shared" si="247"/>
        <v>633333.33600000001</v>
      </c>
      <c r="Q1569" s="1206">
        <f t="shared" si="252"/>
        <v>8550000.0360000003</v>
      </c>
      <c r="V1569" s="1083">
        <f t="shared" si="249"/>
        <v>8550000.0360000003</v>
      </c>
    </row>
    <row r="1570" spans="1:22" hidden="1">
      <c r="A1570" s="1001" t="s">
        <v>792</v>
      </c>
      <c r="B1570" s="1001" t="s">
        <v>714</v>
      </c>
      <c r="C1570" s="1066">
        <v>46269</v>
      </c>
      <c r="D1570" s="1066">
        <v>46269</v>
      </c>
      <c r="E1570" s="1002" t="s">
        <v>1054</v>
      </c>
      <c r="F1570" s="1077">
        <v>46295</v>
      </c>
      <c r="G1570" s="1002"/>
      <c r="H1570" s="1111" t="s">
        <v>1308</v>
      </c>
      <c r="I1570" s="1002" t="s">
        <v>810</v>
      </c>
      <c r="J1570" s="1007" t="s">
        <v>653</v>
      </c>
      <c r="K1570" s="1002" t="s">
        <v>654</v>
      </c>
      <c r="L1570" s="1224" t="s">
        <v>18</v>
      </c>
      <c r="M1570" s="1093">
        <v>15</v>
      </c>
      <c r="N1570" s="1081">
        <v>481481.48</v>
      </c>
      <c r="O1570" s="1081">
        <f t="shared" ref="O1570" si="256">M1570*N1570</f>
        <v>7222222.1999999993</v>
      </c>
      <c r="P1570" s="1081">
        <f t="shared" si="247"/>
        <v>577777.77599999995</v>
      </c>
      <c r="Q1570" s="1206">
        <f t="shared" si="252"/>
        <v>7799999.9759999989</v>
      </c>
      <c r="V1570" s="1083">
        <f t="shared" si="249"/>
        <v>7799999.9759999989</v>
      </c>
    </row>
    <row r="1571" spans="1:22" hidden="1">
      <c r="A1571" s="1001" t="s">
        <v>792</v>
      </c>
      <c r="B1571" s="1001" t="s">
        <v>714</v>
      </c>
      <c r="C1571" s="1066">
        <v>46269</v>
      </c>
      <c r="D1571" s="1066">
        <v>46269</v>
      </c>
      <c r="E1571" s="1002" t="s">
        <v>1054</v>
      </c>
      <c r="F1571" s="1077">
        <v>46295</v>
      </c>
      <c r="G1571" s="1002"/>
      <c r="H1571" s="1111" t="s">
        <v>1308</v>
      </c>
      <c r="I1571" s="1002" t="s">
        <v>810</v>
      </c>
      <c r="J1571" s="1007" t="s">
        <v>655</v>
      </c>
      <c r="K1571" s="1002" t="s">
        <v>656</v>
      </c>
      <c r="L1571" s="1224" t="s">
        <v>18</v>
      </c>
      <c r="M1571" s="1093">
        <v>15</v>
      </c>
      <c r="N1571" s="1081">
        <v>574074.06999999995</v>
      </c>
      <c r="O1571" s="1081">
        <f>M1571*N1571</f>
        <v>8611111.0499999989</v>
      </c>
      <c r="P1571" s="1081">
        <f t="shared" si="247"/>
        <v>688888.88399999996</v>
      </c>
      <c r="Q1571" s="1206">
        <f t="shared" si="252"/>
        <v>9299999.9339999985</v>
      </c>
      <c r="V1571" s="1083">
        <f t="shared" si="249"/>
        <v>9299999.9339999985</v>
      </c>
    </row>
    <row r="1572" spans="1:22" hidden="1">
      <c r="A1572" s="1001" t="s">
        <v>792</v>
      </c>
      <c r="B1572" s="1001" t="s">
        <v>714</v>
      </c>
      <c r="C1572" s="1066">
        <v>46269</v>
      </c>
      <c r="D1572" s="1066">
        <v>46269</v>
      </c>
      <c r="E1572" s="1002" t="s">
        <v>1054</v>
      </c>
      <c r="F1572" s="1077"/>
      <c r="G1572" s="1002"/>
      <c r="H1572" s="1111"/>
      <c r="I1572" s="1002" t="s">
        <v>810</v>
      </c>
      <c r="J1572" s="1007" t="s">
        <v>103</v>
      </c>
      <c r="K1572" s="1002" t="s">
        <v>104</v>
      </c>
      <c r="L1572" s="1224" t="s">
        <v>18</v>
      </c>
      <c r="M1572" s="1093">
        <v>6</v>
      </c>
      <c r="N1572" s="1081">
        <v>937962.96</v>
      </c>
      <c r="O1572" s="1081">
        <f t="shared" ref="O1572:O1584" si="257">M1572*N1572</f>
        <v>5627777.7599999998</v>
      </c>
      <c r="P1572" s="1081">
        <f t="shared" si="247"/>
        <v>450222.22080000001</v>
      </c>
      <c r="Q1572" s="1206">
        <f t="shared" si="252"/>
        <v>6077999.9808</v>
      </c>
      <c r="V1572" s="1083">
        <f t="shared" si="249"/>
        <v>6077999.9808</v>
      </c>
    </row>
    <row r="1573" spans="1:22" hidden="1">
      <c r="A1573" s="1001" t="s">
        <v>792</v>
      </c>
      <c r="B1573" s="1001" t="s">
        <v>714</v>
      </c>
      <c r="C1573" s="1066">
        <v>46269</v>
      </c>
      <c r="D1573" s="1066">
        <v>46269</v>
      </c>
      <c r="E1573" s="1002" t="s">
        <v>1054</v>
      </c>
      <c r="F1573" s="1077">
        <v>46287</v>
      </c>
      <c r="G1573" s="1002" t="s">
        <v>1315</v>
      </c>
      <c r="H1573" s="1111" t="s">
        <v>1314</v>
      </c>
      <c r="I1573" s="1002" t="s">
        <v>810</v>
      </c>
      <c r="J1573" s="1007" t="s">
        <v>56</v>
      </c>
      <c r="K1573" s="1002" t="s">
        <v>57</v>
      </c>
      <c r="L1573" s="1224" t="s">
        <v>18</v>
      </c>
      <c r="M1573" s="1093">
        <v>12</v>
      </c>
      <c r="N1573" s="1081">
        <v>325925.93</v>
      </c>
      <c r="O1573" s="1081">
        <f t="shared" si="257"/>
        <v>3911111.16</v>
      </c>
      <c r="P1573" s="1081">
        <f t="shared" si="247"/>
        <v>312888.89280000003</v>
      </c>
      <c r="Q1573" s="1206">
        <f t="shared" si="252"/>
        <v>4224000.0527999997</v>
      </c>
      <c r="V1573" s="1083">
        <f t="shared" si="249"/>
        <v>4224000.0527999997</v>
      </c>
    </row>
    <row r="1574" spans="1:22" hidden="1">
      <c r="A1574" s="1001" t="s">
        <v>792</v>
      </c>
      <c r="B1574" s="1001" t="s">
        <v>714</v>
      </c>
      <c r="C1574" s="1066">
        <v>46269</v>
      </c>
      <c r="D1574" s="1066">
        <v>46269</v>
      </c>
      <c r="E1574" s="1002" t="s">
        <v>1054</v>
      </c>
      <c r="F1574" s="1077">
        <v>46287</v>
      </c>
      <c r="G1574" s="1002" t="s">
        <v>1315</v>
      </c>
      <c r="H1574" s="1111" t="s">
        <v>1314</v>
      </c>
      <c r="I1574" s="1002" t="s">
        <v>810</v>
      </c>
      <c r="J1574" s="1007" t="s">
        <v>93</v>
      </c>
      <c r="K1574" s="1002" t="s">
        <v>94</v>
      </c>
      <c r="L1574" s="1224" t="s">
        <v>18</v>
      </c>
      <c r="M1574" s="1093">
        <v>4</v>
      </c>
      <c r="N1574" s="1081">
        <v>907407.41</v>
      </c>
      <c r="O1574" s="1081">
        <f t="shared" si="257"/>
        <v>3629629.64</v>
      </c>
      <c r="P1574" s="1081">
        <f t="shared" si="247"/>
        <v>290370.37119999999</v>
      </c>
      <c r="Q1574" s="1206">
        <f t="shared" si="252"/>
        <v>3920000.0112000001</v>
      </c>
      <c r="V1574" s="1083">
        <f t="shared" si="249"/>
        <v>3920000.0112000001</v>
      </c>
    </row>
    <row r="1575" spans="1:22" hidden="1">
      <c r="A1575" s="1001" t="s">
        <v>792</v>
      </c>
      <c r="B1575" s="1001" t="s">
        <v>714</v>
      </c>
      <c r="C1575" s="1066">
        <v>46269</v>
      </c>
      <c r="D1575" s="1066">
        <v>46269</v>
      </c>
      <c r="E1575" s="1002" t="s">
        <v>1054</v>
      </c>
      <c r="F1575" s="1077">
        <v>46295</v>
      </c>
      <c r="G1575" s="1002"/>
      <c r="H1575" s="1111" t="s">
        <v>1308</v>
      </c>
      <c r="I1575" s="1008" t="s">
        <v>892</v>
      </c>
      <c r="J1575" s="1007" t="s">
        <v>639</v>
      </c>
      <c r="K1575" s="1002" t="s">
        <v>640</v>
      </c>
      <c r="L1575" s="1224" t="s">
        <v>18</v>
      </c>
      <c r="M1575" s="1093">
        <v>1</v>
      </c>
      <c r="N1575" s="1081">
        <v>0</v>
      </c>
      <c r="O1575" s="1081">
        <f t="shared" si="257"/>
        <v>0</v>
      </c>
      <c r="P1575" s="1081">
        <f t="shared" si="247"/>
        <v>0</v>
      </c>
      <c r="Q1575" s="1206">
        <f t="shared" si="252"/>
        <v>0</v>
      </c>
      <c r="V1575" s="1083">
        <f t="shared" si="249"/>
        <v>0</v>
      </c>
    </row>
    <row r="1576" spans="1:22" hidden="1">
      <c r="A1576" s="1001" t="s">
        <v>792</v>
      </c>
      <c r="B1576" s="1001" t="s">
        <v>714</v>
      </c>
      <c r="C1576" s="1066">
        <v>46269</v>
      </c>
      <c r="D1576" s="1066">
        <v>46269</v>
      </c>
      <c r="E1576" s="1002" t="s">
        <v>1054</v>
      </c>
      <c r="F1576" s="1077">
        <v>46295</v>
      </c>
      <c r="G1576" s="1002"/>
      <c r="H1576" s="1111" t="s">
        <v>1308</v>
      </c>
      <c r="I1576" s="1008" t="s">
        <v>892</v>
      </c>
      <c r="J1576" s="1007" t="s">
        <v>641</v>
      </c>
      <c r="K1576" s="1002" t="s">
        <v>657</v>
      </c>
      <c r="L1576" s="1224" t="s">
        <v>18</v>
      </c>
      <c r="M1576" s="1093">
        <v>2</v>
      </c>
      <c r="N1576" s="1081">
        <v>0</v>
      </c>
      <c r="O1576" s="1081">
        <f t="shared" si="257"/>
        <v>0</v>
      </c>
      <c r="P1576" s="1081">
        <f t="shared" si="247"/>
        <v>0</v>
      </c>
      <c r="Q1576" s="1206">
        <f t="shared" si="252"/>
        <v>0</v>
      </c>
      <c r="V1576" s="1083">
        <f t="shared" si="249"/>
        <v>0</v>
      </c>
    </row>
    <row r="1577" spans="1:22" hidden="1">
      <c r="A1577" s="1001" t="s">
        <v>792</v>
      </c>
      <c r="B1577" s="1001" t="s">
        <v>714</v>
      </c>
      <c r="C1577" s="1066">
        <v>46269</v>
      </c>
      <c r="D1577" s="1066">
        <v>46269</v>
      </c>
      <c r="E1577" s="1002" t="s">
        <v>1054</v>
      </c>
      <c r="F1577" s="1077">
        <v>46295</v>
      </c>
      <c r="G1577" s="1002"/>
      <c r="H1577" s="1111" t="s">
        <v>1308</v>
      </c>
      <c r="I1577" s="1008" t="s">
        <v>892</v>
      </c>
      <c r="J1577" s="1007" t="s">
        <v>643</v>
      </c>
      <c r="K1577" s="1002" t="s">
        <v>644</v>
      </c>
      <c r="L1577" s="1224" t="s">
        <v>18</v>
      </c>
      <c r="M1577" s="1093">
        <v>1</v>
      </c>
      <c r="N1577" s="1081">
        <v>0</v>
      </c>
      <c r="O1577" s="1081">
        <f t="shared" si="257"/>
        <v>0</v>
      </c>
      <c r="P1577" s="1081">
        <f t="shared" si="247"/>
        <v>0</v>
      </c>
      <c r="Q1577" s="1206">
        <f t="shared" si="252"/>
        <v>0</v>
      </c>
      <c r="V1577" s="1083">
        <f t="shared" si="249"/>
        <v>0</v>
      </c>
    </row>
    <row r="1578" spans="1:22" hidden="1">
      <c r="A1578" s="1001" t="s">
        <v>792</v>
      </c>
      <c r="B1578" s="1001" t="s">
        <v>714</v>
      </c>
      <c r="C1578" s="1066">
        <v>46269</v>
      </c>
      <c r="D1578" s="1066">
        <v>46269</v>
      </c>
      <c r="E1578" s="1002" t="s">
        <v>1054</v>
      </c>
      <c r="F1578" s="1077">
        <v>46295</v>
      </c>
      <c r="G1578" s="1002"/>
      <c r="H1578" s="1111" t="s">
        <v>1308</v>
      </c>
      <c r="I1578" s="1008" t="s">
        <v>892</v>
      </c>
      <c r="J1578" s="1007" t="s">
        <v>653</v>
      </c>
      <c r="K1578" s="1002" t="s">
        <v>654</v>
      </c>
      <c r="L1578" s="1224" t="s">
        <v>18</v>
      </c>
      <c r="M1578" s="1093">
        <v>1</v>
      </c>
      <c r="N1578" s="1081">
        <v>0</v>
      </c>
      <c r="O1578" s="1081">
        <f t="shared" si="257"/>
        <v>0</v>
      </c>
      <c r="P1578" s="1081">
        <f t="shared" si="247"/>
        <v>0</v>
      </c>
      <c r="Q1578" s="1206">
        <f t="shared" si="252"/>
        <v>0</v>
      </c>
      <c r="V1578" s="1083">
        <f t="shared" si="249"/>
        <v>0</v>
      </c>
    </row>
    <row r="1579" spans="1:22" hidden="1">
      <c r="A1579" s="1001" t="s">
        <v>792</v>
      </c>
      <c r="B1579" s="1001" t="s">
        <v>714</v>
      </c>
      <c r="C1579" s="1066">
        <v>46269</v>
      </c>
      <c r="D1579" s="1066">
        <v>46269</v>
      </c>
      <c r="E1579" s="1002" t="s">
        <v>1054</v>
      </c>
      <c r="F1579" s="1077">
        <v>46295</v>
      </c>
      <c r="G1579" s="1002"/>
      <c r="H1579" s="1111" t="s">
        <v>1308</v>
      </c>
      <c r="I1579" s="1008" t="s">
        <v>892</v>
      </c>
      <c r="J1579" s="1007" t="s">
        <v>655</v>
      </c>
      <c r="K1579" s="1002" t="s">
        <v>656</v>
      </c>
      <c r="L1579" s="1224" t="s">
        <v>18</v>
      </c>
      <c r="M1579" s="1093">
        <v>1</v>
      </c>
      <c r="N1579" s="1081">
        <v>0</v>
      </c>
      <c r="O1579" s="1081">
        <f t="shared" si="257"/>
        <v>0</v>
      </c>
      <c r="P1579" s="1081">
        <f t="shared" si="247"/>
        <v>0</v>
      </c>
      <c r="Q1579" s="1206">
        <f t="shared" si="252"/>
        <v>0</v>
      </c>
      <c r="V1579" s="1083">
        <f t="shared" si="249"/>
        <v>0</v>
      </c>
    </row>
    <row r="1580" spans="1:22" hidden="1">
      <c r="A1580" s="1001" t="s">
        <v>792</v>
      </c>
      <c r="B1580" s="1001" t="s">
        <v>714</v>
      </c>
      <c r="C1580" s="1066">
        <v>46269</v>
      </c>
      <c r="D1580" s="1066">
        <v>46269</v>
      </c>
      <c r="E1580" s="1002" t="s">
        <v>1054</v>
      </c>
      <c r="F1580" s="1077">
        <v>46287</v>
      </c>
      <c r="G1580" s="1002" t="s">
        <v>1315</v>
      </c>
      <c r="H1580" s="1111" t="s">
        <v>1314</v>
      </c>
      <c r="I1580" s="1002" t="s">
        <v>1211</v>
      </c>
      <c r="J1580" s="1007" t="s">
        <v>56</v>
      </c>
      <c r="K1580" s="1002" t="s">
        <v>57</v>
      </c>
      <c r="L1580" s="1224" t="s">
        <v>18</v>
      </c>
      <c r="M1580" s="1093">
        <v>1</v>
      </c>
      <c r="N1580" s="1081">
        <v>0</v>
      </c>
      <c r="O1580" s="1081">
        <f t="shared" si="257"/>
        <v>0</v>
      </c>
      <c r="P1580" s="1081">
        <f t="shared" si="247"/>
        <v>0</v>
      </c>
      <c r="Q1580" s="1206">
        <f t="shared" si="252"/>
        <v>0</v>
      </c>
      <c r="V1580" s="1083">
        <f t="shared" si="249"/>
        <v>0</v>
      </c>
    </row>
    <row r="1581" spans="1:22" hidden="1">
      <c r="A1581" s="1001" t="s">
        <v>792</v>
      </c>
      <c r="B1581" s="1001" t="s">
        <v>714</v>
      </c>
      <c r="C1581" s="1066">
        <v>46269</v>
      </c>
      <c r="D1581" s="1066">
        <v>46269</v>
      </c>
      <c r="E1581" s="1002" t="s">
        <v>1054</v>
      </c>
      <c r="F1581" s="1077"/>
      <c r="G1581" s="1002"/>
      <c r="H1581" s="1111"/>
      <c r="I1581" s="1008" t="s">
        <v>862</v>
      </c>
      <c r="J1581" s="1007" t="s">
        <v>959</v>
      </c>
      <c r="K1581" s="1002" t="s">
        <v>960</v>
      </c>
      <c r="L1581" s="1224" t="s">
        <v>18</v>
      </c>
      <c r="M1581" s="1093">
        <v>6</v>
      </c>
      <c r="N1581" s="1081">
        <v>0</v>
      </c>
      <c r="O1581" s="1081">
        <f t="shared" si="257"/>
        <v>0</v>
      </c>
      <c r="P1581" s="1081">
        <f t="shared" si="247"/>
        <v>0</v>
      </c>
      <c r="Q1581" s="1206">
        <f t="shared" si="252"/>
        <v>0</v>
      </c>
      <c r="V1581" s="1083">
        <f t="shared" si="249"/>
        <v>0</v>
      </c>
    </row>
    <row r="1582" spans="1:22" hidden="1">
      <c r="A1582" s="1004" t="s">
        <v>934</v>
      </c>
      <c r="B1582" s="1001" t="s">
        <v>865</v>
      </c>
      <c r="C1582" s="1066">
        <v>46269</v>
      </c>
      <c r="D1582" s="1066">
        <v>46269</v>
      </c>
      <c r="E1582" s="1002"/>
      <c r="F1582" s="1077"/>
      <c r="G1582" s="1002"/>
      <c r="H1582" s="1111"/>
      <c r="I1582" s="1002" t="s">
        <v>844</v>
      </c>
      <c r="J1582" s="1007"/>
      <c r="L1582" s="1224"/>
      <c r="M1582" s="1093"/>
      <c r="N1582" s="1081"/>
      <c r="Q1582" s="1206"/>
      <c r="R1582" s="1107">
        <v>50000000</v>
      </c>
      <c r="V1582" s="1083">
        <f t="shared" si="249"/>
        <v>-50000000</v>
      </c>
    </row>
    <row r="1583" spans="1:22" hidden="1">
      <c r="A1583" s="1000" t="s">
        <v>761</v>
      </c>
      <c r="B1583" s="1028" t="s">
        <v>1496</v>
      </c>
      <c r="C1583" s="1066">
        <v>46269</v>
      </c>
      <c r="D1583" s="1066">
        <v>46269</v>
      </c>
      <c r="E1583" s="1002" t="s">
        <v>1055</v>
      </c>
      <c r="F1583" s="1077">
        <v>46270</v>
      </c>
      <c r="G1583" s="1002" t="s">
        <v>1073</v>
      </c>
      <c r="H1583" s="1111" t="s">
        <v>1072</v>
      </c>
      <c r="I1583" s="1002" t="s">
        <v>1497</v>
      </c>
      <c r="J1583" s="1007" t="s">
        <v>262</v>
      </c>
      <c r="K1583" s="1002" t="s">
        <v>435</v>
      </c>
      <c r="L1583" s="1224" t="s">
        <v>18</v>
      </c>
      <c r="M1583" s="1093">
        <v>10</v>
      </c>
      <c r="N1583" s="1081">
        <v>851851.85</v>
      </c>
      <c r="O1583" s="1081">
        <f t="shared" si="257"/>
        <v>8518518.5</v>
      </c>
      <c r="P1583" s="1081">
        <f t="shared" si="247"/>
        <v>681481.48</v>
      </c>
      <c r="Q1583" s="1206">
        <f t="shared" si="252"/>
        <v>9199999.9800000004</v>
      </c>
      <c r="V1583" s="1083">
        <f t="shared" si="249"/>
        <v>9199999.9800000004</v>
      </c>
    </row>
    <row r="1584" spans="1:22" hidden="1">
      <c r="A1584" s="1000" t="s">
        <v>761</v>
      </c>
      <c r="B1584" s="1028" t="s">
        <v>1496</v>
      </c>
      <c r="C1584" s="1066">
        <v>46269</v>
      </c>
      <c r="D1584" s="1066">
        <v>46269</v>
      </c>
      <c r="E1584" s="1002" t="s">
        <v>1056</v>
      </c>
      <c r="F1584" s="1077"/>
      <c r="G1584" s="1002"/>
      <c r="H1584" s="1111"/>
      <c r="I1584" s="1002" t="s">
        <v>1181</v>
      </c>
      <c r="J1584" s="1007" t="s">
        <v>90</v>
      </c>
      <c r="K1584" s="1002" t="s">
        <v>91</v>
      </c>
      <c r="L1584" s="1224" t="s">
        <v>18</v>
      </c>
      <c r="M1584" s="1093">
        <v>1</v>
      </c>
      <c r="N1584" s="1081">
        <v>0</v>
      </c>
      <c r="O1584" s="1081">
        <f t="shared" si="257"/>
        <v>0</v>
      </c>
      <c r="P1584" s="1081">
        <f t="shared" si="247"/>
        <v>0</v>
      </c>
      <c r="Q1584" s="1206">
        <f t="shared" si="252"/>
        <v>0</v>
      </c>
      <c r="V1584" s="1083">
        <f t="shared" si="249"/>
        <v>0</v>
      </c>
    </row>
    <row r="1585" spans="1:22" hidden="1">
      <c r="A1585" s="1004" t="s">
        <v>934</v>
      </c>
      <c r="B1585" s="1001" t="s">
        <v>865</v>
      </c>
      <c r="C1585" s="1066">
        <v>46269</v>
      </c>
      <c r="D1585" s="1066">
        <v>46270</v>
      </c>
      <c r="E1585" s="1002" t="s">
        <v>1057</v>
      </c>
      <c r="F1585" s="1077"/>
      <c r="G1585" s="1002"/>
      <c r="H1585" s="1111"/>
      <c r="I1585" s="1002" t="s">
        <v>1181</v>
      </c>
      <c r="J1585" s="1007" t="s">
        <v>90</v>
      </c>
      <c r="K1585" s="1002" t="s">
        <v>91</v>
      </c>
      <c r="L1585" s="1224" t="s">
        <v>18</v>
      </c>
      <c r="M1585" s="1093">
        <v>1</v>
      </c>
      <c r="N1585" s="1081">
        <v>0</v>
      </c>
      <c r="O1585" s="1081">
        <f>M1585*N1585</f>
        <v>0</v>
      </c>
      <c r="P1585" s="1081">
        <f t="shared" si="247"/>
        <v>0</v>
      </c>
      <c r="Q1585" s="1206">
        <f t="shared" si="252"/>
        <v>0</v>
      </c>
      <c r="V1585" s="1083">
        <f t="shared" si="249"/>
        <v>0</v>
      </c>
    </row>
    <row r="1586" spans="1:22" hidden="1">
      <c r="A1586" s="1000" t="s">
        <v>711</v>
      </c>
      <c r="B1586" s="1001" t="s">
        <v>715</v>
      </c>
      <c r="C1586" s="1066">
        <v>46270</v>
      </c>
      <c r="D1586" s="1066">
        <v>46270</v>
      </c>
      <c r="E1586" s="1002" t="s">
        <v>1058</v>
      </c>
      <c r="F1586" s="1077">
        <v>46276</v>
      </c>
      <c r="G1586" s="1002"/>
      <c r="H1586" s="1111" t="s">
        <v>1160</v>
      </c>
      <c r="I1586" s="1002" t="s">
        <v>813</v>
      </c>
      <c r="J1586" s="1007" t="s">
        <v>46</v>
      </c>
      <c r="K1586" s="1002" t="s">
        <v>47</v>
      </c>
      <c r="L1586" s="1224" t="s">
        <v>18</v>
      </c>
      <c r="M1586" s="1093">
        <v>4</v>
      </c>
      <c r="N1586" s="1081">
        <v>240740.74</v>
      </c>
      <c r="O1586" s="1081">
        <f>M1586*N1586</f>
        <v>962962.96</v>
      </c>
      <c r="P1586" s="1081">
        <f t="shared" si="247"/>
        <v>77037.036800000002</v>
      </c>
      <c r="Q1586" s="1206">
        <f t="shared" si="252"/>
        <v>1039999.9968</v>
      </c>
      <c r="V1586" s="1083">
        <f t="shared" si="249"/>
        <v>1039999.9968</v>
      </c>
    </row>
    <row r="1587" spans="1:22" hidden="1">
      <c r="A1587" s="1000" t="s">
        <v>711</v>
      </c>
      <c r="B1587" s="1001" t="s">
        <v>715</v>
      </c>
      <c r="C1587" s="1066">
        <v>46270</v>
      </c>
      <c r="D1587" s="1066">
        <v>46270</v>
      </c>
      <c r="E1587" s="1002" t="s">
        <v>1058</v>
      </c>
      <c r="F1587" s="1077">
        <v>46276</v>
      </c>
      <c r="G1587" s="1002"/>
      <c r="H1587" s="1111" t="s">
        <v>1160</v>
      </c>
      <c r="I1587" s="1002" t="s">
        <v>813</v>
      </c>
      <c r="J1587" s="1007" t="s">
        <v>119</v>
      </c>
      <c r="K1587" s="1002" t="s">
        <v>191</v>
      </c>
      <c r="L1587" s="1224" t="s">
        <v>18</v>
      </c>
      <c r="M1587" s="1093">
        <v>4</v>
      </c>
      <c r="N1587" s="1081">
        <v>574074.06999999995</v>
      </c>
      <c r="O1587" s="1081">
        <f>M1587*N1587</f>
        <v>2296296.2799999998</v>
      </c>
      <c r="P1587" s="1081">
        <f t="shared" si="247"/>
        <v>183703.70239999998</v>
      </c>
      <c r="Q1587" s="1206">
        <f t="shared" si="252"/>
        <v>2479999.9823999996</v>
      </c>
      <c r="V1587" s="1083">
        <f t="shared" si="249"/>
        <v>2479999.9823999996</v>
      </c>
    </row>
    <row r="1588" spans="1:22" hidden="1">
      <c r="A1588" s="1000" t="s">
        <v>711</v>
      </c>
      <c r="B1588" s="1001" t="s">
        <v>715</v>
      </c>
      <c r="C1588" s="1066">
        <v>46270</v>
      </c>
      <c r="D1588" s="1066">
        <v>46270</v>
      </c>
      <c r="E1588" s="1002" t="s">
        <v>1058</v>
      </c>
      <c r="F1588" s="1077">
        <v>46276</v>
      </c>
      <c r="G1588" s="1002"/>
      <c r="H1588" s="1111" t="s">
        <v>1160</v>
      </c>
      <c r="I1588" s="1002" t="s">
        <v>813</v>
      </c>
      <c r="J1588" s="1007" t="s">
        <v>42</v>
      </c>
      <c r="K1588" s="1002" t="s">
        <v>43</v>
      </c>
      <c r="L1588" s="1224" t="s">
        <v>18</v>
      </c>
      <c r="M1588" s="1093">
        <v>4</v>
      </c>
      <c r="N1588" s="1081">
        <v>527777.78</v>
      </c>
      <c r="O1588" s="1081">
        <f t="shared" ref="O1588" si="258">M1588*N1588</f>
        <v>2111111.12</v>
      </c>
      <c r="P1588" s="1081">
        <f t="shared" si="247"/>
        <v>168888.88960000002</v>
      </c>
      <c r="Q1588" s="1206">
        <f t="shared" si="252"/>
        <v>2280000.0096</v>
      </c>
      <c r="V1588" s="1083">
        <f t="shared" si="249"/>
        <v>2280000.0096</v>
      </c>
    </row>
    <row r="1589" spans="1:22" hidden="1">
      <c r="A1589" s="1000" t="s">
        <v>711</v>
      </c>
      <c r="B1589" s="1001" t="s">
        <v>715</v>
      </c>
      <c r="C1589" s="1066">
        <v>46270</v>
      </c>
      <c r="D1589" s="1066">
        <v>46270</v>
      </c>
      <c r="E1589" s="1002" t="s">
        <v>1058</v>
      </c>
      <c r="F1589" s="1077">
        <v>46276</v>
      </c>
      <c r="G1589" s="1002"/>
      <c r="H1589" s="1111" t="s">
        <v>1160</v>
      </c>
      <c r="I1589" s="1002" t="s">
        <v>813</v>
      </c>
      <c r="J1589" s="1007" t="s">
        <v>44</v>
      </c>
      <c r="K1589" s="1002" t="s">
        <v>45</v>
      </c>
      <c r="L1589" s="1224" t="s">
        <v>18</v>
      </c>
      <c r="M1589" s="1093">
        <v>4</v>
      </c>
      <c r="N1589" s="1081">
        <v>537037.04</v>
      </c>
      <c r="O1589" s="1081">
        <f>M1589*N1589</f>
        <v>2148148.16</v>
      </c>
      <c r="P1589" s="1081">
        <f t="shared" si="247"/>
        <v>171851.85280000002</v>
      </c>
      <c r="Q1589" s="1206">
        <f t="shared" si="252"/>
        <v>2320000.0128000001</v>
      </c>
      <c r="V1589" s="1083">
        <f t="shared" si="249"/>
        <v>2320000.0128000001</v>
      </c>
    </row>
    <row r="1590" spans="1:22" hidden="1">
      <c r="A1590" s="1000" t="s">
        <v>711</v>
      </c>
      <c r="B1590" s="1001" t="s">
        <v>715</v>
      </c>
      <c r="C1590" s="1066">
        <v>46270</v>
      </c>
      <c r="D1590" s="1066">
        <v>46270</v>
      </c>
      <c r="E1590" s="1002" t="s">
        <v>1058</v>
      </c>
      <c r="F1590" s="1077">
        <v>46276</v>
      </c>
      <c r="G1590" s="1002"/>
      <c r="H1590" s="1111" t="s">
        <v>1160</v>
      </c>
      <c r="I1590" s="1002" t="s">
        <v>813</v>
      </c>
      <c r="J1590" s="1007" t="s">
        <v>148</v>
      </c>
      <c r="K1590" s="1002" t="s">
        <v>149</v>
      </c>
      <c r="L1590" s="1224" t="s">
        <v>18</v>
      </c>
      <c r="M1590" s="1093">
        <v>12</v>
      </c>
      <c r="N1590" s="1081">
        <v>296296.3</v>
      </c>
      <c r="O1590" s="1081">
        <f t="shared" ref="O1590:O1592" si="259">M1590*N1590</f>
        <v>3555555.5999999996</v>
      </c>
      <c r="P1590" s="1081">
        <f t="shared" si="247"/>
        <v>284444.44799999997</v>
      </c>
      <c r="Q1590" s="1206">
        <f t="shared" si="252"/>
        <v>3840000.0479999995</v>
      </c>
      <c r="V1590" s="1083">
        <f t="shared" si="249"/>
        <v>3840000.0479999995</v>
      </c>
    </row>
    <row r="1591" spans="1:22" hidden="1">
      <c r="A1591" s="1000" t="s">
        <v>711</v>
      </c>
      <c r="B1591" s="1001" t="s">
        <v>715</v>
      </c>
      <c r="C1591" s="1066">
        <v>46270</v>
      </c>
      <c r="D1591" s="1066">
        <v>46270</v>
      </c>
      <c r="E1591" s="1002" t="s">
        <v>1058</v>
      </c>
      <c r="F1591" s="1077">
        <v>46276</v>
      </c>
      <c r="G1591" s="1002"/>
      <c r="H1591" s="1111" t="s">
        <v>1160</v>
      </c>
      <c r="I1591" s="1002" t="s">
        <v>813</v>
      </c>
      <c r="J1591" s="1007" t="s">
        <v>192</v>
      </c>
      <c r="K1591" s="1002" t="s">
        <v>193</v>
      </c>
      <c r="L1591" s="1224" t="s">
        <v>18</v>
      </c>
      <c r="M1591" s="1093">
        <v>16</v>
      </c>
      <c r="N1591" s="1081">
        <v>333333.33</v>
      </c>
      <c r="O1591" s="1081">
        <f t="shared" si="259"/>
        <v>5333333.28</v>
      </c>
      <c r="P1591" s="1081">
        <f t="shared" si="247"/>
        <v>426666.66240000003</v>
      </c>
      <c r="Q1591" s="1206">
        <f t="shared" si="252"/>
        <v>5759999.9424000001</v>
      </c>
      <c r="V1591" s="1083">
        <f t="shared" si="249"/>
        <v>5759999.9424000001</v>
      </c>
    </row>
    <row r="1592" spans="1:22" hidden="1">
      <c r="A1592" s="1000" t="s">
        <v>711</v>
      </c>
      <c r="B1592" s="1001" t="s">
        <v>715</v>
      </c>
      <c r="C1592" s="1066">
        <v>46270</v>
      </c>
      <c r="D1592" s="1066">
        <v>46272</v>
      </c>
      <c r="E1592" s="1002" t="s">
        <v>1058</v>
      </c>
      <c r="F1592" s="1077">
        <v>46276</v>
      </c>
      <c r="G1592" s="1002"/>
      <c r="H1592" s="1111" t="s">
        <v>1160</v>
      </c>
      <c r="I1592" s="1002" t="s">
        <v>813</v>
      </c>
      <c r="J1592" s="1007" t="s">
        <v>260</v>
      </c>
      <c r="K1592" s="1002" t="s">
        <v>261</v>
      </c>
      <c r="L1592" s="1224" t="s">
        <v>18</v>
      </c>
      <c r="M1592" s="1093">
        <v>8</v>
      </c>
      <c r="N1592" s="1081">
        <v>407407.41</v>
      </c>
      <c r="O1592" s="1081">
        <f t="shared" si="259"/>
        <v>3259259.28</v>
      </c>
      <c r="P1592" s="1081">
        <f t="shared" si="247"/>
        <v>260740.74239999999</v>
      </c>
      <c r="Q1592" s="1206">
        <f t="shared" si="252"/>
        <v>3520000.0223999997</v>
      </c>
      <c r="V1592" s="1083">
        <f t="shared" si="249"/>
        <v>3520000.0223999997</v>
      </c>
    </row>
    <row r="1593" spans="1:22" hidden="1">
      <c r="A1593" s="1004" t="s">
        <v>934</v>
      </c>
      <c r="B1593" s="1001" t="s">
        <v>865</v>
      </c>
      <c r="C1593" s="1066">
        <v>46272</v>
      </c>
      <c r="D1593" s="1066">
        <v>46272</v>
      </c>
      <c r="E1593" s="1002" t="s">
        <v>1059</v>
      </c>
      <c r="F1593" s="1077"/>
      <c r="G1593" s="1002"/>
      <c r="H1593" s="1111"/>
      <c r="I1593" s="1002" t="s">
        <v>1181</v>
      </c>
      <c r="J1593" s="1007" t="s">
        <v>653</v>
      </c>
      <c r="K1593" s="1002" t="s">
        <v>654</v>
      </c>
      <c r="L1593" s="1224" t="s">
        <v>18</v>
      </c>
      <c r="M1593" s="1093">
        <v>1</v>
      </c>
      <c r="N1593" s="1081">
        <v>0</v>
      </c>
      <c r="O1593" s="1081">
        <f>M1593*N1593</f>
        <v>0</v>
      </c>
      <c r="P1593" s="1081">
        <f t="shared" si="247"/>
        <v>0</v>
      </c>
      <c r="Q1593" s="1206">
        <f t="shared" si="252"/>
        <v>0</v>
      </c>
      <c r="V1593" s="1083">
        <f t="shared" si="249"/>
        <v>0</v>
      </c>
    </row>
    <row r="1594" spans="1:22" hidden="1">
      <c r="A1594" s="1004" t="s">
        <v>934</v>
      </c>
      <c r="B1594" s="1001" t="s">
        <v>865</v>
      </c>
      <c r="C1594" s="1066">
        <v>46272</v>
      </c>
      <c r="D1594" s="1066">
        <v>46272</v>
      </c>
      <c r="E1594" s="1002" t="s">
        <v>1059</v>
      </c>
      <c r="F1594" s="1077"/>
      <c r="G1594" s="1002"/>
      <c r="H1594" s="1111"/>
      <c r="I1594" s="1002" t="s">
        <v>1181</v>
      </c>
      <c r="J1594" s="1007" t="s">
        <v>258</v>
      </c>
      <c r="K1594" s="1002" t="s">
        <v>259</v>
      </c>
      <c r="L1594" s="1224" t="s">
        <v>18</v>
      </c>
      <c r="M1594" s="1093">
        <v>1</v>
      </c>
      <c r="N1594" s="1081">
        <v>0</v>
      </c>
      <c r="O1594" s="1081">
        <f t="shared" ref="O1594:O1597" si="260">M1594*N1594</f>
        <v>0</v>
      </c>
      <c r="P1594" s="1081">
        <f t="shared" si="247"/>
        <v>0</v>
      </c>
      <c r="Q1594" s="1206">
        <f t="shared" si="252"/>
        <v>0</v>
      </c>
      <c r="V1594" s="1083">
        <f t="shared" si="249"/>
        <v>0</v>
      </c>
    </row>
    <row r="1595" spans="1:22" hidden="1">
      <c r="A1595" s="1004" t="s">
        <v>934</v>
      </c>
      <c r="B1595" s="1001" t="s">
        <v>865</v>
      </c>
      <c r="C1595" s="1066">
        <v>46272</v>
      </c>
      <c r="D1595" s="1066">
        <v>46272</v>
      </c>
      <c r="E1595" s="1002" t="s">
        <v>1059</v>
      </c>
      <c r="F1595" s="1077"/>
      <c r="G1595" s="1002"/>
      <c r="H1595" s="1111"/>
      <c r="I1595" s="1002" t="s">
        <v>1181</v>
      </c>
      <c r="J1595" s="1007" t="s">
        <v>655</v>
      </c>
      <c r="K1595" s="1002" t="s">
        <v>656</v>
      </c>
      <c r="L1595" s="1224" t="s">
        <v>18</v>
      </c>
      <c r="M1595" s="1093">
        <v>1</v>
      </c>
      <c r="N1595" s="1081">
        <v>0</v>
      </c>
      <c r="O1595" s="1081">
        <f t="shared" si="260"/>
        <v>0</v>
      </c>
      <c r="P1595" s="1081">
        <f t="shared" si="247"/>
        <v>0</v>
      </c>
      <c r="Q1595" s="1206">
        <f t="shared" si="252"/>
        <v>0</v>
      </c>
      <c r="V1595" s="1083">
        <f t="shared" si="249"/>
        <v>0</v>
      </c>
    </row>
    <row r="1596" spans="1:22" hidden="1">
      <c r="A1596" s="1004" t="s">
        <v>934</v>
      </c>
      <c r="B1596" s="1001" t="s">
        <v>865</v>
      </c>
      <c r="C1596" s="1066">
        <v>46272</v>
      </c>
      <c r="D1596" s="1066">
        <v>46272</v>
      </c>
      <c r="E1596" s="1002" t="s">
        <v>1059</v>
      </c>
      <c r="F1596" s="1077"/>
      <c r="G1596" s="1002"/>
      <c r="H1596" s="1111"/>
      <c r="I1596" s="1002" t="s">
        <v>1181</v>
      </c>
      <c r="J1596" s="1007" t="s">
        <v>167</v>
      </c>
      <c r="K1596" s="1002" t="s">
        <v>168</v>
      </c>
      <c r="L1596" s="1224" t="s">
        <v>18</v>
      </c>
      <c r="M1596" s="1093">
        <v>1</v>
      </c>
      <c r="N1596" s="1081">
        <v>0</v>
      </c>
      <c r="O1596" s="1081">
        <f t="shared" si="260"/>
        <v>0</v>
      </c>
      <c r="P1596" s="1081">
        <f t="shared" ref="P1596:P1602" si="261">O1596*8%</f>
        <v>0</v>
      </c>
      <c r="Q1596" s="1206">
        <f t="shared" si="252"/>
        <v>0</v>
      </c>
      <c r="V1596" s="1083">
        <f t="shared" si="249"/>
        <v>0</v>
      </c>
    </row>
    <row r="1597" spans="1:22" s="1003" customFormat="1" hidden="1">
      <c r="A1597" s="1040" t="s">
        <v>1150</v>
      </c>
      <c r="B1597" s="1001" t="s">
        <v>1271</v>
      </c>
      <c r="C1597" s="1076">
        <v>46264</v>
      </c>
      <c r="D1597" s="1066">
        <v>46273</v>
      </c>
      <c r="E1597" s="1002" t="s">
        <v>1062</v>
      </c>
      <c r="F1597" s="1077"/>
      <c r="G1597" s="1002"/>
      <c r="H1597" s="1111"/>
      <c r="I1597" s="1008" t="s">
        <v>1508</v>
      </c>
      <c r="J1597" s="1007" t="s">
        <v>1060</v>
      </c>
      <c r="K1597" s="1002" t="s">
        <v>1061</v>
      </c>
      <c r="L1597" s="1224" t="s">
        <v>18</v>
      </c>
      <c r="M1597" s="1093">
        <v>2</v>
      </c>
      <c r="N1597" s="1081">
        <v>0</v>
      </c>
      <c r="O1597" s="1081">
        <f t="shared" si="260"/>
        <v>0</v>
      </c>
      <c r="P1597" s="1081"/>
      <c r="Q1597" s="1206"/>
      <c r="R1597" s="1081"/>
      <c r="S1597" s="1081"/>
      <c r="T1597" s="1081"/>
      <c r="U1597" s="1081"/>
      <c r="V1597" s="1083">
        <f t="shared" si="249"/>
        <v>0</v>
      </c>
    </row>
    <row r="1598" spans="1:22" hidden="1">
      <c r="A1598" s="1040" t="s">
        <v>973</v>
      </c>
      <c r="B1598" s="1040" t="s">
        <v>1509</v>
      </c>
      <c r="C1598" s="1066">
        <v>46272</v>
      </c>
      <c r="D1598" s="1066">
        <v>46273</v>
      </c>
      <c r="E1598" s="1002"/>
      <c r="F1598" s="1077"/>
      <c r="G1598" s="1002"/>
      <c r="H1598" s="1111"/>
      <c r="I1598" s="1002" t="s">
        <v>844</v>
      </c>
      <c r="J1598" s="1007"/>
      <c r="L1598" s="1224"/>
      <c r="M1598" s="1093"/>
      <c r="N1598" s="1081"/>
      <c r="Q1598" s="1082"/>
      <c r="R1598" s="1107">
        <v>9130000</v>
      </c>
      <c r="V1598" s="1083">
        <f t="shared" si="249"/>
        <v>-9130000</v>
      </c>
    </row>
    <row r="1599" spans="1:22" hidden="1">
      <c r="A1599" s="1040" t="s">
        <v>1015</v>
      </c>
      <c r="B1599" s="1001" t="s">
        <v>903</v>
      </c>
      <c r="C1599" s="1066">
        <v>46273</v>
      </c>
      <c r="D1599" s="1066">
        <v>46273</v>
      </c>
      <c r="E1599" s="1002"/>
      <c r="F1599" s="1077"/>
      <c r="G1599" s="1002"/>
      <c r="H1599" s="1111"/>
      <c r="I1599" s="1002" t="s">
        <v>702</v>
      </c>
      <c r="J1599" s="1007"/>
      <c r="L1599" s="1224"/>
      <c r="M1599" s="1093"/>
      <c r="N1599" s="1081"/>
      <c r="Q1599" s="1082"/>
      <c r="R1599" s="1107">
        <v>2400000</v>
      </c>
      <c r="V1599" s="1083">
        <f t="shared" si="249"/>
        <v>-2400000</v>
      </c>
    </row>
    <row r="1600" spans="1:22" hidden="1">
      <c r="A1600" s="1000" t="s">
        <v>756</v>
      </c>
      <c r="B1600" s="1001" t="s">
        <v>759</v>
      </c>
      <c r="C1600" s="1066">
        <v>46273</v>
      </c>
      <c r="D1600" s="1066">
        <v>46273</v>
      </c>
      <c r="E1600" s="1002" t="s">
        <v>1064</v>
      </c>
      <c r="F1600" s="1077">
        <v>46275</v>
      </c>
      <c r="G1600" s="1002" t="s">
        <v>1157</v>
      </c>
      <c r="H1600" s="1111" t="s">
        <v>1156</v>
      </c>
      <c r="I1600" s="1002" t="s">
        <v>758</v>
      </c>
      <c r="J1600" s="1007" t="s">
        <v>52</v>
      </c>
      <c r="K1600" s="1002" t="s">
        <v>53</v>
      </c>
      <c r="L1600" s="1224" t="s">
        <v>18</v>
      </c>
      <c r="M1600" s="1093">
        <v>3</v>
      </c>
      <c r="N1600" s="1081">
        <v>1007407.41</v>
      </c>
      <c r="O1600" s="1081">
        <f>M1600*N1600</f>
        <v>3022222.23</v>
      </c>
      <c r="P1600" s="1081">
        <f t="shared" si="261"/>
        <v>241777.77840000001</v>
      </c>
      <c r="Q1600" s="1206">
        <f t="shared" si="252"/>
        <v>3264000.0084000002</v>
      </c>
      <c r="V1600" s="1083">
        <f t="shared" si="249"/>
        <v>3264000.0084000002</v>
      </c>
    </row>
    <row r="1601" spans="1:30" hidden="1">
      <c r="A1601" s="1000" t="s">
        <v>756</v>
      </c>
      <c r="B1601" s="1001" t="s">
        <v>759</v>
      </c>
      <c r="C1601" s="1066">
        <v>46273</v>
      </c>
      <c r="D1601" s="1066">
        <v>46273</v>
      </c>
      <c r="E1601" s="1002" t="s">
        <v>1064</v>
      </c>
      <c r="F1601" s="1077">
        <v>46275</v>
      </c>
      <c r="G1601" s="1002" t="s">
        <v>1157</v>
      </c>
      <c r="H1601" s="1111" t="s">
        <v>1156</v>
      </c>
      <c r="I1601" s="1002" t="s">
        <v>758</v>
      </c>
      <c r="J1601" s="1007" t="s">
        <v>90</v>
      </c>
      <c r="K1601" s="1002" t="s">
        <v>91</v>
      </c>
      <c r="L1601" s="1224" t="s">
        <v>18</v>
      </c>
      <c r="M1601" s="1093">
        <v>2</v>
      </c>
      <c r="N1601" s="1081">
        <v>907407.4</v>
      </c>
      <c r="O1601" s="1081">
        <f t="shared" ref="O1601:O1602" si="262">M1601*N1601</f>
        <v>1814814.8</v>
      </c>
      <c r="P1601" s="1081">
        <f t="shared" si="261"/>
        <v>145185.18400000001</v>
      </c>
      <c r="Q1601" s="1206">
        <f t="shared" si="252"/>
        <v>1959999.9840000002</v>
      </c>
      <c r="V1601" s="1083">
        <f t="shared" si="249"/>
        <v>1959999.9840000002</v>
      </c>
    </row>
    <row r="1602" spans="1:30" hidden="1">
      <c r="A1602" s="1000" t="s">
        <v>756</v>
      </c>
      <c r="B1602" s="1001" t="s">
        <v>759</v>
      </c>
      <c r="C1602" s="1066">
        <v>46273</v>
      </c>
      <c r="D1602" s="1066">
        <v>46273</v>
      </c>
      <c r="E1602" s="1002" t="s">
        <v>1064</v>
      </c>
      <c r="F1602" s="1077">
        <v>46275</v>
      </c>
      <c r="G1602" s="1002" t="s">
        <v>1157</v>
      </c>
      <c r="H1602" s="1111" t="s">
        <v>1156</v>
      </c>
      <c r="I1602" s="1008" t="s">
        <v>862</v>
      </c>
      <c r="J1602" s="1007" t="s">
        <v>959</v>
      </c>
      <c r="K1602" s="1002" t="s">
        <v>960</v>
      </c>
      <c r="L1602" s="1224" t="s">
        <v>18</v>
      </c>
      <c r="M1602" s="1093">
        <v>3</v>
      </c>
      <c r="N1602" s="1081">
        <v>0</v>
      </c>
      <c r="O1602" s="1081">
        <f t="shared" si="262"/>
        <v>0</v>
      </c>
      <c r="P1602" s="1081">
        <f t="shared" si="261"/>
        <v>0</v>
      </c>
      <c r="Q1602" s="1206">
        <f t="shared" si="252"/>
        <v>0</v>
      </c>
      <c r="V1602" s="1083">
        <f t="shared" si="249"/>
        <v>0</v>
      </c>
      <c r="AD1602" s="1228"/>
    </row>
    <row r="1603" spans="1:30" hidden="1">
      <c r="A1603" s="1000" t="s">
        <v>711</v>
      </c>
      <c r="B1603" s="1001" t="s">
        <v>715</v>
      </c>
      <c r="C1603" s="1066">
        <v>46273</v>
      </c>
      <c r="D1603" s="1066">
        <v>46273</v>
      </c>
      <c r="E1603" s="1002" t="s">
        <v>1065</v>
      </c>
      <c r="F1603" s="1077">
        <v>46276</v>
      </c>
      <c r="G1603" s="1002"/>
      <c r="H1603" s="1111" t="s">
        <v>1160</v>
      </c>
      <c r="I1603" s="1002" t="s">
        <v>813</v>
      </c>
      <c r="J1603" s="1007" t="s">
        <v>157</v>
      </c>
      <c r="K1603" s="1002" t="s">
        <v>158</v>
      </c>
      <c r="L1603" s="1224" t="s">
        <v>18</v>
      </c>
      <c r="M1603" s="1093">
        <v>4</v>
      </c>
      <c r="N1603" s="1081">
        <v>342592.59</v>
      </c>
      <c r="O1603" s="1081">
        <f>M1603*N1603</f>
        <v>1370370.36</v>
      </c>
      <c r="P1603" s="1081">
        <f t="shared" ref="P1603:P1610" si="263">O1603*8%</f>
        <v>109629.62880000001</v>
      </c>
      <c r="Q1603" s="1206">
        <f t="shared" ref="Q1603:Q1610" si="264">O1603+P1603</f>
        <v>1479999.9888000002</v>
      </c>
      <c r="V1603" s="1083">
        <f t="shared" si="249"/>
        <v>1479999.9888000002</v>
      </c>
    </row>
    <row r="1604" spans="1:30" hidden="1">
      <c r="A1604" s="1000" t="s">
        <v>711</v>
      </c>
      <c r="B1604" s="1001" t="s">
        <v>715</v>
      </c>
      <c r="C1604" s="1066">
        <v>46273</v>
      </c>
      <c r="D1604" s="1066">
        <v>46273</v>
      </c>
      <c r="E1604" s="1002" t="s">
        <v>1065</v>
      </c>
      <c r="F1604" s="1077">
        <v>46276</v>
      </c>
      <c r="G1604" s="1002"/>
      <c r="H1604" s="1111" t="s">
        <v>1160</v>
      </c>
      <c r="I1604" s="1002" t="s">
        <v>813</v>
      </c>
      <c r="J1604" s="1007" t="s">
        <v>119</v>
      </c>
      <c r="K1604" s="1002" t="s">
        <v>191</v>
      </c>
      <c r="L1604" s="1224" t="s">
        <v>18</v>
      </c>
      <c r="M1604" s="1093">
        <v>4</v>
      </c>
      <c r="N1604" s="1081">
        <v>574074.06999999995</v>
      </c>
      <c r="O1604" s="1081">
        <f>M1604*N1604</f>
        <v>2296296.2799999998</v>
      </c>
      <c r="P1604" s="1081">
        <f t="shared" si="263"/>
        <v>183703.70239999998</v>
      </c>
      <c r="Q1604" s="1206">
        <f t="shared" si="264"/>
        <v>2479999.9823999996</v>
      </c>
      <c r="V1604" s="1083">
        <f t="shared" si="249"/>
        <v>2479999.9823999996</v>
      </c>
    </row>
    <row r="1605" spans="1:30" hidden="1">
      <c r="A1605" s="1000" t="s">
        <v>711</v>
      </c>
      <c r="B1605" s="1001" t="s">
        <v>715</v>
      </c>
      <c r="C1605" s="1066">
        <v>46273</v>
      </c>
      <c r="D1605" s="1066">
        <v>46273</v>
      </c>
      <c r="E1605" s="1002" t="s">
        <v>1065</v>
      </c>
      <c r="F1605" s="1077">
        <v>46276</v>
      </c>
      <c r="G1605" s="1002"/>
      <c r="H1605" s="1111" t="s">
        <v>1160</v>
      </c>
      <c r="I1605" s="1002" t="s">
        <v>813</v>
      </c>
      <c r="J1605" s="1007" t="s">
        <v>148</v>
      </c>
      <c r="K1605" s="1002" t="s">
        <v>149</v>
      </c>
      <c r="L1605" s="1224" t="s">
        <v>18</v>
      </c>
      <c r="M1605" s="1093">
        <v>4</v>
      </c>
      <c r="N1605" s="1081">
        <v>296296.3</v>
      </c>
      <c r="O1605" s="1081">
        <f t="shared" ref="O1605:O1607" si="265">M1605*N1605</f>
        <v>1185185.2</v>
      </c>
      <c r="P1605" s="1081">
        <f t="shared" si="263"/>
        <v>94814.815999999992</v>
      </c>
      <c r="Q1605" s="1206">
        <f t="shared" si="264"/>
        <v>1280000.0159999998</v>
      </c>
      <c r="V1605" s="1083">
        <f t="shared" si="249"/>
        <v>1280000.0159999998</v>
      </c>
    </row>
    <row r="1606" spans="1:30" hidden="1">
      <c r="A1606" s="1000" t="s">
        <v>711</v>
      </c>
      <c r="B1606" s="1001" t="s">
        <v>715</v>
      </c>
      <c r="C1606" s="1066">
        <v>46273</v>
      </c>
      <c r="D1606" s="1066">
        <v>46273</v>
      </c>
      <c r="E1606" s="1002" t="s">
        <v>1065</v>
      </c>
      <c r="F1606" s="1077">
        <v>46276</v>
      </c>
      <c r="G1606" s="1002"/>
      <c r="H1606" s="1111" t="s">
        <v>1160</v>
      </c>
      <c r="I1606" s="1002" t="s">
        <v>813</v>
      </c>
      <c r="J1606" s="1007" t="s">
        <v>192</v>
      </c>
      <c r="K1606" s="1002" t="s">
        <v>193</v>
      </c>
      <c r="L1606" s="1224" t="s">
        <v>18</v>
      </c>
      <c r="M1606" s="1093">
        <v>4</v>
      </c>
      <c r="N1606" s="1081">
        <v>333333.33</v>
      </c>
      <c r="O1606" s="1081">
        <f t="shared" si="265"/>
        <v>1333333.32</v>
      </c>
      <c r="P1606" s="1081">
        <f t="shared" si="263"/>
        <v>106666.66560000001</v>
      </c>
      <c r="Q1606" s="1206">
        <f t="shared" si="264"/>
        <v>1439999.9856</v>
      </c>
      <c r="V1606" s="1083">
        <f t="shared" ref="V1606:V1669" si="266">Q1606-R1606-S1606-T1606-U1606</f>
        <v>1439999.9856</v>
      </c>
    </row>
    <row r="1607" spans="1:30" hidden="1">
      <c r="A1607" s="1000" t="s">
        <v>711</v>
      </c>
      <c r="B1607" s="1001" t="s">
        <v>715</v>
      </c>
      <c r="C1607" s="1066">
        <v>46273</v>
      </c>
      <c r="D1607" s="1066">
        <v>46273</v>
      </c>
      <c r="E1607" s="1002" t="s">
        <v>1065</v>
      </c>
      <c r="F1607" s="1077">
        <v>46276</v>
      </c>
      <c r="G1607" s="1002"/>
      <c r="H1607" s="1111" t="s">
        <v>1160</v>
      </c>
      <c r="I1607" s="1002" t="s">
        <v>813</v>
      </c>
      <c r="J1607" s="1007" t="s">
        <v>194</v>
      </c>
      <c r="K1607" s="1002" t="s">
        <v>720</v>
      </c>
      <c r="L1607" s="1224" t="s">
        <v>18</v>
      </c>
      <c r="M1607" s="1093">
        <v>3</v>
      </c>
      <c r="N1607" s="1081">
        <v>1203703.7</v>
      </c>
      <c r="O1607" s="1081">
        <f t="shared" si="265"/>
        <v>3611111.0999999996</v>
      </c>
      <c r="P1607" s="1081">
        <f t="shared" si="263"/>
        <v>288888.88799999998</v>
      </c>
      <c r="Q1607" s="1206">
        <f t="shared" si="264"/>
        <v>3899999.9879999994</v>
      </c>
      <c r="V1607" s="1083">
        <f t="shared" si="266"/>
        <v>3899999.9879999994</v>
      </c>
    </row>
    <row r="1608" spans="1:30" hidden="1">
      <c r="A1608" s="1056" t="s">
        <v>974</v>
      </c>
      <c r="B1608" s="1040" t="s">
        <v>1510</v>
      </c>
      <c r="C1608" s="1066">
        <v>46273</v>
      </c>
      <c r="D1608" s="1066">
        <v>46273</v>
      </c>
      <c r="E1608" s="1002" t="s">
        <v>1067</v>
      </c>
      <c r="F1608" s="1077">
        <v>46274</v>
      </c>
      <c r="G1608" s="1002"/>
      <c r="H1608" s="1111" t="s">
        <v>1151</v>
      </c>
      <c r="I1608" s="1002" t="s">
        <v>1068</v>
      </c>
      <c r="J1608" s="1007" t="s">
        <v>157</v>
      </c>
      <c r="K1608" s="1057" t="s">
        <v>158</v>
      </c>
      <c r="L1608" s="1007" t="s">
        <v>18</v>
      </c>
      <c r="M1608" s="1093">
        <v>2</v>
      </c>
      <c r="N1608" s="1081">
        <v>342592.59</v>
      </c>
      <c r="O1608" s="1081">
        <f>M1608*N1608</f>
        <v>685185.18</v>
      </c>
      <c r="P1608" s="1081">
        <f t="shared" si="263"/>
        <v>54814.814400000003</v>
      </c>
      <c r="Q1608" s="1221">
        <f t="shared" si="264"/>
        <v>739999.99440000008</v>
      </c>
      <c r="V1608" s="1083">
        <f t="shared" si="266"/>
        <v>739999.99440000008</v>
      </c>
    </row>
    <row r="1609" spans="1:30" hidden="1">
      <c r="A1609" s="1056" t="s">
        <v>974</v>
      </c>
      <c r="B1609" s="1040" t="s">
        <v>1510</v>
      </c>
      <c r="C1609" s="1066">
        <v>46273</v>
      </c>
      <c r="D1609" s="1066">
        <v>46274</v>
      </c>
      <c r="E1609" s="1002" t="s">
        <v>1067</v>
      </c>
      <c r="F1609" s="1077">
        <v>46274</v>
      </c>
      <c r="G1609" s="1002"/>
      <c r="H1609" s="1111" t="s">
        <v>1151</v>
      </c>
      <c r="I1609" s="1002" t="s">
        <v>1068</v>
      </c>
      <c r="J1609" s="1007" t="s">
        <v>180</v>
      </c>
      <c r="K1609" s="1057" t="s">
        <v>181</v>
      </c>
      <c r="L1609" s="1007" t="s">
        <v>18</v>
      </c>
      <c r="M1609" s="1093">
        <v>2</v>
      </c>
      <c r="N1609" s="1081">
        <v>273148.15000000002</v>
      </c>
      <c r="O1609" s="1081">
        <f>M1609*N1609</f>
        <v>546296.30000000005</v>
      </c>
      <c r="P1609" s="1081">
        <f t="shared" si="263"/>
        <v>43703.704000000005</v>
      </c>
      <c r="Q1609" s="1221">
        <f t="shared" si="264"/>
        <v>590000.00400000007</v>
      </c>
      <c r="V1609" s="1083">
        <f t="shared" si="266"/>
        <v>590000.00400000007</v>
      </c>
    </row>
    <row r="1610" spans="1:30" hidden="1">
      <c r="A1610" s="1056" t="s">
        <v>974</v>
      </c>
      <c r="B1610" s="1040" t="s">
        <v>1510</v>
      </c>
      <c r="C1610" s="1066">
        <v>46273</v>
      </c>
      <c r="D1610" s="1066">
        <v>46274</v>
      </c>
      <c r="E1610" s="1002" t="s">
        <v>1067</v>
      </c>
      <c r="F1610" s="1077">
        <v>46274</v>
      </c>
      <c r="G1610" s="1002"/>
      <c r="H1610" s="1111" t="s">
        <v>1151</v>
      </c>
      <c r="I1610" s="1002" t="s">
        <v>1068</v>
      </c>
      <c r="J1610" s="1007" t="s">
        <v>26</v>
      </c>
      <c r="K1610" s="1003" t="s">
        <v>27</v>
      </c>
      <c r="L1610" s="1007" t="s">
        <v>18</v>
      </c>
      <c r="M1610" s="1093">
        <v>2</v>
      </c>
      <c r="N1610" s="1081">
        <v>296296.3</v>
      </c>
      <c r="O1610" s="1081">
        <f t="shared" ref="O1610" si="267">M1610*N1610</f>
        <v>592592.6</v>
      </c>
      <c r="P1610" s="1081">
        <f t="shared" si="263"/>
        <v>47407.407999999996</v>
      </c>
      <c r="Q1610" s="1221">
        <f t="shared" si="264"/>
        <v>640000.00799999991</v>
      </c>
      <c r="V1610" s="1083">
        <f t="shared" si="266"/>
        <v>640000.00799999991</v>
      </c>
    </row>
    <row r="1611" spans="1:30" hidden="1">
      <c r="A1611" s="1000" t="s">
        <v>971</v>
      </c>
      <c r="B1611" s="1029" t="s">
        <v>988</v>
      </c>
      <c r="C1611" s="1066">
        <v>46274</v>
      </c>
      <c r="D1611" s="1076">
        <v>46269</v>
      </c>
      <c r="G1611" s="1002"/>
      <c r="H1611" s="1111"/>
      <c r="I1611" s="1002" t="s">
        <v>702</v>
      </c>
      <c r="J1611" s="1007"/>
      <c r="M1611" s="1093"/>
      <c r="O1611" s="1107"/>
      <c r="P1611" s="1107"/>
      <c r="Q1611" s="1107"/>
      <c r="R1611" s="1107">
        <v>780000</v>
      </c>
      <c r="V1611" s="1083">
        <f t="shared" si="266"/>
        <v>-780000</v>
      </c>
    </row>
    <row r="1612" spans="1:30" hidden="1">
      <c r="A1612" s="1000"/>
      <c r="B1612" s="1001" t="s">
        <v>1518</v>
      </c>
      <c r="C1612" s="1066">
        <v>46274</v>
      </c>
      <c r="D1612" s="1066">
        <v>46272</v>
      </c>
      <c r="E1612" s="1005" t="s">
        <v>1090</v>
      </c>
      <c r="G1612" s="1002"/>
      <c r="H1612" s="1111"/>
      <c r="I1612" s="1002" t="s">
        <v>963</v>
      </c>
      <c r="J1612" s="1007" t="s">
        <v>959</v>
      </c>
      <c r="K1612" s="1002" t="s">
        <v>960</v>
      </c>
      <c r="L1612" s="1007" t="s">
        <v>18</v>
      </c>
      <c r="M1612" s="1093">
        <v>2</v>
      </c>
      <c r="N1612" s="1081">
        <v>111111.11</v>
      </c>
      <c r="O1612" s="1081">
        <f t="shared" ref="O1612:O1640" si="268">M1612*N1612</f>
        <v>222222.22</v>
      </c>
      <c r="P1612" s="1081">
        <f t="shared" ref="P1612:P1651" si="269">O1612*8%</f>
        <v>17777.777600000001</v>
      </c>
      <c r="Q1612" s="1206">
        <f t="shared" ref="Q1612:Q1651" si="270">O1612+P1612</f>
        <v>239999.9976</v>
      </c>
      <c r="V1612" s="1083">
        <f t="shared" si="266"/>
        <v>239999.9976</v>
      </c>
    </row>
    <row r="1613" spans="1:30" s="1058" customFormat="1" hidden="1">
      <c r="A1613" s="1040" t="s">
        <v>1150</v>
      </c>
      <c r="B1613" s="1001" t="s">
        <v>1271</v>
      </c>
      <c r="C1613" s="1229">
        <v>46274</v>
      </c>
      <c r="D1613" s="1066">
        <v>46274</v>
      </c>
      <c r="E1613" s="1058" t="s">
        <v>1094</v>
      </c>
      <c r="F1613" s="1229"/>
      <c r="G1613" s="1002"/>
      <c r="H1613" s="1111"/>
      <c r="I1613" s="1059" t="s">
        <v>1100</v>
      </c>
      <c r="J1613" s="1060" t="s">
        <v>645</v>
      </c>
      <c r="K1613" s="1059" t="s">
        <v>646</v>
      </c>
      <c r="L1613" s="1230" t="s">
        <v>18</v>
      </c>
      <c r="M1613" s="1093">
        <v>-1</v>
      </c>
      <c r="N1613" s="1081">
        <v>0</v>
      </c>
      <c r="O1613" s="1081">
        <f t="shared" si="268"/>
        <v>0</v>
      </c>
      <c r="P1613" s="1081">
        <f t="shared" si="269"/>
        <v>0</v>
      </c>
      <c r="Q1613" s="1231">
        <f t="shared" si="270"/>
        <v>0</v>
      </c>
      <c r="R1613" s="1232"/>
      <c r="S1613" s="1232"/>
      <c r="T1613" s="1232"/>
      <c r="U1613" s="1232"/>
      <c r="V1613" s="1232">
        <f t="shared" si="266"/>
        <v>0</v>
      </c>
    </row>
    <row r="1614" spans="1:30" s="1003" customFormat="1" hidden="1">
      <c r="A1614" s="1001" t="s">
        <v>685</v>
      </c>
      <c r="B1614" s="1001" t="s">
        <v>707</v>
      </c>
      <c r="C1614" s="1076">
        <v>46269</v>
      </c>
      <c r="D1614" s="1066">
        <v>46274</v>
      </c>
      <c r="E1614" s="1003" t="s">
        <v>1097</v>
      </c>
      <c r="F1614" s="1076"/>
      <c r="G1614" s="1002"/>
      <c r="H1614" s="1111"/>
      <c r="I1614" s="1008" t="s">
        <v>1095</v>
      </c>
      <c r="J1614" s="1024" t="s">
        <v>90</v>
      </c>
      <c r="K1614" s="1008" t="s">
        <v>91</v>
      </c>
      <c r="L1614" s="1230" t="s">
        <v>18</v>
      </c>
      <c r="M1614" s="1093">
        <v>-1</v>
      </c>
      <c r="N1614" s="1081">
        <v>0</v>
      </c>
      <c r="O1614" s="1081">
        <f t="shared" si="268"/>
        <v>0</v>
      </c>
      <c r="P1614" s="1081">
        <f t="shared" si="269"/>
        <v>0</v>
      </c>
      <c r="Q1614" s="1221">
        <f t="shared" si="270"/>
        <v>0</v>
      </c>
      <c r="R1614" s="1081"/>
      <c r="S1614" s="1081"/>
      <c r="T1614" s="1081"/>
      <c r="U1614" s="1081"/>
      <c r="V1614" s="1081">
        <f t="shared" si="266"/>
        <v>0</v>
      </c>
      <c r="W1614" s="1003" t="s">
        <v>1096</v>
      </c>
    </row>
    <row r="1615" spans="1:30" hidden="1">
      <c r="A1615" s="1040" t="s">
        <v>1150</v>
      </c>
      <c r="B1615" s="1001" t="s">
        <v>1271</v>
      </c>
      <c r="C1615" s="1066">
        <v>46272</v>
      </c>
      <c r="D1615" s="1066">
        <v>46274</v>
      </c>
      <c r="E1615" s="1005" t="s">
        <v>1098</v>
      </c>
      <c r="G1615" s="1002"/>
      <c r="H1615" s="1111"/>
      <c r="I1615" s="1002" t="s">
        <v>1511</v>
      </c>
      <c r="J1615" s="1007" t="s">
        <v>258</v>
      </c>
      <c r="K1615" s="1002" t="s">
        <v>259</v>
      </c>
      <c r="L1615" s="1224" t="s">
        <v>18</v>
      </c>
      <c r="M1615" s="1093">
        <v>-1</v>
      </c>
      <c r="N1615" s="1081">
        <v>0</v>
      </c>
      <c r="O1615" s="1081">
        <f t="shared" si="268"/>
        <v>0</v>
      </c>
      <c r="P1615" s="1081">
        <f t="shared" si="269"/>
        <v>0</v>
      </c>
      <c r="Q1615" s="1221">
        <f t="shared" si="270"/>
        <v>0</v>
      </c>
      <c r="V1615" s="1107">
        <f t="shared" si="266"/>
        <v>0</v>
      </c>
      <c r="W1615" s="1233" t="s">
        <v>1099</v>
      </c>
    </row>
    <row r="1616" spans="1:30" hidden="1">
      <c r="A1616" s="1040" t="s">
        <v>1150</v>
      </c>
      <c r="B1616" s="1001" t="s">
        <v>1271</v>
      </c>
      <c r="C1616" s="1066">
        <v>46272</v>
      </c>
      <c r="D1616" s="1066">
        <v>46274</v>
      </c>
      <c r="E1616" s="1005" t="s">
        <v>1098</v>
      </c>
      <c r="G1616" s="1002"/>
      <c r="H1616" s="1111"/>
      <c r="I1616" s="1002" t="s">
        <v>1511</v>
      </c>
      <c r="J1616" s="1007" t="s">
        <v>653</v>
      </c>
      <c r="K1616" s="1002" t="s">
        <v>654</v>
      </c>
      <c r="L1616" s="1224" t="s">
        <v>18</v>
      </c>
      <c r="M1616" s="1093">
        <v>-1</v>
      </c>
      <c r="N1616" s="1081">
        <v>0</v>
      </c>
      <c r="O1616" s="1081">
        <f t="shared" si="268"/>
        <v>0</v>
      </c>
      <c r="P1616" s="1081">
        <f t="shared" si="269"/>
        <v>0</v>
      </c>
      <c r="Q1616" s="1221">
        <f t="shared" si="270"/>
        <v>0</v>
      </c>
      <c r="V1616" s="1107">
        <f t="shared" si="266"/>
        <v>0</v>
      </c>
      <c r="W1616" s="1234"/>
    </row>
    <row r="1617" spans="1:22" hidden="1">
      <c r="A1617" s="1056" t="s">
        <v>974</v>
      </c>
      <c r="B1617" s="1040" t="s">
        <v>1510</v>
      </c>
      <c r="C1617" s="1066">
        <v>46274</v>
      </c>
      <c r="D1617" s="1066">
        <v>46274</v>
      </c>
      <c r="G1617" s="1002"/>
      <c r="H1617" s="1111"/>
      <c r="I1617" s="1002" t="s">
        <v>844</v>
      </c>
      <c r="J1617" s="1007"/>
      <c r="M1617" s="1093"/>
      <c r="N1617" s="1081"/>
      <c r="O1617" s="1081">
        <f t="shared" si="268"/>
        <v>0</v>
      </c>
      <c r="P1617" s="1081">
        <f t="shared" si="269"/>
        <v>0</v>
      </c>
      <c r="Q1617" s="1081">
        <f t="shared" si="270"/>
        <v>0</v>
      </c>
      <c r="R1617" s="1107">
        <v>1970000</v>
      </c>
      <c r="V1617" s="1107">
        <f t="shared" si="266"/>
        <v>-1970000</v>
      </c>
    </row>
    <row r="1618" spans="1:22" hidden="1">
      <c r="A1618" s="1040" t="s">
        <v>1150</v>
      </c>
      <c r="B1618" s="1001" t="s">
        <v>1271</v>
      </c>
      <c r="C1618" s="1066">
        <v>46274</v>
      </c>
      <c r="D1618" s="1066">
        <v>46274</v>
      </c>
      <c r="E1618" s="1005" t="s">
        <v>1101</v>
      </c>
      <c r="G1618" s="1002"/>
      <c r="H1618" s="1111"/>
      <c r="I1618" s="1008" t="s">
        <v>1390</v>
      </c>
      <c r="J1618" s="1007" t="s">
        <v>1033</v>
      </c>
      <c r="K1618" s="1002" t="s">
        <v>874</v>
      </c>
      <c r="L1618" s="1024" t="s">
        <v>18</v>
      </c>
      <c r="M1618" s="1093">
        <v>1</v>
      </c>
      <c r="N1618" s="1081">
        <v>0</v>
      </c>
      <c r="O1618" s="1081">
        <f t="shared" si="268"/>
        <v>0</v>
      </c>
      <c r="P1618" s="1081">
        <f t="shared" si="269"/>
        <v>0</v>
      </c>
      <c r="Q1618" s="1221">
        <f t="shared" si="270"/>
        <v>0</v>
      </c>
      <c r="V1618" s="1107">
        <f t="shared" si="266"/>
        <v>0</v>
      </c>
    </row>
    <row r="1619" spans="1:22" hidden="1">
      <c r="A1619" s="1040" t="s">
        <v>1150</v>
      </c>
      <c r="B1619" s="1001" t="s">
        <v>1271</v>
      </c>
      <c r="C1619" s="1066">
        <v>46274</v>
      </c>
      <c r="D1619" s="1066">
        <v>46274</v>
      </c>
      <c r="E1619" s="1005" t="s">
        <v>1101</v>
      </c>
      <c r="G1619" s="1002"/>
      <c r="H1619" s="1111"/>
      <c r="I1619" s="1008" t="s">
        <v>1390</v>
      </c>
      <c r="J1619" s="1007" t="s">
        <v>1034</v>
      </c>
      <c r="K1619" s="1002" t="s">
        <v>797</v>
      </c>
      <c r="L1619" s="1024" t="s">
        <v>18</v>
      </c>
      <c r="M1619" s="1093">
        <v>1</v>
      </c>
      <c r="N1619" s="1081">
        <v>0</v>
      </c>
      <c r="O1619" s="1081">
        <f t="shared" si="268"/>
        <v>0</v>
      </c>
      <c r="P1619" s="1081">
        <f t="shared" si="269"/>
        <v>0</v>
      </c>
      <c r="Q1619" s="1221">
        <f t="shared" si="270"/>
        <v>0</v>
      </c>
      <c r="V1619" s="1107">
        <f t="shared" si="266"/>
        <v>0</v>
      </c>
    </row>
    <row r="1620" spans="1:22" hidden="1">
      <c r="A1620" s="1000" t="s">
        <v>685</v>
      </c>
      <c r="B1620" s="1001" t="s">
        <v>707</v>
      </c>
      <c r="C1620" s="1066">
        <v>46274</v>
      </c>
      <c r="D1620" s="1066">
        <v>46274</v>
      </c>
      <c r="E1620" s="1005" t="s">
        <v>1102</v>
      </c>
      <c r="G1620" s="1002"/>
      <c r="H1620" s="1111"/>
      <c r="I1620" s="1008" t="s">
        <v>1100</v>
      </c>
      <c r="J1620" s="1007" t="s">
        <v>1033</v>
      </c>
      <c r="K1620" s="1002" t="s">
        <v>874</v>
      </c>
      <c r="L1620" s="1024" t="s">
        <v>18</v>
      </c>
      <c r="M1620" s="1093">
        <v>-1</v>
      </c>
      <c r="N1620" s="1081">
        <v>0</v>
      </c>
      <c r="O1620" s="1081">
        <f t="shared" si="268"/>
        <v>0</v>
      </c>
      <c r="P1620" s="1081">
        <f t="shared" si="269"/>
        <v>0</v>
      </c>
      <c r="Q1620" s="1221">
        <f t="shared" si="270"/>
        <v>0</v>
      </c>
      <c r="V1620" s="1107">
        <f t="shared" si="266"/>
        <v>0</v>
      </c>
    </row>
    <row r="1621" spans="1:22" hidden="1">
      <c r="A1621" s="1000" t="s">
        <v>685</v>
      </c>
      <c r="B1621" s="1001" t="s">
        <v>707</v>
      </c>
      <c r="C1621" s="1066">
        <v>46274</v>
      </c>
      <c r="D1621" s="1066">
        <v>46274</v>
      </c>
      <c r="E1621" s="1005" t="s">
        <v>1102</v>
      </c>
      <c r="G1621" s="1002"/>
      <c r="H1621" s="1111"/>
      <c r="I1621" s="1008" t="s">
        <v>1100</v>
      </c>
      <c r="J1621" s="1007" t="s">
        <v>1034</v>
      </c>
      <c r="K1621" s="1002" t="s">
        <v>797</v>
      </c>
      <c r="L1621" s="1024" t="s">
        <v>18</v>
      </c>
      <c r="M1621" s="1093">
        <v>-1</v>
      </c>
      <c r="N1621" s="1081">
        <v>0</v>
      </c>
      <c r="O1621" s="1081">
        <f t="shared" si="268"/>
        <v>0</v>
      </c>
      <c r="P1621" s="1081">
        <f t="shared" si="269"/>
        <v>0</v>
      </c>
      <c r="Q1621" s="1221">
        <f t="shared" si="270"/>
        <v>0</v>
      </c>
      <c r="V1621" s="1107">
        <f t="shared" si="266"/>
        <v>0</v>
      </c>
    </row>
    <row r="1622" spans="1:22" hidden="1">
      <c r="A1622" s="1000" t="s">
        <v>685</v>
      </c>
      <c r="B1622" s="1001" t="s">
        <v>707</v>
      </c>
      <c r="C1622" s="1066">
        <v>46274</v>
      </c>
      <c r="D1622" s="1066">
        <v>46274</v>
      </c>
      <c r="E1622" s="1005" t="s">
        <v>1102</v>
      </c>
      <c r="G1622" s="1002"/>
      <c r="H1622" s="1111"/>
      <c r="I1622" s="1008" t="s">
        <v>1100</v>
      </c>
      <c r="J1622" s="1007" t="s">
        <v>798</v>
      </c>
      <c r="K1622" s="1002" t="s">
        <v>799</v>
      </c>
      <c r="L1622" s="1024" t="s">
        <v>18</v>
      </c>
      <c r="M1622" s="1093">
        <v>-1</v>
      </c>
      <c r="N1622" s="1081">
        <v>0</v>
      </c>
      <c r="O1622" s="1081">
        <f t="shared" si="268"/>
        <v>0</v>
      </c>
      <c r="P1622" s="1081">
        <f t="shared" si="269"/>
        <v>0</v>
      </c>
      <c r="Q1622" s="1221">
        <f t="shared" si="270"/>
        <v>0</v>
      </c>
      <c r="V1622" s="1107">
        <f t="shared" si="266"/>
        <v>0</v>
      </c>
    </row>
    <row r="1623" spans="1:22" hidden="1">
      <c r="A1623" s="1040" t="s">
        <v>1150</v>
      </c>
      <c r="B1623" s="1001" t="s">
        <v>1271</v>
      </c>
      <c r="C1623" s="1066">
        <v>46274</v>
      </c>
      <c r="D1623" s="1066">
        <v>46274</v>
      </c>
      <c r="E1623" s="1005" t="s">
        <v>1103</v>
      </c>
      <c r="G1623" s="1002"/>
      <c r="H1623" s="1111"/>
      <c r="I1623" s="1002" t="s">
        <v>1512</v>
      </c>
      <c r="J1623" s="1007" t="s">
        <v>1033</v>
      </c>
      <c r="K1623" s="1002" t="s">
        <v>874</v>
      </c>
      <c r="L1623" s="1024" t="s">
        <v>18</v>
      </c>
      <c r="M1623" s="1093">
        <v>-1</v>
      </c>
      <c r="N1623" s="1081">
        <v>0</v>
      </c>
      <c r="O1623" s="1081">
        <f t="shared" si="268"/>
        <v>0</v>
      </c>
      <c r="P1623" s="1081">
        <f t="shared" si="269"/>
        <v>0</v>
      </c>
      <c r="Q1623" s="1221">
        <f t="shared" si="270"/>
        <v>0</v>
      </c>
      <c r="V1623" s="1107">
        <f t="shared" si="266"/>
        <v>0</v>
      </c>
    </row>
    <row r="1624" spans="1:22" hidden="1">
      <c r="A1624" s="1040" t="s">
        <v>1150</v>
      </c>
      <c r="B1624" s="1001" t="s">
        <v>1271</v>
      </c>
      <c r="C1624" s="1066">
        <v>46274</v>
      </c>
      <c r="D1624" s="1066">
        <v>46274</v>
      </c>
      <c r="E1624" s="1005" t="s">
        <v>1103</v>
      </c>
      <c r="G1624" s="1002"/>
      <c r="H1624" s="1111"/>
      <c r="I1624" s="1002" t="s">
        <v>1512</v>
      </c>
      <c r="J1624" s="1007" t="s">
        <v>796</v>
      </c>
      <c r="K1624" s="1002" t="s">
        <v>797</v>
      </c>
      <c r="L1624" s="1024" t="s">
        <v>18</v>
      </c>
      <c r="M1624" s="1093">
        <v>-1</v>
      </c>
      <c r="N1624" s="1081">
        <v>0</v>
      </c>
      <c r="O1624" s="1081">
        <f t="shared" si="268"/>
        <v>0</v>
      </c>
      <c r="P1624" s="1081">
        <f t="shared" si="269"/>
        <v>0</v>
      </c>
      <c r="Q1624" s="1221">
        <f t="shared" si="270"/>
        <v>0</v>
      </c>
      <c r="V1624" s="1107">
        <f t="shared" si="266"/>
        <v>0</v>
      </c>
    </row>
    <row r="1625" spans="1:22" hidden="1">
      <c r="A1625" s="1040" t="s">
        <v>1150</v>
      </c>
      <c r="B1625" s="1001" t="s">
        <v>1271</v>
      </c>
      <c r="C1625" s="1066">
        <v>46274</v>
      </c>
      <c r="D1625" s="1066">
        <v>46275</v>
      </c>
      <c r="E1625" s="1005" t="s">
        <v>1103</v>
      </c>
      <c r="G1625" s="1002"/>
      <c r="H1625" s="1111"/>
      <c r="I1625" s="1002" t="s">
        <v>1512</v>
      </c>
      <c r="J1625" s="1007" t="s">
        <v>798</v>
      </c>
      <c r="K1625" s="1002" t="s">
        <v>799</v>
      </c>
      <c r="L1625" s="1024" t="s">
        <v>18</v>
      </c>
      <c r="M1625" s="1093">
        <v>-1</v>
      </c>
      <c r="N1625" s="1081">
        <v>0</v>
      </c>
      <c r="O1625" s="1081">
        <f t="shared" si="268"/>
        <v>0</v>
      </c>
      <c r="P1625" s="1081">
        <f t="shared" si="269"/>
        <v>0</v>
      </c>
      <c r="Q1625" s="1221">
        <f t="shared" si="270"/>
        <v>0</v>
      </c>
      <c r="V1625" s="1107">
        <f t="shared" si="266"/>
        <v>0</v>
      </c>
    </row>
    <row r="1626" spans="1:22" hidden="1">
      <c r="A1626" s="1040" t="s">
        <v>1150</v>
      </c>
      <c r="B1626" s="1001" t="s">
        <v>1271</v>
      </c>
      <c r="C1626" s="1066">
        <v>46274</v>
      </c>
      <c r="D1626" s="1066">
        <v>46275</v>
      </c>
      <c r="E1626" s="1005" t="s">
        <v>1103</v>
      </c>
      <c r="G1626" s="1002"/>
      <c r="H1626" s="1111"/>
      <c r="I1626" s="1002" t="s">
        <v>1512</v>
      </c>
      <c r="J1626" s="1007" t="s">
        <v>732</v>
      </c>
      <c r="K1626" s="1008" t="s">
        <v>733</v>
      </c>
      <c r="L1626" s="1024" t="s">
        <v>18</v>
      </c>
      <c r="M1626" s="1093">
        <v>-1</v>
      </c>
      <c r="N1626" s="1081">
        <v>0</v>
      </c>
      <c r="O1626" s="1081">
        <f t="shared" si="268"/>
        <v>0</v>
      </c>
      <c r="P1626" s="1081">
        <f t="shared" si="269"/>
        <v>0</v>
      </c>
      <c r="Q1626" s="1221">
        <f t="shared" si="270"/>
        <v>0</v>
      </c>
      <c r="V1626" s="1107">
        <f t="shared" si="266"/>
        <v>0</v>
      </c>
    </row>
    <row r="1627" spans="1:22" hidden="1">
      <c r="A1627" s="1000" t="s">
        <v>1004</v>
      </c>
      <c r="B1627" s="1028" t="s">
        <v>888</v>
      </c>
      <c r="C1627" s="1066">
        <v>46274</v>
      </c>
      <c r="D1627" s="1066">
        <v>46275</v>
      </c>
      <c r="G1627" s="1002"/>
      <c r="H1627" s="1111"/>
      <c r="I1627" s="1002" t="s">
        <v>844</v>
      </c>
      <c r="M1627" s="1093"/>
      <c r="N1627" s="1081"/>
      <c r="O1627" s="1081">
        <f t="shared" si="268"/>
        <v>0</v>
      </c>
      <c r="P1627" s="1081">
        <f t="shared" si="269"/>
        <v>0</v>
      </c>
      <c r="Q1627" s="1082">
        <f t="shared" si="270"/>
        <v>0</v>
      </c>
      <c r="R1627" s="1107">
        <v>50000000</v>
      </c>
      <c r="V1627" s="1107">
        <f t="shared" si="266"/>
        <v>-50000000</v>
      </c>
    </row>
    <row r="1628" spans="1:22" ht="31.5" hidden="1">
      <c r="A1628" s="1000" t="s">
        <v>1004</v>
      </c>
      <c r="B1628" s="1028" t="s">
        <v>888</v>
      </c>
      <c r="C1628" s="1066">
        <v>46275</v>
      </c>
      <c r="D1628" s="1066">
        <v>46275</v>
      </c>
      <c r="E1628" s="1005" t="s">
        <v>1111</v>
      </c>
      <c r="G1628" s="1002"/>
      <c r="H1628" s="1111"/>
      <c r="I1628" s="1002" t="s">
        <v>891</v>
      </c>
      <c r="J1628" s="1061" t="s">
        <v>163</v>
      </c>
      <c r="K1628" s="1024" t="s">
        <v>164</v>
      </c>
      <c r="L1628" s="1063" t="s">
        <v>18</v>
      </c>
      <c r="M1628" s="1093">
        <v>-20</v>
      </c>
      <c r="N1628" s="1081">
        <v>231481.5</v>
      </c>
      <c r="O1628" s="1081">
        <f t="shared" si="268"/>
        <v>-4629630</v>
      </c>
      <c r="P1628" s="1081">
        <f t="shared" si="269"/>
        <v>-370370.4</v>
      </c>
      <c r="Q1628" s="1082">
        <f>O1628+P1628</f>
        <v>-5000000.4000000004</v>
      </c>
      <c r="V1628" s="1107">
        <f t="shared" si="266"/>
        <v>-5000000.4000000004</v>
      </c>
    </row>
    <row r="1629" spans="1:22" hidden="1">
      <c r="A1629" s="1000" t="s">
        <v>1004</v>
      </c>
      <c r="B1629" s="1028" t="s">
        <v>888</v>
      </c>
      <c r="C1629" s="1066">
        <v>46275</v>
      </c>
      <c r="D1629" s="1066">
        <v>46275</v>
      </c>
      <c r="E1629" s="1005" t="s">
        <v>1111</v>
      </c>
      <c r="G1629" s="1002"/>
      <c r="H1629" s="1111"/>
      <c r="I1629" s="1002" t="s">
        <v>891</v>
      </c>
      <c r="J1629" s="1061" t="s">
        <v>171</v>
      </c>
      <c r="K1629" s="1024" t="s">
        <v>172</v>
      </c>
      <c r="L1629" s="1063" t="s">
        <v>18</v>
      </c>
      <c r="M1629" s="1093">
        <v>-80</v>
      </c>
      <c r="N1629" s="1081">
        <v>69444.44</v>
      </c>
      <c r="O1629" s="1081">
        <f t="shared" si="268"/>
        <v>-5555555.2000000002</v>
      </c>
      <c r="P1629" s="1081">
        <f t="shared" si="269"/>
        <v>-444444.41600000003</v>
      </c>
      <c r="Q1629" s="1082">
        <f t="shared" si="270"/>
        <v>-5999999.6160000004</v>
      </c>
      <c r="V1629" s="1107">
        <f t="shared" si="266"/>
        <v>-5999999.6160000004</v>
      </c>
    </row>
    <row r="1630" spans="1:22" hidden="1">
      <c r="A1630" s="1000" t="s">
        <v>1004</v>
      </c>
      <c r="B1630" s="1028" t="s">
        <v>888</v>
      </c>
      <c r="C1630" s="1066">
        <v>46275</v>
      </c>
      <c r="D1630" s="1066">
        <v>46275</v>
      </c>
      <c r="E1630" s="1005" t="s">
        <v>1111</v>
      </c>
      <c r="G1630" s="1002"/>
      <c r="H1630" s="1111"/>
      <c r="I1630" s="1002" t="s">
        <v>891</v>
      </c>
      <c r="J1630" s="1061" t="s">
        <v>173</v>
      </c>
      <c r="K1630" s="1024" t="s">
        <v>174</v>
      </c>
      <c r="L1630" s="1063" t="s">
        <v>18</v>
      </c>
      <c r="M1630" s="1093">
        <v>-80</v>
      </c>
      <c r="N1630" s="1081">
        <v>97222.22</v>
      </c>
      <c r="O1630" s="1081">
        <f t="shared" si="268"/>
        <v>-7777777.5999999996</v>
      </c>
      <c r="P1630" s="1081">
        <f t="shared" si="269"/>
        <v>-622222.20799999998</v>
      </c>
      <c r="Q1630" s="1082">
        <f t="shared" si="270"/>
        <v>-8399999.8080000002</v>
      </c>
      <c r="V1630" s="1107">
        <f t="shared" si="266"/>
        <v>-8399999.8080000002</v>
      </c>
    </row>
    <row r="1631" spans="1:22" hidden="1">
      <c r="A1631" s="1000" t="s">
        <v>1004</v>
      </c>
      <c r="B1631" s="1028" t="s">
        <v>888</v>
      </c>
      <c r="C1631" s="1066">
        <v>46275</v>
      </c>
      <c r="D1631" s="1066">
        <v>46275</v>
      </c>
      <c r="E1631" s="1005" t="s">
        <v>1111</v>
      </c>
      <c r="G1631" s="1002"/>
      <c r="H1631" s="1111"/>
      <c r="I1631" s="1002" t="s">
        <v>1181</v>
      </c>
      <c r="J1631" s="1061" t="s">
        <v>98</v>
      </c>
      <c r="K1631" s="1052" t="s">
        <v>251</v>
      </c>
      <c r="L1631" s="1063" t="s">
        <v>18</v>
      </c>
      <c r="M1631" s="1093">
        <v>-1</v>
      </c>
      <c r="N1631" s="1081"/>
      <c r="Q1631" s="1082">
        <f t="shared" si="270"/>
        <v>0</v>
      </c>
      <c r="V1631" s="1107">
        <f t="shared" si="266"/>
        <v>0</v>
      </c>
    </row>
    <row r="1632" spans="1:22" ht="31.5" hidden="1">
      <c r="A1632" s="1000" t="s">
        <v>1004</v>
      </c>
      <c r="B1632" s="1028" t="s">
        <v>888</v>
      </c>
      <c r="C1632" s="1066">
        <v>46275</v>
      </c>
      <c r="D1632" s="1066">
        <v>46275</v>
      </c>
      <c r="E1632" s="1005" t="s">
        <v>1111</v>
      </c>
      <c r="G1632" s="1002"/>
      <c r="H1632" s="1111"/>
      <c r="I1632" s="1002" t="s">
        <v>891</v>
      </c>
      <c r="J1632" s="1062" t="s">
        <v>96</v>
      </c>
      <c r="K1632" s="1024" t="s">
        <v>97</v>
      </c>
      <c r="L1632" s="1063" t="s">
        <v>18</v>
      </c>
      <c r="M1632" s="1093">
        <v>-20</v>
      </c>
      <c r="N1632" s="1081">
        <v>574074.06999999995</v>
      </c>
      <c r="O1632" s="1081">
        <f t="shared" si="268"/>
        <v>-11481481.399999999</v>
      </c>
      <c r="P1632" s="1081">
        <f t="shared" si="269"/>
        <v>-918518.51199999987</v>
      </c>
      <c r="Q1632" s="1082">
        <f t="shared" si="270"/>
        <v>-12399999.911999999</v>
      </c>
      <c r="V1632" s="1107">
        <f t="shared" si="266"/>
        <v>-12399999.911999999</v>
      </c>
    </row>
    <row r="1633" spans="1:23" ht="31.5" hidden="1">
      <c r="A1633" s="1000" t="s">
        <v>1004</v>
      </c>
      <c r="B1633" s="1028" t="s">
        <v>888</v>
      </c>
      <c r="C1633" s="1066">
        <v>46275</v>
      </c>
      <c r="D1633" s="1066">
        <v>46275</v>
      </c>
      <c r="E1633" s="1005" t="s">
        <v>1111</v>
      </c>
      <c r="G1633" s="1002"/>
      <c r="H1633" s="1111"/>
      <c r="I1633" s="1002" t="s">
        <v>891</v>
      </c>
      <c r="J1633" s="1062" t="s">
        <v>1109</v>
      </c>
      <c r="K1633" s="1052" t="s">
        <v>86</v>
      </c>
      <c r="L1633" s="1063" t="s">
        <v>18</v>
      </c>
      <c r="M1633" s="1093">
        <v>-36</v>
      </c>
      <c r="N1633" s="1081">
        <v>509259.26</v>
      </c>
      <c r="O1633" s="1081">
        <f t="shared" si="268"/>
        <v>-18333333.359999999</v>
      </c>
      <c r="P1633" s="1081">
        <f t="shared" si="269"/>
        <v>-1466666.6687999999</v>
      </c>
      <c r="Q1633" s="1082">
        <f t="shared" si="270"/>
        <v>-19800000.0288</v>
      </c>
      <c r="V1633" s="1107">
        <f t="shared" si="266"/>
        <v>-19800000.0288</v>
      </c>
    </row>
    <row r="1634" spans="1:23" ht="31.5" hidden="1">
      <c r="A1634" s="1000" t="s">
        <v>1004</v>
      </c>
      <c r="B1634" s="1028" t="s">
        <v>888</v>
      </c>
      <c r="C1634" s="1066">
        <v>46275</v>
      </c>
      <c r="D1634" s="1066">
        <v>46275</v>
      </c>
      <c r="E1634" s="1005" t="s">
        <v>1111</v>
      </c>
      <c r="G1634" s="1002"/>
      <c r="H1634" s="1111"/>
      <c r="I1634" s="1002" t="s">
        <v>891</v>
      </c>
      <c r="J1634" s="1062" t="s">
        <v>1110</v>
      </c>
      <c r="K1634" s="1052" t="s">
        <v>86</v>
      </c>
      <c r="L1634" s="1063" t="s">
        <v>18</v>
      </c>
      <c r="M1634" s="1093">
        <v>-27</v>
      </c>
      <c r="N1634" s="1081">
        <v>509259.26</v>
      </c>
      <c r="O1634" s="1081">
        <f t="shared" si="268"/>
        <v>-13750000.02</v>
      </c>
      <c r="P1634" s="1081">
        <f t="shared" si="269"/>
        <v>-1100000.0016000001</v>
      </c>
      <c r="Q1634" s="1082">
        <f t="shared" si="270"/>
        <v>-14850000.021600001</v>
      </c>
      <c r="V1634" s="1107">
        <f t="shared" si="266"/>
        <v>-14850000.021600001</v>
      </c>
    </row>
    <row r="1635" spans="1:23" hidden="1">
      <c r="A1635" s="1000" t="s">
        <v>1004</v>
      </c>
      <c r="B1635" s="1028" t="s">
        <v>888</v>
      </c>
      <c r="C1635" s="1066">
        <v>46275</v>
      </c>
      <c r="D1635" s="1066">
        <v>46275</v>
      </c>
      <c r="E1635" s="1005" t="s">
        <v>1111</v>
      </c>
      <c r="G1635" s="1002"/>
      <c r="H1635" s="1111"/>
      <c r="I1635" s="1002" t="s">
        <v>1181</v>
      </c>
      <c r="J1635" s="1061" t="s">
        <v>74</v>
      </c>
      <c r="K1635" s="1003" t="s">
        <v>141</v>
      </c>
      <c r="L1635" s="1063" t="s">
        <v>18</v>
      </c>
      <c r="M1635" s="1093">
        <v>-2</v>
      </c>
      <c r="N1635" s="1081"/>
      <c r="Q1635" s="1082">
        <f t="shared" si="270"/>
        <v>0</v>
      </c>
      <c r="V1635" s="1107">
        <f t="shared" si="266"/>
        <v>0</v>
      </c>
    </row>
    <row r="1636" spans="1:23" hidden="1">
      <c r="A1636" s="1000" t="s">
        <v>1004</v>
      </c>
      <c r="B1636" s="1028" t="s">
        <v>888</v>
      </c>
      <c r="C1636" s="1066">
        <v>46275</v>
      </c>
      <c r="D1636" s="1066">
        <v>46275</v>
      </c>
      <c r="E1636" s="1005" t="s">
        <v>1111</v>
      </c>
      <c r="G1636" s="1002"/>
      <c r="H1636" s="1111"/>
      <c r="I1636" s="1002" t="s">
        <v>1181</v>
      </c>
      <c r="J1636" s="1061" t="s">
        <v>204</v>
      </c>
      <c r="K1636" s="1003" t="s">
        <v>269</v>
      </c>
      <c r="L1636" s="1061" t="s">
        <v>18</v>
      </c>
      <c r="M1636" s="1093">
        <v>-1</v>
      </c>
      <c r="N1636" s="1081"/>
      <c r="Q1636" s="1082">
        <f t="shared" si="270"/>
        <v>0</v>
      </c>
      <c r="V1636" s="1107">
        <f t="shared" si="266"/>
        <v>0</v>
      </c>
    </row>
    <row r="1637" spans="1:23" hidden="1">
      <c r="A1637" s="1000" t="s">
        <v>1004</v>
      </c>
      <c r="B1637" s="1028" t="s">
        <v>888</v>
      </c>
      <c r="C1637" s="1066">
        <v>46275</v>
      </c>
      <c r="D1637" s="1066">
        <v>46275</v>
      </c>
      <c r="E1637" s="1005" t="s">
        <v>1111</v>
      </c>
      <c r="G1637" s="1002"/>
      <c r="H1637" s="1111"/>
      <c r="I1637" s="1002" t="s">
        <v>1112</v>
      </c>
      <c r="J1637" s="1061" t="s">
        <v>101</v>
      </c>
      <c r="K1637" s="1024" t="s">
        <v>102</v>
      </c>
      <c r="L1637" s="1061" t="s">
        <v>18</v>
      </c>
      <c r="M1637" s="1093">
        <v>-32</v>
      </c>
      <c r="N1637" s="1081">
        <v>861111.11</v>
      </c>
      <c r="O1637" s="1081">
        <f t="shared" si="268"/>
        <v>-27555555.52</v>
      </c>
      <c r="P1637" s="1081">
        <f t="shared" si="269"/>
        <v>-2204444.4416</v>
      </c>
      <c r="Q1637" s="1082">
        <f t="shared" si="270"/>
        <v>-29759999.961599998</v>
      </c>
      <c r="V1637" s="1107">
        <f t="shared" si="266"/>
        <v>-29759999.961599998</v>
      </c>
    </row>
    <row r="1638" spans="1:23" hidden="1">
      <c r="A1638" s="1000" t="s">
        <v>1004</v>
      </c>
      <c r="B1638" s="1028" t="s">
        <v>888</v>
      </c>
      <c r="C1638" s="1066">
        <v>46275</v>
      </c>
      <c r="D1638" s="1066">
        <v>46275</v>
      </c>
      <c r="E1638" s="1005" t="s">
        <v>1113</v>
      </c>
      <c r="G1638" s="1002"/>
      <c r="H1638" s="1111"/>
      <c r="I1638" s="1002" t="s">
        <v>1181</v>
      </c>
      <c r="J1638" s="1061" t="s">
        <v>98</v>
      </c>
      <c r="K1638" s="1052" t="s">
        <v>251</v>
      </c>
      <c r="L1638" s="1063" t="s">
        <v>18</v>
      </c>
      <c r="M1638" s="1093">
        <v>1</v>
      </c>
      <c r="N1638" s="1081">
        <v>0</v>
      </c>
      <c r="O1638" s="1081">
        <f t="shared" si="268"/>
        <v>0</v>
      </c>
      <c r="P1638" s="1081">
        <f t="shared" si="269"/>
        <v>0</v>
      </c>
      <c r="Q1638" s="1206">
        <f t="shared" si="270"/>
        <v>0</v>
      </c>
      <c r="V1638" s="1107">
        <f t="shared" si="266"/>
        <v>0</v>
      </c>
      <c r="W1638" s="1235" t="s">
        <v>1111</v>
      </c>
    </row>
    <row r="1639" spans="1:23" hidden="1">
      <c r="A1639" s="1000" t="s">
        <v>1004</v>
      </c>
      <c r="B1639" s="1028" t="s">
        <v>888</v>
      </c>
      <c r="C1639" s="1066">
        <v>46275</v>
      </c>
      <c r="D1639" s="1066">
        <v>46275</v>
      </c>
      <c r="E1639" s="1005" t="s">
        <v>1113</v>
      </c>
      <c r="G1639" s="1002"/>
      <c r="H1639" s="1111"/>
      <c r="I1639" s="1002" t="s">
        <v>1181</v>
      </c>
      <c r="J1639" s="1061" t="s">
        <v>74</v>
      </c>
      <c r="K1639" s="1003" t="s">
        <v>141</v>
      </c>
      <c r="L1639" s="1063" t="s">
        <v>18</v>
      </c>
      <c r="M1639" s="1093">
        <v>2</v>
      </c>
      <c r="N1639" s="1081">
        <v>0</v>
      </c>
      <c r="O1639" s="1081">
        <f t="shared" si="268"/>
        <v>0</v>
      </c>
      <c r="P1639" s="1081">
        <f t="shared" si="269"/>
        <v>0</v>
      </c>
      <c r="Q1639" s="1206">
        <f t="shared" si="270"/>
        <v>0</v>
      </c>
      <c r="V1639" s="1107">
        <f t="shared" si="266"/>
        <v>0</v>
      </c>
      <c r="W1639" s="1236"/>
    </row>
    <row r="1640" spans="1:23" hidden="1">
      <c r="A1640" s="1000" t="s">
        <v>1004</v>
      </c>
      <c r="B1640" s="1028" t="s">
        <v>888</v>
      </c>
      <c r="C1640" s="1066">
        <v>46275</v>
      </c>
      <c r="D1640" s="1066">
        <v>46275</v>
      </c>
      <c r="E1640" s="1005" t="s">
        <v>1113</v>
      </c>
      <c r="G1640" s="1002"/>
      <c r="H1640" s="1111"/>
      <c r="I1640" s="1002" t="s">
        <v>1181</v>
      </c>
      <c r="J1640" s="1061" t="s">
        <v>204</v>
      </c>
      <c r="K1640" s="1003" t="s">
        <v>269</v>
      </c>
      <c r="L1640" s="1061" t="s">
        <v>18</v>
      </c>
      <c r="M1640" s="1093">
        <v>1</v>
      </c>
      <c r="N1640" s="1081">
        <v>0</v>
      </c>
      <c r="O1640" s="1081">
        <f t="shared" si="268"/>
        <v>0</v>
      </c>
      <c r="P1640" s="1081">
        <f t="shared" si="269"/>
        <v>0</v>
      </c>
      <c r="Q1640" s="1206">
        <f t="shared" si="270"/>
        <v>0</v>
      </c>
      <c r="V1640" s="1107">
        <f t="shared" si="266"/>
        <v>0</v>
      </c>
      <c r="W1640" s="1237"/>
    </row>
    <row r="1641" spans="1:23" hidden="1">
      <c r="A1641" s="1000" t="s">
        <v>1004</v>
      </c>
      <c r="B1641" s="1028" t="s">
        <v>888</v>
      </c>
      <c r="C1641" s="1066">
        <v>46275</v>
      </c>
      <c r="D1641" s="1066">
        <v>46275</v>
      </c>
      <c r="E1641" s="1005" t="s">
        <v>1114</v>
      </c>
      <c r="F1641" s="1077">
        <v>46279</v>
      </c>
      <c r="G1641" s="1002" t="s">
        <v>1162</v>
      </c>
      <c r="H1641" s="1111" t="s">
        <v>1161</v>
      </c>
      <c r="I1641" s="1008" t="s">
        <v>893</v>
      </c>
      <c r="J1641" s="1061" t="s">
        <v>50</v>
      </c>
      <c r="K1641" s="1003" t="s">
        <v>51</v>
      </c>
      <c r="L1641" s="1061" t="s">
        <v>18</v>
      </c>
      <c r="M1641" s="1093">
        <v>32</v>
      </c>
      <c r="N1641" s="1081">
        <v>937962.96</v>
      </c>
      <c r="O1641" s="1081">
        <f>M1641*N1641</f>
        <v>30014814.719999999</v>
      </c>
      <c r="P1641" s="1081">
        <f t="shared" si="269"/>
        <v>2401185.1776000001</v>
      </c>
      <c r="Q1641" s="1206">
        <f t="shared" si="270"/>
        <v>32415999.897599999</v>
      </c>
      <c r="V1641" s="1107">
        <f t="shared" si="266"/>
        <v>32415999.897599999</v>
      </c>
    </row>
    <row r="1642" spans="1:23" hidden="1">
      <c r="A1642" s="1000" t="s">
        <v>1004</v>
      </c>
      <c r="B1642" s="1028" t="s">
        <v>888</v>
      </c>
      <c r="C1642" s="1066">
        <v>46275</v>
      </c>
      <c r="D1642" s="1066">
        <v>46275</v>
      </c>
      <c r="E1642" s="1005" t="s">
        <v>1114</v>
      </c>
      <c r="G1642" s="1002"/>
      <c r="H1642" s="1111"/>
      <c r="I1642" s="1008" t="s">
        <v>893</v>
      </c>
      <c r="J1642" s="1061" t="s">
        <v>103</v>
      </c>
      <c r="K1642" s="1003" t="s">
        <v>104</v>
      </c>
      <c r="L1642" s="1061" t="s">
        <v>18</v>
      </c>
      <c r="M1642" s="1093">
        <v>60</v>
      </c>
      <c r="N1642" s="1081">
        <v>675925.93</v>
      </c>
      <c r="O1642" s="1081">
        <f t="shared" ref="O1642:O1645" si="271">M1642*N1642</f>
        <v>40555555.800000004</v>
      </c>
      <c r="P1642" s="1081">
        <f t="shared" si="269"/>
        <v>3244444.4640000006</v>
      </c>
      <c r="Q1642" s="1206">
        <f t="shared" si="270"/>
        <v>43800000.264000006</v>
      </c>
      <c r="V1642" s="1107">
        <f t="shared" si="266"/>
        <v>43800000.264000006</v>
      </c>
    </row>
    <row r="1643" spans="1:23" hidden="1">
      <c r="A1643" s="1000" t="s">
        <v>1004</v>
      </c>
      <c r="B1643" s="1028" t="s">
        <v>888</v>
      </c>
      <c r="C1643" s="1066">
        <v>46275</v>
      </c>
      <c r="D1643" s="1066">
        <v>46276</v>
      </c>
      <c r="E1643" s="1005" t="s">
        <v>1114</v>
      </c>
      <c r="F1643" s="1077">
        <v>46279</v>
      </c>
      <c r="G1643" s="1002" t="s">
        <v>1162</v>
      </c>
      <c r="H1643" s="1111" t="s">
        <v>1161</v>
      </c>
      <c r="I1643" s="1008" t="s">
        <v>893</v>
      </c>
      <c r="J1643" s="1061" t="s">
        <v>48</v>
      </c>
      <c r="K1643" s="1003" t="s">
        <v>49</v>
      </c>
      <c r="L1643" s="1061" t="s">
        <v>18</v>
      </c>
      <c r="M1643" s="1093">
        <v>30</v>
      </c>
      <c r="N1643" s="1081">
        <v>601851.85</v>
      </c>
      <c r="O1643" s="1081">
        <f t="shared" si="271"/>
        <v>18055555.5</v>
      </c>
      <c r="P1643" s="1081">
        <f t="shared" si="269"/>
        <v>1444444.44</v>
      </c>
      <c r="Q1643" s="1206">
        <f t="shared" si="270"/>
        <v>19499999.940000001</v>
      </c>
      <c r="V1643" s="1107">
        <f t="shared" si="266"/>
        <v>19499999.940000001</v>
      </c>
    </row>
    <row r="1644" spans="1:23" hidden="1">
      <c r="A1644" s="1000" t="s">
        <v>1004</v>
      </c>
      <c r="B1644" s="1028" t="s">
        <v>888</v>
      </c>
      <c r="C1644" s="1066">
        <v>46275</v>
      </c>
      <c r="D1644" s="1066">
        <v>46275</v>
      </c>
      <c r="E1644" s="1005" t="s">
        <v>1114</v>
      </c>
      <c r="G1644" s="1002"/>
      <c r="H1644" s="1111"/>
      <c r="I1644" s="1008" t="s">
        <v>1120</v>
      </c>
      <c r="J1644" s="1061" t="s">
        <v>107</v>
      </c>
      <c r="K1644" s="1003" t="s">
        <v>108</v>
      </c>
      <c r="L1644" s="1061" t="s">
        <v>18</v>
      </c>
      <c r="M1644" s="1093">
        <v>8</v>
      </c>
      <c r="N1644" s="1081">
        <v>0</v>
      </c>
      <c r="O1644" s="1081">
        <f t="shared" si="271"/>
        <v>0</v>
      </c>
      <c r="P1644" s="1081">
        <f t="shared" si="269"/>
        <v>0</v>
      </c>
      <c r="Q1644" s="1206">
        <f t="shared" si="270"/>
        <v>0</v>
      </c>
      <c r="V1644" s="1107">
        <f t="shared" si="266"/>
        <v>0</v>
      </c>
    </row>
    <row r="1645" spans="1:23" hidden="1">
      <c r="A1645" s="1000" t="s">
        <v>1004</v>
      </c>
      <c r="B1645" s="1028" t="s">
        <v>888</v>
      </c>
      <c r="C1645" s="1066">
        <v>46275</v>
      </c>
      <c r="D1645" s="1066">
        <v>46275</v>
      </c>
      <c r="E1645" s="1005" t="s">
        <v>1114</v>
      </c>
      <c r="F1645" s="1077">
        <v>46279</v>
      </c>
      <c r="G1645" s="1002" t="s">
        <v>1162</v>
      </c>
      <c r="H1645" s="1111" t="s">
        <v>1161</v>
      </c>
      <c r="I1645" s="1008" t="s">
        <v>862</v>
      </c>
      <c r="J1645" s="1061" t="s">
        <v>959</v>
      </c>
      <c r="K1645" s="1003" t="s">
        <v>960</v>
      </c>
      <c r="L1645" s="1061" t="s">
        <v>18</v>
      </c>
      <c r="M1645" s="1093">
        <v>122</v>
      </c>
      <c r="N1645" s="1081">
        <v>0</v>
      </c>
      <c r="O1645" s="1081">
        <f t="shared" si="271"/>
        <v>0</v>
      </c>
      <c r="P1645" s="1081">
        <f t="shared" si="269"/>
        <v>0</v>
      </c>
      <c r="Q1645" s="1206">
        <f t="shared" si="270"/>
        <v>0</v>
      </c>
      <c r="V1645" s="1107">
        <f t="shared" si="266"/>
        <v>0</v>
      </c>
    </row>
    <row r="1646" spans="1:23" hidden="1">
      <c r="A1646" s="1000" t="s">
        <v>802</v>
      </c>
      <c r="B1646" s="1028" t="s">
        <v>806</v>
      </c>
      <c r="C1646" s="1066">
        <v>46276</v>
      </c>
      <c r="D1646" s="1076">
        <v>46275</v>
      </c>
      <c r="E1646" s="1005" t="s">
        <v>1115</v>
      </c>
      <c r="F1646" s="1066">
        <v>46280</v>
      </c>
      <c r="G1646" s="1002"/>
      <c r="H1646" s="1111" t="s">
        <v>1243</v>
      </c>
      <c r="I1646" s="1008" t="s">
        <v>807</v>
      </c>
      <c r="J1646" s="1061" t="s">
        <v>90</v>
      </c>
      <c r="K1646" s="1003" t="s">
        <v>91</v>
      </c>
      <c r="L1646" s="1061" t="s">
        <v>18</v>
      </c>
      <c r="M1646" s="1093">
        <v>2</v>
      </c>
      <c r="N1646" s="1081">
        <v>907407.41</v>
      </c>
      <c r="O1646" s="1081">
        <f>M1646*N1646</f>
        <v>1814814.82</v>
      </c>
      <c r="P1646" s="1081">
        <f t="shared" si="269"/>
        <v>145185.1856</v>
      </c>
      <c r="Q1646" s="1206">
        <f t="shared" si="270"/>
        <v>1960000.0056</v>
      </c>
      <c r="V1646" s="1107">
        <f t="shared" si="266"/>
        <v>1960000.0056</v>
      </c>
    </row>
    <row r="1647" spans="1:23" hidden="1">
      <c r="A1647" s="1000" t="s">
        <v>965</v>
      </c>
      <c r="B1647" s="1028" t="s">
        <v>1117</v>
      </c>
      <c r="C1647" s="1066">
        <v>46275</v>
      </c>
      <c r="D1647" s="1076">
        <v>46275</v>
      </c>
      <c r="E1647" s="1005" t="s">
        <v>1116</v>
      </c>
      <c r="G1647" s="1002"/>
      <c r="H1647" s="1111"/>
      <c r="I1647" s="1008" t="s">
        <v>1118</v>
      </c>
      <c r="J1647" s="1061" t="s">
        <v>90</v>
      </c>
      <c r="K1647" s="1003" t="s">
        <v>91</v>
      </c>
      <c r="L1647" s="1061" t="s">
        <v>18</v>
      </c>
      <c r="M1647" s="1093">
        <v>2</v>
      </c>
      <c r="N1647" s="1081">
        <v>907407.41</v>
      </c>
      <c r="O1647" s="1081">
        <f>M1647*N1647</f>
        <v>1814814.82</v>
      </c>
      <c r="P1647" s="1081">
        <f t="shared" si="269"/>
        <v>145185.1856</v>
      </c>
      <c r="Q1647" s="1206">
        <f t="shared" si="270"/>
        <v>1960000.0056</v>
      </c>
      <c r="V1647" s="1107">
        <f t="shared" si="266"/>
        <v>1960000.0056</v>
      </c>
    </row>
    <row r="1648" spans="1:23" hidden="1">
      <c r="A1648" s="1000" t="s">
        <v>965</v>
      </c>
      <c r="B1648" s="1028" t="s">
        <v>1117</v>
      </c>
      <c r="C1648" s="1066">
        <v>46275</v>
      </c>
      <c r="D1648" s="1076">
        <v>46275</v>
      </c>
      <c r="E1648" s="1005" t="s">
        <v>1116</v>
      </c>
      <c r="F1648" s="1066">
        <v>46296</v>
      </c>
      <c r="G1648" s="1002" t="s">
        <v>1347</v>
      </c>
      <c r="H1648" s="1111" t="s">
        <v>1348</v>
      </c>
      <c r="I1648" s="1008" t="s">
        <v>1118</v>
      </c>
      <c r="J1648" s="1061" t="s">
        <v>647</v>
      </c>
      <c r="K1648" s="1003" t="s">
        <v>648</v>
      </c>
      <c r="L1648" s="1061" t="s">
        <v>18</v>
      </c>
      <c r="M1648" s="1093">
        <v>1</v>
      </c>
      <c r="N1648" s="1081">
        <v>907407.41</v>
      </c>
      <c r="O1648" s="1081">
        <f t="shared" ref="O1648:O1651" si="272">M1648*N1648</f>
        <v>907407.41</v>
      </c>
      <c r="P1648" s="1081">
        <f t="shared" si="269"/>
        <v>72592.592799999999</v>
      </c>
      <c r="Q1648" s="1206">
        <f t="shared" si="270"/>
        <v>980000.00280000002</v>
      </c>
      <c r="V1648" s="1107">
        <f t="shared" si="266"/>
        <v>980000.00280000002</v>
      </c>
    </row>
    <row r="1649" spans="1:22" s="1003" customFormat="1" hidden="1">
      <c r="A1649" s="1001" t="s">
        <v>965</v>
      </c>
      <c r="B1649" s="1028" t="s">
        <v>1117</v>
      </c>
      <c r="C1649" s="1076">
        <v>46275</v>
      </c>
      <c r="D1649" s="1066">
        <v>46275</v>
      </c>
      <c r="E1649" s="1003" t="s">
        <v>1116</v>
      </c>
      <c r="F1649" s="1076"/>
      <c r="G1649" s="1002"/>
      <c r="H1649" s="1111"/>
      <c r="I1649" s="1008" t="s">
        <v>1118</v>
      </c>
      <c r="J1649" s="1063" t="s">
        <v>184</v>
      </c>
      <c r="K1649" s="1003" t="s">
        <v>272</v>
      </c>
      <c r="L1649" s="1063" t="s">
        <v>18</v>
      </c>
      <c r="M1649" s="1093">
        <v>1</v>
      </c>
      <c r="N1649" s="1081">
        <v>277777.78000000003</v>
      </c>
      <c r="O1649" s="1081">
        <f t="shared" si="272"/>
        <v>277777.78000000003</v>
      </c>
      <c r="P1649" s="1081">
        <f t="shared" si="269"/>
        <v>22222.222400000002</v>
      </c>
      <c r="Q1649" s="1206">
        <f t="shared" si="270"/>
        <v>300000.00240000006</v>
      </c>
      <c r="R1649" s="1081"/>
      <c r="S1649" s="1081"/>
      <c r="T1649" s="1081"/>
      <c r="U1649" s="1081"/>
      <c r="V1649" s="1081">
        <f t="shared" si="266"/>
        <v>300000.00240000006</v>
      </c>
    </row>
    <row r="1650" spans="1:22" s="1003" customFormat="1" hidden="1">
      <c r="A1650" s="1001" t="s">
        <v>965</v>
      </c>
      <c r="B1650" s="1028" t="s">
        <v>1117</v>
      </c>
      <c r="C1650" s="1076">
        <v>46275</v>
      </c>
      <c r="D1650" s="1066">
        <v>46276</v>
      </c>
      <c r="E1650" s="1003" t="s">
        <v>1116</v>
      </c>
      <c r="F1650" s="1076"/>
      <c r="G1650" s="1002"/>
      <c r="H1650" s="1111"/>
      <c r="I1650" s="1008" t="s">
        <v>1118</v>
      </c>
      <c r="J1650" s="1063" t="s">
        <v>30</v>
      </c>
      <c r="K1650" s="1003" t="s">
        <v>31</v>
      </c>
      <c r="L1650" s="1063" t="s">
        <v>18</v>
      </c>
      <c r="M1650" s="1093">
        <v>1</v>
      </c>
      <c r="N1650" s="1081">
        <v>296296.3</v>
      </c>
      <c r="O1650" s="1081">
        <f t="shared" si="272"/>
        <v>296296.3</v>
      </c>
      <c r="P1650" s="1081">
        <f t="shared" si="269"/>
        <v>23703.703999999998</v>
      </c>
      <c r="Q1650" s="1206">
        <f t="shared" si="270"/>
        <v>320000.00399999996</v>
      </c>
      <c r="R1650" s="1081"/>
      <c r="S1650" s="1081"/>
      <c r="T1650" s="1081"/>
      <c r="U1650" s="1081"/>
      <c r="V1650" s="1081">
        <f t="shared" si="266"/>
        <v>320000.00399999996</v>
      </c>
    </row>
    <row r="1651" spans="1:22" s="1003" customFormat="1" hidden="1">
      <c r="A1651" s="1001" t="s">
        <v>965</v>
      </c>
      <c r="B1651" s="1028" t="s">
        <v>1117</v>
      </c>
      <c r="C1651" s="1076">
        <v>46275</v>
      </c>
      <c r="D1651" s="1066">
        <v>46276</v>
      </c>
      <c r="E1651" s="1003" t="s">
        <v>1116</v>
      </c>
      <c r="F1651" s="1076"/>
      <c r="G1651" s="1002"/>
      <c r="H1651" s="1111"/>
      <c r="I1651" s="1008" t="s">
        <v>1118</v>
      </c>
      <c r="J1651" s="1063" t="s">
        <v>301</v>
      </c>
      <c r="K1651" s="1003" t="s">
        <v>361</v>
      </c>
      <c r="L1651" s="1063" t="s">
        <v>18</v>
      </c>
      <c r="M1651" s="1093">
        <v>1</v>
      </c>
      <c r="N1651" s="1081">
        <v>314814.81</v>
      </c>
      <c r="O1651" s="1081">
        <f t="shared" si="272"/>
        <v>314814.81</v>
      </c>
      <c r="P1651" s="1081">
        <f t="shared" si="269"/>
        <v>25185.184799999999</v>
      </c>
      <c r="Q1651" s="1206">
        <f t="shared" si="270"/>
        <v>339999.99479999999</v>
      </c>
      <c r="R1651" s="1081"/>
      <c r="S1651" s="1081"/>
      <c r="T1651" s="1081"/>
      <c r="U1651" s="1081"/>
      <c r="V1651" s="1081">
        <f t="shared" si="266"/>
        <v>339999.99479999999</v>
      </c>
    </row>
    <row r="1652" spans="1:22" hidden="1">
      <c r="A1652" s="1000" t="s">
        <v>1005</v>
      </c>
      <c r="B1652" s="1028" t="s">
        <v>1498</v>
      </c>
      <c r="C1652" s="1066">
        <v>46275</v>
      </c>
      <c r="D1652" s="1066">
        <v>46276</v>
      </c>
      <c r="E1652" s="1005" t="s">
        <v>1293</v>
      </c>
      <c r="G1652" s="1002"/>
      <c r="H1652" s="1111"/>
      <c r="I1652" s="1002" t="s">
        <v>1499</v>
      </c>
      <c r="J1652" s="1007" t="s">
        <v>98</v>
      </c>
      <c r="K1652" s="1064" t="s">
        <v>251</v>
      </c>
      <c r="L1652" s="1007" t="s">
        <v>18</v>
      </c>
      <c r="M1652" s="1093">
        <v>4</v>
      </c>
      <c r="N1652" s="1081">
        <v>740740.74</v>
      </c>
      <c r="O1652" s="1081">
        <v>0</v>
      </c>
      <c r="P1652" s="1081">
        <v>0</v>
      </c>
      <c r="Q1652" s="1221">
        <f>M1652*N1652</f>
        <v>2962962.96</v>
      </c>
      <c r="V1652" s="1107">
        <f t="shared" si="266"/>
        <v>2962962.96</v>
      </c>
    </row>
    <row r="1653" spans="1:22" hidden="1">
      <c r="A1653" s="1000" t="s">
        <v>966</v>
      </c>
      <c r="B1653" s="1028" t="s">
        <v>1498</v>
      </c>
      <c r="C1653" s="1066">
        <v>46276</v>
      </c>
      <c r="D1653" s="1066">
        <v>46276</v>
      </c>
      <c r="G1653" s="1002"/>
      <c r="H1653" s="1111"/>
      <c r="I1653" s="1002" t="s">
        <v>702</v>
      </c>
      <c r="M1653" s="1093"/>
      <c r="N1653" s="1081"/>
      <c r="R1653" s="1107">
        <v>2962963</v>
      </c>
      <c r="V1653" s="1107">
        <f t="shared" si="266"/>
        <v>-2962963</v>
      </c>
    </row>
    <row r="1654" spans="1:22" hidden="1">
      <c r="A1654" s="1001" t="s">
        <v>965</v>
      </c>
      <c r="B1654" s="1028" t="s">
        <v>1117</v>
      </c>
      <c r="C1654" s="1066">
        <v>46276</v>
      </c>
      <c r="D1654" s="1066">
        <v>46276</v>
      </c>
      <c r="E1654" s="1005" t="s">
        <v>1147</v>
      </c>
      <c r="G1654" s="1002"/>
      <c r="H1654" s="1111"/>
      <c r="I1654" s="1002" t="s">
        <v>1112</v>
      </c>
      <c r="J1654" s="1063" t="s">
        <v>184</v>
      </c>
      <c r="K1654" s="1003" t="s">
        <v>272</v>
      </c>
      <c r="L1654" s="1063" t="s">
        <v>18</v>
      </c>
      <c r="M1654" s="1093">
        <v>-1</v>
      </c>
      <c r="N1654" s="1081">
        <v>277777.78000000003</v>
      </c>
      <c r="O1654" s="1081">
        <f t="shared" ref="O1654:O1656" si="273">M1654*N1654</f>
        <v>-277777.78000000003</v>
      </c>
      <c r="P1654" s="1081">
        <f t="shared" ref="P1654:P1691" si="274">O1654*8%</f>
        <v>-22222.222400000002</v>
      </c>
      <c r="Q1654" s="1082">
        <f t="shared" ref="Q1654:Q1691" si="275">O1654+P1654</f>
        <v>-300000.00240000006</v>
      </c>
      <c r="V1654" s="1107">
        <f t="shared" si="266"/>
        <v>-300000.00240000006</v>
      </c>
    </row>
    <row r="1655" spans="1:22" hidden="1">
      <c r="A1655" s="1001" t="s">
        <v>965</v>
      </c>
      <c r="B1655" s="1028" t="s">
        <v>1117</v>
      </c>
      <c r="C1655" s="1066">
        <v>46276</v>
      </c>
      <c r="D1655" s="1066">
        <v>46276</v>
      </c>
      <c r="E1655" s="1005" t="s">
        <v>1147</v>
      </c>
      <c r="G1655" s="1002"/>
      <c r="H1655" s="1111"/>
      <c r="I1655" s="1002" t="s">
        <v>1112</v>
      </c>
      <c r="J1655" s="1063" t="s">
        <v>30</v>
      </c>
      <c r="K1655" s="1003" t="s">
        <v>31</v>
      </c>
      <c r="L1655" s="1063" t="s">
        <v>18</v>
      </c>
      <c r="M1655" s="1093">
        <v>-1</v>
      </c>
      <c r="N1655" s="1081">
        <v>296296.3</v>
      </c>
      <c r="O1655" s="1081">
        <f t="shared" si="273"/>
        <v>-296296.3</v>
      </c>
      <c r="P1655" s="1081">
        <f t="shared" si="274"/>
        <v>-23703.703999999998</v>
      </c>
      <c r="Q1655" s="1082">
        <f t="shared" si="275"/>
        <v>-320000.00399999996</v>
      </c>
      <c r="V1655" s="1107">
        <f t="shared" si="266"/>
        <v>-320000.00399999996</v>
      </c>
    </row>
    <row r="1656" spans="1:22" hidden="1">
      <c r="A1656" s="1001" t="s">
        <v>965</v>
      </c>
      <c r="B1656" s="1028" t="s">
        <v>1117</v>
      </c>
      <c r="C1656" s="1066">
        <v>46276</v>
      </c>
      <c r="D1656" s="1066">
        <v>46276</v>
      </c>
      <c r="E1656" s="1005" t="s">
        <v>1147</v>
      </c>
      <c r="G1656" s="1002"/>
      <c r="H1656" s="1111"/>
      <c r="I1656" s="1002" t="s">
        <v>1112</v>
      </c>
      <c r="J1656" s="1063" t="s">
        <v>301</v>
      </c>
      <c r="K1656" s="1003" t="s">
        <v>361</v>
      </c>
      <c r="L1656" s="1063" t="s">
        <v>18</v>
      </c>
      <c r="M1656" s="1093">
        <v>-1</v>
      </c>
      <c r="N1656" s="1081">
        <v>314814.81</v>
      </c>
      <c r="O1656" s="1081">
        <f t="shared" si="273"/>
        <v>-314814.81</v>
      </c>
      <c r="P1656" s="1081">
        <f t="shared" si="274"/>
        <v>-25185.184799999999</v>
      </c>
      <c r="Q1656" s="1082">
        <f t="shared" si="275"/>
        <v>-339999.99479999999</v>
      </c>
      <c r="V1656" s="1107">
        <f t="shared" si="266"/>
        <v>-339999.99479999999</v>
      </c>
    </row>
    <row r="1657" spans="1:22" hidden="1">
      <c r="A1657" s="1001" t="s">
        <v>965</v>
      </c>
      <c r="B1657" s="1028" t="s">
        <v>1117</v>
      </c>
      <c r="C1657" s="1066">
        <v>46276</v>
      </c>
      <c r="D1657" s="1066">
        <v>46275</v>
      </c>
      <c r="G1657" s="1002"/>
      <c r="H1657" s="1111"/>
      <c r="I1657" s="1002" t="s">
        <v>702</v>
      </c>
      <c r="J1657" s="1063"/>
      <c r="K1657" s="1003"/>
      <c r="L1657" s="1063"/>
      <c r="M1657" s="1093"/>
      <c r="N1657" s="1081"/>
      <c r="Q1657" s="1082"/>
      <c r="R1657" s="1107">
        <v>2940000</v>
      </c>
      <c r="V1657" s="1107">
        <f t="shared" si="266"/>
        <v>-2940000</v>
      </c>
    </row>
    <row r="1658" spans="1:22" ht="31.5" hidden="1">
      <c r="A1658" s="1000" t="s">
        <v>756</v>
      </c>
      <c r="B1658" s="1001" t="s">
        <v>759</v>
      </c>
      <c r="C1658" s="1066">
        <v>46276</v>
      </c>
      <c r="D1658" s="1066">
        <v>46275</v>
      </c>
      <c r="E1658" s="1005" t="s">
        <v>1121</v>
      </c>
      <c r="F1658" s="1077">
        <v>46289</v>
      </c>
      <c r="G1658" s="1002" t="s">
        <v>1319</v>
      </c>
      <c r="H1658" s="1111" t="s">
        <v>1318</v>
      </c>
      <c r="I1658" s="1002" t="s">
        <v>758</v>
      </c>
      <c r="J1658" s="1007" t="s">
        <v>48</v>
      </c>
      <c r="K1658" s="1007" t="s">
        <v>49</v>
      </c>
      <c r="L1658" s="1007" t="s">
        <v>18</v>
      </c>
      <c r="M1658" s="1093">
        <v>12</v>
      </c>
      <c r="N1658" s="1081">
        <v>601851.85</v>
      </c>
      <c r="O1658" s="1081">
        <f>M1658*N1658</f>
        <v>7222222.1999999993</v>
      </c>
      <c r="P1658" s="1081">
        <f t="shared" si="274"/>
        <v>577777.77599999995</v>
      </c>
      <c r="Q1658" s="1206">
        <f t="shared" si="275"/>
        <v>7799999.9759999989</v>
      </c>
      <c r="V1658" s="1107">
        <f t="shared" si="266"/>
        <v>7799999.9759999989</v>
      </c>
    </row>
    <row r="1659" spans="1:22" hidden="1">
      <c r="A1659" s="1000" t="s">
        <v>756</v>
      </c>
      <c r="B1659" s="1001" t="s">
        <v>759</v>
      </c>
      <c r="C1659" s="1066">
        <v>46276</v>
      </c>
      <c r="D1659" s="1066">
        <v>46275</v>
      </c>
      <c r="E1659" s="1005" t="s">
        <v>1121</v>
      </c>
      <c r="F1659" s="1077">
        <v>46289</v>
      </c>
      <c r="G1659" s="1002" t="s">
        <v>1319</v>
      </c>
      <c r="H1659" s="1111" t="s">
        <v>1318</v>
      </c>
      <c r="I1659" s="1002" t="s">
        <v>758</v>
      </c>
      <c r="J1659" s="1007" t="s">
        <v>959</v>
      </c>
      <c r="K1659" s="1064" t="s">
        <v>960</v>
      </c>
      <c r="L1659" s="1007" t="s">
        <v>18</v>
      </c>
      <c r="M1659" s="1093">
        <v>12</v>
      </c>
      <c r="N1659" s="1081">
        <v>0</v>
      </c>
      <c r="O1659" s="1081">
        <f>M1659*N1659</f>
        <v>0</v>
      </c>
      <c r="P1659" s="1081">
        <f t="shared" si="274"/>
        <v>0</v>
      </c>
      <c r="Q1659" s="1206">
        <f t="shared" si="275"/>
        <v>0</v>
      </c>
      <c r="V1659" s="1107">
        <f t="shared" si="266"/>
        <v>0</v>
      </c>
    </row>
    <row r="1660" spans="1:22" hidden="1">
      <c r="A1660" s="1000" t="s">
        <v>752</v>
      </c>
      <c r="B1660" s="1028" t="s">
        <v>1494</v>
      </c>
      <c r="C1660" s="1066">
        <v>46275</v>
      </c>
      <c r="D1660" s="1066">
        <v>46276</v>
      </c>
      <c r="E1660" s="1005" t="s">
        <v>1292</v>
      </c>
      <c r="H1660" s="1111"/>
      <c r="I1660" s="1002" t="s">
        <v>812</v>
      </c>
      <c r="J1660" s="1007" t="s">
        <v>643</v>
      </c>
      <c r="K1660" s="1064" t="s">
        <v>644</v>
      </c>
      <c r="L1660" s="1007" t="s">
        <v>18</v>
      </c>
      <c r="M1660" s="1093">
        <v>15</v>
      </c>
      <c r="N1660" s="1081">
        <v>527777.78</v>
      </c>
      <c r="O1660" s="1081">
        <f t="shared" ref="O1660:O1673" si="276">M1660*N1660</f>
        <v>7916666.7000000002</v>
      </c>
      <c r="P1660" s="1081">
        <f t="shared" si="274"/>
        <v>633333.33600000001</v>
      </c>
      <c r="Q1660" s="1206">
        <f t="shared" si="275"/>
        <v>8550000.0360000003</v>
      </c>
      <c r="V1660" s="1107">
        <f t="shared" si="266"/>
        <v>8550000.0360000003</v>
      </c>
    </row>
    <row r="1661" spans="1:22" hidden="1">
      <c r="A1661" s="1000" t="s">
        <v>752</v>
      </c>
      <c r="B1661" s="1028" t="s">
        <v>1494</v>
      </c>
      <c r="C1661" s="1066">
        <v>46275</v>
      </c>
      <c r="D1661" s="1066">
        <v>46276</v>
      </c>
      <c r="E1661" s="1005" t="s">
        <v>1292</v>
      </c>
      <c r="F1661" s="1066">
        <v>46280</v>
      </c>
      <c r="H1661" s="1111" t="s">
        <v>1165</v>
      </c>
      <c r="I1661" s="1002" t="s">
        <v>812</v>
      </c>
      <c r="J1661" s="1007" t="s">
        <v>959</v>
      </c>
      <c r="K1661" s="1065" t="s">
        <v>960</v>
      </c>
      <c r="L1661" s="1007" t="s">
        <v>18</v>
      </c>
      <c r="M1661" s="1093">
        <v>50</v>
      </c>
      <c r="N1661" s="1081">
        <v>111111.11</v>
      </c>
      <c r="O1661" s="1081">
        <f t="shared" si="276"/>
        <v>5555555.5</v>
      </c>
      <c r="P1661" s="1081">
        <f t="shared" si="274"/>
        <v>444444.44</v>
      </c>
      <c r="Q1661" s="1206">
        <f t="shared" si="275"/>
        <v>5999999.9400000004</v>
      </c>
      <c r="V1661" s="1107">
        <f t="shared" si="266"/>
        <v>5999999.9400000004</v>
      </c>
    </row>
    <row r="1662" spans="1:22" hidden="1">
      <c r="A1662" s="1000" t="s">
        <v>752</v>
      </c>
      <c r="B1662" s="1028" t="s">
        <v>1494</v>
      </c>
      <c r="C1662" s="1066">
        <v>46275</v>
      </c>
      <c r="D1662" s="1066">
        <v>46276</v>
      </c>
      <c r="E1662" s="1005" t="s">
        <v>1122</v>
      </c>
      <c r="H1662" s="1111"/>
      <c r="I1662" s="1008" t="s">
        <v>892</v>
      </c>
      <c r="J1662" s="1007" t="s">
        <v>643</v>
      </c>
      <c r="K1662" s="1064" t="s">
        <v>644</v>
      </c>
      <c r="L1662" s="1007" t="s">
        <v>18</v>
      </c>
      <c r="M1662" s="1093">
        <v>1</v>
      </c>
      <c r="N1662" s="1081">
        <v>0</v>
      </c>
      <c r="O1662" s="1081">
        <f t="shared" si="276"/>
        <v>0</v>
      </c>
      <c r="P1662" s="1081">
        <f t="shared" si="274"/>
        <v>0</v>
      </c>
      <c r="Q1662" s="1206">
        <f t="shared" si="275"/>
        <v>0</v>
      </c>
      <c r="V1662" s="1107">
        <f t="shared" si="266"/>
        <v>0</v>
      </c>
    </row>
    <row r="1663" spans="1:22" ht="31.5" hidden="1">
      <c r="A1663" s="1000" t="s">
        <v>794</v>
      </c>
      <c r="B1663" s="1001" t="s">
        <v>804</v>
      </c>
      <c r="C1663" s="1066">
        <v>46276</v>
      </c>
      <c r="D1663" s="1066">
        <v>46276</v>
      </c>
      <c r="E1663" s="1005" t="s">
        <v>1292</v>
      </c>
      <c r="F1663" s="1066">
        <v>46280</v>
      </c>
      <c r="G1663" s="1005" t="s">
        <v>1167</v>
      </c>
      <c r="H1663" s="1111" t="s">
        <v>1166</v>
      </c>
      <c r="I1663" s="1002" t="s">
        <v>809</v>
      </c>
      <c r="J1663" s="1007" t="s">
        <v>16</v>
      </c>
      <c r="K1663" s="1064" t="s">
        <v>17</v>
      </c>
      <c r="L1663" s="1007" t="s">
        <v>18</v>
      </c>
      <c r="M1663" s="1093">
        <v>2</v>
      </c>
      <c r="N1663" s="1081">
        <v>851851.85</v>
      </c>
      <c r="O1663" s="1081">
        <f t="shared" si="276"/>
        <v>1703703.7</v>
      </c>
      <c r="P1663" s="1081">
        <f t="shared" si="274"/>
        <v>136296.296</v>
      </c>
      <c r="Q1663" s="1206">
        <f t="shared" si="275"/>
        <v>1839999.996</v>
      </c>
      <c r="V1663" s="1107">
        <f t="shared" si="266"/>
        <v>1839999.996</v>
      </c>
    </row>
    <row r="1664" spans="1:22" hidden="1">
      <c r="A1664" s="1000" t="s">
        <v>794</v>
      </c>
      <c r="B1664" s="1001" t="s">
        <v>804</v>
      </c>
      <c r="C1664" s="1066">
        <v>46276</v>
      </c>
      <c r="D1664" s="1066">
        <v>46276</v>
      </c>
      <c r="E1664" s="1005" t="s">
        <v>1292</v>
      </c>
      <c r="F1664" s="1066">
        <v>46280</v>
      </c>
      <c r="G1664" s="1005" t="s">
        <v>1167</v>
      </c>
      <c r="H1664" s="1111" t="s">
        <v>1166</v>
      </c>
      <c r="I1664" s="1002" t="s">
        <v>809</v>
      </c>
      <c r="J1664" s="1007" t="s">
        <v>90</v>
      </c>
      <c r="K1664" s="1064" t="s">
        <v>91</v>
      </c>
      <c r="L1664" s="1007" t="s">
        <v>18</v>
      </c>
      <c r="M1664" s="1093">
        <v>20</v>
      </c>
      <c r="N1664" s="1081">
        <v>814814.81</v>
      </c>
      <c r="O1664" s="1081">
        <f t="shared" si="276"/>
        <v>16296296.200000001</v>
      </c>
      <c r="P1664" s="1081">
        <f t="shared" si="274"/>
        <v>1303703.6960000002</v>
      </c>
      <c r="Q1664" s="1206">
        <f t="shared" si="275"/>
        <v>17599999.896000002</v>
      </c>
      <c r="V1664" s="1107">
        <f t="shared" si="266"/>
        <v>17599999.896000002</v>
      </c>
    </row>
    <row r="1665" spans="1:22" hidden="1">
      <c r="A1665" s="1000" t="s">
        <v>794</v>
      </c>
      <c r="B1665" s="1001" t="s">
        <v>804</v>
      </c>
      <c r="C1665" s="1066">
        <v>46276</v>
      </c>
      <c r="D1665" s="1066">
        <v>46276</v>
      </c>
      <c r="E1665" s="1005" t="s">
        <v>1292</v>
      </c>
      <c r="H1665" s="1111"/>
      <c r="I1665" s="1002" t="s">
        <v>809</v>
      </c>
      <c r="J1665" s="1007" t="s">
        <v>643</v>
      </c>
      <c r="K1665" s="1064" t="s">
        <v>644</v>
      </c>
      <c r="L1665" s="1007" t="s">
        <v>18</v>
      </c>
      <c r="M1665" s="1093">
        <v>15</v>
      </c>
      <c r="N1665" s="1081">
        <v>527777.78</v>
      </c>
      <c r="O1665" s="1081">
        <f t="shared" si="276"/>
        <v>7916666.7000000002</v>
      </c>
      <c r="P1665" s="1081">
        <f t="shared" si="274"/>
        <v>633333.33600000001</v>
      </c>
      <c r="Q1665" s="1206">
        <f t="shared" si="275"/>
        <v>8550000.0360000003</v>
      </c>
      <c r="V1665" s="1107">
        <f t="shared" si="266"/>
        <v>8550000.0360000003</v>
      </c>
    </row>
    <row r="1666" spans="1:22" hidden="1">
      <c r="A1666" s="1000" t="s">
        <v>794</v>
      </c>
      <c r="B1666" s="1001" t="s">
        <v>804</v>
      </c>
      <c r="C1666" s="1066">
        <v>46276</v>
      </c>
      <c r="D1666" s="1066">
        <v>46276</v>
      </c>
      <c r="E1666" s="1005" t="s">
        <v>1292</v>
      </c>
      <c r="H1666" s="1111"/>
      <c r="I1666" s="1002" t="s">
        <v>809</v>
      </c>
      <c r="J1666" s="1007" t="s">
        <v>1356</v>
      </c>
      <c r="K1666" s="1064" t="s">
        <v>654</v>
      </c>
      <c r="L1666" s="1007" t="s">
        <v>18</v>
      </c>
      <c r="M1666" s="1093">
        <v>15</v>
      </c>
      <c r="N1666" s="1081">
        <v>481481.48</v>
      </c>
      <c r="O1666" s="1081">
        <f t="shared" si="276"/>
        <v>7222222.1999999993</v>
      </c>
      <c r="P1666" s="1081">
        <f t="shared" si="274"/>
        <v>577777.77599999995</v>
      </c>
      <c r="Q1666" s="1206">
        <f t="shared" si="275"/>
        <v>7799999.9759999989</v>
      </c>
      <c r="V1666" s="1107">
        <f t="shared" si="266"/>
        <v>7799999.9759999989</v>
      </c>
    </row>
    <row r="1667" spans="1:22" ht="31.5" hidden="1">
      <c r="A1667" s="1000" t="s">
        <v>794</v>
      </c>
      <c r="B1667" s="1001" t="s">
        <v>804</v>
      </c>
      <c r="C1667" s="1066">
        <v>46276</v>
      </c>
      <c r="D1667" s="1066">
        <v>46276</v>
      </c>
      <c r="E1667" s="1005" t="s">
        <v>1292</v>
      </c>
      <c r="F1667" s="1066">
        <v>46280</v>
      </c>
      <c r="G1667" s="1005" t="s">
        <v>1167</v>
      </c>
      <c r="H1667" s="1111" t="s">
        <v>1166</v>
      </c>
      <c r="I1667" s="1002" t="s">
        <v>809</v>
      </c>
      <c r="J1667" s="1007" t="s">
        <v>180</v>
      </c>
      <c r="K1667" s="1064" t="s">
        <v>181</v>
      </c>
      <c r="L1667" s="1007" t="s">
        <v>18</v>
      </c>
      <c r="M1667" s="1093">
        <v>30</v>
      </c>
      <c r="N1667" s="1081">
        <v>234259.26</v>
      </c>
      <c r="O1667" s="1081">
        <f t="shared" si="276"/>
        <v>7027777.8000000007</v>
      </c>
      <c r="P1667" s="1081">
        <f t="shared" si="274"/>
        <v>562222.22400000005</v>
      </c>
      <c r="Q1667" s="1206">
        <f t="shared" si="275"/>
        <v>7590000.0240000011</v>
      </c>
      <c r="V1667" s="1107">
        <f t="shared" si="266"/>
        <v>7590000.0240000011</v>
      </c>
    </row>
    <row r="1668" spans="1:22" hidden="1">
      <c r="A1668" s="1000" t="s">
        <v>794</v>
      </c>
      <c r="B1668" s="1001" t="s">
        <v>804</v>
      </c>
      <c r="C1668" s="1066">
        <v>46276</v>
      </c>
      <c r="D1668" s="1066">
        <v>46276</v>
      </c>
      <c r="E1668" s="1005" t="s">
        <v>1298</v>
      </c>
      <c r="H1668" s="1111"/>
      <c r="I1668" s="1008" t="s">
        <v>892</v>
      </c>
      <c r="J1668" s="1007" t="s">
        <v>643</v>
      </c>
      <c r="K1668" s="1064" t="s">
        <v>644</v>
      </c>
      <c r="L1668" s="1007" t="s">
        <v>18</v>
      </c>
      <c r="M1668" s="1093">
        <v>1</v>
      </c>
      <c r="N1668" s="1081">
        <v>0</v>
      </c>
      <c r="O1668" s="1081">
        <f t="shared" si="276"/>
        <v>0</v>
      </c>
      <c r="P1668" s="1081">
        <f t="shared" si="274"/>
        <v>0</v>
      </c>
      <c r="Q1668" s="1206">
        <f t="shared" si="275"/>
        <v>0</v>
      </c>
      <c r="V1668" s="1107">
        <f t="shared" si="266"/>
        <v>0</v>
      </c>
    </row>
    <row r="1669" spans="1:22" hidden="1">
      <c r="A1669" s="1000" t="s">
        <v>794</v>
      </c>
      <c r="B1669" s="1001" t="s">
        <v>804</v>
      </c>
      <c r="C1669" s="1066">
        <v>46276</v>
      </c>
      <c r="D1669" s="1066">
        <v>46276</v>
      </c>
      <c r="E1669" s="1005" t="s">
        <v>1298</v>
      </c>
      <c r="H1669" s="1111"/>
      <c r="I1669" s="1008" t="s">
        <v>892</v>
      </c>
      <c r="J1669" s="1007" t="s">
        <v>1356</v>
      </c>
      <c r="K1669" s="1064" t="s">
        <v>654</v>
      </c>
      <c r="L1669" s="1007" t="s">
        <v>18</v>
      </c>
      <c r="M1669" s="1093">
        <v>1</v>
      </c>
      <c r="N1669" s="1081">
        <v>0</v>
      </c>
      <c r="O1669" s="1081">
        <f t="shared" si="276"/>
        <v>0</v>
      </c>
      <c r="P1669" s="1081">
        <f t="shared" si="274"/>
        <v>0</v>
      </c>
      <c r="Q1669" s="1206">
        <f t="shared" si="275"/>
        <v>0</v>
      </c>
      <c r="V1669" s="1107">
        <f t="shared" si="266"/>
        <v>0</v>
      </c>
    </row>
    <row r="1670" spans="1:22" hidden="1">
      <c r="A1670" s="1039" t="s">
        <v>1138</v>
      </c>
      <c r="B1670" s="1039" t="s">
        <v>1134</v>
      </c>
      <c r="C1670" s="1066">
        <v>46276</v>
      </c>
      <c r="D1670" s="1066">
        <v>46276</v>
      </c>
      <c r="E1670" s="1005" t="s">
        <v>1292</v>
      </c>
      <c r="F1670" s="1066">
        <v>46295</v>
      </c>
      <c r="H1670" s="1111" t="s">
        <v>1307</v>
      </c>
      <c r="I1670" s="1002" t="s">
        <v>1135</v>
      </c>
      <c r="J1670" s="1007" t="s">
        <v>641</v>
      </c>
      <c r="K1670" s="1064" t="s">
        <v>657</v>
      </c>
      <c r="L1670" s="1007" t="s">
        <v>18</v>
      </c>
      <c r="M1670" s="1093">
        <v>15</v>
      </c>
      <c r="N1670" s="1107">
        <v>638888.89</v>
      </c>
      <c r="O1670" s="1107">
        <f t="shared" si="276"/>
        <v>9583333.3499999996</v>
      </c>
      <c r="P1670" s="1107">
        <f t="shared" si="274"/>
        <v>766666.66799999995</v>
      </c>
      <c r="Q1670" s="1083">
        <f t="shared" si="275"/>
        <v>10350000.017999999</v>
      </c>
      <c r="V1670" s="1107">
        <f t="shared" ref="V1670:V1733" si="277">Q1670-R1670-S1670-T1670-U1670</f>
        <v>10350000.017999999</v>
      </c>
    </row>
    <row r="1671" spans="1:22" hidden="1">
      <c r="A1671" s="1040" t="s">
        <v>1138</v>
      </c>
      <c r="B1671" s="1040" t="s">
        <v>1134</v>
      </c>
      <c r="C1671" s="1066">
        <v>46276</v>
      </c>
      <c r="D1671" s="1066">
        <v>46276</v>
      </c>
      <c r="E1671" s="1005" t="s">
        <v>1292</v>
      </c>
      <c r="F1671" s="1076">
        <v>46295</v>
      </c>
      <c r="H1671" s="1111" t="s">
        <v>1307</v>
      </c>
      <c r="I1671" s="1008" t="s">
        <v>1135</v>
      </c>
      <c r="J1671" s="1007" t="s">
        <v>643</v>
      </c>
      <c r="K1671" s="1064" t="s">
        <v>644</v>
      </c>
      <c r="L1671" s="1007" t="s">
        <v>18</v>
      </c>
      <c r="M1671" s="1093">
        <v>15</v>
      </c>
      <c r="N1671" s="1081">
        <v>527777.78</v>
      </c>
      <c r="O1671" s="1081">
        <f t="shared" si="276"/>
        <v>7916666.7000000002</v>
      </c>
      <c r="P1671" s="1081">
        <f t="shared" si="274"/>
        <v>633333.33600000001</v>
      </c>
      <c r="Q1671" s="1206">
        <f t="shared" si="275"/>
        <v>8550000.0360000003</v>
      </c>
      <c r="V1671" s="1107">
        <f t="shared" si="277"/>
        <v>8550000.0360000003</v>
      </c>
    </row>
    <row r="1672" spans="1:22" hidden="1">
      <c r="A1672" s="1040" t="s">
        <v>1138</v>
      </c>
      <c r="B1672" s="1040" t="s">
        <v>1134</v>
      </c>
      <c r="C1672" s="1066">
        <v>46276</v>
      </c>
      <c r="D1672" s="1066">
        <v>46276</v>
      </c>
      <c r="E1672" s="1005" t="s">
        <v>1125</v>
      </c>
      <c r="F1672" s="1076">
        <v>46295</v>
      </c>
      <c r="H1672" s="1111" t="s">
        <v>1307</v>
      </c>
      <c r="I1672" s="1008" t="s">
        <v>892</v>
      </c>
      <c r="J1672" s="1007" t="s">
        <v>641</v>
      </c>
      <c r="K1672" s="1064" t="s">
        <v>657</v>
      </c>
      <c r="L1672" s="1007" t="s">
        <v>18</v>
      </c>
      <c r="M1672" s="1093">
        <v>1</v>
      </c>
      <c r="N1672" s="1081">
        <v>0</v>
      </c>
      <c r="O1672" s="1081">
        <f t="shared" si="276"/>
        <v>0</v>
      </c>
      <c r="P1672" s="1081">
        <f t="shared" si="274"/>
        <v>0</v>
      </c>
      <c r="Q1672" s="1206">
        <f t="shared" si="275"/>
        <v>0</v>
      </c>
      <c r="V1672" s="1107">
        <f t="shared" si="277"/>
        <v>0</v>
      </c>
    </row>
    <row r="1673" spans="1:22" hidden="1">
      <c r="A1673" s="1040" t="s">
        <v>1138</v>
      </c>
      <c r="B1673" s="1040" t="s">
        <v>1134</v>
      </c>
      <c r="C1673" s="1066">
        <v>46276</v>
      </c>
      <c r="D1673" s="1066">
        <v>46276</v>
      </c>
      <c r="E1673" s="1005" t="s">
        <v>1125</v>
      </c>
      <c r="F1673" s="1076">
        <v>46295</v>
      </c>
      <c r="H1673" s="1111" t="s">
        <v>1307</v>
      </c>
      <c r="I1673" s="1008" t="s">
        <v>892</v>
      </c>
      <c r="J1673" s="1007" t="s">
        <v>643</v>
      </c>
      <c r="K1673" s="1064" t="s">
        <v>644</v>
      </c>
      <c r="L1673" s="1007" t="s">
        <v>18</v>
      </c>
      <c r="M1673" s="1093">
        <v>1</v>
      </c>
      <c r="N1673" s="1081">
        <v>0</v>
      </c>
      <c r="O1673" s="1081">
        <f t="shared" si="276"/>
        <v>0</v>
      </c>
      <c r="P1673" s="1081">
        <f t="shared" si="274"/>
        <v>0</v>
      </c>
      <c r="Q1673" s="1206">
        <f t="shared" si="275"/>
        <v>0</v>
      </c>
      <c r="V1673" s="1107">
        <f t="shared" si="277"/>
        <v>0</v>
      </c>
    </row>
    <row r="1674" spans="1:22" hidden="1">
      <c r="A1674" s="1004" t="s">
        <v>934</v>
      </c>
      <c r="B1674" s="1001" t="s">
        <v>865</v>
      </c>
      <c r="C1674" s="1066">
        <v>46276</v>
      </c>
      <c r="D1674" s="1066">
        <v>46276</v>
      </c>
      <c r="E1674" s="1005" t="s">
        <v>1126</v>
      </c>
      <c r="H1674" s="1111"/>
      <c r="I1674" s="1002" t="s">
        <v>867</v>
      </c>
      <c r="J1674" s="1007" t="s">
        <v>649</v>
      </c>
      <c r="K1674" s="1064" t="s">
        <v>650</v>
      </c>
      <c r="L1674" s="1007" t="s">
        <v>18</v>
      </c>
      <c r="M1674" s="1093">
        <v>15</v>
      </c>
      <c r="N1674" s="1081">
        <v>574074.06999999995</v>
      </c>
      <c r="O1674" s="1081">
        <f t="shared" ref="O1674:O1682" si="278">M1674*N1674</f>
        <v>8611111.0499999989</v>
      </c>
      <c r="P1674" s="1081">
        <f t="shared" si="274"/>
        <v>688888.88399999996</v>
      </c>
      <c r="Q1674" s="1206">
        <f t="shared" si="275"/>
        <v>9299999.9339999985</v>
      </c>
      <c r="V1674" s="1083">
        <f t="shared" si="277"/>
        <v>9299999.9339999985</v>
      </c>
    </row>
    <row r="1675" spans="1:22" hidden="1">
      <c r="A1675" s="1004" t="s">
        <v>934</v>
      </c>
      <c r="B1675" s="1001" t="s">
        <v>865</v>
      </c>
      <c r="C1675" s="1066">
        <v>46276</v>
      </c>
      <c r="D1675" s="1066">
        <v>46276</v>
      </c>
      <c r="E1675" s="1005" t="s">
        <v>1126</v>
      </c>
      <c r="H1675" s="1111"/>
      <c r="I1675" s="1002" t="s">
        <v>867</v>
      </c>
      <c r="J1675" s="1007" t="s">
        <v>651</v>
      </c>
      <c r="K1675" s="1064" t="s">
        <v>652</v>
      </c>
      <c r="L1675" s="1007" t="s">
        <v>18</v>
      </c>
      <c r="M1675" s="1093">
        <v>15</v>
      </c>
      <c r="N1675" s="1081">
        <v>694444.44</v>
      </c>
      <c r="O1675" s="1081">
        <f t="shared" si="278"/>
        <v>10416666.6</v>
      </c>
      <c r="P1675" s="1081">
        <f t="shared" si="274"/>
        <v>833333.32799999998</v>
      </c>
      <c r="Q1675" s="1206">
        <f t="shared" si="275"/>
        <v>11249999.927999999</v>
      </c>
      <c r="V1675" s="1083">
        <f t="shared" si="277"/>
        <v>11249999.927999999</v>
      </c>
    </row>
    <row r="1676" spans="1:22" hidden="1">
      <c r="A1676" s="1004" t="s">
        <v>934</v>
      </c>
      <c r="B1676" s="1001" t="s">
        <v>865</v>
      </c>
      <c r="C1676" s="1066">
        <v>46276</v>
      </c>
      <c r="D1676" s="1066">
        <v>46276</v>
      </c>
      <c r="E1676" s="1005" t="s">
        <v>1126</v>
      </c>
      <c r="H1676" s="1111"/>
      <c r="I1676" s="1002" t="s">
        <v>867</v>
      </c>
      <c r="J1676" s="1007" t="s">
        <v>653</v>
      </c>
      <c r="K1676" s="1064" t="s">
        <v>654</v>
      </c>
      <c r="L1676" s="1007" t="s">
        <v>18</v>
      </c>
      <c r="M1676" s="1093">
        <v>15</v>
      </c>
      <c r="N1676" s="1081">
        <v>481481.48</v>
      </c>
      <c r="O1676" s="1081">
        <f t="shared" si="278"/>
        <v>7222222.1999999993</v>
      </c>
      <c r="P1676" s="1081">
        <f t="shared" si="274"/>
        <v>577777.77599999995</v>
      </c>
      <c r="Q1676" s="1206">
        <f t="shared" si="275"/>
        <v>7799999.9759999989</v>
      </c>
      <c r="V1676" s="1083">
        <f t="shared" si="277"/>
        <v>7799999.9759999989</v>
      </c>
    </row>
    <row r="1677" spans="1:22" hidden="1">
      <c r="A1677" s="1004" t="s">
        <v>934</v>
      </c>
      <c r="B1677" s="1001" t="s">
        <v>865</v>
      </c>
      <c r="C1677" s="1066">
        <v>46276</v>
      </c>
      <c r="D1677" s="1066">
        <v>46276</v>
      </c>
      <c r="E1677" s="1005" t="s">
        <v>1126</v>
      </c>
      <c r="H1677" s="1111"/>
      <c r="I1677" s="1002" t="s">
        <v>867</v>
      </c>
      <c r="J1677" s="1007" t="s">
        <v>655</v>
      </c>
      <c r="K1677" s="1064" t="s">
        <v>656</v>
      </c>
      <c r="L1677" s="1007" t="s">
        <v>18</v>
      </c>
      <c r="M1677" s="1093">
        <v>15</v>
      </c>
      <c r="N1677" s="1081">
        <v>574074.06999999995</v>
      </c>
      <c r="O1677" s="1081">
        <f t="shared" si="278"/>
        <v>8611111.0499999989</v>
      </c>
      <c r="P1677" s="1081">
        <f t="shared" si="274"/>
        <v>688888.88399999996</v>
      </c>
      <c r="Q1677" s="1206">
        <f t="shared" si="275"/>
        <v>9299999.9339999985</v>
      </c>
      <c r="V1677" s="1083">
        <f t="shared" si="277"/>
        <v>9299999.9339999985</v>
      </c>
    </row>
    <row r="1678" spans="1:22" hidden="1">
      <c r="A1678" s="1004" t="s">
        <v>934</v>
      </c>
      <c r="B1678" s="1001" t="s">
        <v>865</v>
      </c>
      <c r="C1678" s="1066">
        <v>46276</v>
      </c>
      <c r="D1678" s="1066">
        <v>46276</v>
      </c>
      <c r="E1678" s="1005" t="s">
        <v>1126</v>
      </c>
      <c r="F1678" s="1066">
        <v>46284</v>
      </c>
      <c r="H1678" s="1111" t="s">
        <v>1244</v>
      </c>
      <c r="I1678" s="1002" t="s">
        <v>867</v>
      </c>
      <c r="J1678" s="1007" t="s">
        <v>208</v>
      </c>
      <c r="K1678" s="1064" t="s">
        <v>1127</v>
      </c>
      <c r="L1678" s="1007" t="s">
        <v>25</v>
      </c>
      <c r="M1678" s="1093">
        <v>10</v>
      </c>
      <c r="N1678" s="1081">
        <v>647222.22</v>
      </c>
      <c r="O1678" s="1081">
        <f t="shared" si="278"/>
        <v>6472222.1999999993</v>
      </c>
      <c r="P1678" s="1081">
        <f t="shared" si="274"/>
        <v>517777.77599999995</v>
      </c>
      <c r="Q1678" s="1206">
        <f t="shared" si="275"/>
        <v>6989999.9759999989</v>
      </c>
      <c r="V1678" s="1083">
        <f t="shared" si="277"/>
        <v>6989999.9759999989</v>
      </c>
    </row>
    <row r="1679" spans="1:22" hidden="1">
      <c r="A1679" s="1004" t="s">
        <v>934</v>
      </c>
      <c r="B1679" s="1001" t="s">
        <v>865</v>
      </c>
      <c r="C1679" s="1066">
        <v>46276</v>
      </c>
      <c r="D1679" s="1066">
        <v>46276</v>
      </c>
      <c r="E1679" s="1005" t="s">
        <v>1126</v>
      </c>
      <c r="H1679" s="1111"/>
      <c r="I1679" s="1002" t="s">
        <v>867</v>
      </c>
      <c r="J1679" s="1007" t="s">
        <v>649</v>
      </c>
      <c r="K1679" s="1064" t="s">
        <v>650</v>
      </c>
      <c r="L1679" s="1007" t="s">
        <v>18</v>
      </c>
      <c r="M1679" s="1093">
        <v>1</v>
      </c>
      <c r="N1679" s="1081">
        <v>574074.06999999995</v>
      </c>
      <c r="O1679" s="1081">
        <f t="shared" si="278"/>
        <v>574074.06999999995</v>
      </c>
      <c r="P1679" s="1081">
        <f t="shared" si="274"/>
        <v>45925.925599999995</v>
      </c>
      <c r="Q1679" s="1206">
        <f t="shared" si="275"/>
        <v>619999.99559999991</v>
      </c>
      <c r="V1679" s="1083">
        <f t="shared" si="277"/>
        <v>619999.99559999991</v>
      </c>
    </row>
    <row r="1680" spans="1:22" hidden="1">
      <c r="A1680" s="1004" t="s">
        <v>934</v>
      </c>
      <c r="B1680" s="1001" t="s">
        <v>865</v>
      </c>
      <c r="C1680" s="1066">
        <v>46276</v>
      </c>
      <c r="D1680" s="1066">
        <v>46276</v>
      </c>
      <c r="E1680" s="1005" t="s">
        <v>1126</v>
      </c>
      <c r="H1680" s="1111"/>
      <c r="I1680" s="1002" t="s">
        <v>867</v>
      </c>
      <c r="J1680" s="1007" t="s">
        <v>651</v>
      </c>
      <c r="K1680" s="1064" t="s">
        <v>652</v>
      </c>
      <c r="L1680" s="1007" t="s">
        <v>18</v>
      </c>
      <c r="M1680" s="1093">
        <v>1</v>
      </c>
      <c r="N1680" s="1081">
        <v>694444.44</v>
      </c>
      <c r="O1680" s="1081">
        <f t="shared" si="278"/>
        <v>694444.44</v>
      </c>
      <c r="P1680" s="1081">
        <f t="shared" si="274"/>
        <v>55555.555199999995</v>
      </c>
      <c r="Q1680" s="1206">
        <f t="shared" si="275"/>
        <v>749999.99519999989</v>
      </c>
      <c r="V1680" s="1083">
        <f t="shared" si="277"/>
        <v>749999.99519999989</v>
      </c>
    </row>
    <row r="1681" spans="1:23" hidden="1">
      <c r="A1681" s="1004" t="s">
        <v>934</v>
      </c>
      <c r="B1681" s="1001" t="s">
        <v>865</v>
      </c>
      <c r="C1681" s="1066">
        <v>46276</v>
      </c>
      <c r="D1681" s="1066">
        <v>46276</v>
      </c>
      <c r="E1681" s="1005" t="s">
        <v>1126</v>
      </c>
      <c r="H1681" s="1111"/>
      <c r="I1681" s="1002" t="s">
        <v>867</v>
      </c>
      <c r="J1681" s="1007" t="s">
        <v>653</v>
      </c>
      <c r="K1681" s="1064" t="s">
        <v>654</v>
      </c>
      <c r="L1681" s="1007" t="s">
        <v>18</v>
      </c>
      <c r="M1681" s="1093">
        <v>1</v>
      </c>
      <c r="N1681" s="1081">
        <v>481481.48</v>
      </c>
      <c r="O1681" s="1081">
        <f t="shared" si="278"/>
        <v>481481.48</v>
      </c>
      <c r="P1681" s="1081">
        <f t="shared" si="274"/>
        <v>38518.518400000001</v>
      </c>
      <c r="Q1681" s="1206">
        <f t="shared" si="275"/>
        <v>519999.99839999998</v>
      </c>
      <c r="V1681" s="1083">
        <f t="shared" si="277"/>
        <v>519999.99839999998</v>
      </c>
    </row>
    <row r="1682" spans="1:23" hidden="1">
      <c r="A1682" s="1004" t="s">
        <v>934</v>
      </c>
      <c r="B1682" s="1001" t="s">
        <v>865</v>
      </c>
      <c r="C1682" s="1066">
        <v>46276</v>
      </c>
      <c r="D1682" s="1066">
        <v>46277</v>
      </c>
      <c r="E1682" s="1005" t="s">
        <v>1126</v>
      </c>
      <c r="H1682" s="1111"/>
      <c r="I1682" s="1002" t="s">
        <v>867</v>
      </c>
      <c r="J1682" s="1007" t="s">
        <v>655</v>
      </c>
      <c r="K1682" s="1064" t="s">
        <v>656</v>
      </c>
      <c r="L1682" s="1007" t="s">
        <v>18</v>
      </c>
      <c r="M1682" s="1093">
        <v>1</v>
      </c>
      <c r="N1682" s="1081">
        <v>574074.06999999995</v>
      </c>
      <c r="O1682" s="1081">
        <f t="shared" si="278"/>
        <v>574074.06999999995</v>
      </c>
      <c r="P1682" s="1081">
        <f t="shared" si="274"/>
        <v>45925.925599999995</v>
      </c>
      <c r="Q1682" s="1206">
        <f t="shared" si="275"/>
        <v>619999.99559999991</v>
      </c>
      <c r="V1682" s="1083">
        <f t="shared" si="277"/>
        <v>619999.99559999991</v>
      </c>
    </row>
    <row r="1683" spans="1:23" hidden="1">
      <c r="A1683" s="1000" t="s">
        <v>734</v>
      </c>
      <c r="B1683" s="1001" t="s">
        <v>745</v>
      </c>
      <c r="C1683" s="1066">
        <v>46276</v>
      </c>
      <c r="D1683" s="1066">
        <v>46277</v>
      </c>
      <c r="E1683" s="1005" t="s">
        <v>1128</v>
      </c>
      <c r="F1683" s="1066">
        <v>46280</v>
      </c>
      <c r="G1683" s="1005" t="s">
        <v>1164</v>
      </c>
      <c r="H1683" s="1111" t="s">
        <v>1163</v>
      </c>
      <c r="I1683" s="1002" t="s">
        <v>746</v>
      </c>
      <c r="J1683" s="1007" t="s">
        <v>68</v>
      </c>
      <c r="K1683" s="1064" t="s">
        <v>69</v>
      </c>
      <c r="L1683" s="1007" t="s">
        <v>18</v>
      </c>
      <c r="M1683" s="1093">
        <v>36</v>
      </c>
      <c r="N1683" s="1081">
        <v>129629.63</v>
      </c>
      <c r="O1683" s="1081">
        <f>M1683*N1683</f>
        <v>4666666.68</v>
      </c>
      <c r="P1683" s="1081">
        <f t="shared" si="274"/>
        <v>373333.33439999999</v>
      </c>
      <c r="Q1683" s="1206">
        <f t="shared" si="275"/>
        <v>5040000.0143999998</v>
      </c>
      <c r="V1683" s="1107">
        <f t="shared" si="277"/>
        <v>5040000.0143999998</v>
      </c>
      <c r="W1683" s="1005" t="s">
        <v>1349</v>
      </c>
    </row>
    <row r="1684" spans="1:23" ht="31.5" hidden="1">
      <c r="A1684" s="1000" t="s">
        <v>734</v>
      </c>
      <c r="B1684" s="1001" t="s">
        <v>745</v>
      </c>
      <c r="C1684" s="1066">
        <v>46276</v>
      </c>
      <c r="D1684" s="1066">
        <v>46277</v>
      </c>
      <c r="E1684" s="1005" t="s">
        <v>1128</v>
      </c>
      <c r="F1684" s="1066">
        <v>46280</v>
      </c>
      <c r="G1684" s="1005" t="s">
        <v>1164</v>
      </c>
      <c r="H1684" s="1111" t="s">
        <v>1163</v>
      </c>
      <c r="I1684" s="1002" t="s">
        <v>746</v>
      </c>
      <c r="J1684" s="1007" t="s">
        <v>16</v>
      </c>
      <c r="K1684" s="1064" t="s">
        <v>17</v>
      </c>
      <c r="L1684" s="1007" t="s">
        <v>18</v>
      </c>
      <c r="M1684" s="1093">
        <v>8</v>
      </c>
      <c r="N1684" s="1081">
        <v>879629.63</v>
      </c>
      <c r="O1684" s="1081">
        <f t="shared" ref="O1684:O1691" si="279">M1684*N1684</f>
        <v>7037037.04</v>
      </c>
      <c r="P1684" s="1081">
        <f t="shared" si="274"/>
        <v>562962.9632</v>
      </c>
      <c r="Q1684" s="1206">
        <f t="shared" si="275"/>
        <v>7600000.0032000002</v>
      </c>
      <c r="V1684" s="1107">
        <f t="shared" si="277"/>
        <v>7600000.0032000002</v>
      </c>
    </row>
    <row r="1685" spans="1:23">
      <c r="A1685" s="1007" t="s">
        <v>944</v>
      </c>
      <c r="B1685" s="1001" t="s">
        <v>869</v>
      </c>
      <c r="C1685" s="1066">
        <v>46277</v>
      </c>
      <c r="D1685" s="1066">
        <v>46277</v>
      </c>
      <c r="E1685" s="1066" t="s">
        <v>1129</v>
      </c>
      <c r="F1685" s="1005"/>
      <c r="H1685" s="1111"/>
      <c r="I1685" s="1002" t="s">
        <v>870</v>
      </c>
      <c r="J1685" s="1007" t="s">
        <v>643</v>
      </c>
      <c r="K1685" s="1064" t="s">
        <v>644</v>
      </c>
      <c r="L1685" s="1007" t="s">
        <v>18</v>
      </c>
      <c r="M1685" s="1093">
        <v>15</v>
      </c>
      <c r="N1685" s="1081">
        <v>527777.78</v>
      </c>
      <c r="O1685" s="1081">
        <f t="shared" si="279"/>
        <v>7916666.7000000002</v>
      </c>
      <c r="P1685" s="1081">
        <f t="shared" si="274"/>
        <v>633333.33600000001</v>
      </c>
      <c r="Q1685" s="1206">
        <f t="shared" si="275"/>
        <v>8550000.0360000003</v>
      </c>
      <c r="V1685" s="1107">
        <f t="shared" si="277"/>
        <v>8550000.0360000003</v>
      </c>
    </row>
    <row r="1686" spans="1:23">
      <c r="A1686" s="1007" t="s">
        <v>944</v>
      </c>
      <c r="B1686" s="1001" t="s">
        <v>869</v>
      </c>
      <c r="C1686" s="1066">
        <v>46277</v>
      </c>
      <c r="D1686" s="1066">
        <v>46277</v>
      </c>
      <c r="E1686" s="1066" t="s">
        <v>1129</v>
      </c>
      <c r="F1686" s="1005"/>
      <c r="H1686" s="1111"/>
      <c r="I1686" s="1002" t="s">
        <v>870</v>
      </c>
      <c r="J1686" s="1007" t="s">
        <v>653</v>
      </c>
      <c r="K1686" s="1064" t="s">
        <v>654</v>
      </c>
      <c r="L1686" s="1007" t="s">
        <v>18</v>
      </c>
      <c r="M1686" s="1093">
        <v>15</v>
      </c>
      <c r="N1686" s="1081">
        <v>481481.48</v>
      </c>
      <c r="O1686" s="1081">
        <f t="shared" si="279"/>
        <v>7222222.1999999993</v>
      </c>
      <c r="P1686" s="1081">
        <f t="shared" si="274"/>
        <v>577777.77599999995</v>
      </c>
      <c r="Q1686" s="1206">
        <f t="shared" si="275"/>
        <v>7799999.9759999989</v>
      </c>
      <c r="V1686" s="1107">
        <f t="shared" si="277"/>
        <v>7799999.9759999989</v>
      </c>
    </row>
    <row r="1687" spans="1:23">
      <c r="A1687" s="1007" t="s">
        <v>944</v>
      </c>
      <c r="B1687" s="1001" t="s">
        <v>869</v>
      </c>
      <c r="C1687" s="1066">
        <v>46277</v>
      </c>
      <c r="D1687" s="1066">
        <v>46277</v>
      </c>
      <c r="E1687" s="1066" t="s">
        <v>1129</v>
      </c>
      <c r="F1687" s="1005"/>
      <c r="H1687" s="1111"/>
      <c r="I1687" s="1002" t="s">
        <v>870</v>
      </c>
      <c r="J1687" s="1007" t="s">
        <v>655</v>
      </c>
      <c r="K1687" s="1064" t="s">
        <v>656</v>
      </c>
      <c r="L1687" s="1007" t="s">
        <v>18</v>
      </c>
      <c r="M1687" s="1093">
        <v>15</v>
      </c>
      <c r="N1687" s="1081">
        <v>574074.06999999995</v>
      </c>
      <c r="O1687" s="1081">
        <f t="shared" si="279"/>
        <v>8611111.0499999989</v>
      </c>
      <c r="P1687" s="1081">
        <f t="shared" si="274"/>
        <v>688888.88399999996</v>
      </c>
      <c r="Q1687" s="1206">
        <f t="shared" si="275"/>
        <v>9299999.9339999985</v>
      </c>
      <c r="V1687" s="1107">
        <f t="shared" si="277"/>
        <v>9299999.9339999985</v>
      </c>
    </row>
    <row r="1688" spans="1:23">
      <c r="A1688" s="1007" t="s">
        <v>944</v>
      </c>
      <c r="B1688" s="1001" t="s">
        <v>869</v>
      </c>
      <c r="C1688" s="1066">
        <v>46277</v>
      </c>
      <c r="D1688" s="1066">
        <v>46277</v>
      </c>
      <c r="E1688" s="1066" t="s">
        <v>1129</v>
      </c>
      <c r="F1688" s="1005"/>
      <c r="H1688" s="1111"/>
      <c r="I1688" s="1008" t="s">
        <v>892</v>
      </c>
      <c r="J1688" s="1007" t="s">
        <v>643</v>
      </c>
      <c r="K1688" s="1064" t="s">
        <v>644</v>
      </c>
      <c r="L1688" s="1007" t="s">
        <v>18</v>
      </c>
      <c r="M1688" s="1093">
        <v>1</v>
      </c>
      <c r="N1688" s="1081">
        <v>0</v>
      </c>
      <c r="O1688" s="1081">
        <f t="shared" si="279"/>
        <v>0</v>
      </c>
      <c r="P1688" s="1081">
        <f t="shared" si="274"/>
        <v>0</v>
      </c>
      <c r="Q1688" s="1206">
        <f t="shared" si="275"/>
        <v>0</v>
      </c>
      <c r="V1688" s="1107">
        <f t="shared" si="277"/>
        <v>0</v>
      </c>
    </row>
    <row r="1689" spans="1:23">
      <c r="A1689" s="1007" t="s">
        <v>944</v>
      </c>
      <c r="B1689" s="1001" t="s">
        <v>869</v>
      </c>
      <c r="C1689" s="1066">
        <v>46277</v>
      </c>
      <c r="D1689" s="1066">
        <v>46276</v>
      </c>
      <c r="E1689" s="1066" t="s">
        <v>1129</v>
      </c>
      <c r="F1689" s="1005"/>
      <c r="H1689" s="1111"/>
      <c r="I1689" s="1008" t="s">
        <v>892</v>
      </c>
      <c r="J1689" s="1007" t="s">
        <v>653</v>
      </c>
      <c r="K1689" s="1064" t="s">
        <v>654</v>
      </c>
      <c r="L1689" s="1007" t="s">
        <v>18</v>
      </c>
      <c r="M1689" s="1093">
        <v>1</v>
      </c>
      <c r="N1689" s="1081">
        <v>0</v>
      </c>
      <c r="O1689" s="1081">
        <f t="shared" si="279"/>
        <v>0</v>
      </c>
      <c r="P1689" s="1081">
        <f t="shared" si="274"/>
        <v>0</v>
      </c>
      <c r="Q1689" s="1206">
        <f t="shared" si="275"/>
        <v>0</v>
      </c>
      <c r="V1689" s="1107">
        <f t="shared" si="277"/>
        <v>0</v>
      </c>
    </row>
    <row r="1690" spans="1:23">
      <c r="A1690" s="1007" t="s">
        <v>944</v>
      </c>
      <c r="B1690" s="1001" t="s">
        <v>869</v>
      </c>
      <c r="C1690" s="1066">
        <v>46277</v>
      </c>
      <c r="D1690" s="1066">
        <v>46276</v>
      </c>
      <c r="E1690" s="1066" t="s">
        <v>1129</v>
      </c>
      <c r="H1690" s="1111"/>
      <c r="I1690" s="1008" t="s">
        <v>892</v>
      </c>
      <c r="J1690" s="1007" t="s">
        <v>655</v>
      </c>
      <c r="K1690" s="1064" t="s">
        <v>656</v>
      </c>
      <c r="L1690" s="1007" t="s">
        <v>18</v>
      </c>
      <c r="M1690" s="1093">
        <v>1</v>
      </c>
      <c r="N1690" s="1081">
        <v>0</v>
      </c>
      <c r="O1690" s="1081">
        <f t="shared" si="279"/>
        <v>0</v>
      </c>
      <c r="P1690" s="1081">
        <f t="shared" si="274"/>
        <v>0</v>
      </c>
      <c r="Q1690" s="1206">
        <f t="shared" si="275"/>
        <v>0</v>
      </c>
      <c r="V1690" s="1107">
        <f t="shared" si="277"/>
        <v>0</v>
      </c>
    </row>
    <row r="1691" spans="1:23" hidden="1">
      <c r="A1691" s="1000" t="s">
        <v>761</v>
      </c>
      <c r="B1691" s="1028" t="s">
        <v>1496</v>
      </c>
      <c r="C1691" s="1066">
        <v>46277</v>
      </c>
      <c r="D1691" s="1066">
        <v>46276</v>
      </c>
      <c r="H1691" s="1111"/>
      <c r="I1691" s="1002" t="s">
        <v>844</v>
      </c>
      <c r="M1691" s="1093"/>
      <c r="N1691" s="1081">
        <v>0</v>
      </c>
      <c r="O1691" s="1081">
        <f t="shared" si="279"/>
        <v>0</v>
      </c>
      <c r="P1691" s="1081">
        <f t="shared" si="274"/>
        <v>0</v>
      </c>
      <c r="Q1691" s="1082">
        <f t="shared" si="275"/>
        <v>0</v>
      </c>
      <c r="R1691" s="1107">
        <v>150000000</v>
      </c>
      <c r="V1691" s="1107">
        <f t="shared" si="277"/>
        <v>-150000000</v>
      </c>
    </row>
    <row r="1692" spans="1:23" hidden="1">
      <c r="A1692" s="1000" t="s">
        <v>752</v>
      </c>
      <c r="B1692" s="1028" t="s">
        <v>1494</v>
      </c>
      <c r="D1692" s="1066">
        <v>46276</v>
      </c>
      <c r="H1692" s="1111"/>
      <c r="I1692" s="1002" t="s">
        <v>760</v>
      </c>
      <c r="M1692" s="1093"/>
      <c r="N1692" s="1081"/>
      <c r="S1692" s="1107">
        <v>300000</v>
      </c>
      <c r="V1692" s="1107">
        <f t="shared" si="277"/>
        <v>-300000</v>
      </c>
      <c r="W1692" s="1050" t="s">
        <v>1122</v>
      </c>
    </row>
    <row r="1693" spans="1:23" hidden="1">
      <c r="A1693" s="1000" t="s">
        <v>753</v>
      </c>
      <c r="B1693" s="1001" t="s">
        <v>754</v>
      </c>
      <c r="C1693" s="1066">
        <v>46276</v>
      </c>
      <c r="D1693" s="1066">
        <v>46276</v>
      </c>
      <c r="E1693" s="1005" t="s">
        <v>1291</v>
      </c>
      <c r="F1693" s="1077">
        <v>46295</v>
      </c>
      <c r="G1693" s="1002" t="s">
        <v>1327</v>
      </c>
      <c r="H1693" s="1111" t="s">
        <v>1326</v>
      </c>
      <c r="I1693" s="1002" t="s">
        <v>811</v>
      </c>
      <c r="J1693" s="1007" t="s">
        <v>653</v>
      </c>
      <c r="K1693" s="1064" t="s">
        <v>654</v>
      </c>
      <c r="L1693" s="1002" t="s">
        <v>18</v>
      </c>
      <c r="M1693" s="1093">
        <v>15</v>
      </c>
      <c r="N1693" s="1081">
        <v>481481.48</v>
      </c>
      <c r="O1693" s="1081">
        <f t="shared" ref="O1693:O1702" si="280">M1693*N1693</f>
        <v>7222222.1999999993</v>
      </c>
      <c r="P1693" s="1081">
        <f t="shared" ref="P1693:P1730" si="281">O1693*8%</f>
        <v>577777.77599999995</v>
      </c>
      <c r="Q1693" s="1206">
        <f t="shared" ref="Q1693:Q1731" si="282">O1693+P1693</f>
        <v>7799999.9759999989</v>
      </c>
      <c r="V1693" s="1107">
        <f t="shared" si="277"/>
        <v>7799999.9759999989</v>
      </c>
    </row>
    <row r="1694" spans="1:23" hidden="1">
      <c r="A1694" s="1000" t="s">
        <v>753</v>
      </c>
      <c r="B1694" s="1001" t="s">
        <v>754</v>
      </c>
      <c r="C1694" s="1066">
        <v>46276</v>
      </c>
      <c r="D1694" s="1066">
        <v>46276</v>
      </c>
      <c r="E1694" s="1005" t="s">
        <v>1291</v>
      </c>
      <c r="F1694" s="1077">
        <v>46295</v>
      </c>
      <c r="G1694" s="1002" t="s">
        <v>1327</v>
      </c>
      <c r="H1694" s="1111" t="s">
        <v>1326</v>
      </c>
      <c r="I1694" s="1002" t="s">
        <v>811</v>
      </c>
      <c r="J1694" s="1007" t="s">
        <v>655</v>
      </c>
      <c r="K1694" s="1064" t="s">
        <v>656</v>
      </c>
      <c r="L1694" s="1002" t="s">
        <v>18</v>
      </c>
      <c r="M1694" s="1093">
        <v>15</v>
      </c>
      <c r="N1694" s="1081">
        <v>574074.06999999995</v>
      </c>
      <c r="O1694" s="1081">
        <f t="shared" si="280"/>
        <v>8611111.0499999989</v>
      </c>
      <c r="P1694" s="1081">
        <f t="shared" si="281"/>
        <v>688888.88399999996</v>
      </c>
      <c r="Q1694" s="1206">
        <f t="shared" si="282"/>
        <v>9299999.9339999985</v>
      </c>
      <c r="V1694" s="1107">
        <f t="shared" si="277"/>
        <v>9299999.9339999985</v>
      </c>
    </row>
    <row r="1695" spans="1:23" hidden="1">
      <c r="A1695" s="1000" t="s">
        <v>753</v>
      </c>
      <c r="B1695" s="1001" t="s">
        <v>754</v>
      </c>
      <c r="C1695" s="1066">
        <v>46276</v>
      </c>
      <c r="D1695" s="1066">
        <v>46276</v>
      </c>
      <c r="E1695" s="1005" t="s">
        <v>1291</v>
      </c>
      <c r="F1695" s="1066">
        <v>46284</v>
      </c>
      <c r="H1695" s="1111" t="s">
        <v>1246</v>
      </c>
      <c r="I1695" s="1002" t="s">
        <v>811</v>
      </c>
      <c r="J1695" s="1007" t="s">
        <v>90</v>
      </c>
      <c r="K1695" s="1064" t="s">
        <v>91</v>
      </c>
      <c r="L1695" s="1002" t="s">
        <v>18</v>
      </c>
      <c r="M1695" s="1093">
        <v>20</v>
      </c>
      <c r="N1695" s="1081">
        <v>814814.81</v>
      </c>
      <c r="O1695" s="1081">
        <f t="shared" si="280"/>
        <v>16296296.200000001</v>
      </c>
      <c r="P1695" s="1081">
        <f t="shared" si="281"/>
        <v>1303703.6960000002</v>
      </c>
      <c r="Q1695" s="1206">
        <f t="shared" si="282"/>
        <v>17599999.896000002</v>
      </c>
      <c r="V1695" s="1107">
        <f t="shared" si="277"/>
        <v>17599999.896000002</v>
      </c>
    </row>
    <row r="1696" spans="1:23" hidden="1">
      <c r="A1696" s="1000" t="s">
        <v>753</v>
      </c>
      <c r="B1696" s="1001" t="s">
        <v>754</v>
      </c>
      <c r="C1696" s="1066">
        <v>46276</v>
      </c>
      <c r="D1696" s="1066">
        <v>46276</v>
      </c>
      <c r="E1696" s="1005" t="s">
        <v>1291</v>
      </c>
      <c r="H1696" s="1111"/>
      <c r="I1696" s="1002" t="s">
        <v>811</v>
      </c>
      <c r="J1696" s="1007" t="s">
        <v>103</v>
      </c>
      <c r="K1696" s="1064" t="s">
        <v>104</v>
      </c>
      <c r="L1696" s="1002" t="s">
        <v>18</v>
      </c>
      <c r="M1696" s="1093">
        <v>30</v>
      </c>
      <c r="N1696" s="1081">
        <v>675925.93</v>
      </c>
      <c r="O1696" s="1081">
        <f t="shared" si="280"/>
        <v>20277777.900000002</v>
      </c>
      <c r="P1696" s="1081">
        <f t="shared" si="281"/>
        <v>1622222.2320000003</v>
      </c>
      <c r="Q1696" s="1206">
        <f t="shared" si="282"/>
        <v>21900000.132000003</v>
      </c>
      <c r="V1696" s="1107">
        <f t="shared" si="277"/>
        <v>21900000.132000003</v>
      </c>
    </row>
    <row r="1697" spans="1:22" hidden="1">
      <c r="A1697" s="1000" t="s">
        <v>753</v>
      </c>
      <c r="B1697" s="1001" t="s">
        <v>754</v>
      </c>
      <c r="C1697" s="1066">
        <v>46276</v>
      </c>
      <c r="D1697" s="1066">
        <v>46276</v>
      </c>
      <c r="E1697" s="1005" t="s">
        <v>1291</v>
      </c>
      <c r="H1697" s="1111"/>
      <c r="I1697" s="1002" t="s">
        <v>811</v>
      </c>
      <c r="J1697" s="1007" t="s">
        <v>873</v>
      </c>
      <c r="K1697" s="1064" t="s">
        <v>874</v>
      </c>
      <c r="L1697" s="1002" t="s">
        <v>18</v>
      </c>
      <c r="M1697" s="1093">
        <v>60</v>
      </c>
      <c r="N1697" s="1081">
        <v>388888.89</v>
      </c>
      <c r="O1697" s="1081">
        <f t="shared" si="280"/>
        <v>23333333.400000002</v>
      </c>
      <c r="P1697" s="1081">
        <f t="shared" si="281"/>
        <v>1866666.6720000003</v>
      </c>
      <c r="Q1697" s="1206">
        <f t="shared" si="282"/>
        <v>25200000.072000004</v>
      </c>
      <c r="V1697" s="1107">
        <f t="shared" si="277"/>
        <v>25200000.072000004</v>
      </c>
    </row>
    <row r="1698" spans="1:22" hidden="1">
      <c r="A1698" s="1000" t="s">
        <v>753</v>
      </c>
      <c r="B1698" s="1001" t="s">
        <v>754</v>
      </c>
      <c r="C1698" s="1066">
        <v>46276</v>
      </c>
      <c r="D1698" s="1066">
        <v>46276</v>
      </c>
      <c r="E1698" s="1005" t="s">
        <v>1291</v>
      </c>
      <c r="H1698" s="1111"/>
      <c r="I1698" s="1002" t="s">
        <v>811</v>
      </c>
      <c r="J1698" s="1007" t="s">
        <v>796</v>
      </c>
      <c r="K1698" s="1064" t="s">
        <v>797</v>
      </c>
      <c r="L1698" s="1002" t="s">
        <v>18</v>
      </c>
      <c r="M1698" s="1093">
        <v>100</v>
      </c>
      <c r="N1698" s="1081">
        <v>292592.59000000003</v>
      </c>
      <c r="O1698" s="1081">
        <f t="shared" si="280"/>
        <v>29259259.000000004</v>
      </c>
      <c r="P1698" s="1081">
        <f t="shared" si="281"/>
        <v>2340740.7200000002</v>
      </c>
      <c r="Q1698" s="1206">
        <f t="shared" si="282"/>
        <v>31599999.720000003</v>
      </c>
      <c r="V1698" s="1107">
        <f t="shared" si="277"/>
        <v>31599999.720000003</v>
      </c>
    </row>
    <row r="1699" spans="1:22" hidden="1">
      <c r="A1699" s="1000" t="s">
        <v>753</v>
      </c>
      <c r="B1699" s="1001" t="s">
        <v>754</v>
      </c>
      <c r="C1699" s="1066">
        <v>46276</v>
      </c>
      <c r="D1699" s="1066">
        <v>46273</v>
      </c>
      <c r="E1699" s="1005" t="s">
        <v>1291</v>
      </c>
      <c r="H1699" s="1111"/>
      <c r="I1699" s="1002" t="s">
        <v>811</v>
      </c>
      <c r="J1699" s="1007" t="s">
        <v>798</v>
      </c>
      <c r="K1699" s="1064" t="s">
        <v>799</v>
      </c>
      <c r="L1699" s="1002" t="s">
        <v>18</v>
      </c>
      <c r="M1699" s="1093">
        <v>100</v>
      </c>
      <c r="N1699" s="1081">
        <v>231481.48</v>
      </c>
      <c r="O1699" s="1081">
        <f t="shared" si="280"/>
        <v>23148148</v>
      </c>
      <c r="P1699" s="1081">
        <f t="shared" si="281"/>
        <v>1851851.84</v>
      </c>
      <c r="Q1699" s="1206">
        <f t="shared" si="282"/>
        <v>24999999.84</v>
      </c>
      <c r="V1699" s="1107">
        <f t="shared" si="277"/>
        <v>24999999.84</v>
      </c>
    </row>
    <row r="1700" spans="1:22" hidden="1">
      <c r="A1700" s="1000" t="s">
        <v>753</v>
      </c>
      <c r="B1700" s="1001" t="s">
        <v>754</v>
      </c>
      <c r="C1700" s="1066">
        <v>46276</v>
      </c>
      <c r="D1700" s="1066">
        <v>46273</v>
      </c>
      <c r="E1700" s="1005" t="s">
        <v>1130</v>
      </c>
      <c r="H1700" s="1111"/>
      <c r="I1700" s="1002" t="s">
        <v>862</v>
      </c>
      <c r="J1700" s="1007" t="s">
        <v>959</v>
      </c>
      <c r="K1700" s="1007" t="s">
        <v>960</v>
      </c>
      <c r="L1700" s="1002" t="s">
        <v>18</v>
      </c>
      <c r="M1700" s="1093">
        <v>30</v>
      </c>
      <c r="N1700" s="1081">
        <v>0</v>
      </c>
      <c r="O1700" s="1081">
        <f t="shared" si="280"/>
        <v>0</v>
      </c>
      <c r="P1700" s="1081">
        <f t="shared" si="281"/>
        <v>0</v>
      </c>
      <c r="Q1700" s="1206">
        <f t="shared" si="282"/>
        <v>0</v>
      </c>
      <c r="V1700" s="1107">
        <f t="shared" si="277"/>
        <v>0</v>
      </c>
    </row>
    <row r="1701" spans="1:22" hidden="1">
      <c r="A1701" s="1000" t="s">
        <v>753</v>
      </c>
      <c r="B1701" s="1001" t="s">
        <v>754</v>
      </c>
      <c r="C1701" s="1066">
        <v>46276</v>
      </c>
      <c r="D1701" s="1066">
        <v>46273</v>
      </c>
      <c r="E1701" s="1005" t="s">
        <v>1130</v>
      </c>
      <c r="F1701" s="1077">
        <v>46295</v>
      </c>
      <c r="G1701" s="1002" t="s">
        <v>1327</v>
      </c>
      <c r="H1701" s="1111" t="s">
        <v>1326</v>
      </c>
      <c r="I1701" s="1008" t="s">
        <v>892</v>
      </c>
      <c r="J1701" s="1007" t="s">
        <v>653</v>
      </c>
      <c r="K1701" s="1064" t="s">
        <v>654</v>
      </c>
      <c r="L1701" s="1002" t="s">
        <v>18</v>
      </c>
      <c r="M1701" s="1093">
        <v>1</v>
      </c>
      <c r="N1701" s="1081">
        <v>0</v>
      </c>
      <c r="O1701" s="1081">
        <f t="shared" si="280"/>
        <v>0</v>
      </c>
      <c r="P1701" s="1081">
        <f t="shared" si="281"/>
        <v>0</v>
      </c>
      <c r="Q1701" s="1206">
        <f t="shared" si="282"/>
        <v>0</v>
      </c>
      <c r="V1701" s="1107">
        <f t="shared" si="277"/>
        <v>0</v>
      </c>
    </row>
    <row r="1702" spans="1:22" hidden="1">
      <c r="A1702" s="1000" t="s">
        <v>753</v>
      </c>
      <c r="B1702" s="1001" t="s">
        <v>754</v>
      </c>
      <c r="C1702" s="1066">
        <v>46276</v>
      </c>
      <c r="D1702" s="1066">
        <v>46273</v>
      </c>
      <c r="E1702" s="1005" t="s">
        <v>1130</v>
      </c>
      <c r="F1702" s="1077">
        <v>46295</v>
      </c>
      <c r="G1702" s="1002" t="s">
        <v>1327</v>
      </c>
      <c r="H1702" s="1111" t="s">
        <v>1326</v>
      </c>
      <c r="I1702" s="1008" t="s">
        <v>892</v>
      </c>
      <c r="J1702" s="1007" t="s">
        <v>655</v>
      </c>
      <c r="K1702" s="1064" t="s">
        <v>656</v>
      </c>
      <c r="L1702" s="1002" t="s">
        <v>18</v>
      </c>
      <c r="M1702" s="1093">
        <v>1</v>
      </c>
      <c r="N1702" s="1081">
        <v>0</v>
      </c>
      <c r="O1702" s="1081">
        <f t="shared" si="280"/>
        <v>0</v>
      </c>
      <c r="P1702" s="1081">
        <f t="shared" si="281"/>
        <v>0</v>
      </c>
      <c r="Q1702" s="1206">
        <f t="shared" si="282"/>
        <v>0</v>
      </c>
      <c r="V1702" s="1107">
        <f t="shared" si="277"/>
        <v>0</v>
      </c>
    </row>
    <row r="1703" spans="1:22" hidden="1">
      <c r="A1703" s="1039" t="s">
        <v>1136</v>
      </c>
      <c r="B1703" s="1039" t="s">
        <v>1513</v>
      </c>
      <c r="C1703" s="1066">
        <v>46273</v>
      </c>
      <c r="D1703" s="1066">
        <v>46273</v>
      </c>
      <c r="E1703" s="1005" t="s">
        <v>1290</v>
      </c>
      <c r="F1703" s="1066">
        <v>46284</v>
      </c>
      <c r="H1703" s="1111" t="s">
        <v>1245</v>
      </c>
      <c r="I1703" s="1002" t="s">
        <v>1514</v>
      </c>
      <c r="J1703" s="1007" t="s">
        <v>204</v>
      </c>
      <c r="K1703" s="1064" t="s">
        <v>269</v>
      </c>
      <c r="L1703" s="1002" t="s">
        <v>18</v>
      </c>
      <c r="M1703" s="1093">
        <v>2</v>
      </c>
      <c r="N1703" s="1107">
        <v>480555.56</v>
      </c>
      <c r="O1703" s="1107">
        <f>M1703*N1703</f>
        <v>961111.12</v>
      </c>
      <c r="P1703" s="1107">
        <f t="shared" si="281"/>
        <v>76888.889599999995</v>
      </c>
      <c r="Q1703" s="1083">
        <f t="shared" si="282"/>
        <v>1038000.0096</v>
      </c>
      <c r="V1703" s="1107">
        <f t="shared" si="277"/>
        <v>1038000.0096</v>
      </c>
    </row>
    <row r="1704" spans="1:22" hidden="1">
      <c r="A1704" s="1039" t="s">
        <v>1136</v>
      </c>
      <c r="B1704" s="1040" t="s">
        <v>1513</v>
      </c>
      <c r="C1704" s="1066">
        <v>46273</v>
      </c>
      <c r="D1704" s="1066">
        <v>46273</v>
      </c>
      <c r="E1704" s="1005" t="s">
        <v>1290</v>
      </c>
      <c r="F1704" s="1066">
        <v>46284</v>
      </c>
      <c r="H1704" s="1111" t="s">
        <v>1245</v>
      </c>
      <c r="I1704" s="1002" t="s">
        <v>1514</v>
      </c>
      <c r="J1704" s="1007" t="s">
        <v>208</v>
      </c>
      <c r="K1704" s="1064" t="s">
        <v>1127</v>
      </c>
      <c r="L1704" s="1002" t="s">
        <v>18</v>
      </c>
      <c r="M1704" s="1093">
        <v>2</v>
      </c>
      <c r="N1704" s="1081">
        <v>647222.22</v>
      </c>
      <c r="O1704" s="1081">
        <f t="shared" ref="O1704:O1716" si="283">M1704*N1704</f>
        <v>1294444.44</v>
      </c>
      <c r="P1704" s="1081">
        <f t="shared" si="281"/>
        <v>103555.5552</v>
      </c>
      <c r="Q1704" s="1206">
        <f t="shared" si="282"/>
        <v>1397999.9952</v>
      </c>
      <c r="V1704" s="1107">
        <f t="shared" si="277"/>
        <v>1397999.9952</v>
      </c>
    </row>
    <row r="1705" spans="1:22" hidden="1">
      <c r="A1705" s="1039" t="s">
        <v>1136</v>
      </c>
      <c r="B1705" s="1040" t="s">
        <v>1513</v>
      </c>
      <c r="C1705" s="1066">
        <v>46273</v>
      </c>
      <c r="D1705" s="1066">
        <v>46273</v>
      </c>
      <c r="E1705" s="1005" t="s">
        <v>1290</v>
      </c>
      <c r="F1705" s="1066">
        <v>46284</v>
      </c>
      <c r="H1705" s="1111" t="s">
        <v>1245</v>
      </c>
      <c r="I1705" s="1002" t="s">
        <v>1514</v>
      </c>
      <c r="J1705" s="1007" t="s">
        <v>80</v>
      </c>
      <c r="K1705" s="1064" t="s">
        <v>81</v>
      </c>
      <c r="L1705" s="1002" t="s">
        <v>18</v>
      </c>
      <c r="M1705" s="1093">
        <v>2</v>
      </c>
      <c r="N1705" s="1081">
        <v>824074.07</v>
      </c>
      <c r="O1705" s="1081">
        <f t="shared" si="283"/>
        <v>1648148.14</v>
      </c>
      <c r="P1705" s="1081">
        <f t="shared" si="281"/>
        <v>131851.8512</v>
      </c>
      <c r="Q1705" s="1206">
        <f t="shared" si="282"/>
        <v>1779999.9911999998</v>
      </c>
      <c r="V1705" s="1107">
        <f t="shared" si="277"/>
        <v>1779999.9911999998</v>
      </c>
    </row>
    <row r="1706" spans="1:22" hidden="1">
      <c r="A1706" s="1039" t="s">
        <v>1136</v>
      </c>
      <c r="B1706" s="1040" t="s">
        <v>1513</v>
      </c>
      <c r="C1706" s="1066">
        <v>46273</v>
      </c>
      <c r="D1706" s="1066">
        <v>46273</v>
      </c>
      <c r="E1706" s="1005" t="s">
        <v>1290</v>
      </c>
      <c r="F1706" s="1066">
        <v>46284</v>
      </c>
      <c r="H1706" s="1111" t="s">
        <v>1245</v>
      </c>
      <c r="I1706" s="1002" t="s">
        <v>1514</v>
      </c>
      <c r="J1706" s="1007" t="s">
        <v>72</v>
      </c>
      <c r="K1706" s="1064" t="s">
        <v>73</v>
      </c>
      <c r="L1706" s="1002" t="s">
        <v>18</v>
      </c>
      <c r="M1706" s="1093">
        <v>12</v>
      </c>
      <c r="N1706" s="1081">
        <v>148148.15</v>
      </c>
      <c r="O1706" s="1081">
        <f t="shared" si="283"/>
        <v>1777777.7999999998</v>
      </c>
      <c r="P1706" s="1081">
        <f t="shared" si="281"/>
        <v>142222.22399999999</v>
      </c>
      <c r="Q1706" s="1206">
        <f t="shared" si="282"/>
        <v>1920000.0239999997</v>
      </c>
      <c r="V1706" s="1107">
        <f t="shared" si="277"/>
        <v>1920000.0239999997</v>
      </c>
    </row>
    <row r="1707" spans="1:22" hidden="1">
      <c r="A1707" s="1039" t="s">
        <v>1136</v>
      </c>
      <c r="B1707" s="1040" t="s">
        <v>1513</v>
      </c>
      <c r="C1707" s="1066">
        <v>46273</v>
      </c>
      <c r="D1707" s="1066">
        <v>46273</v>
      </c>
      <c r="E1707" s="1005" t="s">
        <v>1290</v>
      </c>
      <c r="F1707" s="1066">
        <v>46284</v>
      </c>
      <c r="H1707" s="1111" t="s">
        <v>1245</v>
      </c>
      <c r="I1707" s="1002" t="s">
        <v>1514</v>
      </c>
      <c r="J1707" s="1007" t="s">
        <v>262</v>
      </c>
      <c r="K1707" s="1064" t="s">
        <v>435</v>
      </c>
      <c r="L1707" s="1002" t="s">
        <v>18</v>
      </c>
      <c r="M1707" s="1093">
        <v>2</v>
      </c>
      <c r="N1707" s="1081">
        <v>851851.85</v>
      </c>
      <c r="O1707" s="1081">
        <f t="shared" si="283"/>
        <v>1703703.7</v>
      </c>
      <c r="P1707" s="1081">
        <f t="shared" si="281"/>
        <v>136296.296</v>
      </c>
      <c r="Q1707" s="1206">
        <f t="shared" si="282"/>
        <v>1839999.996</v>
      </c>
      <c r="V1707" s="1107">
        <f t="shared" si="277"/>
        <v>1839999.996</v>
      </c>
    </row>
    <row r="1708" spans="1:22" hidden="1">
      <c r="A1708" s="1039" t="s">
        <v>1136</v>
      </c>
      <c r="B1708" s="1040" t="s">
        <v>1513</v>
      </c>
      <c r="C1708" s="1066">
        <v>46273</v>
      </c>
      <c r="D1708" s="1066">
        <v>46273</v>
      </c>
      <c r="E1708" s="1005" t="s">
        <v>1290</v>
      </c>
      <c r="F1708" s="1066">
        <v>46284</v>
      </c>
      <c r="H1708" s="1111" t="s">
        <v>1245</v>
      </c>
      <c r="I1708" s="1002" t="s">
        <v>1514</v>
      </c>
      <c r="J1708" s="1007" t="s">
        <v>274</v>
      </c>
      <c r="K1708" s="1064" t="s">
        <v>297</v>
      </c>
      <c r="L1708" s="1002" t="s">
        <v>18</v>
      </c>
      <c r="M1708" s="1093">
        <v>6</v>
      </c>
      <c r="N1708" s="1081">
        <v>416666.67</v>
      </c>
      <c r="O1708" s="1081">
        <f t="shared" si="283"/>
        <v>2500000.02</v>
      </c>
      <c r="P1708" s="1081">
        <f t="shared" si="281"/>
        <v>200000.00160000002</v>
      </c>
      <c r="Q1708" s="1206">
        <f t="shared" si="282"/>
        <v>2700000.0216000001</v>
      </c>
      <c r="V1708" s="1107">
        <f t="shared" si="277"/>
        <v>2700000.0216000001</v>
      </c>
    </row>
    <row r="1709" spans="1:22" hidden="1">
      <c r="A1709" s="1039" t="s">
        <v>1136</v>
      </c>
      <c r="B1709" s="1040" t="s">
        <v>1513</v>
      </c>
      <c r="C1709" s="1066">
        <v>46273</v>
      </c>
      <c r="D1709" s="1066">
        <v>46273</v>
      </c>
      <c r="E1709" s="1005" t="s">
        <v>1290</v>
      </c>
      <c r="F1709" s="1066">
        <v>46284</v>
      </c>
      <c r="H1709" s="1111" t="s">
        <v>1245</v>
      </c>
      <c r="I1709" s="1002" t="s">
        <v>1514</v>
      </c>
      <c r="J1709" s="1007" t="s">
        <v>46</v>
      </c>
      <c r="K1709" s="1064" t="s">
        <v>47</v>
      </c>
      <c r="L1709" s="1002" t="s">
        <v>18</v>
      </c>
      <c r="M1709" s="1093">
        <v>6</v>
      </c>
      <c r="N1709" s="1081">
        <v>240740.74</v>
      </c>
      <c r="O1709" s="1081">
        <f t="shared" si="283"/>
        <v>1444444.44</v>
      </c>
      <c r="P1709" s="1081">
        <f t="shared" si="281"/>
        <v>115555.5552</v>
      </c>
      <c r="Q1709" s="1206">
        <f t="shared" si="282"/>
        <v>1559999.9952</v>
      </c>
      <c r="V1709" s="1107">
        <f t="shared" si="277"/>
        <v>1559999.9952</v>
      </c>
    </row>
    <row r="1710" spans="1:22" hidden="1">
      <c r="A1710" s="1039" t="s">
        <v>1136</v>
      </c>
      <c r="B1710" s="1040" t="s">
        <v>1513</v>
      </c>
      <c r="C1710" s="1066">
        <v>46273</v>
      </c>
      <c r="D1710" s="1066">
        <v>46273</v>
      </c>
      <c r="E1710" s="1005" t="s">
        <v>1290</v>
      </c>
      <c r="F1710" s="1066">
        <v>46284</v>
      </c>
      <c r="H1710" s="1111" t="s">
        <v>1245</v>
      </c>
      <c r="I1710" s="1002" t="s">
        <v>1514</v>
      </c>
      <c r="J1710" s="1007" t="s">
        <v>157</v>
      </c>
      <c r="K1710" s="1064" t="s">
        <v>158</v>
      </c>
      <c r="L1710" s="1002" t="s">
        <v>18</v>
      </c>
      <c r="M1710" s="1093">
        <v>6</v>
      </c>
      <c r="N1710" s="1081">
        <v>342592.59</v>
      </c>
      <c r="O1710" s="1081">
        <f t="shared" si="283"/>
        <v>2055555.54</v>
      </c>
      <c r="P1710" s="1081">
        <f t="shared" si="281"/>
        <v>164444.44320000001</v>
      </c>
      <c r="Q1710" s="1206">
        <f t="shared" si="282"/>
        <v>2219999.9832000001</v>
      </c>
      <c r="V1710" s="1107">
        <f t="shared" si="277"/>
        <v>2219999.9832000001</v>
      </c>
    </row>
    <row r="1711" spans="1:22" ht="31.5" hidden="1">
      <c r="A1711" s="1039" t="s">
        <v>1136</v>
      </c>
      <c r="B1711" s="1040" t="s">
        <v>1513</v>
      </c>
      <c r="C1711" s="1066">
        <v>46273</v>
      </c>
      <c r="D1711" s="1066">
        <v>46273</v>
      </c>
      <c r="E1711" s="1005" t="s">
        <v>1290</v>
      </c>
      <c r="F1711" s="1066">
        <v>46284</v>
      </c>
      <c r="H1711" s="1111" t="s">
        <v>1245</v>
      </c>
      <c r="I1711" s="1002" t="s">
        <v>1514</v>
      </c>
      <c r="J1711" s="1007" t="s">
        <v>60</v>
      </c>
      <c r="K1711" s="1064" t="s">
        <v>61</v>
      </c>
      <c r="L1711" s="1002" t="s">
        <v>18</v>
      </c>
      <c r="M1711" s="1093">
        <v>4</v>
      </c>
      <c r="N1711" s="1081">
        <v>1138888.8899999999</v>
      </c>
      <c r="O1711" s="1081">
        <f t="shared" si="283"/>
        <v>4555555.5599999996</v>
      </c>
      <c r="P1711" s="1081">
        <f t="shared" si="281"/>
        <v>364444.4448</v>
      </c>
      <c r="Q1711" s="1206">
        <f t="shared" si="282"/>
        <v>4920000.0047999993</v>
      </c>
      <c r="V1711" s="1107">
        <f t="shared" si="277"/>
        <v>4920000.0047999993</v>
      </c>
    </row>
    <row r="1712" spans="1:22" ht="31.5" hidden="1">
      <c r="A1712" s="1039" t="s">
        <v>1136</v>
      </c>
      <c r="B1712" s="1040" t="s">
        <v>1513</v>
      </c>
      <c r="C1712" s="1066">
        <v>46273</v>
      </c>
      <c r="D1712" s="1066">
        <v>46273</v>
      </c>
      <c r="E1712" s="1005" t="s">
        <v>1290</v>
      </c>
      <c r="F1712" s="1066">
        <v>46284</v>
      </c>
      <c r="H1712" s="1111" t="s">
        <v>1245</v>
      </c>
      <c r="I1712" s="1002" t="s">
        <v>1514</v>
      </c>
      <c r="J1712" s="1007" t="s">
        <v>83</v>
      </c>
      <c r="K1712" s="1064" t="s">
        <v>84</v>
      </c>
      <c r="L1712" s="1002" t="s">
        <v>18</v>
      </c>
      <c r="M1712" s="1093">
        <v>4</v>
      </c>
      <c r="N1712" s="1081">
        <v>1097222.22</v>
      </c>
      <c r="O1712" s="1081">
        <f t="shared" si="283"/>
        <v>4388888.88</v>
      </c>
      <c r="P1712" s="1081">
        <f t="shared" si="281"/>
        <v>351111.11040000001</v>
      </c>
      <c r="Q1712" s="1206">
        <f t="shared" si="282"/>
        <v>4739999.9903999995</v>
      </c>
      <c r="V1712" s="1107">
        <f t="shared" si="277"/>
        <v>4739999.9903999995</v>
      </c>
    </row>
    <row r="1713" spans="1:23" ht="31.5" hidden="1">
      <c r="A1713" s="1039" t="s">
        <v>1136</v>
      </c>
      <c r="B1713" s="1040" t="s">
        <v>1513</v>
      </c>
      <c r="C1713" s="1066">
        <v>46273</v>
      </c>
      <c r="D1713" s="1066">
        <v>46277</v>
      </c>
      <c r="E1713" s="1005" t="s">
        <v>1290</v>
      </c>
      <c r="F1713" s="1066">
        <v>46284</v>
      </c>
      <c r="H1713" s="1111" t="s">
        <v>1245</v>
      </c>
      <c r="I1713" s="1002" t="s">
        <v>1514</v>
      </c>
      <c r="J1713" s="1007" t="s">
        <v>50</v>
      </c>
      <c r="K1713" s="1064" t="s">
        <v>51</v>
      </c>
      <c r="L1713" s="1002" t="s">
        <v>18</v>
      </c>
      <c r="M1713" s="1093">
        <v>6</v>
      </c>
      <c r="N1713" s="1081">
        <v>937962.96</v>
      </c>
      <c r="O1713" s="1081">
        <f t="shared" si="283"/>
        <v>5627777.7599999998</v>
      </c>
      <c r="P1713" s="1081">
        <f t="shared" si="281"/>
        <v>450222.22080000001</v>
      </c>
      <c r="Q1713" s="1206">
        <f t="shared" si="282"/>
        <v>6077999.9808</v>
      </c>
      <c r="V1713" s="1107">
        <f t="shared" si="277"/>
        <v>6077999.9808</v>
      </c>
    </row>
    <row r="1714" spans="1:23" hidden="1">
      <c r="A1714" s="1039" t="s">
        <v>1136</v>
      </c>
      <c r="B1714" s="1040" t="s">
        <v>1513</v>
      </c>
      <c r="C1714" s="1066">
        <v>46273</v>
      </c>
      <c r="D1714" s="1066">
        <v>46273</v>
      </c>
      <c r="E1714" s="1005" t="s">
        <v>1290</v>
      </c>
      <c r="F1714" s="1066">
        <v>46284</v>
      </c>
      <c r="H1714" s="1111" t="s">
        <v>1245</v>
      </c>
      <c r="I1714" s="1002" t="s">
        <v>1514</v>
      </c>
      <c r="J1714" s="1007" t="s">
        <v>52</v>
      </c>
      <c r="K1714" s="1064" t="s">
        <v>53</v>
      </c>
      <c r="L1714" s="1002" t="s">
        <v>18</v>
      </c>
      <c r="M1714" s="1093">
        <v>6</v>
      </c>
      <c r="N1714" s="1081">
        <v>1007407.41</v>
      </c>
      <c r="O1714" s="1081">
        <f t="shared" si="283"/>
        <v>6044444.46</v>
      </c>
      <c r="P1714" s="1081">
        <f t="shared" si="281"/>
        <v>483555.55680000002</v>
      </c>
      <c r="Q1714" s="1206">
        <f t="shared" si="282"/>
        <v>6528000.0168000003</v>
      </c>
      <c r="V1714" s="1107">
        <f t="shared" si="277"/>
        <v>6528000.0168000003</v>
      </c>
    </row>
    <row r="1715" spans="1:23" ht="31.5" hidden="1">
      <c r="A1715" s="1039" t="s">
        <v>1136</v>
      </c>
      <c r="B1715" s="1040" t="s">
        <v>1513</v>
      </c>
      <c r="C1715" s="1066">
        <v>46273</v>
      </c>
      <c r="D1715" s="1066">
        <v>46279</v>
      </c>
      <c r="E1715" s="1005" t="s">
        <v>1358</v>
      </c>
      <c r="F1715" s="1066">
        <v>46284</v>
      </c>
      <c r="H1715" s="1111" t="s">
        <v>1245</v>
      </c>
      <c r="I1715" s="1054" t="s">
        <v>1137</v>
      </c>
      <c r="J1715" s="1007" t="s">
        <v>107</v>
      </c>
      <c r="K1715" s="1007" t="s">
        <v>108</v>
      </c>
      <c r="L1715" s="1002" t="s">
        <v>18</v>
      </c>
      <c r="M1715" s="1093">
        <v>3</v>
      </c>
      <c r="N1715" s="1081">
        <v>0</v>
      </c>
      <c r="O1715" s="1081">
        <f t="shared" si="283"/>
        <v>0</v>
      </c>
      <c r="P1715" s="1081">
        <f t="shared" si="281"/>
        <v>0</v>
      </c>
      <c r="Q1715" s="1206">
        <f t="shared" si="282"/>
        <v>0</v>
      </c>
      <c r="V1715" s="1107">
        <f t="shared" si="277"/>
        <v>0</v>
      </c>
    </row>
    <row r="1716" spans="1:23" hidden="1">
      <c r="A1716" s="1039" t="s">
        <v>1136</v>
      </c>
      <c r="B1716" s="1040" t="s">
        <v>1513</v>
      </c>
      <c r="C1716" s="1066">
        <v>46273</v>
      </c>
      <c r="D1716" s="1066">
        <v>46279</v>
      </c>
      <c r="E1716" s="1005" t="s">
        <v>1358</v>
      </c>
      <c r="F1716" s="1066">
        <v>46284</v>
      </c>
      <c r="H1716" s="1111" t="s">
        <v>1245</v>
      </c>
      <c r="I1716" s="1002" t="s">
        <v>862</v>
      </c>
      <c r="J1716" s="1007" t="s">
        <v>959</v>
      </c>
      <c r="K1716" s="1007" t="s">
        <v>960</v>
      </c>
      <c r="L1716" s="1002" t="s">
        <v>18</v>
      </c>
      <c r="M1716" s="1093">
        <v>12</v>
      </c>
      <c r="N1716" s="1081">
        <v>0</v>
      </c>
      <c r="O1716" s="1081">
        <f t="shared" si="283"/>
        <v>0</v>
      </c>
      <c r="P1716" s="1081">
        <f t="shared" si="281"/>
        <v>0</v>
      </c>
      <c r="Q1716" s="1206">
        <f t="shared" si="282"/>
        <v>0</v>
      </c>
      <c r="V1716" s="1107">
        <f t="shared" si="277"/>
        <v>0</v>
      </c>
    </row>
    <row r="1717" spans="1:23" hidden="1">
      <c r="A1717" s="1040" t="s">
        <v>1138</v>
      </c>
      <c r="B1717" s="1040" t="s">
        <v>1134</v>
      </c>
      <c r="C1717" s="1066">
        <v>46277</v>
      </c>
      <c r="D1717" s="1066">
        <v>46279</v>
      </c>
      <c r="H1717" s="1111"/>
      <c r="I1717" s="1002" t="s">
        <v>760</v>
      </c>
      <c r="M1717" s="1093"/>
      <c r="N1717" s="1081"/>
      <c r="P1717" s="1081">
        <f t="shared" si="281"/>
        <v>0</v>
      </c>
      <c r="Q1717" s="1082">
        <f t="shared" si="282"/>
        <v>0</v>
      </c>
      <c r="S1717" s="1107">
        <v>280000</v>
      </c>
      <c r="V1717" s="1107">
        <f t="shared" si="277"/>
        <v>-280000</v>
      </c>
      <c r="W1717" s="1050" t="s">
        <v>1125</v>
      </c>
    </row>
    <row r="1718" spans="1:23" hidden="1">
      <c r="A1718" s="1040" t="s">
        <v>1138</v>
      </c>
      <c r="B1718" s="1040" t="s">
        <v>1134</v>
      </c>
      <c r="C1718" s="1066">
        <v>46273</v>
      </c>
      <c r="D1718" s="1066">
        <v>46279</v>
      </c>
      <c r="H1718" s="1111"/>
      <c r="I1718" s="1002" t="s">
        <v>760</v>
      </c>
      <c r="M1718" s="1093"/>
      <c r="N1718" s="1081"/>
      <c r="P1718" s="1081">
        <f t="shared" si="281"/>
        <v>0</v>
      </c>
      <c r="Q1718" s="1082">
        <f t="shared" si="282"/>
        <v>0</v>
      </c>
      <c r="S1718" s="1107">
        <v>700000</v>
      </c>
      <c r="V1718" s="1107">
        <f t="shared" si="277"/>
        <v>-700000</v>
      </c>
      <c r="W1718" s="1049" t="s">
        <v>1045</v>
      </c>
    </row>
    <row r="1719" spans="1:23" hidden="1">
      <c r="A1719" s="1000" t="s">
        <v>802</v>
      </c>
      <c r="B1719" s="1028" t="s">
        <v>806</v>
      </c>
      <c r="C1719" s="1066">
        <v>46279</v>
      </c>
      <c r="D1719" s="1066">
        <v>46279</v>
      </c>
      <c r="H1719" s="1111"/>
      <c r="I1719" s="1002" t="s">
        <v>844</v>
      </c>
      <c r="M1719" s="1093"/>
      <c r="N1719" s="1081"/>
      <c r="P1719" s="1081">
        <f t="shared" si="281"/>
        <v>0</v>
      </c>
      <c r="Q1719" s="1082">
        <f t="shared" si="282"/>
        <v>0</v>
      </c>
      <c r="R1719" s="1107">
        <v>1960000</v>
      </c>
      <c r="V1719" s="1107">
        <f t="shared" si="277"/>
        <v>-1960000</v>
      </c>
    </row>
    <row r="1720" spans="1:23" hidden="1">
      <c r="A1720" s="1004" t="s">
        <v>934</v>
      </c>
      <c r="B1720" s="1001" t="s">
        <v>865</v>
      </c>
      <c r="C1720" s="1066">
        <v>46279</v>
      </c>
      <c r="D1720" s="1066">
        <v>46279</v>
      </c>
      <c r="E1720" s="1005" t="s">
        <v>1139</v>
      </c>
      <c r="H1720" s="1111"/>
      <c r="I1720" s="1002" t="s">
        <v>1511</v>
      </c>
      <c r="J1720" s="1061" t="s">
        <v>90</v>
      </c>
      <c r="K1720" s="1061" t="s">
        <v>1140</v>
      </c>
      <c r="L1720" s="1002" t="s">
        <v>18</v>
      </c>
      <c r="M1720" s="1093">
        <v>-1</v>
      </c>
      <c r="N1720" s="1081"/>
      <c r="P1720" s="1081">
        <f t="shared" si="281"/>
        <v>0</v>
      </c>
      <c r="Q1720" s="1082">
        <f t="shared" si="282"/>
        <v>0</v>
      </c>
      <c r="V1720" s="1083">
        <f t="shared" si="277"/>
        <v>0</v>
      </c>
    </row>
    <row r="1721" spans="1:23" hidden="1">
      <c r="A1721" s="1000" t="s">
        <v>752</v>
      </c>
      <c r="B1721" s="1028" t="s">
        <v>1494</v>
      </c>
      <c r="C1721" s="1066">
        <v>46279</v>
      </c>
      <c r="D1721" s="1066">
        <v>46279</v>
      </c>
      <c r="E1721" s="1005" t="s">
        <v>1187</v>
      </c>
      <c r="H1721" s="1111"/>
      <c r="I1721" s="1002" t="s">
        <v>812</v>
      </c>
      <c r="J1721" s="1007" t="s">
        <v>103</v>
      </c>
      <c r="K1721" s="1064" t="s">
        <v>104</v>
      </c>
      <c r="L1721" s="1002" t="s">
        <v>18</v>
      </c>
      <c r="M1721" s="1093">
        <v>12</v>
      </c>
      <c r="N1721" s="1081">
        <v>675925.93</v>
      </c>
      <c r="O1721" s="1081">
        <f t="shared" ref="O1721:O1723" si="284">M1721*N1721</f>
        <v>8111111.1600000001</v>
      </c>
      <c r="P1721" s="1081">
        <f t="shared" si="281"/>
        <v>648888.89280000003</v>
      </c>
      <c r="Q1721" s="1206">
        <f t="shared" si="282"/>
        <v>8760000.0527999997</v>
      </c>
      <c r="V1721" s="1107">
        <f t="shared" si="277"/>
        <v>8760000.0527999997</v>
      </c>
    </row>
    <row r="1722" spans="1:23" hidden="1">
      <c r="A1722" s="1000" t="s">
        <v>752</v>
      </c>
      <c r="B1722" s="1028" t="s">
        <v>1494</v>
      </c>
      <c r="C1722" s="1066">
        <v>46279</v>
      </c>
      <c r="D1722" s="1066">
        <v>46279</v>
      </c>
      <c r="E1722" s="1005" t="s">
        <v>1187</v>
      </c>
      <c r="F1722" s="1066">
        <v>46275</v>
      </c>
      <c r="G1722" s="1005" t="s">
        <v>1155</v>
      </c>
      <c r="H1722" s="1111" t="s">
        <v>1154</v>
      </c>
      <c r="I1722" s="1002" t="s">
        <v>812</v>
      </c>
      <c r="J1722" s="1007" t="s">
        <v>959</v>
      </c>
      <c r="K1722" s="1065" t="s">
        <v>960</v>
      </c>
      <c r="L1722" s="1002" t="s">
        <v>18</v>
      </c>
      <c r="M1722" s="1093">
        <v>100</v>
      </c>
      <c r="N1722" s="1081">
        <v>111111.11</v>
      </c>
      <c r="O1722" s="1081">
        <f t="shared" si="284"/>
        <v>11111111</v>
      </c>
      <c r="P1722" s="1081">
        <f t="shared" si="281"/>
        <v>888888.88</v>
      </c>
      <c r="Q1722" s="1206">
        <f t="shared" si="282"/>
        <v>11999999.880000001</v>
      </c>
      <c r="V1722" s="1107">
        <f t="shared" si="277"/>
        <v>11999999.880000001</v>
      </c>
    </row>
    <row r="1723" spans="1:23" hidden="1">
      <c r="A1723" s="1000" t="s">
        <v>752</v>
      </c>
      <c r="B1723" s="1028" t="s">
        <v>1494</v>
      </c>
      <c r="C1723" s="1066">
        <v>46279</v>
      </c>
      <c r="D1723" s="1066">
        <v>46279</v>
      </c>
      <c r="E1723" s="1005" t="s">
        <v>1187</v>
      </c>
      <c r="H1723" s="1111"/>
      <c r="I1723" s="1002" t="s">
        <v>862</v>
      </c>
      <c r="J1723" s="1007" t="s">
        <v>959</v>
      </c>
      <c r="K1723" s="1065" t="s">
        <v>960</v>
      </c>
      <c r="L1723" s="1002" t="s">
        <v>18</v>
      </c>
      <c r="M1723" s="1093">
        <v>12</v>
      </c>
      <c r="N1723" s="1081">
        <v>0</v>
      </c>
      <c r="O1723" s="1081">
        <f t="shared" si="284"/>
        <v>0</v>
      </c>
      <c r="P1723" s="1081">
        <f t="shared" si="281"/>
        <v>0</v>
      </c>
      <c r="Q1723" s="1206">
        <f t="shared" si="282"/>
        <v>0</v>
      </c>
      <c r="V1723" s="1107">
        <f t="shared" si="277"/>
        <v>0</v>
      </c>
    </row>
    <row r="1724" spans="1:23" hidden="1">
      <c r="A1724" s="1000" t="s">
        <v>752</v>
      </c>
      <c r="B1724" s="1028" t="s">
        <v>1494</v>
      </c>
      <c r="C1724" s="1066">
        <v>46279</v>
      </c>
      <c r="D1724" s="1066">
        <v>46279</v>
      </c>
      <c r="H1724" s="1111"/>
      <c r="I1724" s="1002" t="s">
        <v>760</v>
      </c>
      <c r="J1724" s="1007"/>
      <c r="K1724" s="1065"/>
      <c r="M1724" s="1093"/>
      <c r="N1724" s="1081"/>
      <c r="P1724" s="1081">
        <f t="shared" si="281"/>
        <v>0</v>
      </c>
      <c r="Q1724" s="1082">
        <f t="shared" si="282"/>
        <v>0</v>
      </c>
      <c r="S1724" s="1107">
        <v>350000</v>
      </c>
      <c r="V1724" s="1107">
        <f t="shared" si="277"/>
        <v>-350000</v>
      </c>
      <c r="W1724" s="1050" t="s">
        <v>1144</v>
      </c>
    </row>
    <row r="1725" spans="1:23" hidden="1">
      <c r="A1725" s="1001" t="s">
        <v>965</v>
      </c>
      <c r="B1725" s="1028" t="s">
        <v>1117</v>
      </c>
      <c r="C1725" s="1066">
        <v>46279</v>
      </c>
      <c r="D1725" s="1066">
        <v>46279</v>
      </c>
      <c r="E1725" s="1005" t="s">
        <v>1145</v>
      </c>
      <c r="F1725" s="1066">
        <v>46296</v>
      </c>
      <c r="G1725" s="1002" t="s">
        <v>1347</v>
      </c>
      <c r="H1725" s="1111" t="s">
        <v>1348</v>
      </c>
      <c r="I1725" s="1008" t="s">
        <v>1118</v>
      </c>
      <c r="J1725" s="1007" t="s">
        <v>639</v>
      </c>
      <c r="K1725" s="1064" t="s">
        <v>640</v>
      </c>
      <c r="L1725" s="1002" t="s">
        <v>18</v>
      </c>
      <c r="M1725" s="1093">
        <v>1</v>
      </c>
      <c r="N1725" s="1081">
        <v>583333.32999999996</v>
      </c>
      <c r="O1725" s="1081">
        <f>M1725*N1725</f>
        <v>583333.32999999996</v>
      </c>
      <c r="P1725" s="1081">
        <f t="shared" si="281"/>
        <v>46666.666399999995</v>
      </c>
      <c r="Q1725" s="1206">
        <f t="shared" si="282"/>
        <v>629999.99639999995</v>
      </c>
      <c r="V1725" s="1107">
        <f t="shared" si="277"/>
        <v>629999.99639999995</v>
      </c>
    </row>
    <row r="1726" spans="1:23" hidden="1">
      <c r="A1726" s="1001" t="s">
        <v>965</v>
      </c>
      <c r="B1726" s="1028" t="s">
        <v>1117</v>
      </c>
      <c r="C1726" s="1066">
        <v>46279</v>
      </c>
      <c r="D1726" s="1066">
        <v>46279</v>
      </c>
      <c r="E1726" s="1005" t="s">
        <v>1145</v>
      </c>
      <c r="F1726" s="1066">
        <v>46296</v>
      </c>
      <c r="G1726" s="1002" t="s">
        <v>1347</v>
      </c>
      <c r="H1726" s="1111" t="s">
        <v>1348</v>
      </c>
      <c r="I1726" s="1008" t="s">
        <v>1118</v>
      </c>
      <c r="J1726" s="1007" t="s">
        <v>641</v>
      </c>
      <c r="K1726" s="1064" t="s">
        <v>657</v>
      </c>
      <c r="L1726" s="1002" t="s">
        <v>18</v>
      </c>
      <c r="M1726" s="1093">
        <v>1</v>
      </c>
      <c r="N1726" s="1081">
        <v>690740.74</v>
      </c>
      <c r="O1726" s="1081">
        <f t="shared" ref="O1726:O1727" si="285">M1726*N1726</f>
        <v>690740.74</v>
      </c>
      <c r="P1726" s="1081">
        <f t="shared" si="281"/>
        <v>55259.2592</v>
      </c>
      <c r="Q1726" s="1206">
        <f t="shared" si="282"/>
        <v>745999.99919999996</v>
      </c>
      <c r="V1726" s="1107">
        <f t="shared" si="277"/>
        <v>745999.99919999996</v>
      </c>
    </row>
    <row r="1727" spans="1:23" hidden="1">
      <c r="A1727" s="1001" t="s">
        <v>965</v>
      </c>
      <c r="B1727" s="1028" t="s">
        <v>1117</v>
      </c>
      <c r="C1727" s="1066">
        <v>46279</v>
      </c>
      <c r="D1727" s="1066">
        <v>46279</v>
      </c>
      <c r="E1727" s="1005" t="s">
        <v>1145</v>
      </c>
      <c r="F1727" s="1066">
        <v>46296</v>
      </c>
      <c r="G1727" s="1002" t="s">
        <v>1347</v>
      </c>
      <c r="H1727" s="1111" t="s">
        <v>1348</v>
      </c>
      <c r="I1727" s="1008" t="s">
        <v>1118</v>
      </c>
      <c r="J1727" s="1007" t="s">
        <v>643</v>
      </c>
      <c r="K1727" s="1064" t="s">
        <v>644</v>
      </c>
      <c r="L1727" s="1002" t="s">
        <v>18</v>
      </c>
      <c r="M1727" s="1093">
        <v>1</v>
      </c>
      <c r="N1727" s="1081">
        <v>583333.32999999996</v>
      </c>
      <c r="O1727" s="1081">
        <f t="shared" si="285"/>
        <v>583333.32999999996</v>
      </c>
      <c r="P1727" s="1081">
        <f t="shared" si="281"/>
        <v>46666.666399999995</v>
      </c>
      <c r="Q1727" s="1206">
        <f t="shared" si="282"/>
        <v>629999.99639999995</v>
      </c>
      <c r="V1727" s="1107">
        <f t="shared" si="277"/>
        <v>629999.99639999995</v>
      </c>
    </row>
    <row r="1728" spans="1:23" hidden="1">
      <c r="A1728" s="1001" t="s">
        <v>965</v>
      </c>
      <c r="B1728" s="1028" t="s">
        <v>1117</v>
      </c>
      <c r="C1728" s="1066">
        <v>46279</v>
      </c>
      <c r="D1728" s="1066">
        <v>46279</v>
      </c>
      <c r="E1728" s="1005" t="s">
        <v>1145</v>
      </c>
      <c r="F1728" s="1066">
        <v>46296</v>
      </c>
      <c r="G1728" s="1002" t="s">
        <v>1347</v>
      </c>
      <c r="H1728" s="1111" t="s">
        <v>1348</v>
      </c>
      <c r="I1728" s="1008" t="s">
        <v>1118</v>
      </c>
      <c r="J1728" s="1007" t="s">
        <v>649</v>
      </c>
      <c r="K1728" s="1064" t="s">
        <v>650</v>
      </c>
      <c r="L1728" s="1002" t="s">
        <v>18</v>
      </c>
      <c r="M1728" s="1093">
        <v>1</v>
      </c>
      <c r="N1728" s="1081">
        <v>620370.37</v>
      </c>
      <c r="O1728" s="1081">
        <f>M1728*N1728</f>
        <v>620370.37</v>
      </c>
      <c r="P1728" s="1081">
        <f t="shared" si="281"/>
        <v>49629.6296</v>
      </c>
      <c r="Q1728" s="1206">
        <f t="shared" si="282"/>
        <v>669999.99959999998</v>
      </c>
      <c r="V1728" s="1107">
        <f t="shared" si="277"/>
        <v>669999.99959999998</v>
      </c>
    </row>
    <row r="1729" spans="1:23" hidden="1">
      <c r="A1729" s="1001" t="s">
        <v>965</v>
      </c>
      <c r="B1729" s="1028" t="s">
        <v>1117</v>
      </c>
      <c r="C1729" s="1066">
        <v>46279</v>
      </c>
      <c r="D1729" s="1066">
        <v>46279</v>
      </c>
      <c r="E1729" s="1005" t="s">
        <v>1145</v>
      </c>
      <c r="F1729" s="1066">
        <v>46296</v>
      </c>
      <c r="G1729" s="1002" t="s">
        <v>1347</v>
      </c>
      <c r="H1729" s="1111" t="s">
        <v>1348</v>
      </c>
      <c r="I1729" s="1008" t="s">
        <v>1118</v>
      </c>
      <c r="J1729" s="1007" t="s">
        <v>651</v>
      </c>
      <c r="K1729" s="1064" t="s">
        <v>652</v>
      </c>
      <c r="L1729" s="1002" t="s">
        <v>18</v>
      </c>
      <c r="M1729" s="1093">
        <v>1</v>
      </c>
      <c r="N1729" s="1081">
        <v>740740.74</v>
      </c>
      <c r="O1729" s="1081">
        <f t="shared" ref="O1729:O1730" si="286">M1729*N1729</f>
        <v>740740.74</v>
      </c>
      <c r="P1729" s="1081">
        <f t="shared" si="281"/>
        <v>59259.2592</v>
      </c>
      <c r="Q1729" s="1206">
        <f t="shared" si="282"/>
        <v>799999.99919999996</v>
      </c>
      <c r="V1729" s="1107">
        <f t="shared" si="277"/>
        <v>799999.99919999996</v>
      </c>
    </row>
    <row r="1730" spans="1:23" hidden="1">
      <c r="A1730" s="1001" t="s">
        <v>965</v>
      </c>
      <c r="B1730" s="1028" t="s">
        <v>1117</v>
      </c>
      <c r="C1730" s="1066">
        <v>46279</v>
      </c>
      <c r="D1730" s="1066">
        <v>46279</v>
      </c>
      <c r="E1730" s="1005" t="s">
        <v>1145</v>
      </c>
      <c r="F1730" s="1066">
        <v>46296</v>
      </c>
      <c r="G1730" s="1002" t="s">
        <v>1347</v>
      </c>
      <c r="H1730" s="1111" t="s">
        <v>1348</v>
      </c>
      <c r="I1730" s="1008" t="s">
        <v>1118</v>
      </c>
      <c r="J1730" s="1007" t="s">
        <v>653</v>
      </c>
      <c r="K1730" s="1064" t="s">
        <v>654</v>
      </c>
      <c r="L1730" s="1002" t="s">
        <v>18</v>
      </c>
      <c r="M1730" s="1093">
        <v>1</v>
      </c>
      <c r="N1730" s="1081">
        <v>527777.77</v>
      </c>
      <c r="O1730" s="1081">
        <f t="shared" si="286"/>
        <v>527777.77</v>
      </c>
      <c r="P1730" s="1081">
        <f t="shared" si="281"/>
        <v>42222.221600000004</v>
      </c>
      <c r="Q1730" s="1206">
        <f t="shared" si="282"/>
        <v>569999.99160000007</v>
      </c>
      <c r="V1730" s="1107">
        <f t="shared" si="277"/>
        <v>569999.99160000007</v>
      </c>
    </row>
    <row r="1731" spans="1:23" hidden="1">
      <c r="A1731" s="1000" t="s">
        <v>965</v>
      </c>
      <c r="B1731" s="1029" t="s">
        <v>1117</v>
      </c>
      <c r="C1731" s="1066">
        <v>46279</v>
      </c>
      <c r="D1731" s="1066">
        <v>46279</v>
      </c>
      <c r="E1731" s="1005" t="s">
        <v>1145</v>
      </c>
      <c r="F1731" s="1066">
        <v>46296</v>
      </c>
      <c r="G1731" s="1002" t="s">
        <v>1347</v>
      </c>
      <c r="H1731" s="1111" t="s">
        <v>1348</v>
      </c>
      <c r="I1731" s="1002" t="s">
        <v>1118</v>
      </c>
      <c r="J1731" s="1007" t="s">
        <v>1146</v>
      </c>
      <c r="K1731" s="1064" t="s">
        <v>1148</v>
      </c>
      <c r="L1731" s="1002" t="s">
        <v>18</v>
      </c>
      <c r="M1731" s="1093">
        <v>1</v>
      </c>
      <c r="N1731" s="1107">
        <v>611111.11</v>
      </c>
      <c r="O1731" s="1107">
        <f t="shared" ref="O1731" si="287">M1731*N1731</f>
        <v>611111.11</v>
      </c>
      <c r="P1731" s="1107">
        <f t="shared" ref="P1731:P1735" si="288">O1731*8%</f>
        <v>48888.888800000001</v>
      </c>
      <c r="Q1731" s="1206">
        <f t="shared" si="282"/>
        <v>659999.99879999994</v>
      </c>
      <c r="V1731" s="1107">
        <f t="shared" si="277"/>
        <v>659999.99879999994</v>
      </c>
    </row>
    <row r="1732" spans="1:23" hidden="1">
      <c r="A1732" s="1000" t="s">
        <v>794</v>
      </c>
      <c r="B1732" s="1001" t="s">
        <v>804</v>
      </c>
      <c r="C1732" s="1066">
        <v>46276</v>
      </c>
      <c r="D1732" s="1066">
        <v>46279</v>
      </c>
      <c r="H1732" s="1111"/>
      <c r="I1732" s="1002" t="s">
        <v>760</v>
      </c>
      <c r="M1732" s="1093"/>
      <c r="N1732" s="1081"/>
      <c r="P1732" s="1081">
        <f t="shared" si="288"/>
        <v>0</v>
      </c>
      <c r="Q1732" s="1082">
        <f t="shared" ref="Q1732:Q1735" si="289">O1732+P1732</f>
        <v>0</v>
      </c>
      <c r="S1732" s="1107">
        <v>660000</v>
      </c>
      <c r="V1732" s="1107">
        <f t="shared" si="277"/>
        <v>-660000</v>
      </c>
      <c r="W1732" s="1005" t="s">
        <v>1123</v>
      </c>
    </row>
    <row r="1733" spans="1:23" hidden="1">
      <c r="A1733" s="1000" t="s">
        <v>734</v>
      </c>
      <c r="B1733" s="1001" t="s">
        <v>745</v>
      </c>
      <c r="C1733" s="1066">
        <v>46280</v>
      </c>
      <c r="D1733" s="1066">
        <v>46280</v>
      </c>
      <c r="H1733" s="1111"/>
      <c r="I1733" s="1002" t="s">
        <v>844</v>
      </c>
      <c r="M1733" s="1093"/>
      <c r="N1733" s="1081"/>
      <c r="P1733" s="1081">
        <f t="shared" si="288"/>
        <v>0</v>
      </c>
      <c r="Q1733" s="1082">
        <f t="shared" si="289"/>
        <v>0</v>
      </c>
      <c r="R1733" s="1107">
        <v>12640000</v>
      </c>
      <c r="V1733" s="1107">
        <f t="shared" si="277"/>
        <v>-12640000</v>
      </c>
    </row>
    <row r="1734" spans="1:23" hidden="1">
      <c r="A1734" s="1040" t="s">
        <v>1150</v>
      </c>
      <c r="B1734" s="1001" t="s">
        <v>1271</v>
      </c>
      <c r="C1734" s="1066">
        <v>46279</v>
      </c>
      <c r="D1734" s="1066">
        <v>46280</v>
      </c>
      <c r="E1734" s="1005" t="s">
        <v>1149</v>
      </c>
      <c r="H1734" s="1111"/>
      <c r="I1734" s="1002" t="s">
        <v>1390</v>
      </c>
      <c r="J1734" s="1007" t="s">
        <v>873</v>
      </c>
      <c r="K1734" s="1064" t="s">
        <v>874</v>
      </c>
      <c r="L1734" s="1002" t="s">
        <v>18</v>
      </c>
      <c r="M1734" s="1093">
        <v>1</v>
      </c>
      <c r="N1734" s="1081">
        <v>0</v>
      </c>
      <c r="O1734" s="1081">
        <f>M1734*N1734</f>
        <v>0</v>
      </c>
      <c r="P1734" s="1081">
        <f t="shared" si="288"/>
        <v>0</v>
      </c>
      <c r="Q1734" s="1221">
        <f t="shared" si="289"/>
        <v>0</v>
      </c>
      <c r="V1734" s="1107">
        <f t="shared" ref="V1734:V1777" si="290">Q1734-R1734-S1734-T1734-U1734</f>
        <v>0</v>
      </c>
    </row>
    <row r="1735" spans="1:23" hidden="1">
      <c r="A1735" s="1040" t="s">
        <v>1150</v>
      </c>
      <c r="B1735" s="1001" t="s">
        <v>1271</v>
      </c>
      <c r="C1735" s="1066">
        <v>46279</v>
      </c>
      <c r="D1735" s="1066">
        <v>46280</v>
      </c>
      <c r="E1735" s="1005" t="s">
        <v>1149</v>
      </c>
      <c r="H1735" s="1111"/>
      <c r="I1735" s="1002" t="s">
        <v>1390</v>
      </c>
      <c r="J1735" s="1007" t="s">
        <v>796</v>
      </c>
      <c r="K1735" s="1064" t="s">
        <v>797</v>
      </c>
      <c r="L1735" s="1002" t="s">
        <v>18</v>
      </c>
      <c r="M1735" s="1093">
        <v>1</v>
      </c>
      <c r="N1735" s="1081">
        <v>0</v>
      </c>
      <c r="O1735" s="1223">
        <f>M1735*N1735</f>
        <v>0</v>
      </c>
      <c r="P1735" s="1082">
        <f t="shared" si="288"/>
        <v>0</v>
      </c>
      <c r="Q1735" s="1206">
        <f t="shared" si="289"/>
        <v>0</v>
      </c>
      <c r="V1735" s="1107">
        <f t="shared" si="290"/>
        <v>0</v>
      </c>
    </row>
    <row r="1736" spans="1:23" ht="31.5" hidden="1">
      <c r="A1736" s="1039" t="s">
        <v>968</v>
      </c>
      <c r="B1736" s="1039" t="s">
        <v>1063</v>
      </c>
      <c r="C1736" s="1066">
        <v>46279</v>
      </c>
      <c r="D1736" s="1066">
        <v>46280</v>
      </c>
      <c r="E1736" s="1005" t="s">
        <v>1186</v>
      </c>
      <c r="F1736" s="1066">
        <v>46284</v>
      </c>
      <c r="H1736" s="1111" t="s">
        <v>1247</v>
      </c>
      <c r="I1736" s="1002" t="s">
        <v>1168</v>
      </c>
      <c r="J1736" s="1007" t="s">
        <v>56</v>
      </c>
      <c r="K1736" s="1064" t="s">
        <v>57</v>
      </c>
      <c r="L1736" s="1002" t="s">
        <v>18</v>
      </c>
      <c r="M1736" s="1093">
        <v>12</v>
      </c>
      <c r="N1736" s="1107">
        <v>361111.11</v>
      </c>
      <c r="O1736" s="1223">
        <f>M1736*N1736</f>
        <v>4333333.32</v>
      </c>
      <c r="P1736" s="1107">
        <f t="shared" ref="P1736:P1760" si="291">O1736*8%</f>
        <v>346666.66560000001</v>
      </c>
      <c r="Q1736" s="1083">
        <f t="shared" ref="Q1736:Q1760" si="292">O1736+P1736</f>
        <v>4679999.9856000002</v>
      </c>
      <c r="V1736" s="1107">
        <f t="shared" si="290"/>
        <v>4679999.9856000002</v>
      </c>
    </row>
    <row r="1737" spans="1:23">
      <c r="A1737" s="1007" t="s">
        <v>944</v>
      </c>
      <c r="B1737" s="1001" t="s">
        <v>869</v>
      </c>
      <c r="C1737" s="1066">
        <v>46280</v>
      </c>
      <c r="D1737" s="1066">
        <v>46280</v>
      </c>
      <c r="E1737" s="1005" t="s">
        <v>1173</v>
      </c>
      <c r="H1737" s="1111"/>
      <c r="I1737" s="1002" t="s">
        <v>1174</v>
      </c>
      <c r="J1737" s="1061" t="s">
        <v>90</v>
      </c>
      <c r="K1737" s="1061" t="s">
        <v>1140</v>
      </c>
      <c r="L1737" s="1002" t="s">
        <v>18</v>
      </c>
      <c r="M1737" s="1093">
        <v>-10</v>
      </c>
      <c r="N1737" s="1081">
        <v>814814.81</v>
      </c>
      <c r="O1737" s="1081">
        <f t="shared" ref="O1737:O1741" si="293">M1737*N1737</f>
        <v>-8148148.1000000006</v>
      </c>
      <c r="P1737" s="1081">
        <f t="shared" si="291"/>
        <v>-651851.84800000011</v>
      </c>
      <c r="Q1737" s="1082">
        <f t="shared" si="292"/>
        <v>-8799999.9480000008</v>
      </c>
      <c r="V1737" s="1107">
        <f t="shared" si="290"/>
        <v>-8799999.9480000008</v>
      </c>
    </row>
    <row r="1738" spans="1:23">
      <c r="A1738" s="1007" t="s">
        <v>944</v>
      </c>
      <c r="B1738" s="1001" t="s">
        <v>869</v>
      </c>
      <c r="C1738" s="1066">
        <v>46280</v>
      </c>
      <c r="D1738" s="1066">
        <v>46281</v>
      </c>
      <c r="E1738" s="1005" t="s">
        <v>1173</v>
      </c>
      <c r="H1738" s="1111"/>
      <c r="I1738" s="1002" t="s">
        <v>1174</v>
      </c>
      <c r="J1738" s="1061" t="s">
        <v>93</v>
      </c>
      <c r="K1738" s="1061" t="s">
        <v>1169</v>
      </c>
      <c r="L1738" s="1002" t="s">
        <v>18</v>
      </c>
      <c r="M1738" s="1093">
        <v>-10</v>
      </c>
      <c r="N1738" s="1081">
        <v>907407.4</v>
      </c>
      <c r="O1738" s="1081">
        <f t="shared" si="293"/>
        <v>-9074074</v>
      </c>
      <c r="P1738" s="1081">
        <f t="shared" si="291"/>
        <v>-725925.92</v>
      </c>
      <c r="Q1738" s="1082">
        <f t="shared" si="292"/>
        <v>-9799999.9199999999</v>
      </c>
      <c r="V1738" s="1107">
        <f t="shared" si="290"/>
        <v>-9799999.9199999999</v>
      </c>
    </row>
    <row r="1739" spans="1:23">
      <c r="A1739" s="1007" t="s">
        <v>944</v>
      </c>
      <c r="B1739" s="1001" t="s">
        <v>869</v>
      </c>
      <c r="C1739" s="1066">
        <v>46280</v>
      </c>
      <c r="D1739" s="1066">
        <v>46281</v>
      </c>
      <c r="E1739" s="1005" t="s">
        <v>1173</v>
      </c>
      <c r="H1739" s="1111"/>
      <c r="I1739" s="1002" t="s">
        <v>1174</v>
      </c>
      <c r="J1739" s="1061" t="s">
        <v>194</v>
      </c>
      <c r="K1739" s="1067" t="s">
        <v>1170</v>
      </c>
      <c r="L1739" s="1002" t="s">
        <v>18</v>
      </c>
      <c r="M1739" s="1093">
        <v>-4</v>
      </c>
      <c r="N1739" s="1081">
        <v>1203703</v>
      </c>
      <c r="O1739" s="1081">
        <f t="shared" si="293"/>
        <v>-4814812</v>
      </c>
      <c r="P1739" s="1081">
        <f t="shared" si="291"/>
        <v>-385184.96</v>
      </c>
      <c r="Q1739" s="1082">
        <f t="shared" si="292"/>
        <v>-5199996.96</v>
      </c>
      <c r="V1739" s="1107">
        <f t="shared" si="290"/>
        <v>-5199996.96</v>
      </c>
    </row>
    <row r="1740" spans="1:23">
      <c r="A1740" s="1007" t="s">
        <v>944</v>
      </c>
      <c r="B1740" s="1001" t="s">
        <v>869</v>
      </c>
      <c r="C1740" s="1066">
        <v>46280</v>
      </c>
      <c r="D1740" s="1066">
        <v>46279</v>
      </c>
      <c r="E1740" s="1005" t="s">
        <v>1173</v>
      </c>
      <c r="H1740" s="1111"/>
      <c r="I1740" s="1002" t="s">
        <v>1174</v>
      </c>
      <c r="J1740" s="1061" t="s">
        <v>58</v>
      </c>
      <c r="K1740" s="1067" t="s">
        <v>1171</v>
      </c>
      <c r="L1740" s="1002" t="s">
        <v>18</v>
      </c>
      <c r="M1740" s="1093">
        <v>-4</v>
      </c>
      <c r="N1740" s="1081">
        <v>1361111</v>
      </c>
      <c r="O1740" s="1081">
        <f t="shared" si="293"/>
        <v>-5444444</v>
      </c>
      <c r="P1740" s="1081">
        <f t="shared" si="291"/>
        <v>-435555.52</v>
      </c>
      <c r="Q1740" s="1082">
        <f t="shared" si="292"/>
        <v>-5879999.5199999996</v>
      </c>
      <c r="V1740" s="1107">
        <f t="shared" si="290"/>
        <v>-5879999.5199999996</v>
      </c>
    </row>
    <row r="1741" spans="1:23">
      <c r="A1741" s="1007" t="s">
        <v>944</v>
      </c>
      <c r="B1741" s="1001" t="s">
        <v>869</v>
      </c>
      <c r="C1741" s="1066">
        <v>46280</v>
      </c>
      <c r="D1741" s="1066">
        <v>46279</v>
      </c>
      <c r="E1741" s="1005" t="s">
        <v>1173</v>
      </c>
      <c r="H1741" s="1111"/>
      <c r="I1741" s="1002" t="s">
        <v>1174</v>
      </c>
      <c r="J1741" s="1061" t="s">
        <v>424</v>
      </c>
      <c r="K1741" s="1067" t="s">
        <v>1172</v>
      </c>
      <c r="L1741" s="1002" t="s">
        <v>18</v>
      </c>
      <c r="M1741" s="1093">
        <v>-1</v>
      </c>
      <c r="N1741" s="1081">
        <v>882407.41</v>
      </c>
      <c r="O1741" s="1081">
        <f t="shared" si="293"/>
        <v>-882407.41</v>
      </c>
      <c r="P1741" s="1081">
        <f t="shared" si="291"/>
        <v>-70592.592799999999</v>
      </c>
      <c r="Q1741" s="1082">
        <f t="shared" si="292"/>
        <v>-953000.00280000002</v>
      </c>
      <c r="V1741" s="1107">
        <f t="shared" si="290"/>
        <v>-953000.00280000002</v>
      </c>
    </row>
    <row r="1742" spans="1:23" hidden="1">
      <c r="A1742" s="1000" t="s">
        <v>712</v>
      </c>
      <c r="B1742" s="1001" t="s">
        <v>1502</v>
      </c>
      <c r="C1742" s="1066">
        <v>46281</v>
      </c>
      <c r="D1742" s="1066">
        <v>46279</v>
      </c>
      <c r="H1742" s="1111"/>
      <c r="I1742" s="1002" t="s">
        <v>844</v>
      </c>
      <c r="M1742" s="1093"/>
      <c r="N1742" s="1081"/>
      <c r="P1742" s="1081">
        <f t="shared" si="291"/>
        <v>0</v>
      </c>
      <c r="Q1742" s="1082">
        <f t="shared" si="292"/>
        <v>0</v>
      </c>
      <c r="R1742" s="1107">
        <v>2700000</v>
      </c>
      <c r="V1742" s="1107">
        <f t="shared" si="290"/>
        <v>-2700000</v>
      </c>
    </row>
    <row r="1743" spans="1:23" hidden="1">
      <c r="A1743" s="1000" t="s">
        <v>753</v>
      </c>
      <c r="B1743" s="1001" t="s">
        <v>754</v>
      </c>
      <c r="C1743" s="1066">
        <v>46281</v>
      </c>
      <c r="D1743" s="1066">
        <v>46279</v>
      </c>
      <c r="H1743" s="1111"/>
      <c r="I1743" s="1002" t="s">
        <v>760</v>
      </c>
      <c r="M1743" s="1093"/>
      <c r="N1743" s="1081"/>
      <c r="P1743" s="1081">
        <f t="shared" si="291"/>
        <v>0</v>
      </c>
      <c r="Q1743" s="1082">
        <f t="shared" si="292"/>
        <v>0</v>
      </c>
      <c r="S1743" s="1107">
        <v>820000</v>
      </c>
      <c r="V1743" s="1107">
        <f t="shared" si="290"/>
        <v>-820000</v>
      </c>
    </row>
    <row r="1744" spans="1:23" hidden="1">
      <c r="A1744" s="1000" t="s">
        <v>1175</v>
      </c>
      <c r="B1744" s="1000" t="s">
        <v>1188</v>
      </c>
      <c r="C1744" s="1066">
        <v>46279</v>
      </c>
      <c r="D1744" s="1066">
        <v>46279</v>
      </c>
      <c r="E1744" s="1005" t="s">
        <v>1178</v>
      </c>
      <c r="H1744" s="1111"/>
      <c r="I1744" s="1002" t="s">
        <v>1177</v>
      </c>
      <c r="J1744" s="1005" t="s">
        <v>204</v>
      </c>
      <c r="K1744" s="1002" t="s">
        <v>269</v>
      </c>
      <c r="L1744" s="1002" t="s">
        <v>18</v>
      </c>
      <c r="M1744" s="1093">
        <v>2</v>
      </c>
      <c r="N1744" s="1107">
        <v>526851.85</v>
      </c>
      <c r="O1744" s="1107">
        <f>M1744*N1744</f>
        <v>1053703.7</v>
      </c>
      <c r="P1744" s="1107">
        <f t="shared" si="291"/>
        <v>84296.296000000002</v>
      </c>
      <c r="Q1744" s="1083">
        <f t="shared" si="292"/>
        <v>1137999.996</v>
      </c>
      <c r="V1744" s="1107">
        <f t="shared" si="290"/>
        <v>1137999.996</v>
      </c>
    </row>
    <row r="1745" spans="1:23" hidden="1">
      <c r="A1745" s="1000" t="s">
        <v>1175</v>
      </c>
      <c r="B1745" s="1001" t="s">
        <v>1188</v>
      </c>
      <c r="C1745" s="1066">
        <v>46279</v>
      </c>
      <c r="D1745" s="1066">
        <v>46279</v>
      </c>
      <c r="E1745" s="1005" t="s">
        <v>1178</v>
      </c>
      <c r="H1745" s="1111"/>
      <c r="I1745" s="1002" t="s">
        <v>1177</v>
      </c>
      <c r="J1745" s="1005" t="s">
        <v>208</v>
      </c>
      <c r="K1745" s="1002" t="s">
        <v>1127</v>
      </c>
      <c r="L1745" s="1002" t="s">
        <v>18</v>
      </c>
      <c r="M1745" s="1093">
        <v>2</v>
      </c>
      <c r="N1745" s="1081">
        <v>693518.52</v>
      </c>
      <c r="O1745" s="1081">
        <f>M1745*N1745</f>
        <v>1387037.04</v>
      </c>
      <c r="P1745" s="1081">
        <f t="shared" si="291"/>
        <v>110962.9632</v>
      </c>
      <c r="Q1745" s="1206">
        <f t="shared" si="292"/>
        <v>1498000.0032000002</v>
      </c>
      <c r="V1745" s="1107">
        <f t="shared" si="290"/>
        <v>1498000.0032000002</v>
      </c>
    </row>
    <row r="1746" spans="1:23" hidden="1">
      <c r="A1746" s="1000" t="s">
        <v>1175</v>
      </c>
      <c r="B1746" s="1001" t="s">
        <v>1188</v>
      </c>
      <c r="C1746" s="1066">
        <v>46279</v>
      </c>
      <c r="D1746" s="1066">
        <v>46279</v>
      </c>
      <c r="E1746" s="1005" t="s">
        <v>1178</v>
      </c>
      <c r="H1746" s="1111"/>
      <c r="I1746" s="1002" t="s">
        <v>1177</v>
      </c>
      <c r="J1746" s="1005" t="s">
        <v>77</v>
      </c>
      <c r="K1746" s="1002" t="s">
        <v>1176</v>
      </c>
      <c r="L1746" s="1002" t="s">
        <v>18</v>
      </c>
      <c r="M1746" s="1093">
        <v>2</v>
      </c>
      <c r="N1746" s="1081">
        <v>370370.37</v>
      </c>
      <c r="O1746" s="1081">
        <f>M1746*N1746</f>
        <v>740740.74</v>
      </c>
      <c r="P1746" s="1081">
        <f t="shared" si="291"/>
        <v>59259.2592</v>
      </c>
      <c r="Q1746" s="1206">
        <f t="shared" si="292"/>
        <v>799999.99919999996</v>
      </c>
      <c r="V1746" s="1107">
        <f t="shared" si="290"/>
        <v>799999.99919999996</v>
      </c>
    </row>
    <row r="1747" spans="1:23" hidden="1">
      <c r="A1747" s="1000" t="s">
        <v>1175</v>
      </c>
      <c r="B1747" s="1001" t="s">
        <v>1188</v>
      </c>
      <c r="C1747" s="1066">
        <v>46279</v>
      </c>
      <c r="D1747" s="1066">
        <v>46279</v>
      </c>
      <c r="E1747" s="1005" t="s">
        <v>1178</v>
      </c>
      <c r="H1747" s="1111"/>
      <c r="I1747" s="1002" t="s">
        <v>1177</v>
      </c>
      <c r="J1747" s="1005" t="s">
        <v>258</v>
      </c>
      <c r="K1747" s="1002" t="s">
        <v>259</v>
      </c>
      <c r="L1747" s="1002" t="s">
        <v>18</v>
      </c>
      <c r="M1747" s="1093">
        <v>2</v>
      </c>
      <c r="N1747" s="1081">
        <v>518518.52</v>
      </c>
      <c r="O1747" s="1081">
        <f t="shared" ref="O1747:O1749" si="294">M1747*N1747</f>
        <v>1037037.04</v>
      </c>
      <c r="P1747" s="1081">
        <f t="shared" si="291"/>
        <v>82962.963199999998</v>
      </c>
      <c r="Q1747" s="1206">
        <f t="shared" si="292"/>
        <v>1120000.0032000002</v>
      </c>
      <c r="V1747" s="1107">
        <f t="shared" si="290"/>
        <v>1120000.0032000002</v>
      </c>
    </row>
    <row r="1748" spans="1:23" hidden="1">
      <c r="A1748" s="1000" t="s">
        <v>1175</v>
      </c>
      <c r="B1748" s="1001" t="s">
        <v>1188</v>
      </c>
      <c r="C1748" s="1066">
        <v>46279</v>
      </c>
      <c r="D1748" s="1066">
        <v>46279</v>
      </c>
      <c r="E1748" s="1005" t="s">
        <v>1178</v>
      </c>
      <c r="H1748" s="1111"/>
      <c r="I1748" s="1002" t="s">
        <v>1177</v>
      </c>
      <c r="J1748" s="1005" t="s">
        <v>959</v>
      </c>
      <c r="K1748" s="1002" t="s">
        <v>960</v>
      </c>
      <c r="L1748" s="1002" t="s">
        <v>18</v>
      </c>
      <c r="M1748" s="1093">
        <v>2</v>
      </c>
      <c r="N1748" s="1081">
        <v>129629.63</v>
      </c>
      <c r="O1748" s="1081">
        <f t="shared" si="294"/>
        <v>259259.26</v>
      </c>
      <c r="P1748" s="1081">
        <f t="shared" si="291"/>
        <v>20740.7408</v>
      </c>
      <c r="Q1748" s="1206">
        <f t="shared" si="292"/>
        <v>280000.00080000004</v>
      </c>
      <c r="V1748" s="1107">
        <f t="shared" si="290"/>
        <v>280000.00080000004</v>
      </c>
    </row>
    <row r="1749" spans="1:23" hidden="1">
      <c r="A1749" s="1000" t="s">
        <v>1175</v>
      </c>
      <c r="B1749" s="1001" t="s">
        <v>1188</v>
      </c>
      <c r="C1749" s="1066">
        <v>46279</v>
      </c>
      <c r="D1749" s="1066">
        <v>46279</v>
      </c>
      <c r="E1749" s="1005" t="s">
        <v>1178</v>
      </c>
      <c r="H1749" s="1111"/>
      <c r="I1749" s="1002" t="s">
        <v>1177</v>
      </c>
      <c r="J1749" s="1005" t="s">
        <v>68</v>
      </c>
      <c r="K1749" s="1002" t="s">
        <v>69</v>
      </c>
      <c r="L1749" s="1002" t="s">
        <v>18</v>
      </c>
      <c r="M1749" s="1093">
        <v>2</v>
      </c>
      <c r="N1749" s="1081">
        <v>148148.15</v>
      </c>
      <c r="O1749" s="1081">
        <f t="shared" si="294"/>
        <v>296296.3</v>
      </c>
      <c r="P1749" s="1081">
        <f t="shared" si="291"/>
        <v>23703.703999999998</v>
      </c>
      <c r="Q1749" s="1206">
        <f t="shared" si="292"/>
        <v>320000.00399999996</v>
      </c>
      <c r="V1749" s="1107">
        <f t="shared" si="290"/>
        <v>320000.00399999996</v>
      </c>
    </row>
    <row r="1750" spans="1:23" hidden="1">
      <c r="A1750" s="1000" t="s">
        <v>1175</v>
      </c>
      <c r="B1750" s="1001" t="s">
        <v>1188</v>
      </c>
      <c r="C1750" s="1066">
        <v>46279</v>
      </c>
      <c r="D1750" s="1066">
        <v>46279</v>
      </c>
      <c r="E1750" s="1005" t="s">
        <v>1178</v>
      </c>
      <c r="H1750" s="1111"/>
      <c r="I1750" s="1002" t="s">
        <v>1177</v>
      </c>
      <c r="J1750" s="1005" t="s">
        <v>180</v>
      </c>
      <c r="K1750" s="1002" t="s">
        <v>181</v>
      </c>
      <c r="L1750" s="1002" t="s">
        <v>18</v>
      </c>
      <c r="M1750" s="1093">
        <v>2</v>
      </c>
      <c r="N1750" s="1081">
        <v>252777.78</v>
      </c>
      <c r="O1750" s="1081">
        <f>M1750*N1750</f>
        <v>505555.56</v>
      </c>
      <c r="P1750" s="1081">
        <f t="shared" si="291"/>
        <v>40444.444799999997</v>
      </c>
      <c r="Q1750" s="1206">
        <f t="shared" si="292"/>
        <v>546000.0048</v>
      </c>
      <c r="V1750" s="1107">
        <f t="shared" si="290"/>
        <v>546000.0048</v>
      </c>
    </row>
    <row r="1751" spans="1:23" hidden="1">
      <c r="A1751" s="1000" t="s">
        <v>1175</v>
      </c>
      <c r="B1751" s="1001" t="s">
        <v>1188</v>
      </c>
      <c r="C1751" s="1066">
        <v>46279</v>
      </c>
      <c r="D1751" s="1066">
        <v>46279</v>
      </c>
      <c r="E1751" s="1005" t="s">
        <v>1178</v>
      </c>
      <c r="H1751" s="1111"/>
      <c r="I1751" s="1002" t="s">
        <v>1177</v>
      </c>
      <c r="J1751" s="1005" t="s">
        <v>26</v>
      </c>
      <c r="K1751" s="1002" t="s">
        <v>27</v>
      </c>
      <c r="L1751" s="1002" t="s">
        <v>18</v>
      </c>
      <c r="M1751" s="1093">
        <v>2</v>
      </c>
      <c r="N1751" s="1081">
        <v>275000</v>
      </c>
      <c r="O1751" s="1081">
        <f t="shared" ref="O1751:O1759" si="295">M1751*N1751</f>
        <v>550000</v>
      </c>
      <c r="P1751" s="1081">
        <f t="shared" si="291"/>
        <v>44000</v>
      </c>
      <c r="Q1751" s="1206">
        <f t="shared" si="292"/>
        <v>594000</v>
      </c>
      <c r="V1751" s="1107">
        <f t="shared" si="290"/>
        <v>594000</v>
      </c>
    </row>
    <row r="1752" spans="1:23" hidden="1">
      <c r="A1752" s="1000" t="s">
        <v>1175</v>
      </c>
      <c r="B1752" s="1001" t="s">
        <v>1188</v>
      </c>
      <c r="C1752" s="1066">
        <v>46279</v>
      </c>
      <c r="D1752" s="1066">
        <v>46279</v>
      </c>
      <c r="E1752" s="1005" t="s">
        <v>1178</v>
      </c>
      <c r="H1752" s="1111"/>
      <c r="I1752" s="1002" t="s">
        <v>1177</v>
      </c>
      <c r="J1752" s="1005" t="s">
        <v>184</v>
      </c>
      <c r="K1752" s="1002" t="s">
        <v>272</v>
      </c>
      <c r="L1752" s="1002" t="s">
        <v>18</v>
      </c>
      <c r="M1752" s="1093">
        <v>2</v>
      </c>
      <c r="N1752" s="1081">
        <v>259259.26</v>
      </c>
      <c r="O1752" s="1081">
        <f t="shared" si="295"/>
        <v>518518.52</v>
      </c>
      <c r="P1752" s="1081">
        <f t="shared" si="291"/>
        <v>41481.481599999999</v>
      </c>
      <c r="Q1752" s="1206">
        <f t="shared" si="292"/>
        <v>560000.00160000008</v>
      </c>
      <c r="V1752" s="1107">
        <f t="shared" si="290"/>
        <v>560000.00160000008</v>
      </c>
    </row>
    <row r="1753" spans="1:23" hidden="1">
      <c r="A1753" s="1000" t="s">
        <v>1175</v>
      </c>
      <c r="B1753" s="1001" t="s">
        <v>1188</v>
      </c>
      <c r="C1753" s="1066">
        <v>46279</v>
      </c>
      <c r="D1753" s="1066">
        <v>46281</v>
      </c>
      <c r="E1753" s="1005" t="s">
        <v>1178</v>
      </c>
      <c r="H1753" s="1111"/>
      <c r="I1753" s="1002" t="s">
        <v>1177</v>
      </c>
      <c r="J1753" s="1005" t="s">
        <v>83</v>
      </c>
      <c r="K1753" s="1002" t="s">
        <v>84</v>
      </c>
      <c r="L1753" s="1002" t="s">
        <v>18</v>
      </c>
      <c r="M1753" s="1093">
        <v>2</v>
      </c>
      <c r="N1753" s="1081">
        <v>1143518.52</v>
      </c>
      <c r="O1753" s="1081">
        <f t="shared" si="295"/>
        <v>2287037.04</v>
      </c>
      <c r="P1753" s="1081">
        <f t="shared" si="291"/>
        <v>182962.9632</v>
      </c>
      <c r="Q1753" s="1206">
        <f t="shared" si="292"/>
        <v>2470000.0032000002</v>
      </c>
      <c r="V1753" s="1107">
        <f t="shared" si="290"/>
        <v>2470000.0032000002</v>
      </c>
    </row>
    <row r="1754" spans="1:23" hidden="1">
      <c r="A1754" s="1000" t="s">
        <v>1175</v>
      </c>
      <c r="B1754" s="1001" t="s">
        <v>1188</v>
      </c>
      <c r="C1754" s="1066">
        <v>46279</v>
      </c>
      <c r="D1754" s="1066">
        <v>46281</v>
      </c>
      <c r="E1754" s="1005" t="s">
        <v>1178</v>
      </c>
      <c r="H1754" s="1111"/>
      <c r="I1754" s="1002" t="s">
        <v>1177</v>
      </c>
      <c r="J1754" s="1005" t="s">
        <v>16</v>
      </c>
      <c r="K1754" s="1002" t="s">
        <v>17</v>
      </c>
      <c r="L1754" s="1002" t="s">
        <v>18</v>
      </c>
      <c r="M1754" s="1093">
        <v>2</v>
      </c>
      <c r="N1754" s="1081">
        <v>898148.15</v>
      </c>
      <c r="O1754" s="1081">
        <f t="shared" si="295"/>
        <v>1796296.3</v>
      </c>
      <c r="P1754" s="1081">
        <f t="shared" si="291"/>
        <v>143703.704</v>
      </c>
      <c r="Q1754" s="1206">
        <f t="shared" si="292"/>
        <v>1940000.004</v>
      </c>
      <c r="V1754" s="1107">
        <f t="shared" si="290"/>
        <v>1940000.004</v>
      </c>
    </row>
    <row r="1755" spans="1:23" hidden="1">
      <c r="A1755" s="1000" t="s">
        <v>1175</v>
      </c>
      <c r="B1755" s="1001" t="s">
        <v>1188</v>
      </c>
      <c r="C1755" s="1066">
        <v>46279</v>
      </c>
      <c r="D1755" s="1066">
        <v>46281</v>
      </c>
      <c r="E1755" s="1005" t="s">
        <v>1178</v>
      </c>
      <c r="H1755" s="1111"/>
      <c r="I1755" s="1002" t="s">
        <v>1177</v>
      </c>
      <c r="J1755" s="1005" t="s">
        <v>107</v>
      </c>
      <c r="K1755" s="1002" t="s">
        <v>108</v>
      </c>
      <c r="L1755" s="1002" t="s">
        <v>18</v>
      </c>
      <c r="M1755" s="1093">
        <v>2</v>
      </c>
      <c r="N1755" s="1081">
        <v>376851.85</v>
      </c>
      <c r="O1755" s="1081">
        <f t="shared" si="295"/>
        <v>753703.7</v>
      </c>
      <c r="P1755" s="1081">
        <f t="shared" si="291"/>
        <v>60296.295999999995</v>
      </c>
      <c r="Q1755" s="1206">
        <f t="shared" si="292"/>
        <v>813999.99599999993</v>
      </c>
      <c r="V1755" s="1107">
        <f t="shared" si="290"/>
        <v>813999.99599999993</v>
      </c>
    </row>
    <row r="1756" spans="1:23" hidden="1">
      <c r="A1756" s="1000" t="s">
        <v>1175</v>
      </c>
      <c r="B1756" s="1001" t="s">
        <v>1188</v>
      </c>
      <c r="C1756" s="1066">
        <v>46279</v>
      </c>
      <c r="D1756" s="1066">
        <v>46283</v>
      </c>
      <c r="E1756" s="1005" t="s">
        <v>1178</v>
      </c>
      <c r="H1756" s="1111"/>
      <c r="I1756" s="1002" t="s">
        <v>1177</v>
      </c>
      <c r="J1756" s="1005" t="s">
        <v>127</v>
      </c>
      <c r="K1756" s="1002" t="s">
        <v>128</v>
      </c>
      <c r="L1756" s="1002" t="s">
        <v>18</v>
      </c>
      <c r="M1756" s="1093">
        <v>2</v>
      </c>
      <c r="N1756" s="1081">
        <v>312037.03999999998</v>
      </c>
      <c r="O1756" s="1081">
        <f t="shared" si="295"/>
        <v>624074.07999999996</v>
      </c>
      <c r="P1756" s="1081">
        <f t="shared" si="291"/>
        <v>49925.926399999997</v>
      </c>
      <c r="Q1756" s="1206">
        <f t="shared" si="292"/>
        <v>674000.00639999995</v>
      </c>
      <c r="V1756" s="1107">
        <f t="shared" si="290"/>
        <v>674000.00639999995</v>
      </c>
    </row>
    <row r="1757" spans="1:23" hidden="1">
      <c r="A1757" s="1000" t="s">
        <v>966</v>
      </c>
      <c r="B1757" s="1029" t="s">
        <v>1498</v>
      </c>
      <c r="C1757" s="1066">
        <v>46281</v>
      </c>
      <c r="D1757" s="1066">
        <v>46282</v>
      </c>
      <c r="E1757" s="1005" t="s">
        <v>1182</v>
      </c>
      <c r="H1757" s="1111"/>
      <c r="I1757" s="1002" t="s">
        <v>1499</v>
      </c>
      <c r="J1757" s="1007" t="s">
        <v>23</v>
      </c>
      <c r="K1757" s="1007" t="s">
        <v>82</v>
      </c>
      <c r="L1757" s="1002" t="s">
        <v>18</v>
      </c>
      <c r="M1757" s="1093">
        <v>1</v>
      </c>
      <c r="N1757" s="1107">
        <v>1185185.18</v>
      </c>
      <c r="O1757" s="1223">
        <f t="shared" si="295"/>
        <v>1185185.18</v>
      </c>
      <c r="P1757" s="1107">
        <f t="shared" si="291"/>
        <v>94814.814400000003</v>
      </c>
      <c r="Q1757" s="1083">
        <f t="shared" si="292"/>
        <v>1279999.9944</v>
      </c>
      <c r="V1757" s="1107">
        <f t="shared" si="290"/>
        <v>1279999.9944</v>
      </c>
    </row>
    <row r="1758" spans="1:23" hidden="1">
      <c r="A1758" s="1000" t="s">
        <v>966</v>
      </c>
      <c r="B1758" s="1028" t="s">
        <v>1498</v>
      </c>
      <c r="C1758" s="1066">
        <v>46281</v>
      </c>
      <c r="D1758" s="1066">
        <v>46282</v>
      </c>
      <c r="E1758" s="1005" t="s">
        <v>1182</v>
      </c>
      <c r="H1758" s="1111"/>
      <c r="I1758" s="1002" t="s">
        <v>1499</v>
      </c>
      <c r="J1758" s="1007" t="s">
        <v>52</v>
      </c>
      <c r="K1758" s="1007" t="s">
        <v>53</v>
      </c>
      <c r="L1758" s="1002" t="s">
        <v>18</v>
      </c>
      <c r="M1758" s="1093">
        <v>2</v>
      </c>
      <c r="N1758" s="1081">
        <v>1007407.41</v>
      </c>
      <c r="O1758" s="1223">
        <f t="shared" si="295"/>
        <v>2014814.82</v>
      </c>
      <c r="P1758" s="1081">
        <f t="shared" si="291"/>
        <v>161185.1856</v>
      </c>
      <c r="Q1758" s="1206">
        <f t="shared" si="292"/>
        <v>2176000.0056000003</v>
      </c>
      <c r="V1758" s="1107">
        <f t="shared" si="290"/>
        <v>2176000.0056000003</v>
      </c>
    </row>
    <row r="1759" spans="1:23" hidden="1">
      <c r="A1759" s="1000" t="s">
        <v>966</v>
      </c>
      <c r="B1759" s="1028" t="s">
        <v>1498</v>
      </c>
      <c r="C1759" s="1066">
        <v>46281</v>
      </c>
      <c r="D1759" s="1066">
        <v>46279</v>
      </c>
      <c r="E1759" s="1005" t="s">
        <v>1182</v>
      </c>
      <c r="H1759" s="1111"/>
      <c r="I1759" s="1002" t="s">
        <v>862</v>
      </c>
      <c r="J1759" s="1007" t="s">
        <v>959</v>
      </c>
      <c r="K1759" s="1007" t="s">
        <v>960</v>
      </c>
      <c r="L1759" s="1002" t="s">
        <v>18</v>
      </c>
      <c r="M1759" s="1093">
        <v>2</v>
      </c>
      <c r="N1759" s="1081">
        <v>0</v>
      </c>
      <c r="O1759" s="1223">
        <f t="shared" si="295"/>
        <v>0</v>
      </c>
      <c r="P1759" s="1081">
        <f t="shared" si="291"/>
        <v>0</v>
      </c>
      <c r="Q1759" s="1206">
        <f t="shared" si="292"/>
        <v>0</v>
      </c>
      <c r="V1759" s="1107">
        <f t="shared" si="290"/>
        <v>0</v>
      </c>
      <c r="W1759" s="1038" t="s">
        <v>1189</v>
      </c>
    </row>
    <row r="1760" spans="1:23" hidden="1">
      <c r="A1760" s="1000" t="s">
        <v>966</v>
      </c>
      <c r="B1760" s="1028" t="s">
        <v>1498</v>
      </c>
      <c r="C1760" s="1066">
        <v>46283</v>
      </c>
      <c r="D1760" s="1066">
        <v>46281</v>
      </c>
      <c r="E1760" s="1005" t="s">
        <v>1190</v>
      </c>
      <c r="H1760" s="1111"/>
      <c r="I1760" s="1002" t="s">
        <v>702</v>
      </c>
      <c r="M1760" s="1093"/>
      <c r="N1760" s="1081"/>
      <c r="P1760" s="1081">
        <f t="shared" si="291"/>
        <v>0</v>
      </c>
      <c r="Q1760" s="1082">
        <f t="shared" si="292"/>
        <v>0</v>
      </c>
      <c r="R1760" s="1107">
        <v>1280000</v>
      </c>
      <c r="V1760" s="1107">
        <f t="shared" si="290"/>
        <v>-1280000</v>
      </c>
    </row>
    <row r="1761" spans="1:22" hidden="1">
      <c r="A1761" s="1000" t="s">
        <v>761</v>
      </c>
      <c r="B1761" s="1028" t="s">
        <v>1496</v>
      </c>
      <c r="C1761" s="1066">
        <v>46282</v>
      </c>
      <c r="D1761" s="1066">
        <v>46281</v>
      </c>
      <c r="E1761" s="1005" t="s">
        <v>1179</v>
      </c>
      <c r="H1761" s="1111"/>
      <c r="I1761" s="1002" t="s">
        <v>1511</v>
      </c>
      <c r="J1761" s="1005" t="s">
        <v>83</v>
      </c>
      <c r="K1761" s="1002" t="s">
        <v>1180</v>
      </c>
      <c r="L1761" s="1086" t="s">
        <v>25</v>
      </c>
      <c r="M1761" s="1093">
        <v>-1</v>
      </c>
      <c r="N1761" s="1081">
        <v>0</v>
      </c>
      <c r="O1761" s="1081">
        <f t="shared" ref="O1761:O1763" si="296">M1761*N1761</f>
        <v>0</v>
      </c>
      <c r="P1761" s="1081">
        <f t="shared" ref="P1761:P1769" si="297">O1761*8%</f>
        <v>0</v>
      </c>
      <c r="Q1761" s="1206">
        <f t="shared" ref="Q1761:Q1769" si="298">O1761+P1761</f>
        <v>0</v>
      </c>
      <c r="V1761" s="1107">
        <f t="shared" si="290"/>
        <v>0</v>
      </c>
    </row>
    <row r="1762" spans="1:22" hidden="1">
      <c r="A1762" s="1000" t="s">
        <v>761</v>
      </c>
      <c r="B1762" s="1028" t="s">
        <v>1496</v>
      </c>
      <c r="C1762" s="1066">
        <v>46282</v>
      </c>
      <c r="D1762" s="1066">
        <v>46281</v>
      </c>
      <c r="E1762" s="1005" t="s">
        <v>1184</v>
      </c>
      <c r="H1762" s="1111"/>
      <c r="I1762" s="1002" t="s">
        <v>1181</v>
      </c>
      <c r="J1762" s="1005" t="s">
        <v>83</v>
      </c>
      <c r="K1762" s="1002" t="s">
        <v>1180</v>
      </c>
      <c r="L1762" s="1086" t="s">
        <v>25</v>
      </c>
      <c r="M1762" s="1093">
        <v>1</v>
      </c>
      <c r="N1762" s="1081">
        <v>0</v>
      </c>
      <c r="O1762" s="1081">
        <f t="shared" si="296"/>
        <v>0</v>
      </c>
      <c r="P1762" s="1081">
        <f t="shared" si="297"/>
        <v>0</v>
      </c>
      <c r="Q1762" s="1221">
        <f t="shared" si="298"/>
        <v>0</v>
      </c>
      <c r="V1762" s="1107">
        <f t="shared" si="290"/>
        <v>0</v>
      </c>
    </row>
    <row r="1763" spans="1:22" hidden="1">
      <c r="A1763" s="1000" t="s">
        <v>761</v>
      </c>
      <c r="B1763" s="1028" t="s">
        <v>1496</v>
      </c>
      <c r="C1763" s="1066">
        <v>46279</v>
      </c>
      <c r="D1763" s="1066">
        <v>46281</v>
      </c>
      <c r="E1763" s="1005" t="s">
        <v>1185</v>
      </c>
      <c r="F1763" s="1077">
        <v>46295</v>
      </c>
      <c r="G1763" s="1002" t="s">
        <v>1382</v>
      </c>
      <c r="H1763" s="1111" t="s">
        <v>1381</v>
      </c>
      <c r="I1763" s="1002" t="s">
        <v>1497</v>
      </c>
      <c r="J1763" s="1005" t="s">
        <v>655</v>
      </c>
      <c r="K1763" s="1002" t="s">
        <v>656</v>
      </c>
      <c r="L1763" s="1086" t="s">
        <v>18</v>
      </c>
      <c r="M1763" s="1093">
        <v>8</v>
      </c>
      <c r="N1763" s="1081">
        <v>574074.06999999995</v>
      </c>
      <c r="O1763" s="1223">
        <f t="shared" si="296"/>
        <v>4592592.5599999996</v>
      </c>
      <c r="P1763" s="1081">
        <f t="shared" si="297"/>
        <v>367407.40479999996</v>
      </c>
      <c r="Q1763" s="1221">
        <f t="shared" si="298"/>
        <v>4959999.9647999993</v>
      </c>
      <c r="V1763" s="1107">
        <f t="shared" si="290"/>
        <v>4959999.9647999993</v>
      </c>
    </row>
    <row r="1764" spans="1:22" hidden="1">
      <c r="A1764" s="1000" t="s">
        <v>966</v>
      </c>
      <c r="B1764" s="1028" t="s">
        <v>1498</v>
      </c>
      <c r="C1764" s="1066">
        <v>46281</v>
      </c>
      <c r="D1764" s="1066">
        <v>46281</v>
      </c>
      <c r="E1764" s="1005" t="s">
        <v>1183</v>
      </c>
      <c r="F1764" s="1077">
        <v>46290</v>
      </c>
      <c r="G1764" s="1002" t="s">
        <v>1321</v>
      </c>
      <c r="H1764" s="1111" t="s">
        <v>1320</v>
      </c>
      <c r="I1764" s="1002" t="s">
        <v>1499</v>
      </c>
      <c r="J1764" s="1005" t="s">
        <v>46</v>
      </c>
      <c r="K1764" s="1002" t="s">
        <v>47</v>
      </c>
      <c r="L1764" s="1002" t="s">
        <v>18</v>
      </c>
      <c r="M1764" s="1093">
        <v>22</v>
      </c>
      <c r="N1764" s="1081">
        <v>240740.74</v>
      </c>
      <c r="O1764" s="1081">
        <f>M1764*N1764</f>
        <v>5296296.2799999993</v>
      </c>
      <c r="P1764" s="1081">
        <f t="shared" si="297"/>
        <v>423703.70239999995</v>
      </c>
      <c r="Q1764" s="1206">
        <f t="shared" si="298"/>
        <v>5719999.9823999992</v>
      </c>
      <c r="V1764" s="1107">
        <f t="shared" si="290"/>
        <v>5719999.9823999992</v>
      </c>
    </row>
    <row r="1765" spans="1:22" hidden="1">
      <c r="A1765" s="1000" t="s">
        <v>966</v>
      </c>
      <c r="B1765" s="1028" t="s">
        <v>1498</v>
      </c>
      <c r="C1765" s="1066">
        <v>46281</v>
      </c>
      <c r="D1765" s="1066">
        <v>46281</v>
      </c>
      <c r="E1765" s="1005" t="s">
        <v>1183</v>
      </c>
      <c r="F1765" s="1077">
        <v>46290</v>
      </c>
      <c r="G1765" s="1002" t="s">
        <v>1321</v>
      </c>
      <c r="H1765" s="1111" t="s">
        <v>1320</v>
      </c>
      <c r="I1765" s="1002" t="s">
        <v>1499</v>
      </c>
      <c r="J1765" s="1005" t="s">
        <v>157</v>
      </c>
      <c r="K1765" s="1002" t="s">
        <v>158</v>
      </c>
      <c r="L1765" s="1002" t="s">
        <v>18</v>
      </c>
      <c r="M1765" s="1093">
        <v>54</v>
      </c>
      <c r="N1765" s="1081">
        <v>342592.59</v>
      </c>
      <c r="O1765" s="1081">
        <f t="shared" ref="O1765:O1769" si="299">M1765*N1765</f>
        <v>18499999.860000003</v>
      </c>
      <c r="P1765" s="1081">
        <f t="shared" si="297"/>
        <v>1479999.9888000002</v>
      </c>
      <c r="Q1765" s="1206">
        <f t="shared" si="298"/>
        <v>19979999.848800004</v>
      </c>
      <c r="V1765" s="1107">
        <f t="shared" si="290"/>
        <v>19979999.848800004</v>
      </c>
    </row>
    <row r="1766" spans="1:22" hidden="1">
      <c r="A1766" s="1000" t="s">
        <v>966</v>
      </c>
      <c r="B1766" s="1028" t="s">
        <v>1498</v>
      </c>
      <c r="C1766" s="1066">
        <v>46281</v>
      </c>
      <c r="D1766" s="1066">
        <v>46282</v>
      </c>
      <c r="E1766" s="1005" t="s">
        <v>1183</v>
      </c>
      <c r="F1766" s="1077">
        <v>46290</v>
      </c>
      <c r="G1766" s="1002" t="s">
        <v>1321</v>
      </c>
      <c r="H1766" s="1111" t="s">
        <v>1320</v>
      </c>
      <c r="I1766" s="1002" t="s">
        <v>1499</v>
      </c>
      <c r="J1766" s="1005" t="s">
        <v>40</v>
      </c>
      <c r="K1766" s="1002" t="s">
        <v>41</v>
      </c>
      <c r="L1766" s="1002" t="s">
        <v>18</v>
      </c>
      <c r="M1766" s="1093">
        <v>3</v>
      </c>
      <c r="N1766" s="1081">
        <v>844444.44</v>
      </c>
      <c r="O1766" s="1081">
        <f t="shared" si="299"/>
        <v>2533333.3199999998</v>
      </c>
      <c r="P1766" s="1081">
        <f t="shared" si="297"/>
        <v>202666.66559999998</v>
      </c>
      <c r="Q1766" s="1206">
        <f t="shared" si="298"/>
        <v>2735999.9855999998</v>
      </c>
      <c r="V1766" s="1107">
        <f t="shared" si="290"/>
        <v>2735999.9855999998</v>
      </c>
    </row>
    <row r="1767" spans="1:22" hidden="1">
      <c r="A1767" s="1000" t="s">
        <v>966</v>
      </c>
      <c r="B1767" s="1028" t="s">
        <v>1498</v>
      </c>
      <c r="C1767" s="1066">
        <v>46281</v>
      </c>
      <c r="D1767" s="1066">
        <v>46282</v>
      </c>
      <c r="E1767" s="1005" t="s">
        <v>1183</v>
      </c>
      <c r="F1767" s="1077">
        <v>46290</v>
      </c>
      <c r="G1767" s="1002" t="s">
        <v>1321</v>
      </c>
      <c r="H1767" s="1111" t="s">
        <v>1320</v>
      </c>
      <c r="I1767" s="1002" t="s">
        <v>1499</v>
      </c>
      <c r="J1767" s="1005" t="s">
        <v>85</v>
      </c>
      <c r="K1767" s="1002" t="s">
        <v>86</v>
      </c>
      <c r="L1767" s="1002" t="s">
        <v>18</v>
      </c>
      <c r="M1767" s="1093">
        <v>17</v>
      </c>
      <c r="N1767" s="1081">
        <v>555555.56000000006</v>
      </c>
      <c r="O1767" s="1081">
        <f t="shared" si="299"/>
        <v>9444444.5200000014</v>
      </c>
      <c r="P1767" s="1081">
        <f t="shared" si="297"/>
        <v>755555.56160000013</v>
      </c>
      <c r="Q1767" s="1206">
        <f t="shared" si="298"/>
        <v>10200000.081600001</v>
      </c>
      <c r="V1767" s="1107">
        <f t="shared" si="290"/>
        <v>10200000.081600001</v>
      </c>
    </row>
    <row r="1768" spans="1:22" hidden="1">
      <c r="A1768" s="1000" t="s">
        <v>966</v>
      </c>
      <c r="B1768" s="1028" t="s">
        <v>1498</v>
      </c>
      <c r="C1768" s="1066">
        <v>46281</v>
      </c>
      <c r="D1768" s="1066">
        <v>46282</v>
      </c>
      <c r="E1768" s="1005" t="s">
        <v>1183</v>
      </c>
      <c r="F1768" s="1077">
        <v>46290</v>
      </c>
      <c r="G1768" s="1002" t="s">
        <v>1321</v>
      </c>
      <c r="H1768" s="1111" t="s">
        <v>1320</v>
      </c>
      <c r="I1768" s="1002" t="s">
        <v>1499</v>
      </c>
      <c r="J1768" s="1005" t="s">
        <v>194</v>
      </c>
      <c r="K1768" s="1002" t="s">
        <v>720</v>
      </c>
      <c r="L1768" s="1002" t="s">
        <v>18</v>
      </c>
      <c r="M1768" s="1093">
        <v>10</v>
      </c>
      <c r="N1768" s="1081">
        <v>1203703.7</v>
      </c>
      <c r="O1768" s="1081">
        <f t="shared" ref="O1768" si="300">M1768*N1768</f>
        <v>12037037</v>
      </c>
      <c r="P1768" s="1081">
        <f t="shared" ref="P1768" si="301">O1768*8%</f>
        <v>962962.96</v>
      </c>
      <c r="Q1768" s="1206">
        <f t="shared" ref="Q1768" si="302">O1768+P1768</f>
        <v>12999999.960000001</v>
      </c>
      <c r="V1768" s="1107">
        <f t="shared" si="290"/>
        <v>12999999.960000001</v>
      </c>
    </row>
    <row r="1769" spans="1:22" hidden="1">
      <c r="A1769" s="1000" t="s">
        <v>966</v>
      </c>
      <c r="B1769" s="1028" t="s">
        <v>1498</v>
      </c>
      <c r="C1769" s="1066">
        <v>46281</v>
      </c>
      <c r="D1769" s="1066">
        <v>46282</v>
      </c>
      <c r="E1769" s="1005" t="s">
        <v>1183</v>
      </c>
      <c r="H1769" s="1111"/>
      <c r="I1769" s="1002" t="s">
        <v>1499</v>
      </c>
      <c r="J1769" s="1005" t="s">
        <v>194</v>
      </c>
      <c r="K1769" s="1002" t="s">
        <v>720</v>
      </c>
      <c r="L1769" s="1002" t="s">
        <v>18</v>
      </c>
      <c r="M1769" s="1093">
        <v>10</v>
      </c>
      <c r="N1769" s="1081">
        <v>1203703.7</v>
      </c>
      <c r="O1769" s="1081">
        <f t="shared" si="299"/>
        <v>12037037</v>
      </c>
      <c r="P1769" s="1081">
        <f t="shared" si="297"/>
        <v>962962.96</v>
      </c>
      <c r="Q1769" s="1206">
        <f t="shared" si="298"/>
        <v>12999999.960000001</v>
      </c>
      <c r="V1769" s="1107">
        <f t="shared" si="290"/>
        <v>12999999.960000001</v>
      </c>
    </row>
    <row r="1770" spans="1:22" hidden="1">
      <c r="A1770" s="1068" t="s">
        <v>1192</v>
      </c>
      <c r="B1770" s="1040" t="s">
        <v>1191</v>
      </c>
      <c r="C1770" s="1066">
        <v>46282</v>
      </c>
      <c r="D1770" s="1066">
        <v>46282</v>
      </c>
      <c r="E1770" s="1005" t="s">
        <v>1201</v>
      </c>
      <c r="H1770" s="1111"/>
      <c r="I1770" s="1002" t="s">
        <v>1202</v>
      </c>
      <c r="J1770" s="1061" t="s">
        <v>641</v>
      </c>
      <c r="K1770" s="1061" t="s">
        <v>642</v>
      </c>
      <c r="L1770" s="1002" t="s">
        <v>18</v>
      </c>
      <c r="M1770" s="1093">
        <v>-80</v>
      </c>
      <c r="N1770" s="1081"/>
      <c r="V1770" s="1107">
        <f t="shared" si="290"/>
        <v>0</v>
      </c>
    </row>
    <row r="1771" spans="1:22" hidden="1">
      <c r="A1771" s="1068" t="s">
        <v>1192</v>
      </c>
      <c r="B1771" s="1040" t="s">
        <v>1191</v>
      </c>
      <c r="C1771" s="1066">
        <v>46282</v>
      </c>
      <c r="D1771" s="1066">
        <v>46282</v>
      </c>
      <c r="E1771" s="1005" t="s">
        <v>1201</v>
      </c>
      <c r="H1771" s="1111"/>
      <c r="I1771" s="1002" t="s">
        <v>1202</v>
      </c>
      <c r="J1771" s="1061" t="s">
        <v>643</v>
      </c>
      <c r="K1771" s="1061" t="s">
        <v>1193</v>
      </c>
      <c r="L1771" s="1002" t="s">
        <v>18</v>
      </c>
      <c r="M1771" s="1093">
        <v>-260</v>
      </c>
      <c r="N1771" s="1081"/>
      <c r="V1771" s="1107">
        <f t="shared" si="290"/>
        <v>0</v>
      </c>
    </row>
    <row r="1772" spans="1:22" hidden="1">
      <c r="A1772" s="1068" t="s">
        <v>1192</v>
      </c>
      <c r="B1772" s="1040" t="s">
        <v>1191</v>
      </c>
      <c r="C1772" s="1066">
        <v>46282</v>
      </c>
      <c r="D1772" s="1066">
        <v>46282</v>
      </c>
      <c r="E1772" s="1005" t="s">
        <v>1201</v>
      </c>
      <c r="H1772" s="1111"/>
      <c r="I1772" s="1002" t="s">
        <v>1202</v>
      </c>
      <c r="J1772" s="1061" t="s">
        <v>645</v>
      </c>
      <c r="K1772" s="1061" t="s">
        <v>1194</v>
      </c>
      <c r="L1772" s="1002" t="s">
        <v>18</v>
      </c>
      <c r="M1772" s="1093">
        <v>-392</v>
      </c>
      <c r="N1772" s="1081"/>
      <c r="V1772" s="1107">
        <f t="shared" si="290"/>
        <v>0</v>
      </c>
    </row>
    <row r="1773" spans="1:22" hidden="1">
      <c r="A1773" s="1068" t="s">
        <v>1192</v>
      </c>
      <c r="B1773" s="1040" t="s">
        <v>1191</v>
      </c>
      <c r="C1773" s="1066">
        <v>46282</v>
      </c>
      <c r="D1773" s="1066">
        <v>46282</v>
      </c>
      <c r="E1773" s="1005" t="s">
        <v>1201</v>
      </c>
      <c r="H1773" s="1111"/>
      <c r="I1773" s="1002" t="s">
        <v>1202</v>
      </c>
      <c r="J1773" s="1061" t="s">
        <v>651</v>
      </c>
      <c r="K1773" s="1061" t="s">
        <v>1195</v>
      </c>
      <c r="L1773" s="1002" t="s">
        <v>18</v>
      </c>
      <c r="M1773" s="1093">
        <v>-80</v>
      </c>
      <c r="N1773" s="1081"/>
      <c r="V1773" s="1107">
        <f t="shared" si="290"/>
        <v>0</v>
      </c>
    </row>
    <row r="1774" spans="1:22" hidden="1">
      <c r="A1774" s="1068" t="s">
        <v>1192</v>
      </c>
      <c r="B1774" s="1040" t="s">
        <v>1191</v>
      </c>
      <c r="C1774" s="1066">
        <v>46282</v>
      </c>
      <c r="D1774" s="1066">
        <v>46282</v>
      </c>
      <c r="E1774" s="1005" t="s">
        <v>1201</v>
      </c>
      <c r="H1774" s="1111"/>
      <c r="I1774" s="1002" t="s">
        <v>1202</v>
      </c>
      <c r="J1774" s="1061" t="s">
        <v>653</v>
      </c>
      <c r="K1774" s="1061" t="s">
        <v>1196</v>
      </c>
      <c r="L1774" s="1002" t="s">
        <v>18</v>
      </c>
      <c r="M1774" s="1093">
        <v>-480</v>
      </c>
      <c r="N1774" s="1081"/>
      <c r="V1774" s="1107">
        <f t="shared" si="290"/>
        <v>0</v>
      </c>
    </row>
    <row r="1775" spans="1:22" hidden="1">
      <c r="A1775" s="1068" t="s">
        <v>1192</v>
      </c>
      <c r="B1775" s="1040" t="s">
        <v>1191</v>
      </c>
      <c r="C1775" s="1066">
        <v>46282</v>
      </c>
      <c r="D1775" s="1066">
        <v>46282</v>
      </c>
      <c r="E1775" s="1005" t="s">
        <v>1201</v>
      </c>
      <c r="H1775" s="1111"/>
      <c r="I1775" s="1002" t="s">
        <v>1202</v>
      </c>
      <c r="J1775" s="1061" t="s">
        <v>655</v>
      </c>
      <c r="K1775" s="1061" t="s">
        <v>1197</v>
      </c>
      <c r="L1775" s="1002" t="s">
        <v>18</v>
      </c>
      <c r="M1775" s="1093">
        <v>-480</v>
      </c>
      <c r="N1775" s="1081"/>
      <c r="V1775" s="1107">
        <f t="shared" si="290"/>
        <v>0</v>
      </c>
    </row>
    <row r="1776" spans="1:22" hidden="1">
      <c r="A1776" s="1068" t="s">
        <v>1192</v>
      </c>
      <c r="B1776" s="1040" t="s">
        <v>1191</v>
      </c>
      <c r="C1776" s="1066">
        <v>46282</v>
      </c>
      <c r="D1776" s="1066">
        <v>46282</v>
      </c>
      <c r="E1776" s="1005" t="s">
        <v>1201</v>
      </c>
      <c r="H1776" s="1111"/>
      <c r="I1776" s="1002" t="s">
        <v>1202</v>
      </c>
      <c r="J1776" s="1061" t="s">
        <v>647</v>
      </c>
      <c r="K1776" s="1061" t="s">
        <v>1198</v>
      </c>
      <c r="L1776" s="1002" t="s">
        <v>18</v>
      </c>
      <c r="M1776" s="1093">
        <v>-440</v>
      </c>
      <c r="N1776" s="1081"/>
      <c r="V1776" s="1107">
        <f t="shared" si="290"/>
        <v>0</v>
      </c>
    </row>
    <row r="1777" spans="1:23" hidden="1">
      <c r="A1777" s="1068" t="s">
        <v>1192</v>
      </c>
      <c r="B1777" s="1040" t="s">
        <v>1191</v>
      </c>
      <c r="C1777" s="1066">
        <v>46282</v>
      </c>
      <c r="D1777" s="1066">
        <v>46282</v>
      </c>
      <c r="E1777" s="1005" t="s">
        <v>1201</v>
      </c>
      <c r="H1777" s="1111"/>
      <c r="I1777" s="1002" t="s">
        <v>1202</v>
      </c>
      <c r="J1777" s="1061" t="s">
        <v>1199</v>
      </c>
      <c r="K1777" s="1067" t="s">
        <v>1200</v>
      </c>
      <c r="L1777" s="1002" t="s">
        <v>18</v>
      </c>
      <c r="M1777" s="1093">
        <v>-144</v>
      </c>
      <c r="N1777" s="1081"/>
      <c r="V1777" s="1107">
        <f t="shared" si="290"/>
        <v>0</v>
      </c>
    </row>
    <row r="1778" spans="1:23" hidden="1">
      <c r="A1778" s="1000" t="s">
        <v>761</v>
      </c>
      <c r="B1778" s="1028" t="s">
        <v>1496</v>
      </c>
      <c r="C1778" s="1066">
        <v>46282</v>
      </c>
      <c r="D1778" s="1066">
        <v>46282</v>
      </c>
      <c r="E1778" s="1005" t="s">
        <v>1203</v>
      </c>
      <c r="F1778" s="1077">
        <v>46295</v>
      </c>
      <c r="G1778" s="1002" t="s">
        <v>1382</v>
      </c>
      <c r="H1778" s="1111" t="s">
        <v>1381</v>
      </c>
      <c r="I1778" s="1002" t="s">
        <v>1497</v>
      </c>
      <c r="J1778" s="1007" t="s">
        <v>641</v>
      </c>
      <c r="K1778" s="1064" t="s">
        <v>657</v>
      </c>
      <c r="L1778" s="1002" t="s">
        <v>18</v>
      </c>
      <c r="M1778" s="1093">
        <v>15</v>
      </c>
      <c r="N1778" s="1081">
        <v>638888.89</v>
      </c>
      <c r="O1778" s="1223">
        <f t="shared" ref="O1778:O1793" si="303">M1778*N1778</f>
        <v>9583333.3499999996</v>
      </c>
      <c r="P1778" s="1081">
        <f>O1778*8%</f>
        <v>766666.66799999995</v>
      </c>
      <c r="Q1778" s="1221">
        <f>O1778+P1778</f>
        <v>10350000.017999999</v>
      </c>
      <c r="V1778" s="1107">
        <f t="shared" ref="V1778:V1809" si="304">Q1778-R1778-S1778-T1778-U1778</f>
        <v>10350000.017999999</v>
      </c>
    </row>
    <row r="1779" spans="1:23" hidden="1">
      <c r="A1779" s="1000" t="s">
        <v>761</v>
      </c>
      <c r="B1779" s="1028" t="s">
        <v>1496</v>
      </c>
      <c r="C1779" s="1066">
        <v>46282</v>
      </c>
      <c r="D1779" s="1066">
        <v>46282</v>
      </c>
      <c r="E1779" s="1005" t="s">
        <v>1203</v>
      </c>
      <c r="F1779" s="1077">
        <v>46295</v>
      </c>
      <c r="G1779" s="1002" t="s">
        <v>1382</v>
      </c>
      <c r="H1779" s="1111" t="s">
        <v>1381</v>
      </c>
      <c r="I1779" s="1002" t="s">
        <v>1497</v>
      </c>
      <c r="J1779" s="1007" t="s">
        <v>649</v>
      </c>
      <c r="K1779" s="1064" t="s">
        <v>650</v>
      </c>
      <c r="L1779" s="1002" t="s">
        <v>18</v>
      </c>
      <c r="M1779" s="1093">
        <v>15</v>
      </c>
      <c r="N1779" s="1081">
        <v>574074.06999999995</v>
      </c>
      <c r="O1779" s="1223">
        <f>M1779*N1779</f>
        <v>8611111.0499999989</v>
      </c>
      <c r="P1779" s="1081">
        <f t="shared" ref="P1779:P1803" si="305">O1779*8%</f>
        <v>688888.88399999996</v>
      </c>
      <c r="Q1779" s="1221">
        <f t="shared" ref="Q1779:Q1803" si="306">O1779+P1779</f>
        <v>9299999.9339999985</v>
      </c>
      <c r="V1779" s="1107">
        <f t="shared" si="304"/>
        <v>9299999.9339999985</v>
      </c>
    </row>
    <row r="1780" spans="1:23" hidden="1">
      <c r="A1780" s="1000" t="s">
        <v>761</v>
      </c>
      <c r="B1780" s="1028" t="s">
        <v>1496</v>
      </c>
      <c r="C1780" s="1066">
        <v>46282</v>
      </c>
      <c r="D1780" s="1066">
        <v>46282</v>
      </c>
      <c r="E1780" s="1005" t="s">
        <v>1203</v>
      </c>
      <c r="F1780" s="1077">
        <v>46295</v>
      </c>
      <c r="G1780" s="1002" t="s">
        <v>1382</v>
      </c>
      <c r="H1780" s="1111" t="s">
        <v>1381</v>
      </c>
      <c r="I1780" s="1002" t="s">
        <v>1497</v>
      </c>
      <c r="J1780" s="1007" t="s">
        <v>651</v>
      </c>
      <c r="K1780" s="1064" t="s">
        <v>652</v>
      </c>
      <c r="L1780" s="1002" t="s">
        <v>18</v>
      </c>
      <c r="M1780" s="1093">
        <v>15</v>
      </c>
      <c r="N1780" s="1081">
        <v>694444.44</v>
      </c>
      <c r="O1780" s="1223">
        <f t="shared" ref="O1780:O1784" si="307">M1780*N1780</f>
        <v>10416666.6</v>
      </c>
      <c r="P1780" s="1081">
        <f t="shared" si="305"/>
        <v>833333.32799999998</v>
      </c>
      <c r="Q1780" s="1221">
        <f t="shared" si="306"/>
        <v>11249999.927999999</v>
      </c>
      <c r="V1780" s="1107">
        <f t="shared" si="304"/>
        <v>11249999.927999999</v>
      </c>
    </row>
    <row r="1781" spans="1:23" hidden="1">
      <c r="A1781" s="1000" t="s">
        <v>761</v>
      </c>
      <c r="B1781" s="1028" t="s">
        <v>1496</v>
      </c>
      <c r="C1781" s="1066">
        <v>46282</v>
      </c>
      <c r="D1781" s="1066">
        <v>46282</v>
      </c>
      <c r="E1781" s="1005" t="s">
        <v>1203</v>
      </c>
      <c r="F1781" s="1077">
        <v>46295</v>
      </c>
      <c r="G1781" s="1002" t="s">
        <v>1382</v>
      </c>
      <c r="H1781" s="1111" t="s">
        <v>1381</v>
      </c>
      <c r="I1781" s="1002" t="s">
        <v>1497</v>
      </c>
      <c r="J1781" s="1007" t="s">
        <v>653</v>
      </c>
      <c r="K1781" s="1064" t="s">
        <v>654</v>
      </c>
      <c r="L1781" s="1002" t="s">
        <v>18</v>
      </c>
      <c r="M1781" s="1093">
        <v>15</v>
      </c>
      <c r="N1781" s="1081">
        <v>481481.48</v>
      </c>
      <c r="O1781" s="1223">
        <f t="shared" si="307"/>
        <v>7222222.1999999993</v>
      </c>
      <c r="P1781" s="1081">
        <f t="shared" si="305"/>
        <v>577777.77599999995</v>
      </c>
      <c r="Q1781" s="1221">
        <f t="shared" si="306"/>
        <v>7799999.9759999989</v>
      </c>
      <c r="V1781" s="1107">
        <f t="shared" si="304"/>
        <v>7799999.9759999989</v>
      </c>
    </row>
    <row r="1782" spans="1:23" hidden="1">
      <c r="A1782" s="1000" t="s">
        <v>761</v>
      </c>
      <c r="B1782" s="1028" t="s">
        <v>1496</v>
      </c>
      <c r="C1782" s="1066">
        <v>46282</v>
      </c>
      <c r="D1782" s="1066">
        <v>46282</v>
      </c>
      <c r="E1782" s="1005" t="s">
        <v>1203</v>
      </c>
      <c r="F1782" s="1077">
        <v>46295</v>
      </c>
      <c r="G1782" s="1002" t="s">
        <v>1382</v>
      </c>
      <c r="H1782" s="1111" t="s">
        <v>1381</v>
      </c>
      <c r="I1782" s="1002" t="s">
        <v>1497</v>
      </c>
      <c r="J1782" s="1007" t="s">
        <v>655</v>
      </c>
      <c r="K1782" s="1064" t="s">
        <v>656</v>
      </c>
      <c r="L1782" s="1002" t="s">
        <v>18</v>
      </c>
      <c r="M1782" s="1093">
        <v>7</v>
      </c>
      <c r="N1782" s="1081">
        <v>574074.06999999995</v>
      </c>
      <c r="O1782" s="1223">
        <f t="shared" si="307"/>
        <v>4018518.4899999998</v>
      </c>
      <c r="P1782" s="1081">
        <f t="shared" si="305"/>
        <v>321481.4792</v>
      </c>
      <c r="Q1782" s="1221">
        <f t="shared" si="306"/>
        <v>4339999.9692000002</v>
      </c>
      <c r="V1782" s="1107">
        <f t="shared" si="304"/>
        <v>4339999.9692000002</v>
      </c>
    </row>
    <row r="1783" spans="1:23" hidden="1">
      <c r="A1783" s="1000" t="s">
        <v>761</v>
      </c>
      <c r="B1783" s="1028" t="s">
        <v>1496</v>
      </c>
      <c r="C1783" s="1066">
        <v>46282</v>
      </c>
      <c r="D1783" s="1066">
        <v>46282</v>
      </c>
      <c r="E1783" s="1005" t="s">
        <v>1203</v>
      </c>
      <c r="H1783" s="1111"/>
      <c r="I1783" s="1002" t="s">
        <v>1497</v>
      </c>
      <c r="J1783" s="1007" t="s">
        <v>796</v>
      </c>
      <c r="K1783" s="1064" t="s">
        <v>797</v>
      </c>
      <c r="L1783" s="1002" t="s">
        <v>18</v>
      </c>
      <c r="M1783" s="1093">
        <v>50</v>
      </c>
      <c r="N1783" s="1081">
        <v>292592.59000000003</v>
      </c>
      <c r="O1783" s="1223">
        <f t="shared" si="307"/>
        <v>14629629.500000002</v>
      </c>
      <c r="P1783" s="1081">
        <f t="shared" si="305"/>
        <v>1170370.3600000001</v>
      </c>
      <c r="Q1783" s="1221">
        <f t="shared" si="306"/>
        <v>15799999.860000001</v>
      </c>
      <c r="V1783" s="1107">
        <f t="shared" si="304"/>
        <v>15799999.860000001</v>
      </c>
    </row>
    <row r="1784" spans="1:23" hidden="1">
      <c r="A1784" s="1000" t="s">
        <v>761</v>
      </c>
      <c r="B1784" s="1028" t="s">
        <v>1496</v>
      </c>
      <c r="C1784" s="1066">
        <v>46282</v>
      </c>
      <c r="D1784" s="1066">
        <v>46282</v>
      </c>
      <c r="E1784" s="1005" t="s">
        <v>1203</v>
      </c>
      <c r="H1784" s="1111"/>
      <c r="I1784" s="1002" t="s">
        <v>1497</v>
      </c>
      <c r="J1784" s="1007" t="s">
        <v>798</v>
      </c>
      <c r="K1784" s="1064" t="s">
        <v>799</v>
      </c>
      <c r="L1784" s="1002" t="s">
        <v>18</v>
      </c>
      <c r="M1784" s="1093">
        <v>50</v>
      </c>
      <c r="N1784" s="1081">
        <v>231481.48</v>
      </c>
      <c r="O1784" s="1223">
        <f t="shared" si="307"/>
        <v>11574074</v>
      </c>
      <c r="P1784" s="1081">
        <f t="shared" si="305"/>
        <v>925925.92</v>
      </c>
      <c r="Q1784" s="1221">
        <f t="shared" si="306"/>
        <v>12499999.92</v>
      </c>
      <c r="V1784" s="1107">
        <f t="shared" si="304"/>
        <v>12499999.92</v>
      </c>
    </row>
    <row r="1785" spans="1:23" hidden="1">
      <c r="A1785" s="1000" t="s">
        <v>761</v>
      </c>
      <c r="B1785" s="1028" t="s">
        <v>1496</v>
      </c>
      <c r="C1785" s="1066">
        <v>46282</v>
      </c>
      <c r="D1785" s="1066">
        <v>46282</v>
      </c>
      <c r="E1785" s="1005" t="s">
        <v>1203</v>
      </c>
      <c r="F1785" s="1077">
        <v>46295</v>
      </c>
      <c r="G1785" s="1002" t="s">
        <v>1382</v>
      </c>
      <c r="H1785" s="1111" t="s">
        <v>1381</v>
      </c>
      <c r="I1785" s="1008" t="s">
        <v>892</v>
      </c>
      <c r="J1785" s="1007" t="s">
        <v>641</v>
      </c>
      <c r="K1785" s="1064" t="s">
        <v>657</v>
      </c>
      <c r="L1785" s="1002" t="s">
        <v>18</v>
      </c>
      <c r="M1785" s="1093">
        <v>1</v>
      </c>
      <c r="N1785" s="1081">
        <v>0</v>
      </c>
      <c r="O1785" s="1223">
        <f t="shared" si="303"/>
        <v>0</v>
      </c>
      <c r="P1785" s="1081">
        <f t="shared" si="305"/>
        <v>0</v>
      </c>
      <c r="Q1785" s="1221">
        <f t="shared" si="306"/>
        <v>0</v>
      </c>
      <c r="V1785" s="1107">
        <f t="shared" si="304"/>
        <v>0</v>
      </c>
    </row>
    <row r="1786" spans="1:23" hidden="1">
      <c r="A1786" s="1000" t="s">
        <v>761</v>
      </c>
      <c r="B1786" s="1028" t="s">
        <v>1496</v>
      </c>
      <c r="C1786" s="1066">
        <v>46282</v>
      </c>
      <c r="D1786" s="1066">
        <v>46284</v>
      </c>
      <c r="E1786" s="1005" t="s">
        <v>1203</v>
      </c>
      <c r="F1786" s="1077">
        <v>46295</v>
      </c>
      <c r="G1786" s="1002" t="s">
        <v>1382</v>
      </c>
      <c r="H1786" s="1111" t="s">
        <v>1381</v>
      </c>
      <c r="I1786" s="1008" t="s">
        <v>892</v>
      </c>
      <c r="J1786" s="1007" t="s">
        <v>649</v>
      </c>
      <c r="K1786" s="1064" t="s">
        <v>650</v>
      </c>
      <c r="L1786" s="1002" t="s">
        <v>18</v>
      </c>
      <c r="M1786" s="1093">
        <v>1</v>
      </c>
      <c r="N1786" s="1081">
        <v>0</v>
      </c>
      <c r="O1786" s="1223">
        <f t="shared" si="303"/>
        <v>0</v>
      </c>
      <c r="P1786" s="1081">
        <f t="shared" si="305"/>
        <v>0</v>
      </c>
      <c r="Q1786" s="1221">
        <f t="shared" si="306"/>
        <v>0</v>
      </c>
      <c r="V1786" s="1107">
        <f t="shared" si="304"/>
        <v>0</v>
      </c>
    </row>
    <row r="1787" spans="1:23" hidden="1">
      <c r="A1787" s="1000" t="s">
        <v>761</v>
      </c>
      <c r="B1787" s="1028" t="s">
        <v>1496</v>
      </c>
      <c r="C1787" s="1066">
        <v>46282</v>
      </c>
      <c r="D1787" s="1066">
        <v>46275</v>
      </c>
      <c r="E1787" s="1005" t="s">
        <v>1203</v>
      </c>
      <c r="F1787" s="1077">
        <v>46295</v>
      </c>
      <c r="G1787" s="1002" t="s">
        <v>1382</v>
      </c>
      <c r="H1787" s="1111" t="s">
        <v>1381</v>
      </c>
      <c r="I1787" s="1008" t="s">
        <v>892</v>
      </c>
      <c r="J1787" s="1007" t="s">
        <v>651</v>
      </c>
      <c r="K1787" s="1064" t="s">
        <v>652</v>
      </c>
      <c r="L1787" s="1002" t="s">
        <v>18</v>
      </c>
      <c r="M1787" s="1093">
        <v>1</v>
      </c>
      <c r="N1787" s="1081">
        <v>0</v>
      </c>
      <c r="O1787" s="1223">
        <f t="shared" si="303"/>
        <v>0</v>
      </c>
      <c r="P1787" s="1081">
        <f t="shared" si="305"/>
        <v>0</v>
      </c>
      <c r="Q1787" s="1221">
        <f t="shared" si="306"/>
        <v>0</v>
      </c>
      <c r="V1787" s="1107">
        <f t="shared" si="304"/>
        <v>0</v>
      </c>
    </row>
    <row r="1788" spans="1:23" hidden="1">
      <c r="A1788" s="1000" t="s">
        <v>761</v>
      </c>
      <c r="B1788" s="1028" t="s">
        <v>1496</v>
      </c>
      <c r="C1788" s="1066">
        <v>46282</v>
      </c>
      <c r="D1788" s="1066">
        <v>46282</v>
      </c>
      <c r="E1788" s="1005" t="s">
        <v>1203</v>
      </c>
      <c r="F1788" s="1077">
        <v>46295</v>
      </c>
      <c r="G1788" s="1002" t="s">
        <v>1382</v>
      </c>
      <c r="H1788" s="1111" t="s">
        <v>1381</v>
      </c>
      <c r="I1788" s="1008" t="s">
        <v>892</v>
      </c>
      <c r="J1788" s="1007" t="s">
        <v>653</v>
      </c>
      <c r="K1788" s="1064" t="s">
        <v>654</v>
      </c>
      <c r="L1788" s="1002" t="s">
        <v>18</v>
      </c>
      <c r="M1788" s="1093">
        <v>1</v>
      </c>
      <c r="N1788" s="1081">
        <v>0</v>
      </c>
      <c r="O1788" s="1223">
        <f t="shared" si="303"/>
        <v>0</v>
      </c>
      <c r="P1788" s="1081">
        <f t="shared" si="305"/>
        <v>0</v>
      </c>
      <c r="Q1788" s="1221">
        <f t="shared" si="306"/>
        <v>0</v>
      </c>
      <c r="V1788" s="1107">
        <f t="shared" si="304"/>
        <v>0</v>
      </c>
    </row>
    <row r="1789" spans="1:23" hidden="1">
      <c r="A1789" s="1000" t="s">
        <v>761</v>
      </c>
      <c r="B1789" s="1028" t="s">
        <v>1496</v>
      </c>
      <c r="C1789" s="1066">
        <v>46282</v>
      </c>
      <c r="D1789" s="1066">
        <v>46282</v>
      </c>
      <c r="E1789" s="1005" t="s">
        <v>1203</v>
      </c>
      <c r="F1789" s="1077">
        <v>46295</v>
      </c>
      <c r="G1789" s="1002" t="s">
        <v>1382</v>
      </c>
      <c r="H1789" s="1111" t="s">
        <v>1381</v>
      </c>
      <c r="I1789" s="1008" t="s">
        <v>892</v>
      </c>
      <c r="J1789" s="1007" t="s">
        <v>655</v>
      </c>
      <c r="K1789" s="1064" t="s">
        <v>656</v>
      </c>
      <c r="L1789" s="1002" t="s">
        <v>18</v>
      </c>
      <c r="M1789" s="1093">
        <v>1</v>
      </c>
      <c r="N1789" s="1081">
        <v>0</v>
      </c>
      <c r="O1789" s="1223">
        <f t="shared" si="303"/>
        <v>0</v>
      </c>
      <c r="P1789" s="1081">
        <f t="shared" si="305"/>
        <v>0</v>
      </c>
      <c r="Q1789" s="1221">
        <f t="shared" si="306"/>
        <v>0</v>
      </c>
      <c r="V1789" s="1107">
        <f t="shared" si="304"/>
        <v>0</v>
      </c>
      <c r="W1789" s="1050" t="s">
        <v>1204</v>
      </c>
    </row>
    <row r="1790" spans="1:23" hidden="1">
      <c r="A1790" s="1000" t="s">
        <v>1003</v>
      </c>
      <c r="B1790" s="1028" t="s">
        <v>1495</v>
      </c>
      <c r="C1790" s="1066">
        <v>46284</v>
      </c>
      <c r="D1790" s="1066">
        <v>46279</v>
      </c>
      <c r="I1790" s="1002" t="s">
        <v>844</v>
      </c>
      <c r="J1790" s="1061"/>
      <c r="K1790" s="1067"/>
      <c r="L1790" s="1002" t="s">
        <v>18</v>
      </c>
      <c r="M1790" s="1093"/>
      <c r="N1790" s="1081"/>
      <c r="O1790" s="1082">
        <f t="shared" si="303"/>
        <v>0</v>
      </c>
      <c r="P1790" s="1082">
        <f t="shared" si="305"/>
        <v>0</v>
      </c>
      <c r="Q1790" s="1081">
        <f t="shared" si="306"/>
        <v>0</v>
      </c>
      <c r="R1790" s="1107">
        <v>50000000</v>
      </c>
      <c r="V1790" s="1083">
        <f t="shared" si="304"/>
        <v>-50000000</v>
      </c>
    </row>
    <row r="1791" spans="1:23" ht="31.5" hidden="1">
      <c r="A1791" s="1000" t="s">
        <v>1003</v>
      </c>
      <c r="B1791" s="1028" t="s">
        <v>1495</v>
      </c>
      <c r="C1791" s="1066">
        <v>46275</v>
      </c>
      <c r="D1791" s="1066">
        <v>46279</v>
      </c>
      <c r="E1791" s="1005" t="s">
        <v>1213</v>
      </c>
      <c r="I1791" s="1002" t="s">
        <v>891</v>
      </c>
      <c r="J1791" s="1007" t="s">
        <v>96</v>
      </c>
      <c r="K1791" s="1019" t="s">
        <v>97</v>
      </c>
      <c r="L1791" s="1002" t="s">
        <v>18</v>
      </c>
      <c r="M1791" s="1093">
        <v>-7</v>
      </c>
      <c r="N1791" s="1081">
        <v>574074.06999999995</v>
      </c>
      <c r="O1791" s="1082">
        <f t="shared" si="303"/>
        <v>-4018518.4899999998</v>
      </c>
      <c r="P1791" s="1082">
        <f t="shared" si="305"/>
        <v>-321481.4792</v>
      </c>
      <c r="Q1791" s="1081">
        <f t="shared" si="306"/>
        <v>-4339999.9692000002</v>
      </c>
      <c r="V1791" s="1107">
        <f t="shared" si="304"/>
        <v>-4339999.9692000002</v>
      </c>
      <c r="W1791" s="1005" t="s">
        <v>1205</v>
      </c>
    </row>
    <row r="1792" spans="1:23" hidden="1">
      <c r="A1792" s="1040" t="s">
        <v>1138</v>
      </c>
      <c r="B1792" s="1040" t="s">
        <v>1134</v>
      </c>
      <c r="C1792" s="1066">
        <v>46282</v>
      </c>
      <c r="D1792" s="1066">
        <v>46279</v>
      </c>
      <c r="E1792" s="1005" t="s">
        <v>1206</v>
      </c>
      <c r="I1792" s="1008" t="s">
        <v>1135</v>
      </c>
      <c r="J1792" s="1007" t="s">
        <v>645</v>
      </c>
      <c r="K1792" s="1064" t="s">
        <v>646</v>
      </c>
      <c r="L1792" s="1002" t="s">
        <v>18</v>
      </c>
      <c r="M1792" s="1093">
        <v>15</v>
      </c>
      <c r="N1792" s="1223">
        <v>629629.63</v>
      </c>
      <c r="O1792" s="1223">
        <f t="shared" si="303"/>
        <v>9444444.4499999993</v>
      </c>
      <c r="P1792" s="1081">
        <f t="shared" si="305"/>
        <v>755555.55599999998</v>
      </c>
      <c r="Q1792" s="1206">
        <f t="shared" si="306"/>
        <v>10200000.005999999</v>
      </c>
      <c r="V1792" s="1107">
        <f t="shared" si="304"/>
        <v>10200000.005999999</v>
      </c>
    </row>
    <row r="1793" spans="1:22" hidden="1">
      <c r="A1793" s="1040" t="s">
        <v>1138</v>
      </c>
      <c r="B1793" s="1040" t="s">
        <v>1134</v>
      </c>
      <c r="C1793" s="1066">
        <v>46282</v>
      </c>
      <c r="D1793" s="1066">
        <v>46279</v>
      </c>
      <c r="E1793" s="1005" t="s">
        <v>1206</v>
      </c>
      <c r="I1793" s="1008" t="s">
        <v>892</v>
      </c>
      <c r="J1793" s="1007" t="s">
        <v>645</v>
      </c>
      <c r="K1793" s="1064" t="s">
        <v>646</v>
      </c>
      <c r="L1793" s="1002" t="s">
        <v>18</v>
      </c>
      <c r="M1793" s="1093">
        <v>1</v>
      </c>
      <c r="N1793" s="1223">
        <v>0</v>
      </c>
      <c r="O1793" s="1223">
        <f t="shared" si="303"/>
        <v>0</v>
      </c>
      <c r="P1793" s="1081">
        <f t="shared" si="305"/>
        <v>0</v>
      </c>
      <c r="Q1793" s="1206">
        <f t="shared" si="306"/>
        <v>0</v>
      </c>
      <c r="V1793" s="1107">
        <f t="shared" si="304"/>
        <v>0</v>
      </c>
    </row>
    <row r="1794" spans="1:22" ht="31.5" hidden="1">
      <c r="A1794" s="1004" t="s">
        <v>934</v>
      </c>
      <c r="B1794" s="1001" t="s">
        <v>865</v>
      </c>
      <c r="C1794" s="1066">
        <v>46279</v>
      </c>
      <c r="D1794" s="1066">
        <v>46279</v>
      </c>
      <c r="E1794" s="1005" t="s">
        <v>1207</v>
      </c>
      <c r="I1794" s="1002" t="s">
        <v>867</v>
      </c>
      <c r="J1794" s="1061" t="s">
        <v>48</v>
      </c>
      <c r="K1794" s="1061" t="s">
        <v>49</v>
      </c>
      <c r="L1794" s="1002" t="s">
        <v>18</v>
      </c>
      <c r="M1794" s="1093">
        <v>12</v>
      </c>
      <c r="N1794" s="1081">
        <v>601851.85</v>
      </c>
      <c r="O1794" s="1081">
        <f t="shared" ref="O1794:O1803" si="308">M1794*N1794</f>
        <v>7222222.1999999993</v>
      </c>
      <c r="P1794" s="1081">
        <f t="shared" si="305"/>
        <v>577777.77599999995</v>
      </c>
      <c r="Q1794" s="1206">
        <f t="shared" si="306"/>
        <v>7799999.9759999989</v>
      </c>
      <c r="V1794" s="1083">
        <f t="shared" si="304"/>
        <v>7799999.9759999989</v>
      </c>
    </row>
    <row r="1795" spans="1:22" ht="31.5" hidden="1">
      <c r="A1795" s="1004" t="s">
        <v>934</v>
      </c>
      <c r="B1795" s="1001" t="s">
        <v>865</v>
      </c>
      <c r="C1795" s="1066">
        <v>46279</v>
      </c>
      <c r="D1795" s="1066">
        <v>46279</v>
      </c>
      <c r="E1795" s="1005" t="s">
        <v>1207</v>
      </c>
      <c r="I1795" s="1002" t="s">
        <v>867</v>
      </c>
      <c r="J1795" s="1061" t="s">
        <v>50</v>
      </c>
      <c r="K1795" s="1061" t="s">
        <v>51</v>
      </c>
      <c r="L1795" s="1002" t="s">
        <v>18</v>
      </c>
      <c r="M1795" s="1093">
        <v>6</v>
      </c>
      <c r="N1795" s="1081">
        <v>937962.96</v>
      </c>
      <c r="O1795" s="1081">
        <f t="shared" si="308"/>
        <v>5627777.7599999998</v>
      </c>
      <c r="P1795" s="1081">
        <f t="shared" si="305"/>
        <v>450222.22080000001</v>
      </c>
      <c r="Q1795" s="1206">
        <f t="shared" si="306"/>
        <v>6077999.9808</v>
      </c>
      <c r="V1795" s="1083">
        <f t="shared" si="304"/>
        <v>6077999.9808</v>
      </c>
    </row>
    <row r="1796" spans="1:22" hidden="1">
      <c r="A1796" s="1004" t="s">
        <v>934</v>
      </c>
      <c r="B1796" s="1001" t="s">
        <v>865</v>
      </c>
      <c r="C1796" s="1066">
        <v>46279</v>
      </c>
      <c r="D1796" s="1066">
        <v>46279</v>
      </c>
      <c r="E1796" s="1005" t="s">
        <v>1207</v>
      </c>
      <c r="I1796" s="1002" t="s">
        <v>867</v>
      </c>
      <c r="J1796" s="1061" t="s">
        <v>226</v>
      </c>
      <c r="K1796" s="1061" t="s">
        <v>227</v>
      </c>
      <c r="L1796" s="1002" t="s">
        <v>18</v>
      </c>
      <c r="M1796" s="1093">
        <v>6</v>
      </c>
      <c r="N1796" s="1081">
        <v>799074.07</v>
      </c>
      <c r="O1796" s="1081">
        <f t="shared" si="308"/>
        <v>4794444.42</v>
      </c>
      <c r="P1796" s="1081">
        <f t="shared" si="305"/>
        <v>383555.55359999998</v>
      </c>
      <c r="Q1796" s="1206">
        <f t="shared" si="306"/>
        <v>5177999.9736000001</v>
      </c>
      <c r="V1796" s="1083">
        <f t="shared" si="304"/>
        <v>5177999.9736000001</v>
      </c>
    </row>
    <row r="1797" spans="1:22" hidden="1">
      <c r="A1797" s="1004" t="s">
        <v>934</v>
      </c>
      <c r="B1797" s="1001" t="s">
        <v>865</v>
      </c>
      <c r="C1797" s="1066">
        <v>46279</v>
      </c>
      <c r="D1797" s="1066">
        <v>46279</v>
      </c>
      <c r="E1797" s="1005" t="s">
        <v>1207</v>
      </c>
      <c r="I1797" s="1002" t="s">
        <v>867</v>
      </c>
      <c r="J1797" s="1061" t="s">
        <v>52</v>
      </c>
      <c r="K1797" s="1061" t="s">
        <v>53</v>
      </c>
      <c r="L1797" s="1002" t="s">
        <v>18</v>
      </c>
      <c r="M1797" s="1093">
        <v>12</v>
      </c>
      <c r="N1797" s="1081">
        <v>1007407.41</v>
      </c>
      <c r="O1797" s="1081">
        <f t="shared" si="308"/>
        <v>12088888.92</v>
      </c>
      <c r="P1797" s="1081">
        <f t="shared" si="305"/>
        <v>967111.11360000004</v>
      </c>
      <c r="Q1797" s="1206">
        <f t="shared" si="306"/>
        <v>13056000.033600001</v>
      </c>
      <c r="V1797" s="1083">
        <f t="shared" si="304"/>
        <v>13056000.033600001</v>
      </c>
    </row>
    <row r="1798" spans="1:22" hidden="1">
      <c r="A1798" s="1004" t="s">
        <v>934</v>
      </c>
      <c r="B1798" s="1001" t="s">
        <v>865</v>
      </c>
      <c r="C1798" s="1066">
        <v>46279</v>
      </c>
      <c r="D1798" s="1066">
        <v>46279</v>
      </c>
      <c r="E1798" s="1005" t="s">
        <v>1207</v>
      </c>
      <c r="I1798" s="1002" t="s">
        <v>867</v>
      </c>
      <c r="J1798" s="1061" t="s">
        <v>103</v>
      </c>
      <c r="K1798" s="1061" t="s">
        <v>104</v>
      </c>
      <c r="L1798" s="1002" t="s">
        <v>18</v>
      </c>
      <c r="M1798" s="1093">
        <v>12</v>
      </c>
      <c r="N1798" s="1081">
        <v>675925.93</v>
      </c>
      <c r="O1798" s="1081">
        <f t="shared" si="308"/>
        <v>8111111.1600000001</v>
      </c>
      <c r="P1798" s="1081">
        <f t="shared" si="305"/>
        <v>648888.89280000003</v>
      </c>
      <c r="Q1798" s="1206">
        <f t="shared" si="306"/>
        <v>8760000.0527999997</v>
      </c>
      <c r="V1798" s="1083">
        <f t="shared" si="304"/>
        <v>8760000.0527999997</v>
      </c>
    </row>
    <row r="1799" spans="1:22" hidden="1">
      <c r="A1799" s="1004" t="s">
        <v>934</v>
      </c>
      <c r="B1799" s="1001" t="s">
        <v>865</v>
      </c>
      <c r="C1799" s="1066">
        <v>46279</v>
      </c>
      <c r="D1799" s="1066">
        <v>46279</v>
      </c>
      <c r="E1799" s="1005" t="s">
        <v>1207</v>
      </c>
      <c r="I1799" s="1002" t="s">
        <v>867</v>
      </c>
      <c r="J1799" s="1061" t="s">
        <v>873</v>
      </c>
      <c r="K1799" s="1061" t="s">
        <v>874</v>
      </c>
      <c r="L1799" s="1002" t="s">
        <v>18</v>
      </c>
      <c r="M1799" s="1093">
        <v>30</v>
      </c>
      <c r="N1799" s="1081">
        <v>388888.89</v>
      </c>
      <c r="O1799" s="1081">
        <f t="shared" si="308"/>
        <v>11666666.700000001</v>
      </c>
      <c r="P1799" s="1081">
        <f t="shared" si="305"/>
        <v>933333.33600000013</v>
      </c>
      <c r="Q1799" s="1206">
        <f t="shared" si="306"/>
        <v>12600000.036000002</v>
      </c>
      <c r="V1799" s="1083">
        <f t="shared" si="304"/>
        <v>12600000.036000002</v>
      </c>
    </row>
    <row r="1800" spans="1:22" hidden="1">
      <c r="A1800" s="1004" t="s">
        <v>934</v>
      </c>
      <c r="B1800" s="1001" t="s">
        <v>865</v>
      </c>
      <c r="C1800" s="1066">
        <v>46279</v>
      </c>
      <c r="D1800" s="1066">
        <v>46282</v>
      </c>
      <c r="E1800" s="1005" t="s">
        <v>1207</v>
      </c>
      <c r="I1800" s="1002" t="s">
        <v>867</v>
      </c>
      <c r="J1800" s="1061" t="s">
        <v>796</v>
      </c>
      <c r="K1800" s="1061" t="s">
        <v>797</v>
      </c>
      <c r="L1800" s="1002" t="s">
        <v>18</v>
      </c>
      <c r="M1800" s="1093">
        <v>30</v>
      </c>
      <c r="N1800" s="1081">
        <v>292592.59999999998</v>
      </c>
      <c r="O1800" s="1081">
        <f t="shared" si="308"/>
        <v>8777778</v>
      </c>
      <c r="P1800" s="1081">
        <f t="shared" si="305"/>
        <v>702222.24</v>
      </c>
      <c r="Q1800" s="1206">
        <f t="shared" si="306"/>
        <v>9480000.2400000002</v>
      </c>
      <c r="V1800" s="1083">
        <f t="shared" si="304"/>
        <v>9480000.2400000002</v>
      </c>
    </row>
    <row r="1801" spans="1:22" hidden="1">
      <c r="A1801" s="1004" t="s">
        <v>934</v>
      </c>
      <c r="B1801" s="1001" t="s">
        <v>865</v>
      </c>
      <c r="C1801" s="1066">
        <v>46279</v>
      </c>
      <c r="D1801" s="1066">
        <v>46282</v>
      </c>
      <c r="E1801" s="1005" t="s">
        <v>1207</v>
      </c>
      <c r="I1801" s="1002" t="s">
        <v>867</v>
      </c>
      <c r="J1801" s="1061" t="s">
        <v>798</v>
      </c>
      <c r="K1801" s="1061" t="s">
        <v>799</v>
      </c>
      <c r="L1801" s="1002" t="s">
        <v>18</v>
      </c>
      <c r="M1801" s="1093">
        <v>30</v>
      </c>
      <c r="N1801" s="1081">
        <v>231481.48</v>
      </c>
      <c r="O1801" s="1081">
        <f t="shared" si="308"/>
        <v>6944444.4000000004</v>
      </c>
      <c r="P1801" s="1081">
        <f t="shared" si="305"/>
        <v>555555.55200000003</v>
      </c>
      <c r="Q1801" s="1206">
        <f t="shared" si="306"/>
        <v>7499999.9520000005</v>
      </c>
      <c r="V1801" s="1083">
        <f t="shared" si="304"/>
        <v>7499999.9520000005</v>
      </c>
    </row>
    <row r="1802" spans="1:22" hidden="1">
      <c r="A1802" s="1004" t="s">
        <v>934</v>
      </c>
      <c r="B1802" s="1001" t="s">
        <v>865</v>
      </c>
      <c r="C1802" s="1066">
        <v>46279</v>
      </c>
      <c r="D1802" s="1066">
        <v>46282</v>
      </c>
      <c r="E1802" s="1005" t="s">
        <v>1207</v>
      </c>
      <c r="I1802" s="1002" t="s">
        <v>862</v>
      </c>
      <c r="J1802" s="1061" t="s">
        <v>959</v>
      </c>
      <c r="K1802" s="1061" t="s">
        <v>960</v>
      </c>
      <c r="L1802" s="1002" t="s">
        <v>18</v>
      </c>
      <c r="M1802" s="1093">
        <v>48</v>
      </c>
      <c r="N1802" s="1081">
        <v>0</v>
      </c>
      <c r="O1802" s="1081">
        <f t="shared" si="308"/>
        <v>0</v>
      </c>
      <c r="P1802" s="1081">
        <f t="shared" si="305"/>
        <v>0</v>
      </c>
      <c r="Q1802" s="1206">
        <f t="shared" si="306"/>
        <v>0</v>
      </c>
      <c r="V1802" s="1083">
        <f t="shared" si="304"/>
        <v>0</v>
      </c>
    </row>
    <row r="1803" spans="1:22" hidden="1">
      <c r="A1803" s="1004" t="s">
        <v>934</v>
      </c>
      <c r="B1803" s="1001" t="s">
        <v>865</v>
      </c>
      <c r="C1803" s="1066">
        <v>46279</v>
      </c>
      <c r="D1803" s="1066">
        <v>46282</v>
      </c>
      <c r="E1803" s="1005" t="s">
        <v>1207</v>
      </c>
      <c r="I1803" s="1002" t="s">
        <v>1208</v>
      </c>
      <c r="J1803" s="1061" t="s">
        <v>107</v>
      </c>
      <c r="K1803" s="1061" t="s">
        <v>108</v>
      </c>
      <c r="L1803" s="1002" t="s">
        <v>18</v>
      </c>
      <c r="M1803" s="1093">
        <v>6</v>
      </c>
      <c r="N1803" s="1081">
        <v>0</v>
      </c>
      <c r="O1803" s="1081">
        <f t="shared" si="308"/>
        <v>0</v>
      </c>
      <c r="P1803" s="1081">
        <f t="shared" si="305"/>
        <v>0</v>
      </c>
      <c r="Q1803" s="1206">
        <f t="shared" si="306"/>
        <v>0</v>
      </c>
      <c r="V1803" s="1083">
        <f t="shared" si="304"/>
        <v>0</v>
      </c>
    </row>
    <row r="1804" spans="1:22" hidden="1">
      <c r="A1804" s="1000" t="s">
        <v>752</v>
      </c>
      <c r="B1804" s="1028" t="s">
        <v>1494</v>
      </c>
      <c r="C1804" s="1066">
        <v>46282</v>
      </c>
      <c r="D1804" s="1066">
        <v>46282</v>
      </c>
      <c r="E1804" s="1005" t="s">
        <v>1209</v>
      </c>
      <c r="I1804" s="1002" t="s">
        <v>812</v>
      </c>
      <c r="J1804" s="1007" t="s">
        <v>643</v>
      </c>
      <c r="K1804" s="1064" t="s">
        <v>644</v>
      </c>
      <c r="L1804" s="1002" t="s">
        <v>18</v>
      </c>
      <c r="M1804" s="1093">
        <v>15</v>
      </c>
      <c r="N1804" s="1223">
        <v>527777.78</v>
      </c>
      <c r="O1804" s="1223">
        <f t="shared" ref="O1804:O1808" si="309">M1804*N1804</f>
        <v>7916666.7000000002</v>
      </c>
      <c r="P1804" s="1081">
        <f t="shared" ref="P1804:P1826" si="310">O1804*8%</f>
        <v>633333.33600000001</v>
      </c>
      <c r="Q1804" s="1206">
        <f t="shared" ref="Q1804:Q1839" si="311">O1804+P1804</f>
        <v>8550000.0360000003</v>
      </c>
      <c r="V1804" s="1107">
        <f t="shared" si="304"/>
        <v>8550000.0360000003</v>
      </c>
    </row>
    <row r="1805" spans="1:22" hidden="1">
      <c r="A1805" s="1000" t="s">
        <v>752</v>
      </c>
      <c r="B1805" s="1028" t="s">
        <v>1494</v>
      </c>
      <c r="C1805" s="1066">
        <v>46282</v>
      </c>
      <c r="D1805" s="1066">
        <v>46275</v>
      </c>
      <c r="E1805" s="1005" t="s">
        <v>1209</v>
      </c>
      <c r="I1805" s="1002" t="s">
        <v>812</v>
      </c>
      <c r="J1805" s="1007" t="s">
        <v>645</v>
      </c>
      <c r="K1805" s="1064" t="s">
        <v>646</v>
      </c>
      <c r="L1805" s="1002" t="s">
        <v>18</v>
      </c>
      <c r="M1805" s="1093">
        <v>30</v>
      </c>
      <c r="N1805" s="1223">
        <v>629629.63</v>
      </c>
      <c r="O1805" s="1223">
        <f t="shared" si="309"/>
        <v>18888888.899999999</v>
      </c>
      <c r="P1805" s="1081">
        <f t="shared" si="310"/>
        <v>1511111.112</v>
      </c>
      <c r="Q1805" s="1206">
        <f t="shared" si="311"/>
        <v>20400000.011999998</v>
      </c>
      <c r="V1805" s="1107">
        <f t="shared" si="304"/>
        <v>20400000.011999998</v>
      </c>
    </row>
    <row r="1806" spans="1:22" hidden="1">
      <c r="A1806" s="1000" t="s">
        <v>752</v>
      </c>
      <c r="B1806" s="1028" t="s">
        <v>1494</v>
      </c>
      <c r="C1806" s="1066">
        <v>46282</v>
      </c>
      <c r="D1806" s="1066">
        <v>46283</v>
      </c>
      <c r="E1806" s="1005" t="s">
        <v>1209</v>
      </c>
      <c r="I1806" s="1002" t="s">
        <v>812</v>
      </c>
      <c r="J1806" s="1007" t="s">
        <v>90</v>
      </c>
      <c r="K1806" s="1064" t="s">
        <v>91</v>
      </c>
      <c r="L1806" s="1002" t="s">
        <v>18</v>
      </c>
      <c r="M1806" s="1093">
        <v>10</v>
      </c>
      <c r="N1806" s="1223">
        <v>814814.81</v>
      </c>
      <c r="O1806" s="1223">
        <f t="shared" si="309"/>
        <v>8148148.1000000006</v>
      </c>
      <c r="P1806" s="1081">
        <f t="shared" si="310"/>
        <v>651851.84800000011</v>
      </c>
      <c r="Q1806" s="1206">
        <f t="shared" si="311"/>
        <v>8799999.9480000008</v>
      </c>
      <c r="V1806" s="1107">
        <f t="shared" si="304"/>
        <v>8799999.9480000008</v>
      </c>
    </row>
    <row r="1807" spans="1:22" hidden="1">
      <c r="A1807" s="1000" t="s">
        <v>752</v>
      </c>
      <c r="B1807" s="1028" t="s">
        <v>1494</v>
      </c>
      <c r="C1807" s="1066">
        <v>46282</v>
      </c>
      <c r="D1807" s="1066">
        <v>46283</v>
      </c>
      <c r="E1807" s="1005" t="s">
        <v>1209</v>
      </c>
      <c r="I1807" s="1008" t="s">
        <v>892</v>
      </c>
      <c r="J1807" s="1007" t="s">
        <v>643</v>
      </c>
      <c r="K1807" s="1064" t="s">
        <v>644</v>
      </c>
      <c r="L1807" s="1002" t="s">
        <v>18</v>
      </c>
      <c r="M1807" s="1093">
        <v>1</v>
      </c>
      <c r="N1807" s="1223">
        <v>0</v>
      </c>
      <c r="O1807" s="1223">
        <f t="shared" si="309"/>
        <v>0</v>
      </c>
      <c r="P1807" s="1081">
        <f t="shared" si="310"/>
        <v>0</v>
      </c>
      <c r="Q1807" s="1206">
        <f t="shared" si="311"/>
        <v>0</v>
      </c>
      <c r="V1807" s="1107">
        <f t="shared" si="304"/>
        <v>0</v>
      </c>
    </row>
    <row r="1808" spans="1:22" hidden="1">
      <c r="A1808" s="1000" t="s">
        <v>752</v>
      </c>
      <c r="B1808" s="1028" t="s">
        <v>1494</v>
      </c>
      <c r="C1808" s="1066">
        <v>46282</v>
      </c>
      <c r="D1808" s="1066">
        <v>46283</v>
      </c>
      <c r="E1808" s="1005" t="s">
        <v>1209</v>
      </c>
      <c r="I1808" s="1008" t="s">
        <v>892</v>
      </c>
      <c r="J1808" s="1007" t="s">
        <v>645</v>
      </c>
      <c r="K1808" s="1064" t="s">
        <v>646</v>
      </c>
      <c r="L1808" s="1002" t="s">
        <v>18</v>
      </c>
      <c r="M1808" s="1093">
        <v>2</v>
      </c>
      <c r="N1808" s="1223">
        <v>0</v>
      </c>
      <c r="O1808" s="1223">
        <f t="shared" si="309"/>
        <v>0</v>
      </c>
      <c r="P1808" s="1081">
        <f t="shared" si="310"/>
        <v>0</v>
      </c>
      <c r="Q1808" s="1206">
        <f t="shared" si="311"/>
        <v>0</v>
      </c>
      <c r="V1808" s="1107">
        <f t="shared" si="304"/>
        <v>0</v>
      </c>
    </row>
    <row r="1809" spans="1:23" hidden="1">
      <c r="A1809" s="1039" t="s">
        <v>736</v>
      </c>
      <c r="B1809" s="1040" t="s">
        <v>747</v>
      </c>
      <c r="C1809" s="1066">
        <v>46275</v>
      </c>
      <c r="D1809" s="1066">
        <v>46283</v>
      </c>
      <c r="I1809" s="1002" t="s">
        <v>844</v>
      </c>
      <c r="J1809" s="1007"/>
      <c r="K1809" s="1064"/>
      <c r="M1809" s="1093"/>
      <c r="N1809" s="1223"/>
      <c r="O1809" s="1223"/>
      <c r="Q1809" s="1206"/>
      <c r="R1809" s="1107">
        <v>7164000</v>
      </c>
      <c r="V1809" s="1083">
        <f t="shared" si="304"/>
        <v>-7164000</v>
      </c>
    </row>
    <row r="1810" spans="1:23" ht="31.5" hidden="1">
      <c r="A1810" s="1039" t="s">
        <v>736</v>
      </c>
      <c r="B1810" s="1040" t="s">
        <v>747</v>
      </c>
      <c r="C1810" s="1066">
        <v>46283</v>
      </c>
      <c r="D1810" s="1066">
        <v>46283</v>
      </c>
      <c r="E1810" s="1005" t="s">
        <v>1210</v>
      </c>
      <c r="I1810" s="1002" t="s">
        <v>818</v>
      </c>
      <c r="J1810" s="1007" t="s">
        <v>16</v>
      </c>
      <c r="K1810" s="1064" t="s">
        <v>17</v>
      </c>
      <c r="L1810" s="1002" t="s">
        <v>18</v>
      </c>
      <c r="M1810" s="1093">
        <v>4</v>
      </c>
      <c r="N1810" s="1081">
        <v>851851.85</v>
      </c>
      <c r="O1810" s="1081">
        <f>M1810*N1810</f>
        <v>3407407.4</v>
      </c>
      <c r="P1810" s="1081">
        <f t="shared" si="310"/>
        <v>272592.592</v>
      </c>
      <c r="Q1810" s="1206">
        <f t="shared" si="311"/>
        <v>3679999.9920000001</v>
      </c>
      <c r="V1810" s="1083">
        <f t="shared" ref="V1810:V1841" si="312">Q1810-R1810-S1810-T1810-U1810</f>
        <v>3679999.9920000001</v>
      </c>
    </row>
    <row r="1811" spans="1:23" hidden="1">
      <c r="A1811" s="1039" t="s">
        <v>736</v>
      </c>
      <c r="B1811" s="1040" t="s">
        <v>747</v>
      </c>
      <c r="C1811" s="1066">
        <v>46283</v>
      </c>
      <c r="D1811" s="1066">
        <v>46283</v>
      </c>
      <c r="E1811" s="1005" t="s">
        <v>1210</v>
      </c>
      <c r="F1811" s="1077">
        <v>46295</v>
      </c>
      <c r="G1811" s="1002" t="s">
        <v>1345</v>
      </c>
      <c r="H1811" s="1111" t="s">
        <v>1309</v>
      </c>
      <c r="I1811" s="1002" t="s">
        <v>818</v>
      </c>
      <c r="J1811" s="1007" t="s">
        <v>645</v>
      </c>
      <c r="K1811" s="1064" t="s">
        <v>646</v>
      </c>
      <c r="L1811" s="1002" t="s">
        <v>18</v>
      </c>
      <c r="M1811" s="1093">
        <v>15</v>
      </c>
      <c r="N1811" s="1081">
        <v>629629.63</v>
      </c>
      <c r="O1811" s="1081">
        <f t="shared" ref="O1811:O1821" si="313">M1811*N1811</f>
        <v>9444444.4499999993</v>
      </c>
      <c r="P1811" s="1081">
        <f t="shared" si="310"/>
        <v>755555.55599999998</v>
      </c>
      <c r="Q1811" s="1206">
        <f t="shared" si="311"/>
        <v>10200000.005999999</v>
      </c>
      <c r="V1811" s="1083">
        <f t="shared" si="312"/>
        <v>10200000.005999999</v>
      </c>
    </row>
    <row r="1812" spans="1:23" hidden="1">
      <c r="A1812" s="1039" t="s">
        <v>736</v>
      </c>
      <c r="B1812" s="1040" t="s">
        <v>747</v>
      </c>
      <c r="C1812" s="1066">
        <v>46283</v>
      </c>
      <c r="D1812" s="1066">
        <v>46283</v>
      </c>
      <c r="E1812" s="1005" t="s">
        <v>1210</v>
      </c>
      <c r="F1812" s="1077">
        <v>46295</v>
      </c>
      <c r="G1812" s="1002" t="s">
        <v>1345</v>
      </c>
      <c r="H1812" s="1111" t="s">
        <v>1309</v>
      </c>
      <c r="I1812" s="1002" t="s">
        <v>818</v>
      </c>
      <c r="J1812" s="1007" t="s">
        <v>651</v>
      </c>
      <c r="K1812" s="1064" t="s">
        <v>652</v>
      </c>
      <c r="L1812" s="1002" t="s">
        <v>18</v>
      </c>
      <c r="M1812" s="1093">
        <v>15</v>
      </c>
      <c r="N1812" s="1081">
        <v>694444.44</v>
      </c>
      <c r="O1812" s="1081">
        <f t="shared" si="313"/>
        <v>10416666.6</v>
      </c>
      <c r="P1812" s="1081">
        <f t="shared" si="310"/>
        <v>833333.32799999998</v>
      </c>
      <c r="Q1812" s="1206">
        <f t="shared" si="311"/>
        <v>11249999.927999999</v>
      </c>
      <c r="V1812" s="1083">
        <f t="shared" si="312"/>
        <v>11249999.927999999</v>
      </c>
    </row>
    <row r="1813" spans="1:23" hidden="1">
      <c r="A1813" s="1039" t="s">
        <v>736</v>
      </c>
      <c r="B1813" s="1040" t="s">
        <v>747</v>
      </c>
      <c r="C1813" s="1066">
        <v>46283</v>
      </c>
      <c r="D1813" s="1066">
        <v>46283</v>
      </c>
      <c r="E1813" s="1005" t="s">
        <v>1210</v>
      </c>
      <c r="I1813" s="1002" t="s">
        <v>818</v>
      </c>
      <c r="J1813" s="1007" t="s">
        <v>103</v>
      </c>
      <c r="K1813" s="1064" t="s">
        <v>104</v>
      </c>
      <c r="L1813" s="1002" t="s">
        <v>18</v>
      </c>
      <c r="M1813" s="1093">
        <v>18</v>
      </c>
      <c r="N1813" s="1081">
        <v>675925.93</v>
      </c>
      <c r="O1813" s="1081">
        <f t="shared" si="313"/>
        <v>12166666.74</v>
      </c>
      <c r="P1813" s="1081">
        <f t="shared" si="310"/>
        <v>973333.33920000005</v>
      </c>
      <c r="Q1813" s="1206">
        <f t="shared" si="311"/>
        <v>13140000.0792</v>
      </c>
      <c r="V1813" s="1083">
        <f t="shared" si="312"/>
        <v>13140000.0792</v>
      </c>
    </row>
    <row r="1814" spans="1:23" ht="31.5" hidden="1">
      <c r="A1814" s="1039" t="s">
        <v>736</v>
      </c>
      <c r="B1814" s="1040" t="s">
        <v>747</v>
      </c>
      <c r="C1814" s="1066">
        <v>46283</v>
      </c>
      <c r="D1814" s="1066">
        <v>46283</v>
      </c>
      <c r="E1814" s="1005" t="s">
        <v>1210</v>
      </c>
      <c r="I1814" s="1002" t="s">
        <v>818</v>
      </c>
      <c r="J1814" s="1007" t="s">
        <v>56</v>
      </c>
      <c r="K1814" s="1064" t="s">
        <v>57</v>
      </c>
      <c r="L1814" s="1002" t="s">
        <v>18</v>
      </c>
      <c r="M1814" s="1093">
        <v>20</v>
      </c>
      <c r="N1814" s="1081">
        <v>325925.93</v>
      </c>
      <c r="O1814" s="1081">
        <f t="shared" si="313"/>
        <v>6518518.5999999996</v>
      </c>
      <c r="P1814" s="1081">
        <f t="shared" si="310"/>
        <v>521481.48799999995</v>
      </c>
      <c r="Q1814" s="1206">
        <f t="shared" si="311"/>
        <v>7040000.0879999995</v>
      </c>
      <c r="V1814" s="1083">
        <f t="shared" si="312"/>
        <v>7040000.0879999995</v>
      </c>
    </row>
    <row r="1815" spans="1:23" hidden="1">
      <c r="A1815" s="1039" t="s">
        <v>736</v>
      </c>
      <c r="B1815" s="1040" t="s">
        <v>747</v>
      </c>
      <c r="C1815" s="1066">
        <v>46283</v>
      </c>
      <c r="D1815" s="1066">
        <v>46283</v>
      </c>
      <c r="E1815" s="1005" t="s">
        <v>1210</v>
      </c>
      <c r="I1815" s="1002" t="s">
        <v>818</v>
      </c>
      <c r="J1815" s="1007" t="s">
        <v>74</v>
      </c>
      <c r="K1815" s="1064" t="s">
        <v>141</v>
      </c>
      <c r="L1815" s="1002" t="s">
        <v>18</v>
      </c>
      <c r="M1815" s="1093">
        <v>8</v>
      </c>
      <c r="N1815" s="1081">
        <v>382407.41</v>
      </c>
      <c r="O1815" s="1081">
        <f t="shared" si="313"/>
        <v>3059259.28</v>
      </c>
      <c r="P1815" s="1081">
        <f t="shared" si="310"/>
        <v>244740.74239999999</v>
      </c>
      <c r="Q1815" s="1206">
        <f t="shared" si="311"/>
        <v>3304000.0223999997</v>
      </c>
      <c r="V1815" s="1083">
        <f t="shared" si="312"/>
        <v>3304000.0223999997</v>
      </c>
    </row>
    <row r="1816" spans="1:23" hidden="1">
      <c r="A1816" s="1039" t="s">
        <v>736</v>
      </c>
      <c r="B1816" s="1040" t="s">
        <v>747</v>
      </c>
      <c r="C1816" s="1066">
        <v>46283</v>
      </c>
      <c r="D1816" s="1066">
        <v>46283</v>
      </c>
      <c r="E1816" s="1005" t="s">
        <v>1210</v>
      </c>
      <c r="I1816" s="1002" t="s">
        <v>818</v>
      </c>
      <c r="J1816" s="1007" t="s">
        <v>90</v>
      </c>
      <c r="K1816" s="1064" t="s">
        <v>91</v>
      </c>
      <c r="L1816" s="1002" t="s">
        <v>18</v>
      </c>
      <c r="M1816" s="1093">
        <v>10</v>
      </c>
      <c r="N1816" s="1081">
        <v>814814.81</v>
      </c>
      <c r="O1816" s="1081">
        <f t="shared" si="313"/>
        <v>8148148.1000000006</v>
      </c>
      <c r="P1816" s="1081">
        <f t="shared" si="310"/>
        <v>651851.84800000011</v>
      </c>
      <c r="Q1816" s="1206">
        <f t="shared" si="311"/>
        <v>8799999.9480000008</v>
      </c>
      <c r="V1816" s="1083">
        <f t="shared" si="312"/>
        <v>8799999.9480000008</v>
      </c>
    </row>
    <row r="1817" spans="1:23" hidden="1">
      <c r="A1817" s="1039" t="s">
        <v>736</v>
      </c>
      <c r="B1817" s="1040" t="s">
        <v>747</v>
      </c>
      <c r="C1817" s="1066">
        <v>46283</v>
      </c>
      <c r="D1817" s="1066">
        <v>46286</v>
      </c>
      <c r="E1817" s="1005" t="s">
        <v>1210</v>
      </c>
      <c r="F1817" s="1077">
        <v>46295</v>
      </c>
      <c r="G1817" s="1002" t="s">
        <v>1345</v>
      </c>
      <c r="H1817" s="1111" t="s">
        <v>1309</v>
      </c>
      <c r="I1817" s="1008" t="s">
        <v>892</v>
      </c>
      <c r="J1817" s="1007" t="s">
        <v>645</v>
      </c>
      <c r="K1817" s="1064" t="s">
        <v>646</v>
      </c>
      <c r="L1817" s="1002" t="s">
        <v>18</v>
      </c>
      <c r="M1817" s="1093">
        <v>1</v>
      </c>
      <c r="N1817" s="1081">
        <v>0</v>
      </c>
      <c r="O1817" s="1081">
        <f t="shared" si="313"/>
        <v>0</v>
      </c>
      <c r="P1817" s="1081">
        <f t="shared" si="310"/>
        <v>0</v>
      </c>
      <c r="Q1817" s="1206">
        <f t="shared" si="311"/>
        <v>0</v>
      </c>
      <c r="V1817" s="1083">
        <f t="shared" si="312"/>
        <v>0</v>
      </c>
    </row>
    <row r="1818" spans="1:23" hidden="1">
      <c r="A1818" s="1039" t="s">
        <v>736</v>
      </c>
      <c r="B1818" s="1040" t="s">
        <v>747</v>
      </c>
      <c r="C1818" s="1066">
        <v>46283</v>
      </c>
      <c r="D1818" s="1066">
        <v>46286</v>
      </c>
      <c r="E1818" s="1005" t="s">
        <v>1210</v>
      </c>
      <c r="F1818" s="1077">
        <v>46295</v>
      </c>
      <c r="G1818" s="1002" t="s">
        <v>1345</v>
      </c>
      <c r="H1818" s="1111" t="s">
        <v>1309</v>
      </c>
      <c r="I1818" s="1008" t="s">
        <v>892</v>
      </c>
      <c r="J1818" s="1007" t="s">
        <v>651</v>
      </c>
      <c r="K1818" s="1064" t="s">
        <v>652</v>
      </c>
      <c r="L1818" s="1002" t="s">
        <v>18</v>
      </c>
      <c r="M1818" s="1093">
        <v>1</v>
      </c>
      <c r="N1818" s="1081">
        <v>0</v>
      </c>
      <c r="O1818" s="1081">
        <f t="shared" si="313"/>
        <v>0</v>
      </c>
      <c r="P1818" s="1081">
        <f t="shared" si="310"/>
        <v>0</v>
      </c>
      <c r="Q1818" s="1206">
        <f t="shared" si="311"/>
        <v>0</v>
      </c>
      <c r="V1818" s="1083">
        <f t="shared" si="312"/>
        <v>0</v>
      </c>
    </row>
    <row r="1819" spans="1:23" ht="31.5" hidden="1">
      <c r="A1819" s="1039" t="s">
        <v>736</v>
      </c>
      <c r="B1819" s="1040" t="s">
        <v>747</v>
      </c>
      <c r="C1819" s="1066">
        <v>46283</v>
      </c>
      <c r="D1819" s="1066">
        <v>46286</v>
      </c>
      <c r="E1819" s="1005" t="s">
        <v>1210</v>
      </c>
      <c r="I1819" s="1002" t="s">
        <v>1211</v>
      </c>
      <c r="J1819" s="1007" t="s">
        <v>56</v>
      </c>
      <c r="K1819" s="1064" t="s">
        <v>57</v>
      </c>
      <c r="L1819" s="1002" t="s">
        <v>18</v>
      </c>
      <c r="M1819" s="1093">
        <v>2</v>
      </c>
      <c r="N1819" s="1081">
        <v>0</v>
      </c>
      <c r="O1819" s="1081">
        <f t="shared" si="313"/>
        <v>0</v>
      </c>
      <c r="P1819" s="1081">
        <f t="shared" si="310"/>
        <v>0</v>
      </c>
      <c r="Q1819" s="1206">
        <f t="shared" si="311"/>
        <v>0</v>
      </c>
      <c r="V1819" s="1083">
        <f t="shared" si="312"/>
        <v>0</v>
      </c>
      <c r="W1819" s="1050" t="s">
        <v>1212</v>
      </c>
    </row>
    <row r="1820" spans="1:23" hidden="1">
      <c r="A1820" s="1039" t="s">
        <v>736</v>
      </c>
      <c r="B1820" s="1040" t="s">
        <v>747</v>
      </c>
      <c r="C1820" s="1066">
        <v>46283</v>
      </c>
      <c r="D1820" s="1066">
        <v>46286</v>
      </c>
      <c r="E1820" s="1005" t="s">
        <v>1210</v>
      </c>
      <c r="I1820" s="1002" t="s">
        <v>862</v>
      </c>
      <c r="J1820" s="1007" t="s">
        <v>959</v>
      </c>
      <c r="K1820" s="1064" t="s">
        <v>960</v>
      </c>
      <c r="L1820" s="1002" t="s">
        <v>18</v>
      </c>
      <c r="M1820" s="1093">
        <v>18</v>
      </c>
      <c r="N1820" s="1081">
        <v>0</v>
      </c>
      <c r="O1820" s="1081">
        <f t="shared" si="313"/>
        <v>0</v>
      </c>
      <c r="P1820" s="1081">
        <f t="shared" si="310"/>
        <v>0</v>
      </c>
      <c r="Q1820" s="1206">
        <f t="shared" si="311"/>
        <v>0</v>
      </c>
      <c r="V1820" s="1083">
        <f t="shared" si="312"/>
        <v>0</v>
      </c>
    </row>
    <row r="1821" spans="1:23" ht="31.5" hidden="1">
      <c r="A1821" s="1000" t="s">
        <v>964</v>
      </c>
      <c r="B1821" s="1000" t="s">
        <v>852</v>
      </c>
      <c r="C1821" s="1066">
        <v>46286</v>
      </c>
      <c r="D1821" s="1066">
        <v>46286</v>
      </c>
      <c r="E1821" s="1005" t="s">
        <v>1214</v>
      </c>
      <c r="I1821" s="1002" t="s">
        <v>1215</v>
      </c>
      <c r="J1821" s="1007" t="s">
        <v>83</v>
      </c>
      <c r="K1821" s="1064" t="s">
        <v>84</v>
      </c>
      <c r="L1821" s="1002" t="s">
        <v>18</v>
      </c>
      <c r="M1821" s="1093">
        <v>-2</v>
      </c>
      <c r="N1821" s="1107">
        <v>0</v>
      </c>
      <c r="O1821" s="1107">
        <f t="shared" si="313"/>
        <v>0</v>
      </c>
      <c r="P1821" s="1107">
        <f t="shared" si="310"/>
        <v>0</v>
      </c>
      <c r="Q1821" s="1107">
        <f t="shared" si="311"/>
        <v>0</v>
      </c>
      <c r="V1821" s="1083">
        <f t="shared" si="312"/>
        <v>0</v>
      </c>
    </row>
    <row r="1822" spans="1:23" hidden="1">
      <c r="A1822" s="1040" t="s">
        <v>1150</v>
      </c>
      <c r="B1822" s="1001" t="s">
        <v>1271</v>
      </c>
      <c r="C1822" s="1066">
        <v>46286</v>
      </c>
      <c r="D1822" s="1066">
        <v>46286</v>
      </c>
      <c r="E1822" s="1005" t="s">
        <v>1216</v>
      </c>
      <c r="I1822" s="1059" t="s">
        <v>1100</v>
      </c>
      <c r="J1822" s="1007" t="s">
        <v>1199</v>
      </c>
      <c r="K1822" s="1064" t="s">
        <v>1200</v>
      </c>
      <c r="L1822" s="1002" t="s">
        <v>18</v>
      </c>
      <c r="M1822" s="1093">
        <v>1</v>
      </c>
      <c r="N1822" s="1223">
        <v>0</v>
      </c>
      <c r="O1822" s="1223">
        <f>M1822*N1822</f>
        <v>0</v>
      </c>
      <c r="P1822" s="1081">
        <f t="shared" si="310"/>
        <v>0</v>
      </c>
      <c r="Q1822" s="1221">
        <f t="shared" si="311"/>
        <v>0</v>
      </c>
      <c r="V1822" s="1083">
        <f t="shared" si="312"/>
        <v>0</v>
      </c>
    </row>
    <row r="1823" spans="1:23" hidden="1">
      <c r="A1823" s="1000" t="s">
        <v>752</v>
      </c>
      <c r="B1823" s="1028" t="s">
        <v>1494</v>
      </c>
      <c r="C1823" s="1066">
        <v>46286</v>
      </c>
      <c r="D1823" s="1066">
        <v>46286</v>
      </c>
      <c r="I1823" s="1002" t="s">
        <v>844</v>
      </c>
      <c r="J1823" s="1007"/>
      <c r="K1823" s="1064"/>
      <c r="L1823" s="1002" t="s">
        <v>18</v>
      </c>
      <c r="M1823" s="1093"/>
      <c r="P1823" s="1081">
        <f t="shared" si="310"/>
        <v>0</v>
      </c>
      <c r="Q1823" s="1081">
        <f t="shared" si="311"/>
        <v>0</v>
      </c>
      <c r="R1823" s="1107">
        <v>50000000</v>
      </c>
      <c r="V1823" s="1083">
        <f t="shared" si="312"/>
        <v>-50000000</v>
      </c>
    </row>
    <row r="1824" spans="1:23" hidden="1">
      <c r="A1824" s="1000" t="s">
        <v>752</v>
      </c>
      <c r="B1824" s="1028" t="s">
        <v>1494</v>
      </c>
      <c r="C1824" s="1066">
        <v>46286</v>
      </c>
      <c r="D1824" s="1066">
        <v>46287</v>
      </c>
      <c r="I1824" s="1002" t="s">
        <v>760</v>
      </c>
      <c r="J1824" s="1007"/>
      <c r="K1824" s="1064"/>
      <c r="L1824" s="1002" t="s">
        <v>18</v>
      </c>
      <c r="M1824" s="1093"/>
      <c r="P1824" s="1081">
        <f t="shared" si="310"/>
        <v>0</v>
      </c>
      <c r="Q1824" s="1081">
        <f t="shared" si="311"/>
        <v>0</v>
      </c>
      <c r="S1824" s="1107">
        <v>500000</v>
      </c>
      <c r="V1824" s="1083">
        <f t="shared" si="312"/>
        <v>-500000</v>
      </c>
      <c r="W1824" s="1050" t="s">
        <v>1209</v>
      </c>
    </row>
    <row r="1825" spans="1:23" hidden="1">
      <c r="B1825" s="1040" t="s">
        <v>907</v>
      </c>
      <c r="C1825" s="1066">
        <v>46286</v>
      </c>
      <c r="D1825" s="1066">
        <v>46287</v>
      </c>
      <c r="E1825" s="1005" t="s">
        <v>1217</v>
      </c>
      <c r="I1825" s="1002" t="s">
        <v>1515</v>
      </c>
      <c r="J1825" s="1007" t="s">
        <v>1199</v>
      </c>
      <c r="K1825" s="1064" t="s">
        <v>1200</v>
      </c>
      <c r="L1825" s="1002" t="s">
        <v>18</v>
      </c>
      <c r="M1825" s="1093">
        <v>1</v>
      </c>
      <c r="N1825" s="1223">
        <v>0</v>
      </c>
      <c r="O1825" s="1223">
        <f>M1825*N1825</f>
        <v>0</v>
      </c>
      <c r="P1825" s="1081">
        <f t="shared" si="310"/>
        <v>0</v>
      </c>
      <c r="Q1825" s="1221">
        <f t="shared" si="311"/>
        <v>0</v>
      </c>
      <c r="V1825" s="1083">
        <f t="shared" si="312"/>
        <v>0</v>
      </c>
    </row>
    <row r="1826" spans="1:23" hidden="1">
      <c r="A1826" s="1000" t="s">
        <v>1018</v>
      </c>
      <c r="B1826" s="1000" t="s">
        <v>1294</v>
      </c>
      <c r="C1826" s="1066">
        <v>46286</v>
      </c>
      <c r="D1826" s="1066">
        <v>46287</v>
      </c>
      <c r="E1826" s="1005" t="s">
        <v>1218</v>
      </c>
      <c r="F1826" s="1066">
        <v>46286</v>
      </c>
      <c r="H1826" s="1138" t="s">
        <v>1248</v>
      </c>
      <c r="I1826" s="1002" t="s">
        <v>1516</v>
      </c>
      <c r="J1826" s="1007" t="s">
        <v>44</v>
      </c>
      <c r="K1826" s="1064" t="s">
        <v>45</v>
      </c>
      <c r="L1826" s="1002" t="s">
        <v>18</v>
      </c>
      <c r="M1826" s="1093">
        <v>10</v>
      </c>
      <c r="N1826" s="1223">
        <v>601851.85</v>
      </c>
      <c r="O1826" s="1223">
        <f t="shared" ref="O1826" si="314">M1826*N1826</f>
        <v>6018518.5</v>
      </c>
      <c r="P1826" s="1107">
        <f t="shared" si="310"/>
        <v>481481.48</v>
      </c>
      <c r="Q1826" s="1107">
        <f t="shared" si="311"/>
        <v>6499999.9800000004</v>
      </c>
      <c r="V1826" s="1083">
        <f t="shared" si="312"/>
        <v>6499999.9800000004</v>
      </c>
    </row>
    <row r="1827" spans="1:23" hidden="1">
      <c r="A1827" s="1040" t="s">
        <v>1138</v>
      </c>
      <c r="B1827" s="1040" t="s">
        <v>1134</v>
      </c>
      <c r="C1827" s="1066">
        <v>46286</v>
      </c>
      <c r="D1827" s="1066">
        <v>46287</v>
      </c>
      <c r="I1827" s="1002" t="s">
        <v>760</v>
      </c>
      <c r="J1827" s="1007"/>
      <c r="K1827" s="1064"/>
      <c r="M1827" s="1093"/>
      <c r="Q1827" s="1081">
        <f t="shared" si="311"/>
        <v>0</v>
      </c>
      <c r="S1827" s="1107">
        <v>150000</v>
      </c>
      <c r="V1827" s="1107">
        <f t="shared" si="312"/>
        <v>-150000</v>
      </c>
      <c r="W1827" s="1050" t="s">
        <v>1206</v>
      </c>
    </row>
    <row r="1828" spans="1:23" ht="31.5" hidden="1">
      <c r="A1828" s="1000" t="s">
        <v>966</v>
      </c>
      <c r="B1828" s="1028" t="s">
        <v>1498</v>
      </c>
      <c r="C1828" s="1066">
        <v>46287</v>
      </c>
      <c r="D1828" s="1066">
        <v>46287</v>
      </c>
      <c r="E1828" s="1005" t="s">
        <v>1259</v>
      </c>
      <c r="I1828" s="1002" t="s">
        <v>1499</v>
      </c>
      <c r="J1828" s="1007" t="s">
        <v>40</v>
      </c>
      <c r="K1828" s="1064" t="s">
        <v>41</v>
      </c>
      <c r="L1828" s="1007" t="s">
        <v>18</v>
      </c>
      <c r="M1828" s="1093">
        <v>1</v>
      </c>
      <c r="N1828" s="1223">
        <v>851851.85</v>
      </c>
      <c r="O1828" s="1223">
        <f t="shared" ref="O1828:O1836" si="315">M1828*N1828</f>
        <v>851851.85</v>
      </c>
      <c r="P1828" s="1081">
        <f t="shared" ref="P1828:P1839" si="316">O1828*8%</f>
        <v>68148.148000000001</v>
      </c>
      <c r="Q1828" s="1221">
        <f t="shared" si="311"/>
        <v>919999.99800000002</v>
      </c>
      <c r="V1828" s="1107">
        <f t="shared" si="312"/>
        <v>919999.99800000002</v>
      </c>
    </row>
    <row r="1829" spans="1:23" hidden="1">
      <c r="A1829" s="1000" t="s">
        <v>966</v>
      </c>
      <c r="B1829" s="1028" t="s">
        <v>1498</v>
      </c>
      <c r="C1829" s="1066">
        <v>46287</v>
      </c>
      <c r="D1829" s="1066">
        <v>46287</v>
      </c>
      <c r="E1829" s="1005" t="s">
        <v>1259</v>
      </c>
      <c r="F1829" s="1077">
        <v>46290</v>
      </c>
      <c r="G1829" s="1002" t="s">
        <v>1321</v>
      </c>
      <c r="H1829" s="1111" t="s">
        <v>1320</v>
      </c>
      <c r="I1829" s="1002" t="s">
        <v>1499</v>
      </c>
      <c r="J1829" s="1007" t="s">
        <v>52</v>
      </c>
      <c r="K1829" s="1064" t="s">
        <v>53</v>
      </c>
      <c r="L1829" s="1007" t="s">
        <v>18</v>
      </c>
      <c r="M1829" s="1093">
        <v>1</v>
      </c>
      <c r="N1829" s="1223">
        <v>1007407.41</v>
      </c>
      <c r="O1829" s="1223">
        <f t="shared" si="315"/>
        <v>1007407.41</v>
      </c>
      <c r="P1829" s="1081">
        <f t="shared" si="316"/>
        <v>80592.592799999999</v>
      </c>
      <c r="Q1829" s="1221">
        <f t="shared" si="311"/>
        <v>1088000.0028000001</v>
      </c>
      <c r="V1829" s="1107">
        <f t="shared" si="312"/>
        <v>1088000.0028000001</v>
      </c>
    </row>
    <row r="1830" spans="1:23" hidden="1">
      <c r="A1830" s="1000" t="s">
        <v>966</v>
      </c>
      <c r="B1830" s="1028" t="s">
        <v>1498</v>
      </c>
      <c r="C1830" s="1066">
        <v>46287</v>
      </c>
      <c r="D1830" s="1066">
        <v>46287</v>
      </c>
      <c r="E1830" s="1005" t="s">
        <v>1259</v>
      </c>
      <c r="F1830" s="1077">
        <v>46290</v>
      </c>
      <c r="G1830" s="1002" t="s">
        <v>1321</v>
      </c>
      <c r="H1830" s="1111" t="s">
        <v>1320</v>
      </c>
      <c r="I1830" s="1002" t="s">
        <v>862</v>
      </c>
      <c r="J1830" s="1007" t="s">
        <v>959</v>
      </c>
      <c r="K1830" s="1064" t="s">
        <v>960</v>
      </c>
      <c r="L1830" s="1007" t="s">
        <v>18</v>
      </c>
      <c r="M1830" s="1093">
        <v>1</v>
      </c>
      <c r="N1830" s="1223">
        <v>0</v>
      </c>
      <c r="O1830" s="1223">
        <f t="shared" si="315"/>
        <v>0</v>
      </c>
      <c r="P1830" s="1081">
        <f t="shared" si="316"/>
        <v>0</v>
      </c>
      <c r="Q1830" s="1221">
        <f t="shared" si="311"/>
        <v>0</v>
      </c>
      <c r="V1830" s="1107">
        <f t="shared" si="312"/>
        <v>0</v>
      </c>
    </row>
    <row r="1831" spans="1:23" hidden="1">
      <c r="A1831" s="1000" t="s">
        <v>964</v>
      </c>
      <c r="B1831" s="1001" t="s">
        <v>852</v>
      </c>
      <c r="C1831" s="1066">
        <v>46287</v>
      </c>
      <c r="D1831" s="1066">
        <v>46287</v>
      </c>
      <c r="E1831" s="1005" t="s">
        <v>1258</v>
      </c>
      <c r="I1831" s="1002" t="s">
        <v>1251</v>
      </c>
      <c r="J1831" s="1007" t="s">
        <v>83</v>
      </c>
      <c r="K1831" s="1064" t="s">
        <v>1180</v>
      </c>
      <c r="L1831" s="1007" t="s">
        <v>18</v>
      </c>
      <c r="M1831" s="1093">
        <v>2</v>
      </c>
      <c r="N1831" s="1223">
        <v>0</v>
      </c>
      <c r="O1831" s="1223">
        <f t="shared" si="315"/>
        <v>0</v>
      </c>
      <c r="P1831" s="1081">
        <f t="shared" si="316"/>
        <v>0</v>
      </c>
      <c r="Q1831" s="1107">
        <f t="shared" si="311"/>
        <v>0</v>
      </c>
      <c r="V1831" s="1107">
        <f t="shared" si="312"/>
        <v>0</v>
      </c>
    </row>
    <row r="1832" spans="1:23" hidden="1">
      <c r="A1832" s="1039" t="s">
        <v>969</v>
      </c>
      <c r="B1832" s="1040" t="s">
        <v>970</v>
      </c>
      <c r="C1832" s="1066">
        <v>46287</v>
      </c>
      <c r="D1832" s="1066">
        <v>46287</v>
      </c>
      <c r="E1832" s="1005" t="s">
        <v>1260</v>
      </c>
      <c r="I1832" s="1002" t="s">
        <v>1257</v>
      </c>
      <c r="J1832" s="1007">
        <v>14000001</v>
      </c>
      <c r="K1832" s="1064" t="s">
        <v>1252</v>
      </c>
      <c r="L1832" s="1007" t="s">
        <v>18</v>
      </c>
      <c r="M1832" s="1093">
        <v>2</v>
      </c>
      <c r="N1832" s="1223">
        <v>0</v>
      </c>
      <c r="O1832" s="1223">
        <f t="shared" si="315"/>
        <v>0</v>
      </c>
      <c r="P1832" s="1081">
        <f t="shared" si="316"/>
        <v>0</v>
      </c>
      <c r="Q1832" s="1221">
        <f t="shared" si="311"/>
        <v>0</v>
      </c>
      <c r="V1832" s="1107">
        <f t="shared" si="312"/>
        <v>0</v>
      </c>
    </row>
    <row r="1833" spans="1:23" hidden="1">
      <c r="A1833" s="1039" t="s">
        <v>969</v>
      </c>
      <c r="B1833" s="1040" t="s">
        <v>970</v>
      </c>
      <c r="C1833" s="1066">
        <v>46287</v>
      </c>
      <c r="D1833" s="1066">
        <v>46287</v>
      </c>
      <c r="E1833" s="1005" t="s">
        <v>1260</v>
      </c>
      <c r="I1833" s="1002" t="s">
        <v>1257</v>
      </c>
      <c r="J1833" s="1007">
        <v>14000002</v>
      </c>
      <c r="K1833" s="1064" t="s">
        <v>1253</v>
      </c>
      <c r="L1833" s="1007" t="s">
        <v>18</v>
      </c>
      <c r="M1833" s="1093">
        <v>3</v>
      </c>
      <c r="N1833" s="1223">
        <v>0</v>
      </c>
      <c r="O1833" s="1223">
        <f t="shared" si="315"/>
        <v>0</v>
      </c>
      <c r="P1833" s="1081">
        <f t="shared" si="316"/>
        <v>0</v>
      </c>
      <c r="Q1833" s="1221">
        <f t="shared" si="311"/>
        <v>0</v>
      </c>
      <c r="V1833" s="1107">
        <f t="shared" si="312"/>
        <v>0</v>
      </c>
    </row>
    <row r="1834" spans="1:23" hidden="1">
      <c r="A1834" s="1039" t="s">
        <v>969</v>
      </c>
      <c r="B1834" s="1040" t="s">
        <v>970</v>
      </c>
      <c r="C1834" s="1066">
        <v>46287</v>
      </c>
      <c r="D1834" s="1066">
        <v>46287</v>
      </c>
      <c r="E1834" s="1005" t="s">
        <v>1260</v>
      </c>
      <c r="I1834" s="1002" t="s">
        <v>1257</v>
      </c>
      <c r="J1834" s="1007">
        <v>14000003</v>
      </c>
      <c r="K1834" s="1064" t="s">
        <v>1254</v>
      </c>
      <c r="L1834" s="1007" t="s">
        <v>18</v>
      </c>
      <c r="M1834" s="1093">
        <v>4</v>
      </c>
      <c r="N1834" s="1223">
        <v>0</v>
      </c>
      <c r="O1834" s="1223">
        <f t="shared" si="315"/>
        <v>0</v>
      </c>
      <c r="P1834" s="1081">
        <f t="shared" si="316"/>
        <v>0</v>
      </c>
      <c r="Q1834" s="1221">
        <f t="shared" si="311"/>
        <v>0</v>
      </c>
      <c r="R1834" s="1081"/>
      <c r="V1834" s="1107">
        <f t="shared" si="312"/>
        <v>0</v>
      </c>
    </row>
    <row r="1835" spans="1:23" hidden="1">
      <c r="A1835" s="1039" t="s">
        <v>969</v>
      </c>
      <c r="B1835" s="1040" t="s">
        <v>970</v>
      </c>
      <c r="C1835" s="1066">
        <v>46287</v>
      </c>
      <c r="D1835" s="1066">
        <v>46287</v>
      </c>
      <c r="E1835" s="1005" t="s">
        <v>1260</v>
      </c>
      <c r="I1835" s="1002" t="s">
        <v>1257</v>
      </c>
      <c r="J1835" s="1007">
        <v>14000004</v>
      </c>
      <c r="K1835" s="1064" t="s">
        <v>1255</v>
      </c>
      <c r="L1835" s="1007" t="s">
        <v>18</v>
      </c>
      <c r="M1835" s="1093">
        <v>3</v>
      </c>
      <c r="N1835" s="1223">
        <v>0</v>
      </c>
      <c r="O1835" s="1223">
        <f t="shared" si="315"/>
        <v>0</v>
      </c>
      <c r="P1835" s="1081">
        <f t="shared" si="316"/>
        <v>0</v>
      </c>
      <c r="Q1835" s="1221">
        <f t="shared" si="311"/>
        <v>0</v>
      </c>
      <c r="R1835" s="1081"/>
      <c r="V1835" s="1107">
        <f t="shared" si="312"/>
        <v>0</v>
      </c>
    </row>
    <row r="1836" spans="1:23" hidden="1">
      <c r="A1836" s="1039" t="s">
        <v>969</v>
      </c>
      <c r="B1836" s="1040" t="s">
        <v>970</v>
      </c>
      <c r="C1836" s="1066">
        <v>46287</v>
      </c>
      <c r="D1836" s="1066">
        <v>46287</v>
      </c>
      <c r="E1836" s="1005" t="s">
        <v>1260</v>
      </c>
      <c r="I1836" s="1002" t="s">
        <v>1257</v>
      </c>
      <c r="J1836" s="1007">
        <v>14000005</v>
      </c>
      <c r="K1836" s="1064" t="s">
        <v>1256</v>
      </c>
      <c r="L1836" s="1007" t="s">
        <v>18</v>
      </c>
      <c r="M1836" s="1093">
        <v>3</v>
      </c>
      <c r="N1836" s="1223">
        <v>0</v>
      </c>
      <c r="O1836" s="1223">
        <f t="shared" si="315"/>
        <v>0</v>
      </c>
      <c r="P1836" s="1081">
        <f t="shared" si="316"/>
        <v>0</v>
      </c>
      <c r="Q1836" s="1221">
        <f t="shared" si="311"/>
        <v>0</v>
      </c>
      <c r="V1836" s="1107">
        <f t="shared" si="312"/>
        <v>0</v>
      </c>
    </row>
    <row r="1837" spans="1:23" hidden="1">
      <c r="A1837" s="1039" t="s">
        <v>967</v>
      </c>
      <c r="B1837" s="1040" t="s">
        <v>1262</v>
      </c>
      <c r="C1837" s="1066">
        <v>46287</v>
      </c>
      <c r="D1837" s="1066">
        <v>46287</v>
      </c>
      <c r="E1837" s="1005" t="s">
        <v>1261</v>
      </c>
      <c r="F1837" s="1066">
        <v>46293</v>
      </c>
      <c r="H1837" s="1138" t="s">
        <v>1277</v>
      </c>
      <c r="I1837" s="1002" t="s">
        <v>1263</v>
      </c>
      <c r="J1837" s="1007" t="s">
        <v>70</v>
      </c>
      <c r="K1837" s="1064" t="s">
        <v>71</v>
      </c>
      <c r="L1837" s="1007" t="s">
        <v>18</v>
      </c>
      <c r="M1837" s="1093">
        <v>12</v>
      </c>
      <c r="N1837" s="1223">
        <v>138888.89000000001</v>
      </c>
      <c r="O1837" s="1223">
        <f>M1837*N1837</f>
        <v>1666666.6800000002</v>
      </c>
      <c r="P1837" s="1081">
        <f>O1837*8%</f>
        <v>133333.33440000002</v>
      </c>
      <c r="Q1837" s="1221">
        <f t="shared" si="311"/>
        <v>1800000.0144000002</v>
      </c>
      <c r="V1837" s="1107">
        <f t="shared" si="312"/>
        <v>1800000.0144000002</v>
      </c>
    </row>
    <row r="1838" spans="1:23" hidden="1">
      <c r="A1838" s="1039" t="s">
        <v>967</v>
      </c>
      <c r="B1838" s="1040" t="s">
        <v>1262</v>
      </c>
      <c r="C1838" s="1066">
        <v>46287</v>
      </c>
      <c r="D1838" s="1066">
        <v>46287</v>
      </c>
      <c r="E1838" s="1005" t="s">
        <v>1261</v>
      </c>
      <c r="F1838" s="1066">
        <v>46293</v>
      </c>
      <c r="H1838" s="1138" t="s">
        <v>1277</v>
      </c>
      <c r="I1838" s="1002" t="s">
        <v>1263</v>
      </c>
      <c r="J1838" s="1007" t="s">
        <v>72</v>
      </c>
      <c r="K1838" s="1064" t="s">
        <v>73</v>
      </c>
      <c r="L1838" s="1007" t="s">
        <v>18</v>
      </c>
      <c r="M1838" s="1093">
        <v>12</v>
      </c>
      <c r="N1838" s="1223">
        <v>148148.15</v>
      </c>
      <c r="O1838" s="1223">
        <f t="shared" ref="O1838" si="317">M1838*N1838</f>
        <v>1777777.7999999998</v>
      </c>
      <c r="P1838" s="1081">
        <f t="shared" si="316"/>
        <v>142222.22399999999</v>
      </c>
      <c r="Q1838" s="1221">
        <f t="shared" si="311"/>
        <v>1920000.0239999997</v>
      </c>
      <c r="V1838" s="1107">
        <f t="shared" si="312"/>
        <v>1920000.0239999997</v>
      </c>
    </row>
    <row r="1839" spans="1:23" hidden="1">
      <c r="A1839" s="1039" t="s">
        <v>967</v>
      </c>
      <c r="B1839" s="1040" t="s">
        <v>1262</v>
      </c>
      <c r="C1839" s="1066">
        <v>46287</v>
      </c>
      <c r="D1839" s="1066">
        <v>46287</v>
      </c>
      <c r="I1839" s="1002" t="s">
        <v>702</v>
      </c>
      <c r="J1839" s="1007"/>
      <c r="K1839" s="1064"/>
      <c r="L1839" s="1081"/>
      <c r="M1839" s="1093"/>
      <c r="P1839" s="1081">
        <f t="shared" si="316"/>
        <v>0</v>
      </c>
      <c r="Q1839" s="1081">
        <f t="shared" si="311"/>
        <v>0</v>
      </c>
      <c r="R1839" s="1107">
        <v>3720000</v>
      </c>
      <c r="V1839" s="1107">
        <f t="shared" si="312"/>
        <v>-3720000</v>
      </c>
      <c r="W1839" s="1005" t="s">
        <v>1261</v>
      </c>
    </row>
    <row r="1840" spans="1:23" hidden="1">
      <c r="A1840" s="1000" t="s">
        <v>1004</v>
      </c>
      <c r="B1840" s="1028" t="s">
        <v>888</v>
      </c>
      <c r="C1840" s="1066">
        <v>46287</v>
      </c>
      <c r="D1840" s="1066">
        <v>46287</v>
      </c>
      <c r="E1840" s="1005" t="s">
        <v>1264</v>
      </c>
      <c r="I1840" s="1008" t="s">
        <v>893</v>
      </c>
      <c r="J1840" s="1007" t="s">
        <v>639</v>
      </c>
      <c r="K1840" s="1064" t="s">
        <v>640</v>
      </c>
      <c r="L1840" s="1007" t="s">
        <v>18</v>
      </c>
      <c r="M1840" s="1093">
        <v>30</v>
      </c>
      <c r="N1840" s="1223">
        <v>537037.04</v>
      </c>
      <c r="O1840" s="1223">
        <f>M1840*N1840</f>
        <v>16111111.200000001</v>
      </c>
      <c r="P1840" s="1081">
        <f t="shared" ref="P1840:P1904" si="318">O1840*8%</f>
        <v>1288888.8960000002</v>
      </c>
      <c r="Q1840" s="1206">
        <f t="shared" ref="Q1840:Q1904" si="319">O1840+P1840</f>
        <v>17400000.096000001</v>
      </c>
      <c r="V1840" s="1107">
        <f t="shared" si="312"/>
        <v>17400000.096000001</v>
      </c>
    </row>
    <row r="1841" spans="1:22" hidden="1">
      <c r="A1841" s="1000" t="s">
        <v>1004</v>
      </c>
      <c r="B1841" s="1028" t="s">
        <v>888</v>
      </c>
      <c r="C1841" s="1066">
        <v>46287</v>
      </c>
      <c r="D1841" s="1066">
        <v>46287</v>
      </c>
      <c r="E1841" s="1005" t="s">
        <v>1264</v>
      </c>
      <c r="I1841" s="1008" t="s">
        <v>893</v>
      </c>
      <c r="J1841" s="1007" t="s">
        <v>641</v>
      </c>
      <c r="K1841" s="1064" t="s">
        <v>657</v>
      </c>
      <c r="L1841" s="1007" t="s">
        <v>18</v>
      </c>
      <c r="M1841" s="1093">
        <v>15</v>
      </c>
      <c r="N1841" s="1223">
        <v>638888.89</v>
      </c>
      <c r="O1841" s="1223">
        <f t="shared" ref="O1841:O1872" si="320">M1841*N1841</f>
        <v>9583333.3499999996</v>
      </c>
      <c r="P1841" s="1081">
        <f t="shared" si="318"/>
        <v>766666.66799999995</v>
      </c>
      <c r="Q1841" s="1206">
        <f t="shared" si="319"/>
        <v>10350000.017999999</v>
      </c>
      <c r="V1841" s="1107">
        <f t="shared" si="312"/>
        <v>10350000.017999999</v>
      </c>
    </row>
    <row r="1842" spans="1:22" hidden="1">
      <c r="A1842" s="1000" t="s">
        <v>1004</v>
      </c>
      <c r="B1842" s="1028" t="s">
        <v>888</v>
      </c>
      <c r="C1842" s="1066">
        <v>46287</v>
      </c>
      <c r="D1842" s="1066">
        <v>46287</v>
      </c>
      <c r="E1842" s="1005" t="s">
        <v>1264</v>
      </c>
      <c r="F1842" s="1077">
        <v>46298</v>
      </c>
      <c r="G1842" s="1002" t="s">
        <v>1380</v>
      </c>
      <c r="H1842" s="1138" t="s">
        <v>1379</v>
      </c>
      <c r="I1842" s="1008" t="s">
        <v>893</v>
      </c>
      <c r="J1842" s="1007" t="s">
        <v>643</v>
      </c>
      <c r="K1842" s="1064" t="s">
        <v>644</v>
      </c>
      <c r="L1842" s="1007" t="s">
        <v>18</v>
      </c>
      <c r="M1842" s="1086">
        <v>30</v>
      </c>
      <c r="N1842" s="1223">
        <v>527777.78</v>
      </c>
      <c r="O1842" s="1223">
        <f t="shared" si="320"/>
        <v>15833333.4</v>
      </c>
      <c r="P1842" s="1081">
        <f t="shared" si="318"/>
        <v>1266666.672</v>
      </c>
      <c r="Q1842" s="1206">
        <f t="shared" si="319"/>
        <v>17100000.072000001</v>
      </c>
      <c r="V1842" s="1107">
        <f t="shared" ref="V1842:V1873" si="321">Q1842-R1842-S1842-T1842-U1842</f>
        <v>17100000.072000001</v>
      </c>
    </row>
    <row r="1843" spans="1:22" hidden="1">
      <c r="A1843" s="1000" t="s">
        <v>1004</v>
      </c>
      <c r="B1843" s="1028" t="s">
        <v>888</v>
      </c>
      <c r="C1843" s="1066">
        <v>46287</v>
      </c>
      <c r="D1843" s="1066">
        <v>46287</v>
      </c>
      <c r="E1843" s="1005" t="s">
        <v>1264</v>
      </c>
      <c r="F1843" s="1077">
        <v>46298</v>
      </c>
      <c r="G1843" s="1002" t="s">
        <v>1380</v>
      </c>
      <c r="H1843" s="1138" t="s">
        <v>1379</v>
      </c>
      <c r="I1843" s="1008" t="s">
        <v>893</v>
      </c>
      <c r="J1843" s="1007" t="s">
        <v>645</v>
      </c>
      <c r="K1843" s="1064" t="s">
        <v>646</v>
      </c>
      <c r="L1843" s="1007" t="s">
        <v>18</v>
      </c>
      <c r="M1843" s="1086">
        <v>15</v>
      </c>
      <c r="N1843" s="1223">
        <v>629629.63</v>
      </c>
      <c r="O1843" s="1223">
        <f>M1843*N1843</f>
        <v>9444444.4499999993</v>
      </c>
      <c r="P1843" s="1081">
        <f t="shared" si="318"/>
        <v>755555.55599999998</v>
      </c>
      <c r="Q1843" s="1206">
        <f t="shared" si="319"/>
        <v>10200000.005999999</v>
      </c>
      <c r="V1843" s="1107">
        <f t="shared" si="321"/>
        <v>10200000.005999999</v>
      </c>
    </row>
    <row r="1844" spans="1:22" hidden="1">
      <c r="A1844" s="1000" t="s">
        <v>1004</v>
      </c>
      <c r="B1844" s="1028" t="s">
        <v>888</v>
      </c>
      <c r="C1844" s="1066">
        <v>46287</v>
      </c>
      <c r="D1844" s="1066">
        <v>46287</v>
      </c>
      <c r="E1844" s="1005" t="s">
        <v>1264</v>
      </c>
      <c r="F1844" s="1077">
        <v>46298</v>
      </c>
      <c r="G1844" s="1002" t="s">
        <v>1380</v>
      </c>
      <c r="H1844" s="1138" t="s">
        <v>1379</v>
      </c>
      <c r="I1844" s="1008" t="s">
        <v>893</v>
      </c>
      <c r="J1844" s="1007" t="s">
        <v>653</v>
      </c>
      <c r="K1844" s="1064" t="s">
        <v>654</v>
      </c>
      <c r="L1844" s="1007" t="s">
        <v>18</v>
      </c>
      <c r="M1844" s="1086">
        <v>60</v>
      </c>
      <c r="N1844" s="1223">
        <v>481481.48</v>
      </c>
      <c r="O1844" s="1223">
        <f t="shared" si="320"/>
        <v>28888888.799999997</v>
      </c>
      <c r="P1844" s="1081">
        <f t="shared" si="318"/>
        <v>2311111.1039999998</v>
      </c>
      <c r="Q1844" s="1206">
        <f t="shared" si="319"/>
        <v>31199999.903999995</v>
      </c>
      <c r="V1844" s="1107">
        <f t="shared" si="321"/>
        <v>31199999.903999995</v>
      </c>
    </row>
    <row r="1845" spans="1:22" hidden="1">
      <c r="A1845" s="1000" t="s">
        <v>1004</v>
      </c>
      <c r="B1845" s="1028" t="s">
        <v>888</v>
      </c>
      <c r="C1845" s="1066">
        <v>46287</v>
      </c>
      <c r="D1845" s="1066">
        <v>46287</v>
      </c>
      <c r="E1845" s="1005" t="s">
        <v>1264</v>
      </c>
      <c r="F1845" s="1077">
        <v>46298</v>
      </c>
      <c r="G1845" s="1002" t="s">
        <v>1380</v>
      </c>
      <c r="H1845" s="1111" t="s">
        <v>1379</v>
      </c>
      <c r="I1845" s="1008" t="s">
        <v>893</v>
      </c>
      <c r="J1845" s="1007" t="s">
        <v>655</v>
      </c>
      <c r="K1845" s="1064" t="s">
        <v>656</v>
      </c>
      <c r="L1845" s="1007" t="s">
        <v>18</v>
      </c>
      <c r="M1845" s="1086">
        <v>30</v>
      </c>
      <c r="N1845" s="1223">
        <v>574074.06999999995</v>
      </c>
      <c r="O1845" s="1223">
        <f t="shared" si="320"/>
        <v>17222222.099999998</v>
      </c>
      <c r="P1845" s="1081">
        <f t="shared" si="318"/>
        <v>1377777.7679999999</v>
      </c>
      <c r="Q1845" s="1206">
        <f t="shared" si="319"/>
        <v>18599999.867999997</v>
      </c>
      <c r="V1845" s="1107">
        <f t="shared" si="321"/>
        <v>18599999.867999997</v>
      </c>
    </row>
    <row r="1846" spans="1:22" hidden="1">
      <c r="A1846" s="1000" t="s">
        <v>1004</v>
      </c>
      <c r="B1846" s="1028" t="s">
        <v>888</v>
      </c>
      <c r="C1846" s="1066">
        <v>46287</v>
      </c>
      <c r="D1846" s="1066">
        <v>46287</v>
      </c>
      <c r="E1846" s="1005" t="s">
        <v>1264</v>
      </c>
      <c r="I1846" s="1008" t="s">
        <v>893</v>
      </c>
      <c r="J1846" s="1007" t="s">
        <v>873</v>
      </c>
      <c r="K1846" s="1064" t="s">
        <v>874</v>
      </c>
      <c r="L1846" s="1007" t="s">
        <v>18</v>
      </c>
      <c r="M1846" s="1093">
        <v>30</v>
      </c>
      <c r="N1846" s="1223">
        <v>388888.89</v>
      </c>
      <c r="O1846" s="1223">
        <f t="shared" si="320"/>
        <v>11666666.700000001</v>
      </c>
      <c r="P1846" s="1081">
        <f t="shared" si="318"/>
        <v>933333.33600000013</v>
      </c>
      <c r="Q1846" s="1206">
        <f t="shared" si="319"/>
        <v>12600000.036000002</v>
      </c>
      <c r="V1846" s="1107">
        <f t="shared" si="321"/>
        <v>12600000.036000002</v>
      </c>
    </row>
    <row r="1847" spans="1:22" hidden="1">
      <c r="A1847" s="1000" t="s">
        <v>1004</v>
      </c>
      <c r="B1847" s="1028" t="s">
        <v>888</v>
      </c>
      <c r="C1847" s="1066">
        <v>46287</v>
      </c>
      <c r="D1847" s="1066">
        <v>46287</v>
      </c>
      <c r="E1847" s="1005" t="s">
        <v>1264</v>
      </c>
      <c r="I1847" s="1008" t="s">
        <v>893</v>
      </c>
      <c r="J1847" s="1007" t="s">
        <v>796</v>
      </c>
      <c r="K1847" s="1064" t="s">
        <v>797</v>
      </c>
      <c r="L1847" s="1007" t="s">
        <v>18</v>
      </c>
      <c r="M1847" s="1093">
        <v>50</v>
      </c>
      <c r="N1847" s="1223">
        <v>292592.59000000003</v>
      </c>
      <c r="O1847" s="1223">
        <f t="shared" si="320"/>
        <v>14629629.500000002</v>
      </c>
      <c r="P1847" s="1081">
        <f t="shared" si="318"/>
        <v>1170370.3600000001</v>
      </c>
      <c r="Q1847" s="1206">
        <f t="shared" si="319"/>
        <v>15799999.860000001</v>
      </c>
      <c r="V1847" s="1107">
        <f t="shared" si="321"/>
        <v>15799999.860000001</v>
      </c>
    </row>
    <row r="1848" spans="1:22" hidden="1">
      <c r="A1848" s="1000" t="s">
        <v>1004</v>
      </c>
      <c r="B1848" s="1028" t="s">
        <v>888</v>
      </c>
      <c r="C1848" s="1066">
        <v>46287</v>
      </c>
      <c r="D1848" s="1066">
        <v>46287</v>
      </c>
      <c r="E1848" s="1005" t="s">
        <v>1264</v>
      </c>
      <c r="I1848" s="1008" t="s">
        <v>893</v>
      </c>
      <c r="J1848" s="1007" t="s">
        <v>798</v>
      </c>
      <c r="K1848" s="1064" t="s">
        <v>799</v>
      </c>
      <c r="L1848" s="1007" t="s">
        <v>18</v>
      </c>
      <c r="M1848" s="1093">
        <v>50</v>
      </c>
      <c r="N1848" s="1223">
        <v>231481.48</v>
      </c>
      <c r="O1848" s="1223">
        <f t="shared" si="320"/>
        <v>11574074</v>
      </c>
      <c r="P1848" s="1081">
        <f t="shared" si="318"/>
        <v>925925.92</v>
      </c>
      <c r="Q1848" s="1206">
        <f t="shared" si="319"/>
        <v>12499999.92</v>
      </c>
      <c r="V1848" s="1107">
        <f t="shared" si="321"/>
        <v>12499999.92</v>
      </c>
    </row>
    <row r="1849" spans="1:22" hidden="1">
      <c r="A1849" s="1000" t="s">
        <v>1004</v>
      </c>
      <c r="B1849" s="1028" t="s">
        <v>888</v>
      </c>
      <c r="C1849" s="1066">
        <v>46287</v>
      </c>
      <c r="D1849" s="1066">
        <v>46287</v>
      </c>
      <c r="E1849" s="1005" t="s">
        <v>1264</v>
      </c>
      <c r="I1849" s="1008" t="s">
        <v>892</v>
      </c>
      <c r="J1849" s="1007" t="s">
        <v>639</v>
      </c>
      <c r="K1849" s="1064" t="s">
        <v>640</v>
      </c>
      <c r="L1849" s="1007" t="s">
        <v>18</v>
      </c>
      <c r="M1849" s="1093">
        <v>2</v>
      </c>
      <c r="N1849" s="1223">
        <v>0</v>
      </c>
      <c r="O1849" s="1223">
        <f t="shared" si="320"/>
        <v>0</v>
      </c>
      <c r="P1849" s="1081">
        <f t="shared" si="318"/>
        <v>0</v>
      </c>
      <c r="Q1849" s="1206">
        <f t="shared" si="319"/>
        <v>0</v>
      </c>
      <c r="V1849" s="1107">
        <f t="shared" si="321"/>
        <v>0</v>
      </c>
    </row>
    <row r="1850" spans="1:22" hidden="1">
      <c r="A1850" s="1000" t="s">
        <v>1004</v>
      </c>
      <c r="B1850" s="1028" t="s">
        <v>888</v>
      </c>
      <c r="C1850" s="1066">
        <v>46287</v>
      </c>
      <c r="D1850" s="1066">
        <v>46287</v>
      </c>
      <c r="E1850" s="1005" t="s">
        <v>1264</v>
      </c>
      <c r="I1850" s="1008" t="s">
        <v>892</v>
      </c>
      <c r="J1850" s="1007" t="s">
        <v>641</v>
      </c>
      <c r="K1850" s="1064" t="s">
        <v>657</v>
      </c>
      <c r="L1850" s="1007" t="s">
        <v>18</v>
      </c>
      <c r="M1850" s="1093">
        <v>1</v>
      </c>
      <c r="N1850" s="1223">
        <v>0</v>
      </c>
      <c r="O1850" s="1223">
        <f t="shared" si="320"/>
        <v>0</v>
      </c>
      <c r="P1850" s="1081">
        <f t="shared" si="318"/>
        <v>0</v>
      </c>
      <c r="Q1850" s="1206">
        <f t="shared" si="319"/>
        <v>0</v>
      </c>
      <c r="V1850" s="1107">
        <f t="shared" si="321"/>
        <v>0</v>
      </c>
    </row>
    <row r="1851" spans="1:22" hidden="1">
      <c r="A1851" s="1000" t="s">
        <v>1004</v>
      </c>
      <c r="B1851" s="1028" t="s">
        <v>888</v>
      </c>
      <c r="C1851" s="1066">
        <v>46287</v>
      </c>
      <c r="D1851" s="1066">
        <v>46287</v>
      </c>
      <c r="E1851" s="1005" t="s">
        <v>1264</v>
      </c>
      <c r="I1851" s="1008" t="s">
        <v>892</v>
      </c>
      <c r="J1851" s="1007" t="s">
        <v>643</v>
      </c>
      <c r="K1851" s="1064" t="s">
        <v>644</v>
      </c>
      <c r="L1851" s="1007" t="s">
        <v>18</v>
      </c>
      <c r="M1851" s="1093">
        <v>2</v>
      </c>
      <c r="N1851" s="1223">
        <v>0</v>
      </c>
      <c r="O1851" s="1223">
        <f t="shared" si="320"/>
        <v>0</v>
      </c>
      <c r="P1851" s="1081">
        <f t="shared" si="318"/>
        <v>0</v>
      </c>
      <c r="Q1851" s="1206">
        <f t="shared" si="319"/>
        <v>0</v>
      </c>
      <c r="V1851" s="1107">
        <f t="shared" si="321"/>
        <v>0</v>
      </c>
    </row>
    <row r="1852" spans="1:22" hidden="1">
      <c r="A1852" s="1000" t="s">
        <v>1004</v>
      </c>
      <c r="B1852" s="1028" t="s">
        <v>888</v>
      </c>
      <c r="C1852" s="1066">
        <v>46287</v>
      </c>
      <c r="D1852" s="1066">
        <v>46286</v>
      </c>
      <c r="E1852" s="1005" t="s">
        <v>1264</v>
      </c>
      <c r="I1852" s="1008" t="s">
        <v>892</v>
      </c>
      <c r="J1852" s="1007" t="s">
        <v>645</v>
      </c>
      <c r="K1852" s="1064" t="s">
        <v>646</v>
      </c>
      <c r="L1852" s="1007" t="s">
        <v>18</v>
      </c>
      <c r="M1852" s="1093">
        <v>1</v>
      </c>
      <c r="N1852" s="1223">
        <v>0</v>
      </c>
      <c r="O1852" s="1223">
        <f t="shared" si="320"/>
        <v>0</v>
      </c>
      <c r="P1852" s="1081">
        <f t="shared" si="318"/>
        <v>0</v>
      </c>
      <c r="Q1852" s="1206">
        <f t="shared" si="319"/>
        <v>0</v>
      </c>
      <c r="V1852" s="1107">
        <f t="shared" si="321"/>
        <v>0</v>
      </c>
    </row>
    <row r="1853" spans="1:22" hidden="1">
      <c r="A1853" s="1000" t="s">
        <v>1004</v>
      </c>
      <c r="B1853" s="1028" t="s">
        <v>888</v>
      </c>
      <c r="C1853" s="1066">
        <v>46287</v>
      </c>
      <c r="D1853" s="1066">
        <v>46286</v>
      </c>
      <c r="E1853" s="1005" t="s">
        <v>1264</v>
      </c>
      <c r="I1853" s="1008" t="s">
        <v>892</v>
      </c>
      <c r="J1853" s="1007" t="s">
        <v>653</v>
      </c>
      <c r="K1853" s="1064" t="s">
        <v>654</v>
      </c>
      <c r="L1853" s="1007" t="s">
        <v>18</v>
      </c>
      <c r="M1853" s="1093">
        <v>4</v>
      </c>
      <c r="N1853" s="1223">
        <v>0</v>
      </c>
      <c r="O1853" s="1223">
        <f t="shared" si="320"/>
        <v>0</v>
      </c>
      <c r="P1853" s="1081">
        <f t="shared" si="318"/>
        <v>0</v>
      </c>
      <c r="Q1853" s="1206">
        <f t="shared" si="319"/>
        <v>0</v>
      </c>
      <c r="V1853" s="1107">
        <f t="shared" si="321"/>
        <v>0</v>
      </c>
    </row>
    <row r="1854" spans="1:22" hidden="1">
      <c r="A1854" s="1000" t="s">
        <v>1004</v>
      </c>
      <c r="B1854" s="1028" t="s">
        <v>888</v>
      </c>
      <c r="C1854" s="1066">
        <v>46287</v>
      </c>
      <c r="D1854" s="1066">
        <v>46286</v>
      </c>
      <c r="E1854" s="1005" t="s">
        <v>1264</v>
      </c>
      <c r="I1854" s="1008" t="s">
        <v>892</v>
      </c>
      <c r="J1854" s="1007" t="s">
        <v>655</v>
      </c>
      <c r="K1854" s="1064" t="s">
        <v>656</v>
      </c>
      <c r="L1854" s="1007" t="s">
        <v>18</v>
      </c>
      <c r="M1854" s="1093">
        <v>2</v>
      </c>
      <c r="N1854" s="1223">
        <v>0</v>
      </c>
      <c r="O1854" s="1223">
        <f t="shared" si="320"/>
        <v>0</v>
      </c>
      <c r="P1854" s="1081">
        <f t="shared" si="318"/>
        <v>0</v>
      </c>
      <c r="Q1854" s="1206">
        <f t="shared" si="319"/>
        <v>0</v>
      </c>
      <c r="V1854" s="1107">
        <f t="shared" si="321"/>
        <v>0</v>
      </c>
    </row>
    <row r="1855" spans="1:22" hidden="1">
      <c r="A1855" s="1000" t="s">
        <v>1004</v>
      </c>
      <c r="B1855" s="1028" t="s">
        <v>888</v>
      </c>
      <c r="C1855" s="1066">
        <v>46287</v>
      </c>
      <c r="D1855" s="1066">
        <v>46286</v>
      </c>
      <c r="E1855" s="1005" t="s">
        <v>1264</v>
      </c>
      <c r="I1855" s="1008" t="s">
        <v>892</v>
      </c>
      <c r="J1855" s="1007" t="s">
        <v>873</v>
      </c>
      <c r="K1855" s="1064" t="s">
        <v>874</v>
      </c>
      <c r="L1855" s="1007" t="s">
        <v>18</v>
      </c>
      <c r="M1855" s="1093">
        <v>2</v>
      </c>
      <c r="N1855" s="1223">
        <v>0</v>
      </c>
      <c r="O1855" s="1223">
        <f t="shared" si="320"/>
        <v>0</v>
      </c>
      <c r="P1855" s="1081">
        <f t="shared" si="318"/>
        <v>0</v>
      </c>
      <c r="Q1855" s="1206">
        <f t="shared" si="319"/>
        <v>0</v>
      </c>
      <c r="V1855" s="1107">
        <f t="shared" si="321"/>
        <v>0</v>
      </c>
    </row>
    <row r="1856" spans="1:22" hidden="1">
      <c r="A1856" s="1000" t="s">
        <v>1003</v>
      </c>
      <c r="B1856" s="1028" t="s">
        <v>1495</v>
      </c>
      <c r="C1856" s="1066">
        <v>46286</v>
      </c>
      <c r="D1856" s="1066">
        <v>46286</v>
      </c>
      <c r="E1856" s="1005" t="s">
        <v>1265</v>
      </c>
      <c r="I1856" s="1002" t="s">
        <v>858</v>
      </c>
      <c r="J1856" s="1007" t="s">
        <v>643</v>
      </c>
      <c r="K1856" s="1064" t="s">
        <v>644</v>
      </c>
      <c r="L1856" s="1007" t="s">
        <v>18</v>
      </c>
      <c r="M1856" s="1093">
        <v>30</v>
      </c>
      <c r="N1856" s="1223">
        <v>527777.78</v>
      </c>
      <c r="O1856" s="1223">
        <f t="shared" si="320"/>
        <v>15833333.4</v>
      </c>
      <c r="P1856" s="1082">
        <f t="shared" si="318"/>
        <v>1266666.672</v>
      </c>
      <c r="Q1856" s="1221">
        <f>O1856+P1856</f>
        <v>17100000.072000001</v>
      </c>
      <c r="V1856" s="1107">
        <f t="shared" si="321"/>
        <v>17100000.072000001</v>
      </c>
    </row>
    <row r="1857" spans="1:22" hidden="1">
      <c r="A1857" s="1000" t="s">
        <v>1003</v>
      </c>
      <c r="B1857" s="1028" t="s">
        <v>1495</v>
      </c>
      <c r="C1857" s="1066">
        <v>46286</v>
      </c>
      <c r="D1857" s="1066">
        <v>46286</v>
      </c>
      <c r="E1857" s="1005" t="s">
        <v>1265</v>
      </c>
      <c r="I1857" s="1002" t="s">
        <v>858</v>
      </c>
      <c r="J1857" s="1007" t="s">
        <v>653</v>
      </c>
      <c r="K1857" s="1064" t="s">
        <v>654</v>
      </c>
      <c r="L1857" s="1007" t="s">
        <v>18</v>
      </c>
      <c r="M1857" s="1093">
        <v>30</v>
      </c>
      <c r="N1857" s="1223">
        <v>481481.48</v>
      </c>
      <c r="O1857" s="1223">
        <f t="shared" si="320"/>
        <v>14444444.399999999</v>
      </c>
      <c r="P1857" s="1082">
        <f t="shared" si="318"/>
        <v>1155555.5519999999</v>
      </c>
      <c r="Q1857" s="1221">
        <f t="shared" si="319"/>
        <v>15599999.951999998</v>
      </c>
      <c r="V1857" s="1107">
        <f t="shared" si="321"/>
        <v>15599999.951999998</v>
      </c>
    </row>
    <row r="1858" spans="1:22" hidden="1">
      <c r="A1858" s="1000" t="s">
        <v>1003</v>
      </c>
      <c r="B1858" s="1028" t="s">
        <v>1495</v>
      </c>
      <c r="C1858" s="1066">
        <v>46286</v>
      </c>
      <c r="D1858" s="1066">
        <v>46286</v>
      </c>
      <c r="E1858" s="1005" t="s">
        <v>1265</v>
      </c>
      <c r="I1858" s="1002" t="s">
        <v>858</v>
      </c>
      <c r="J1858" s="1007" t="s">
        <v>655</v>
      </c>
      <c r="K1858" s="1064" t="s">
        <v>656</v>
      </c>
      <c r="L1858" s="1007" t="s">
        <v>18</v>
      </c>
      <c r="M1858" s="1093">
        <v>30</v>
      </c>
      <c r="N1858" s="1223">
        <v>574074.06999999995</v>
      </c>
      <c r="O1858" s="1223">
        <f t="shared" si="320"/>
        <v>17222222.099999998</v>
      </c>
      <c r="P1858" s="1082">
        <f t="shared" si="318"/>
        <v>1377777.7679999999</v>
      </c>
      <c r="Q1858" s="1221">
        <f t="shared" si="319"/>
        <v>18599999.867999997</v>
      </c>
      <c r="V1858" s="1107">
        <f t="shared" si="321"/>
        <v>18599999.867999997</v>
      </c>
    </row>
    <row r="1859" spans="1:22" hidden="1">
      <c r="A1859" s="1000" t="s">
        <v>1003</v>
      </c>
      <c r="B1859" s="1028" t="s">
        <v>1495</v>
      </c>
      <c r="C1859" s="1066">
        <v>46286</v>
      </c>
      <c r="D1859" s="1066">
        <v>46286</v>
      </c>
      <c r="E1859" s="1005" t="s">
        <v>1265</v>
      </c>
      <c r="F1859" s="1066">
        <v>46294</v>
      </c>
      <c r="G1859" s="1005" t="s">
        <v>1325</v>
      </c>
      <c r="H1859" s="1138" t="s">
        <v>1324</v>
      </c>
      <c r="I1859" s="1002" t="s">
        <v>858</v>
      </c>
      <c r="J1859" s="1007" t="s">
        <v>80</v>
      </c>
      <c r="K1859" s="1064" t="s">
        <v>81</v>
      </c>
      <c r="L1859" s="1007" t="s">
        <v>18</v>
      </c>
      <c r="M1859" s="1093">
        <v>10</v>
      </c>
      <c r="N1859" s="1223">
        <v>824074.07</v>
      </c>
      <c r="O1859" s="1223">
        <f t="shared" si="320"/>
        <v>8240740.6999999993</v>
      </c>
      <c r="P1859" s="1082">
        <f t="shared" si="318"/>
        <v>659259.25599999994</v>
      </c>
      <c r="Q1859" s="1221">
        <f t="shared" si="319"/>
        <v>8899999.9559999984</v>
      </c>
      <c r="V1859" s="1107">
        <f t="shared" si="321"/>
        <v>8899999.9559999984</v>
      </c>
    </row>
    <row r="1860" spans="1:22" hidden="1">
      <c r="A1860" s="1000" t="s">
        <v>1003</v>
      </c>
      <c r="B1860" s="1028" t="s">
        <v>1495</v>
      </c>
      <c r="C1860" s="1066">
        <v>46286</v>
      </c>
      <c r="D1860" s="1066">
        <v>46286</v>
      </c>
      <c r="E1860" s="1005" t="s">
        <v>1265</v>
      </c>
      <c r="F1860" s="1066">
        <v>46294</v>
      </c>
      <c r="G1860" s="1005" t="s">
        <v>1325</v>
      </c>
      <c r="H1860" s="1138" t="s">
        <v>1324</v>
      </c>
      <c r="I1860" s="1002" t="s">
        <v>858</v>
      </c>
      <c r="J1860" s="1007" t="s">
        <v>21</v>
      </c>
      <c r="K1860" s="1064" t="s">
        <v>22</v>
      </c>
      <c r="L1860" s="1007" t="s">
        <v>18</v>
      </c>
      <c r="M1860" s="1093">
        <v>16</v>
      </c>
      <c r="N1860" s="1223">
        <v>937962.96</v>
      </c>
      <c r="O1860" s="1223">
        <f t="shared" si="320"/>
        <v>15007407.359999999</v>
      </c>
      <c r="P1860" s="1082">
        <f t="shared" si="318"/>
        <v>1200592.5888</v>
      </c>
      <c r="Q1860" s="1221">
        <f t="shared" si="319"/>
        <v>16207999.948799999</v>
      </c>
      <c r="V1860" s="1107">
        <f t="shared" si="321"/>
        <v>16207999.948799999</v>
      </c>
    </row>
    <row r="1861" spans="1:22" hidden="1">
      <c r="A1861" s="1000" t="s">
        <v>1003</v>
      </c>
      <c r="B1861" s="1028" t="s">
        <v>1495</v>
      </c>
      <c r="C1861" s="1066">
        <v>46286</v>
      </c>
      <c r="D1861" s="1066">
        <v>46286</v>
      </c>
      <c r="E1861" s="1005" t="s">
        <v>1265</v>
      </c>
      <c r="F1861" s="1066">
        <v>46294</v>
      </c>
      <c r="G1861" s="1005" t="s">
        <v>1325</v>
      </c>
      <c r="H1861" s="1138" t="s">
        <v>1324</v>
      </c>
      <c r="I1861" s="1002" t="s">
        <v>858</v>
      </c>
      <c r="J1861" s="1007" t="s">
        <v>262</v>
      </c>
      <c r="K1861" s="1064" t="s">
        <v>435</v>
      </c>
      <c r="L1861" s="1007" t="s">
        <v>18</v>
      </c>
      <c r="M1861" s="1093">
        <v>10</v>
      </c>
      <c r="N1861" s="1223">
        <v>851851.85</v>
      </c>
      <c r="O1861" s="1223">
        <f t="shared" si="320"/>
        <v>8518518.5</v>
      </c>
      <c r="P1861" s="1082">
        <f t="shared" si="318"/>
        <v>681481.48</v>
      </c>
      <c r="Q1861" s="1221">
        <f t="shared" si="319"/>
        <v>9199999.9800000004</v>
      </c>
      <c r="V1861" s="1107">
        <f t="shared" si="321"/>
        <v>9199999.9800000004</v>
      </c>
    </row>
    <row r="1862" spans="1:22" hidden="1">
      <c r="A1862" s="1000" t="s">
        <v>1003</v>
      </c>
      <c r="B1862" s="1028" t="s">
        <v>1495</v>
      </c>
      <c r="C1862" s="1066">
        <v>46286</v>
      </c>
      <c r="D1862" s="1066">
        <v>46286</v>
      </c>
      <c r="E1862" s="1005" t="s">
        <v>1265</v>
      </c>
      <c r="F1862" s="1066">
        <v>46294</v>
      </c>
      <c r="G1862" s="1005" t="s">
        <v>1325</v>
      </c>
      <c r="H1862" s="1138" t="s">
        <v>1324</v>
      </c>
      <c r="I1862" s="1002" t="s">
        <v>858</v>
      </c>
      <c r="J1862" s="1007" t="s">
        <v>23</v>
      </c>
      <c r="K1862" s="1064" t="s">
        <v>82</v>
      </c>
      <c r="L1862" s="1007" t="s">
        <v>18</v>
      </c>
      <c r="M1862" s="1093">
        <v>4</v>
      </c>
      <c r="N1862" s="1223">
        <v>1185185.19</v>
      </c>
      <c r="O1862" s="1223">
        <f t="shared" si="320"/>
        <v>4740740.76</v>
      </c>
      <c r="P1862" s="1082">
        <f t="shared" si="318"/>
        <v>379259.26079999999</v>
      </c>
      <c r="Q1862" s="1221">
        <f t="shared" si="319"/>
        <v>5120000.0208000001</v>
      </c>
      <c r="V1862" s="1107">
        <f t="shared" si="321"/>
        <v>5120000.0208000001</v>
      </c>
    </row>
    <row r="1863" spans="1:22" hidden="1">
      <c r="A1863" s="1000" t="s">
        <v>1003</v>
      </c>
      <c r="B1863" s="1028" t="s">
        <v>1495</v>
      </c>
      <c r="C1863" s="1066">
        <v>46286</v>
      </c>
      <c r="D1863" s="1066">
        <v>46286</v>
      </c>
      <c r="E1863" s="1005" t="s">
        <v>1265</v>
      </c>
      <c r="I1863" s="1002" t="s">
        <v>858</v>
      </c>
      <c r="J1863" s="1007" t="s">
        <v>796</v>
      </c>
      <c r="K1863" s="1064" t="s">
        <v>797</v>
      </c>
      <c r="L1863" s="1007" t="s">
        <v>18</v>
      </c>
      <c r="M1863" s="1093">
        <v>50</v>
      </c>
      <c r="N1863" s="1223">
        <v>292592.59000000003</v>
      </c>
      <c r="O1863" s="1223">
        <f t="shared" si="320"/>
        <v>14629629.500000002</v>
      </c>
      <c r="P1863" s="1082">
        <f t="shared" si="318"/>
        <v>1170370.3600000001</v>
      </c>
      <c r="Q1863" s="1221">
        <f t="shared" si="319"/>
        <v>15799999.860000001</v>
      </c>
      <c r="V1863" s="1107">
        <f t="shared" si="321"/>
        <v>15799999.860000001</v>
      </c>
    </row>
    <row r="1864" spans="1:22" hidden="1">
      <c r="A1864" s="1000" t="s">
        <v>1003</v>
      </c>
      <c r="B1864" s="1028" t="s">
        <v>1495</v>
      </c>
      <c r="C1864" s="1066">
        <v>46286</v>
      </c>
      <c r="D1864" s="1066">
        <v>46286</v>
      </c>
      <c r="E1864" s="1005" t="s">
        <v>1265</v>
      </c>
      <c r="I1864" s="1002" t="s">
        <v>858</v>
      </c>
      <c r="J1864" s="1007" t="s">
        <v>798</v>
      </c>
      <c r="K1864" s="1064" t="s">
        <v>799</v>
      </c>
      <c r="L1864" s="1007" t="s">
        <v>18</v>
      </c>
      <c r="M1864" s="1093">
        <v>50</v>
      </c>
      <c r="N1864" s="1223">
        <v>231481.48</v>
      </c>
      <c r="O1864" s="1223">
        <f t="shared" si="320"/>
        <v>11574074</v>
      </c>
      <c r="P1864" s="1082">
        <f t="shared" si="318"/>
        <v>925925.92</v>
      </c>
      <c r="Q1864" s="1221">
        <f t="shared" si="319"/>
        <v>12499999.92</v>
      </c>
      <c r="V1864" s="1107">
        <f t="shared" si="321"/>
        <v>12499999.92</v>
      </c>
    </row>
    <row r="1865" spans="1:22" hidden="1">
      <c r="A1865" s="1000" t="s">
        <v>1003</v>
      </c>
      <c r="B1865" s="1028" t="s">
        <v>1495</v>
      </c>
      <c r="C1865" s="1066">
        <v>46286</v>
      </c>
      <c r="D1865" s="1066">
        <v>46286</v>
      </c>
      <c r="E1865" s="1005" t="s">
        <v>1265</v>
      </c>
      <c r="F1865" s="1066">
        <v>46294</v>
      </c>
      <c r="G1865" s="1005" t="s">
        <v>1325</v>
      </c>
      <c r="H1865" s="1138" t="s">
        <v>1324</v>
      </c>
      <c r="I1865" s="1002" t="s">
        <v>858</v>
      </c>
      <c r="J1865" s="1007" t="s">
        <v>74</v>
      </c>
      <c r="K1865" s="1064" t="s">
        <v>141</v>
      </c>
      <c r="L1865" s="1007" t="s">
        <v>18</v>
      </c>
      <c r="M1865" s="1093">
        <v>8</v>
      </c>
      <c r="N1865" s="1223">
        <v>382407.41</v>
      </c>
      <c r="O1865" s="1223">
        <f t="shared" si="320"/>
        <v>3059259.28</v>
      </c>
      <c r="P1865" s="1082">
        <f t="shared" si="318"/>
        <v>244740.74239999999</v>
      </c>
      <c r="Q1865" s="1221">
        <f t="shared" si="319"/>
        <v>3304000.0223999997</v>
      </c>
      <c r="V1865" s="1107">
        <f t="shared" si="321"/>
        <v>3304000.0223999997</v>
      </c>
    </row>
    <row r="1866" spans="1:22" ht="31.5" hidden="1">
      <c r="A1866" s="1000" t="s">
        <v>1003</v>
      </c>
      <c r="B1866" s="1028" t="s">
        <v>1495</v>
      </c>
      <c r="C1866" s="1066">
        <v>46286</v>
      </c>
      <c r="D1866" s="1066">
        <v>46286</v>
      </c>
      <c r="E1866" s="1005" t="s">
        <v>1265</v>
      </c>
      <c r="I1866" s="1002" t="s">
        <v>858</v>
      </c>
      <c r="J1866" s="1007" t="s">
        <v>56</v>
      </c>
      <c r="K1866" s="1064" t="s">
        <v>57</v>
      </c>
      <c r="L1866" s="1007" t="s">
        <v>18</v>
      </c>
      <c r="M1866" s="1093">
        <v>40</v>
      </c>
      <c r="N1866" s="1223">
        <v>325925.93</v>
      </c>
      <c r="O1866" s="1223">
        <f t="shared" si="320"/>
        <v>13037037.199999999</v>
      </c>
      <c r="P1866" s="1082">
        <f t="shared" si="318"/>
        <v>1042962.9759999999</v>
      </c>
      <c r="Q1866" s="1221">
        <f t="shared" si="319"/>
        <v>14080000.175999999</v>
      </c>
      <c r="V1866" s="1107">
        <f t="shared" si="321"/>
        <v>14080000.175999999</v>
      </c>
    </row>
    <row r="1867" spans="1:22" hidden="1">
      <c r="A1867" s="1000" t="s">
        <v>1003</v>
      </c>
      <c r="B1867" s="1028" t="s">
        <v>1495</v>
      </c>
      <c r="C1867" s="1066">
        <v>46286</v>
      </c>
      <c r="D1867" s="1066">
        <v>46286</v>
      </c>
      <c r="E1867" s="1005" t="s">
        <v>1265</v>
      </c>
      <c r="I1867" s="1002" t="s">
        <v>858</v>
      </c>
      <c r="J1867" s="1007" t="s">
        <v>103</v>
      </c>
      <c r="K1867" s="1064" t="s">
        <v>104</v>
      </c>
      <c r="L1867" s="1007" t="s">
        <v>18</v>
      </c>
      <c r="M1867" s="1093">
        <v>12</v>
      </c>
      <c r="N1867" s="1223">
        <v>675925.93</v>
      </c>
      <c r="O1867" s="1223">
        <f t="shared" si="320"/>
        <v>8111111.1600000001</v>
      </c>
      <c r="P1867" s="1082">
        <f t="shared" si="318"/>
        <v>648888.89280000003</v>
      </c>
      <c r="Q1867" s="1221">
        <f t="shared" si="319"/>
        <v>8760000.0527999997</v>
      </c>
      <c r="V1867" s="1107">
        <f t="shared" si="321"/>
        <v>8760000.0527999997</v>
      </c>
    </row>
    <row r="1868" spans="1:22" hidden="1">
      <c r="A1868" s="1000" t="s">
        <v>1003</v>
      </c>
      <c r="B1868" s="1028" t="s">
        <v>1495</v>
      </c>
      <c r="C1868" s="1066">
        <v>46286</v>
      </c>
      <c r="D1868" s="1066">
        <v>46286</v>
      </c>
      <c r="E1868" s="1005" t="s">
        <v>1265</v>
      </c>
      <c r="I1868" s="1002" t="s">
        <v>892</v>
      </c>
      <c r="J1868" s="1007" t="s">
        <v>643</v>
      </c>
      <c r="K1868" s="1064" t="s">
        <v>644</v>
      </c>
      <c r="L1868" s="1007" t="s">
        <v>18</v>
      </c>
      <c r="M1868" s="1093">
        <v>2</v>
      </c>
      <c r="N1868" s="1223">
        <v>0</v>
      </c>
      <c r="O1868" s="1223">
        <f t="shared" si="320"/>
        <v>0</v>
      </c>
      <c r="P1868" s="1082">
        <f t="shared" si="318"/>
        <v>0</v>
      </c>
      <c r="Q1868" s="1221">
        <f t="shared" si="319"/>
        <v>0</v>
      </c>
      <c r="V1868" s="1107">
        <f t="shared" si="321"/>
        <v>0</v>
      </c>
    </row>
    <row r="1869" spans="1:22" hidden="1">
      <c r="A1869" s="1000" t="s">
        <v>1003</v>
      </c>
      <c r="B1869" s="1028" t="s">
        <v>1495</v>
      </c>
      <c r="C1869" s="1066">
        <v>46286</v>
      </c>
      <c r="D1869" s="1066">
        <v>46290</v>
      </c>
      <c r="E1869" s="1005" t="s">
        <v>1265</v>
      </c>
      <c r="I1869" s="1002" t="s">
        <v>892</v>
      </c>
      <c r="J1869" s="1007" t="s">
        <v>653</v>
      </c>
      <c r="K1869" s="1064" t="s">
        <v>654</v>
      </c>
      <c r="L1869" s="1007" t="s">
        <v>18</v>
      </c>
      <c r="M1869" s="1093">
        <v>2</v>
      </c>
      <c r="N1869" s="1223">
        <v>0</v>
      </c>
      <c r="O1869" s="1223">
        <f t="shared" si="320"/>
        <v>0</v>
      </c>
      <c r="P1869" s="1082">
        <f t="shared" si="318"/>
        <v>0</v>
      </c>
      <c r="Q1869" s="1221">
        <f t="shared" si="319"/>
        <v>0</v>
      </c>
      <c r="V1869" s="1107">
        <f t="shared" si="321"/>
        <v>0</v>
      </c>
    </row>
    <row r="1870" spans="1:22" hidden="1">
      <c r="A1870" s="1000" t="s">
        <v>1003</v>
      </c>
      <c r="B1870" s="1028" t="s">
        <v>1495</v>
      </c>
      <c r="C1870" s="1066">
        <v>46286</v>
      </c>
      <c r="D1870" s="1066">
        <v>46290</v>
      </c>
      <c r="E1870" s="1005" t="s">
        <v>1265</v>
      </c>
      <c r="I1870" s="1002" t="s">
        <v>892</v>
      </c>
      <c r="J1870" s="1007" t="s">
        <v>655</v>
      </c>
      <c r="K1870" s="1064" t="s">
        <v>656</v>
      </c>
      <c r="L1870" s="1007" t="s">
        <v>18</v>
      </c>
      <c r="M1870" s="1093">
        <v>2</v>
      </c>
      <c r="N1870" s="1223">
        <v>0</v>
      </c>
      <c r="O1870" s="1223">
        <f t="shared" si="320"/>
        <v>0</v>
      </c>
      <c r="P1870" s="1082">
        <f t="shared" si="318"/>
        <v>0</v>
      </c>
      <c r="Q1870" s="1221">
        <f t="shared" si="319"/>
        <v>0</v>
      </c>
      <c r="V1870" s="1107">
        <f t="shared" si="321"/>
        <v>0</v>
      </c>
    </row>
    <row r="1871" spans="1:22" ht="31.5" hidden="1">
      <c r="A1871" s="1000" t="s">
        <v>1003</v>
      </c>
      <c r="B1871" s="1028" t="s">
        <v>1495</v>
      </c>
      <c r="C1871" s="1066">
        <v>46286</v>
      </c>
      <c r="D1871" s="1066">
        <v>46290</v>
      </c>
      <c r="E1871" s="1005" t="s">
        <v>1265</v>
      </c>
      <c r="I1871" s="1002" t="s">
        <v>1211</v>
      </c>
      <c r="J1871" s="1007" t="s">
        <v>56</v>
      </c>
      <c r="K1871" s="1064" t="s">
        <v>57</v>
      </c>
      <c r="L1871" s="1007" t="s">
        <v>18</v>
      </c>
      <c r="M1871" s="1093">
        <v>4</v>
      </c>
      <c r="N1871" s="1223">
        <v>0</v>
      </c>
      <c r="O1871" s="1223">
        <f t="shared" si="320"/>
        <v>0</v>
      </c>
      <c r="P1871" s="1082">
        <f t="shared" si="318"/>
        <v>0</v>
      </c>
      <c r="Q1871" s="1221">
        <f t="shared" si="319"/>
        <v>0</v>
      </c>
      <c r="V1871" s="1107">
        <f t="shared" si="321"/>
        <v>0</v>
      </c>
    </row>
    <row r="1872" spans="1:22" hidden="1">
      <c r="A1872" s="1000" t="s">
        <v>1003</v>
      </c>
      <c r="B1872" s="1028" t="s">
        <v>1495</v>
      </c>
      <c r="C1872" s="1066">
        <v>46286</v>
      </c>
      <c r="D1872" s="1066">
        <v>46290</v>
      </c>
      <c r="E1872" s="1005" t="s">
        <v>1265</v>
      </c>
      <c r="I1872" s="1002" t="s">
        <v>862</v>
      </c>
      <c r="J1872" s="1007" t="s">
        <v>959</v>
      </c>
      <c r="K1872" s="1064" t="s">
        <v>960</v>
      </c>
      <c r="L1872" s="1007" t="s">
        <v>18</v>
      </c>
      <c r="M1872" s="1093">
        <v>12</v>
      </c>
      <c r="N1872" s="1223">
        <v>0</v>
      </c>
      <c r="O1872" s="1223">
        <f t="shared" si="320"/>
        <v>0</v>
      </c>
      <c r="P1872" s="1082">
        <f t="shared" si="318"/>
        <v>0</v>
      </c>
      <c r="Q1872" s="1221">
        <f t="shared" si="319"/>
        <v>0</v>
      </c>
      <c r="V1872" s="1107">
        <f t="shared" si="321"/>
        <v>0</v>
      </c>
    </row>
    <row r="1873" spans="1:22" ht="31.5" hidden="1">
      <c r="A1873" s="1000" t="s">
        <v>1175</v>
      </c>
      <c r="B1873" s="1001" t="s">
        <v>1188</v>
      </c>
      <c r="C1873" s="1066">
        <v>46290</v>
      </c>
      <c r="D1873" s="1066">
        <v>46290</v>
      </c>
      <c r="E1873" s="1005" t="s">
        <v>1266</v>
      </c>
      <c r="I1873" s="1002" t="s">
        <v>1177</v>
      </c>
      <c r="J1873" s="1007" t="s">
        <v>40</v>
      </c>
      <c r="K1873" s="1064" t="s">
        <v>41</v>
      </c>
      <c r="L1873" s="1007" t="s">
        <v>18</v>
      </c>
      <c r="M1873" s="1093">
        <v>1</v>
      </c>
      <c r="N1873" s="1223">
        <v>928703.7</v>
      </c>
      <c r="O1873" s="1223">
        <f>M1873*N1873</f>
        <v>928703.7</v>
      </c>
      <c r="P1873" s="1082">
        <f t="shared" si="318"/>
        <v>74296.296000000002</v>
      </c>
      <c r="Q1873" s="1221">
        <f t="shared" si="319"/>
        <v>1002999.9959999999</v>
      </c>
      <c r="V1873" s="1107">
        <f t="shared" si="321"/>
        <v>1002999.9959999999</v>
      </c>
    </row>
    <row r="1874" spans="1:22" ht="31.5" hidden="1">
      <c r="A1874" s="1000" t="s">
        <v>1175</v>
      </c>
      <c r="B1874" s="1001" t="s">
        <v>1188</v>
      </c>
      <c r="C1874" s="1066">
        <v>46290</v>
      </c>
      <c r="D1874" s="1066">
        <v>46289</v>
      </c>
      <c r="E1874" s="1005" t="s">
        <v>1266</v>
      </c>
      <c r="I1874" s="1002" t="s">
        <v>1177</v>
      </c>
      <c r="J1874" s="1007" t="s">
        <v>28</v>
      </c>
      <c r="K1874" s="1064" t="s">
        <v>29</v>
      </c>
      <c r="L1874" s="1007" t="s">
        <v>18</v>
      </c>
      <c r="M1874" s="1093">
        <v>2</v>
      </c>
      <c r="N1874" s="1223">
        <v>309259.26</v>
      </c>
      <c r="O1874" s="1223">
        <f>M1874*N1874</f>
        <v>618518.52</v>
      </c>
      <c r="P1874" s="1082">
        <f t="shared" si="318"/>
        <v>49481.481599999999</v>
      </c>
      <c r="Q1874" s="1221">
        <f t="shared" si="319"/>
        <v>668000.00160000008</v>
      </c>
      <c r="V1874" s="1107">
        <f t="shared" ref="V1874:V1905" si="322">Q1874-R1874-S1874-T1874-U1874</f>
        <v>668000.00160000008</v>
      </c>
    </row>
    <row r="1875" spans="1:22" hidden="1">
      <c r="A1875" s="1000" t="s">
        <v>1175</v>
      </c>
      <c r="B1875" s="1001" t="s">
        <v>1188</v>
      </c>
      <c r="C1875" s="1066">
        <v>46290</v>
      </c>
      <c r="D1875" s="1066">
        <v>46289</v>
      </c>
      <c r="E1875" s="1005" t="s">
        <v>1266</v>
      </c>
      <c r="I1875" s="1002" t="s">
        <v>1177</v>
      </c>
      <c r="J1875" s="1007" t="s">
        <v>46</v>
      </c>
      <c r="K1875" s="1064" t="s">
        <v>47</v>
      </c>
      <c r="L1875" s="1007" t="s">
        <v>18</v>
      </c>
      <c r="M1875" s="1093">
        <v>1</v>
      </c>
      <c r="N1875" s="1223">
        <v>264814.81</v>
      </c>
      <c r="O1875" s="1223">
        <f>M1875*N1875</f>
        <v>264814.81</v>
      </c>
      <c r="P1875" s="1082">
        <f t="shared" si="318"/>
        <v>21185.184799999999</v>
      </c>
      <c r="Q1875" s="1221">
        <f t="shared" si="319"/>
        <v>285999.99479999999</v>
      </c>
      <c r="V1875" s="1107">
        <f t="shared" si="322"/>
        <v>285999.99479999999</v>
      </c>
    </row>
    <row r="1876" spans="1:22" hidden="1">
      <c r="A1876" s="1000" t="s">
        <v>1175</v>
      </c>
      <c r="B1876" s="1001" t="s">
        <v>1188</v>
      </c>
      <c r="C1876" s="1066">
        <v>46290</v>
      </c>
      <c r="D1876" s="1066">
        <v>46289</v>
      </c>
      <c r="E1876" s="1005" t="s">
        <v>1266</v>
      </c>
      <c r="I1876" s="1002" t="s">
        <v>1177</v>
      </c>
      <c r="J1876" s="1007" t="s">
        <v>226</v>
      </c>
      <c r="K1876" s="1064" t="s">
        <v>227</v>
      </c>
      <c r="L1876" s="1007" t="s">
        <v>18</v>
      </c>
      <c r="M1876" s="1093">
        <v>2</v>
      </c>
      <c r="N1876" s="1223">
        <v>878703.7</v>
      </c>
      <c r="O1876" s="1223">
        <f t="shared" ref="O1876:O1881" si="323">M1876*N1876</f>
        <v>1757407.4</v>
      </c>
      <c r="P1876" s="1082">
        <f t="shared" si="318"/>
        <v>140592.592</v>
      </c>
      <c r="Q1876" s="1221">
        <f t="shared" si="319"/>
        <v>1897999.9919999999</v>
      </c>
      <c r="V1876" s="1107">
        <f t="shared" si="322"/>
        <v>1897999.9919999999</v>
      </c>
    </row>
    <row r="1877" spans="1:22" hidden="1">
      <c r="A1877" s="1000" t="s">
        <v>1175</v>
      </c>
      <c r="B1877" s="1001" t="s">
        <v>1188</v>
      </c>
      <c r="C1877" s="1066">
        <v>46290</v>
      </c>
      <c r="D1877" s="1066">
        <v>46289</v>
      </c>
      <c r="E1877" s="1005" t="s">
        <v>1266</v>
      </c>
      <c r="I1877" s="1002" t="s">
        <v>862</v>
      </c>
      <c r="J1877" s="1007" t="s">
        <v>959</v>
      </c>
      <c r="K1877" s="1064" t="s">
        <v>960</v>
      </c>
      <c r="L1877" s="1007" t="s">
        <v>18</v>
      </c>
      <c r="M1877" s="1093">
        <v>2</v>
      </c>
      <c r="N1877" s="1223">
        <v>0</v>
      </c>
      <c r="O1877" s="1223">
        <f t="shared" si="323"/>
        <v>0</v>
      </c>
      <c r="P1877" s="1082">
        <f t="shared" si="318"/>
        <v>0</v>
      </c>
      <c r="Q1877" s="1221">
        <f t="shared" si="319"/>
        <v>0</v>
      </c>
      <c r="V1877" s="1107">
        <f t="shared" si="322"/>
        <v>0</v>
      </c>
    </row>
    <row r="1878" spans="1:22" hidden="1">
      <c r="A1878" s="1000" t="s">
        <v>717</v>
      </c>
      <c r="B1878" s="1001" t="s">
        <v>743</v>
      </c>
      <c r="C1878" s="1066">
        <v>46289</v>
      </c>
      <c r="D1878" s="1066">
        <v>46289</v>
      </c>
      <c r="E1878" s="1005" t="s">
        <v>1267</v>
      </c>
      <c r="F1878" s="1077">
        <v>46297</v>
      </c>
      <c r="G1878" s="1002" t="s">
        <v>1355</v>
      </c>
      <c r="H1878" s="1111" t="s">
        <v>1354</v>
      </c>
      <c r="I1878" s="1002" t="s">
        <v>822</v>
      </c>
      <c r="J1878" s="1007" t="s">
        <v>80</v>
      </c>
      <c r="K1878" s="1064" t="s">
        <v>81</v>
      </c>
      <c r="L1878" s="1007" t="s">
        <v>18</v>
      </c>
      <c r="M1878" s="1093">
        <v>4</v>
      </c>
      <c r="N1878" s="1223">
        <v>824074.07</v>
      </c>
      <c r="O1878" s="1223">
        <f t="shared" si="323"/>
        <v>3296296.28</v>
      </c>
      <c r="P1878" s="1082">
        <f t="shared" si="318"/>
        <v>263703.70240000001</v>
      </c>
      <c r="Q1878" s="1221">
        <f t="shared" si="319"/>
        <v>3559999.9823999996</v>
      </c>
      <c r="V1878" s="1107">
        <f t="shared" si="322"/>
        <v>3559999.9823999996</v>
      </c>
    </row>
    <row r="1879" spans="1:22" hidden="1">
      <c r="A1879" s="1000" t="s">
        <v>717</v>
      </c>
      <c r="B1879" s="1001" t="s">
        <v>743</v>
      </c>
      <c r="C1879" s="1066">
        <v>46289</v>
      </c>
      <c r="D1879" s="1066">
        <v>46289</v>
      </c>
      <c r="E1879" s="1005" t="s">
        <v>1267</v>
      </c>
      <c r="F1879" s="1077">
        <v>46297</v>
      </c>
      <c r="G1879" s="1002" t="s">
        <v>1355</v>
      </c>
      <c r="H1879" s="1111" t="s">
        <v>1354</v>
      </c>
      <c r="I1879" s="1002" t="s">
        <v>822</v>
      </c>
      <c r="J1879" s="1007" t="s">
        <v>21</v>
      </c>
      <c r="K1879" s="1064" t="s">
        <v>22</v>
      </c>
      <c r="L1879" s="1007" t="s">
        <v>18</v>
      </c>
      <c r="M1879" s="1093">
        <v>4</v>
      </c>
      <c r="N1879" s="1223">
        <v>937962.96</v>
      </c>
      <c r="O1879" s="1223">
        <f t="shared" si="323"/>
        <v>3751851.84</v>
      </c>
      <c r="P1879" s="1082">
        <f t="shared" si="318"/>
        <v>300148.14720000001</v>
      </c>
      <c r="Q1879" s="1221">
        <f t="shared" si="319"/>
        <v>4051999.9871999999</v>
      </c>
      <c r="V1879" s="1107">
        <f t="shared" si="322"/>
        <v>4051999.9871999999</v>
      </c>
    </row>
    <row r="1880" spans="1:22" hidden="1">
      <c r="A1880" s="1000" t="s">
        <v>717</v>
      </c>
      <c r="B1880" s="1001" t="s">
        <v>743</v>
      </c>
      <c r="C1880" s="1066">
        <v>46289</v>
      </c>
      <c r="D1880" s="1066">
        <v>46289</v>
      </c>
      <c r="E1880" s="1005" t="s">
        <v>1267</v>
      </c>
      <c r="F1880" s="1077">
        <v>46297</v>
      </c>
      <c r="G1880" s="1002" t="s">
        <v>1355</v>
      </c>
      <c r="H1880" s="1111" t="s">
        <v>1354</v>
      </c>
      <c r="I1880" s="1002" t="s">
        <v>822</v>
      </c>
      <c r="J1880" s="1007" t="s">
        <v>192</v>
      </c>
      <c r="K1880" s="1064" t="s">
        <v>193</v>
      </c>
      <c r="L1880" s="1007" t="s">
        <v>18</v>
      </c>
      <c r="M1880" s="1093">
        <v>8</v>
      </c>
      <c r="N1880" s="1223">
        <v>398148.15</v>
      </c>
      <c r="O1880" s="1223">
        <f t="shared" si="323"/>
        <v>3185185.2</v>
      </c>
      <c r="P1880" s="1082">
        <f t="shared" si="318"/>
        <v>254814.81600000002</v>
      </c>
      <c r="Q1880" s="1221">
        <f t="shared" si="319"/>
        <v>3440000.0160000003</v>
      </c>
      <c r="V1880" s="1107">
        <f t="shared" si="322"/>
        <v>3440000.0160000003</v>
      </c>
    </row>
    <row r="1881" spans="1:22" hidden="1">
      <c r="A1881" s="1000" t="s">
        <v>717</v>
      </c>
      <c r="B1881" s="1001" t="s">
        <v>743</v>
      </c>
      <c r="C1881" s="1066">
        <v>46289</v>
      </c>
      <c r="D1881" s="1066">
        <v>46289</v>
      </c>
      <c r="E1881" s="1005" t="s">
        <v>1267</v>
      </c>
      <c r="F1881" s="1077">
        <v>46297</v>
      </c>
      <c r="G1881" s="1002" t="s">
        <v>1355</v>
      </c>
      <c r="H1881" s="1111" t="s">
        <v>1354</v>
      </c>
      <c r="I1881" s="1002" t="s">
        <v>822</v>
      </c>
      <c r="J1881" s="1007" t="s">
        <v>46</v>
      </c>
      <c r="K1881" s="1064" t="s">
        <v>47</v>
      </c>
      <c r="L1881" s="1007" t="s">
        <v>18</v>
      </c>
      <c r="M1881" s="1093">
        <v>6</v>
      </c>
      <c r="N1881" s="1223">
        <v>240740.74</v>
      </c>
      <c r="O1881" s="1223">
        <f t="shared" si="323"/>
        <v>1444444.44</v>
      </c>
      <c r="P1881" s="1082">
        <f t="shared" si="318"/>
        <v>115555.5552</v>
      </c>
      <c r="Q1881" s="1221">
        <f t="shared" si="319"/>
        <v>1559999.9952</v>
      </c>
      <c r="V1881" s="1107">
        <f t="shared" si="322"/>
        <v>1559999.9952</v>
      </c>
    </row>
    <row r="1882" spans="1:22" hidden="1">
      <c r="A1882" s="1000" t="s">
        <v>717</v>
      </c>
      <c r="B1882" s="1001" t="s">
        <v>743</v>
      </c>
      <c r="C1882" s="1066">
        <v>46289</v>
      </c>
      <c r="D1882" s="1066">
        <v>46289</v>
      </c>
      <c r="E1882" s="1005" t="s">
        <v>1267</v>
      </c>
      <c r="F1882" s="1077">
        <v>46297</v>
      </c>
      <c r="G1882" s="1002" t="s">
        <v>1355</v>
      </c>
      <c r="H1882" s="1111" t="s">
        <v>1354</v>
      </c>
      <c r="I1882" s="1002" t="s">
        <v>822</v>
      </c>
      <c r="J1882" s="1007" t="s">
        <v>157</v>
      </c>
      <c r="K1882" s="1064" t="s">
        <v>158</v>
      </c>
      <c r="L1882" s="1007" t="s">
        <v>18</v>
      </c>
      <c r="M1882" s="1093">
        <v>6</v>
      </c>
      <c r="N1882" s="1223">
        <v>342592.59</v>
      </c>
      <c r="O1882" s="1223">
        <f>M1882*N1882</f>
        <v>2055555.54</v>
      </c>
      <c r="P1882" s="1082">
        <f t="shared" si="318"/>
        <v>164444.44320000001</v>
      </c>
      <c r="Q1882" s="1221">
        <f t="shared" si="319"/>
        <v>2219999.9832000001</v>
      </c>
      <c r="V1882" s="1107">
        <f t="shared" si="322"/>
        <v>2219999.9832000001</v>
      </c>
    </row>
    <row r="1883" spans="1:22" ht="31.5" hidden="1">
      <c r="A1883" s="1000" t="s">
        <v>717</v>
      </c>
      <c r="B1883" s="1001" t="s">
        <v>743</v>
      </c>
      <c r="C1883" s="1066">
        <v>46289</v>
      </c>
      <c r="D1883" s="1066">
        <v>46289</v>
      </c>
      <c r="E1883" s="1005" t="s">
        <v>1267</v>
      </c>
      <c r="F1883" s="1077">
        <v>46297</v>
      </c>
      <c r="G1883" s="1002" t="s">
        <v>1355</v>
      </c>
      <c r="H1883" s="1111" t="s">
        <v>1354</v>
      </c>
      <c r="I1883" s="1002" t="s">
        <v>822</v>
      </c>
      <c r="J1883" s="1007" t="s">
        <v>16</v>
      </c>
      <c r="K1883" s="1064" t="s">
        <v>17</v>
      </c>
      <c r="L1883" s="1007" t="s">
        <v>18</v>
      </c>
      <c r="M1883" s="1093">
        <v>4</v>
      </c>
      <c r="N1883" s="1223">
        <v>851851.85</v>
      </c>
      <c r="O1883" s="1223">
        <f>M1883*N1883</f>
        <v>3407407.4</v>
      </c>
      <c r="P1883" s="1082">
        <f t="shared" si="318"/>
        <v>272592.592</v>
      </c>
      <c r="Q1883" s="1221">
        <f t="shared" si="319"/>
        <v>3679999.9920000001</v>
      </c>
      <c r="V1883" s="1107">
        <f t="shared" si="322"/>
        <v>3679999.9920000001</v>
      </c>
    </row>
    <row r="1884" spans="1:22" hidden="1">
      <c r="A1884" s="1000" t="s">
        <v>717</v>
      </c>
      <c r="B1884" s="1001" t="s">
        <v>743</v>
      </c>
      <c r="C1884" s="1066">
        <v>46289</v>
      </c>
      <c r="D1884" s="1066">
        <v>46289</v>
      </c>
      <c r="E1884" s="1005" t="s">
        <v>1267</v>
      </c>
      <c r="F1884" s="1077">
        <v>46297</v>
      </c>
      <c r="G1884" s="1002" t="s">
        <v>1355</v>
      </c>
      <c r="H1884" s="1111" t="s">
        <v>1354</v>
      </c>
      <c r="I1884" s="1002" t="s">
        <v>822</v>
      </c>
      <c r="J1884" s="1007" t="s">
        <v>643</v>
      </c>
      <c r="K1884" s="1064" t="s">
        <v>644</v>
      </c>
      <c r="L1884" s="1007" t="s">
        <v>18</v>
      </c>
      <c r="M1884" s="1093">
        <v>15</v>
      </c>
      <c r="N1884" s="1223">
        <v>527777.78</v>
      </c>
      <c r="O1884" s="1223">
        <f t="shared" ref="O1884:O1892" si="324">M1884*N1884</f>
        <v>7916666.7000000002</v>
      </c>
      <c r="P1884" s="1082">
        <f t="shared" si="318"/>
        <v>633333.33600000001</v>
      </c>
      <c r="Q1884" s="1221">
        <f t="shared" si="319"/>
        <v>8550000.0360000003</v>
      </c>
      <c r="V1884" s="1107">
        <f t="shared" si="322"/>
        <v>8550000.0360000003</v>
      </c>
    </row>
    <row r="1885" spans="1:22" hidden="1">
      <c r="A1885" s="1000" t="s">
        <v>717</v>
      </c>
      <c r="B1885" s="1001" t="s">
        <v>743</v>
      </c>
      <c r="C1885" s="1066">
        <v>46289</v>
      </c>
      <c r="D1885" s="1066">
        <v>46289</v>
      </c>
      <c r="E1885" s="1005" t="s">
        <v>1267</v>
      </c>
      <c r="F1885" s="1077">
        <v>46297</v>
      </c>
      <c r="G1885" s="1002" t="s">
        <v>1355</v>
      </c>
      <c r="H1885" s="1111" t="s">
        <v>1354</v>
      </c>
      <c r="I1885" s="1002" t="s">
        <v>822</v>
      </c>
      <c r="J1885" s="1007" t="s">
        <v>645</v>
      </c>
      <c r="K1885" s="1064" t="s">
        <v>646</v>
      </c>
      <c r="L1885" s="1007" t="s">
        <v>18</v>
      </c>
      <c r="M1885" s="1093">
        <v>15</v>
      </c>
      <c r="N1885" s="1223">
        <v>629629.63</v>
      </c>
      <c r="O1885" s="1223">
        <f t="shared" si="324"/>
        <v>9444444.4499999993</v>
      </c>
      <c r="P1885" s="1082">
        <f t="shared" si="318"/>
        <v>755555.55599999998</v>
      </c>
      <c r="Q1885" s="1221">
        <f t="shared" si="319"/>
        <v>10200000.005999999</v>
      </c>
      <c r="V1885" s="1107">
        <f t="shared" si="322"/>
        <v>10200000.005999999</v>
      </c>
    </row>
    <row r="1886" spans="1:22" ht="31.5" hidden="1">
      <c r="A1886" s="1000" t="s">
        <v>717</v>
      </c>
      <c r="B1886" s="1001" t="s">
        <v>743</v>
      </c>
      <c r="C1886" s="1066">
        <v>46289</v>
      </c>
      <c r="D1886" s="1066">
        <v>46289</v>
      </c>
      <c r="E1886" s="1005" t="s">
        <v>1267</v>
      </c>
      <c r="F1886" s="1077">
        <v>46297</v>
      </c>
      <c r="G1886" s="1002" t="s">
        <v>1355</v>
      </c>
      <c r="H1886" s="1111" t="s">
        <v>1354</v>
      </c>
      <c r="I1886" s="1002" t="s">
        <v>822</v>
      </c>
      <c r="J1886" s="1007" t="s">
        <v>26</v>
      </c>
      <c r="K1886" s="1064" t="s">
        <v>27</v>
      </c>
      <c r="L1886" s="1007" t="s">
        <v>18</v>
      </c>
      <c r="M1886" s="1093">
        <v>10</v>
      </c>
      <c r="N1886" s="1223">
        <v>256481.48</v>
      </c>
      <c r="O1886" s="1223">
        <f t="shared" si="324"/>
        <v>2564814.8000000003</v>
      </c>
      <c r="P1886" s="1082">
        <f t="shared" si="318"/>
        <v>205185.18400000004</v>
      </c>
      <c r="Q1886" s="1221">
        <f t="shared" si="319"/>
        <v>2769999.9840000002</v>
      </c>
      <c r="V1886" s="1107">
        <f t="shared" si="322"/>
        <v>2769999.9840000002</v>
      </c>
    </row>
    <row r="1887" spans="1:22" ht="31.5" hidden="1">
      <c r="A1887" s="1000" t="s">
        <v>717</v>
      </c>
      <c r="B1887" s="1001" t="s">
        <v>743</v>
      </c>
      <c r="C1887" s="1066">
        <v>46289</v>
      </c>
      <c r="D1887" s="1066">
        <v>46289</v>
      </c>
      <c r="E1887" s="1005" t="s">
        <v>1267</v>
      </c>
      <c r="F1887" s="1077">
        <v>46297</v>
      </c>
      <c r="G1887" s="1002" t="s">
        <v>1355</v>
      </c>
      <c r="H1887" s="1111" t="s">
        <v>1354</v>
      </c>
      <c r="I1887" s="1002" t="s">
        <v>822</v>
      </c>
      <c r="J1887" s="1007" t="s">
        <v>28</v>
      </c>
      <c r="K1887" s="1064" t="s">
        <v>29</v>
      </c>
      <c r="L1887" s="1007" t="s">
        <v>18</v>
      </c>
      <c r="M1887" s="1093">
        <v>10</v>
      </c>
      <c r="N1887" s="1223">
        <v>281481.48</v>
      </c>
      <c r="O1887" s="1223">
        <f t="shared" si="324"/>
        <v>2814814.8</v>
      </c>
      <c r="P1887" s="1082">
        <f t="shared" si="318"/>
        <v>225185.18399999998</v>
      </c>
      <c r="Q1887" s="1221">
        <f t="shared" si="319"/>
        <v>3039999.9839999997</v>
      </c>
      <c r="V1887" s="1107">
        <f t="shared" si="322"/>
        <v>3039999.9839999997</v>
      </c>
    </row>
    <row r="1888" spans="1:22" ht="31.5" hidden="1">
      <c r="A1888" s="1000" t="s">
        <v>717</v>
      </c>
      <c r="B1888" s="1001" t="s">
        <v>743</v>
      </c>
      <c r="C1888" s="1066">
        <v>46289</v>
      </c>
      <c r="D1888" s="1066">
        <v>46289</v>
      </c>
      <c r="E1888" s="1005" t="s">
        <v>1267</v>
      </c>
      <c r="F1888" s="1077">
        <v>46297</v>
      </c>
      <c r="G1888" s="1002" t="s">
        <v>1355</v>
      </c>
      <c r="H1888" s="1111" t="s">
        <v>1354</v>
      </c>
      <c r="I1888" s="1002" t="s">
        <v>822</v>
      </c>
      <c r="J1888" s="1007" t="s">
        <v>180</v>
      </c>
      <c r="K1888" s="1064" t="s">
        <v>181</v>
      </c>
      <c r="L1888" s="1007" t="s">
        <v>18</v>
      </c>
      <c r="M1888" s="1093">
        <v>10</v>
      </c>
      <c r="N1888" s="1223">
        <v>234259.26</v>
      </c>
      <c r="O1888" s="1223">
        <f t="shared" si="324"/>
        <v>2342592.6</v>
      </c>
      <c r="P1888" s="1082">
        <f t="shared" si="318"/>
        <v>187407.40800000002</v>
      </c>
      <c r="Q1888" s="1221">
        <f t="shared" si="319"/>
        <v>2530000.0079999999</v>
      </c>
      <c r="V1888" s="1107">
        <f t="shared" si="322"/>
        <v>2530000.0079999999</v>
      </c>
    </row>
    <row r="1889" spans="1:23" ht="31.5" hidden="1">
      <c r="A1889" s="1000" t="s">
        <v>717</v>
      </c>
      <c r="B1889" s="1001" t="s">
        <v>743</v>
      </c>
      <c r="C1889" s="1066">
        <v>46289</v>
      </c>
      <c r="D1889" s="1066">
        <v>46289</v>
      </c>
      <c r="E1889" s="1005" t="s">
        <v>1267</v>
      </c>
      <c r="F1889" s="1077">
        <v>46297</v>
      </c>
      <c r="G1889" s="1002" t="s">
        <v>1355</v>
      </c>
      <c r="H1889" s="1111" t="s">
        <v>1354</v>
      </c>
      <c r="I1889" s="1002" t="s">
        <v>822</v>
      </c>
      <c r="J1889" s="1007" t="s">
        <v>184</v>
      </c>
      <c r="K1889" s="1064" t="s">
        <v>272</v>
      </c>
      <c r="L1889" s="1007" t="s">
        <v>18</v>
      </c>
      <c r="M1889" s="1093">
        <v>10</v>
      </c>
      <c r="N1889" s="1223">
        <v>240740.74</v>
      </c>
      <c r="O1889" s="1223">
        <f t="shared" si="324"/>
        <v>2407407.4</v>
      </c>
      <c r="P1889" s="1082">
        <f t="shared" si="318"/>
        <v>192592.592</v>
      </c>
      <c r="Q1889" s="1221">
        <f t="shared" si="319"/>
        <v>2599999.9920000001</v>
      </c>
      <c r="V1889" s="1107">
        <f t="shared" si="322"/>
        <v>2599999.9920000001</v>
      </c>
    </row>
    <row r="1890" spans="1:23" ht="31.5" hidden="1">
      <c r="A1890" s="1000" t="s">
        <v>717</v>
      </c>
      <c r="B1890" s="1001" t="s">
        <v>743</v>
      </c>
      <c r="C1890" s="1066">
        <v>46289</v>
      </c>
      <c r="D1890" s="1066">
        <v>46289</v>
      </c>
      <c r="E1890" s="1005" t="s">
        <v>1267</v>
      </c>
      <c r="F1890" s="1077">
        <v>46297</v>
      </c>
      <c r="G1890" s="1002" t="s">
        <v>1355</v>
      </c>
      <c r="H1890" s="1111" t="s">
        <v>1354</v>
      </c>
      <c r="I1890" s="1002" t="s">
        <v>822</v>
      </c>
      <c r="J1890" s="1007" t="s">
        <v>30</v>
      </c>
      <c r="K1890" s="1064" t="s">
        <v>31</v>
      </c>
      <c r="L1890" s="1007" t="s">
        <v>18</v>
      </c>
      <c r="M1890" s="1093">
        <v>10</v>
      </c>
      <c r="N1890" s="1223">
        <v>259259.26</v>
      </c>
      <c r="O1890" s="1223">
        <f t="shared" si="324"/>
        <v>2592592.6</v>
      </c>
      <c r="P1890" s="1082">
        <f t="shared" si="318"/>
        <v>207407.40800000002</v>
      </c>
      <c r="Q1890" s="1221">
        <f t="shared" si="319"/>
        <v>2800000.0079999999</v>
      </c>
      <c r="V1890" s="1107">
        <f t="shared" si="322"/>
        <v>2800000.0079999999</v>
      </c>
    </row>
    <row r="1891" spans="1:23" ht="31.5" hidden="1">
      <c r="A1891" s="1000" t="s">
        <v>717</v>
      </c>
      <c r="B1891" s="1001" t="s">
        <v>743</v>
      </c>
      <c r="C1891" s="1066">
        <v>46289</v>
      </c>
      <c r="D1891" s="1066">
        <v>46289</v>
      </c>
      <c r="E1891" s="1005" t="s">
        <v>1267</v>
      </c>
      <c r="F1891" s="1077">
        <v>46297</v>
      </c>
      <c r="G1891" s="1002" t="s">
        <v>1355</v>
      </c>
      <c r="H1891" s="1111" t="s">
        <v>1354</v>
      </c>
      <c r="I1891" s="1002" t="s">
        <v>822</v>
      </c>
      <c r="J1891" s="1007" t="s">
        <v>301</v>
      </c>
      <c r="K1891" s="1064" t="s">
        <v>361</v>
      </c>
      <c r="L1891" s="1007" t="s">
        <v>18</v>
      </c>
      <c r="M1891" s="1093">
        <v>10</v>
      </c>
      <c r="N1891" s="1223">
        <v>277777.78000000003</v>
      </c>
      <c r="O1891" s="1223">
        <f t="shared" si="324"/>
        <v>2777777.8000000003</v>
      </c>
      <c r="P1891" s="1082">
        <f t="shared" si="318"/>
        <v>222222.22400000002</v>
      </c>
      <c r="Q1891" s="1221">
        <f t="shared" si="319"/>
        <v>3000000.0240000002</v>
      </c>
      <c r="V1891" s="1107">
        <f t="shared" si="322"/>
        <v>3000000.0240000002</v>
      </c>
    </row>
    <row r="1892" spans="1:23" ht="31.5" hidden="1">
      <c r="A1892" s="1000" t="s">
        <v>717</v>
      </c>
      <c r="B1892" s="1001" t="s">
        <v>743</v>
      </c>
      <c r="C1892" s="1066">
        <v>46289</v>
      </c>
      <c r="D1892" s="1066">
        <v>46289</v>
      </c>
      <c r="E1892" s="1005" t="s">
        <v>1267</v>
      </c>
      <c r="F1892" s="1077">
        <v>46297</v>
      </c>
      <c r="G1892" s="1002" t="s">
        <v>1355</v>
      </c>
      <c r="H1892" s="1111" t="s">
        <v>1354</v>
      </c>
      <c r="I1892" s="1002" t="s">
        <v>822</v>
      </c>
      <c r="J1892" s="1007" t="s">
        <v>32</v>
      </c>
      <c r="K1892" s="1064" t="s">
        <v>33</v>
      </c>
      <c r="L1892" s="1007" t="s">
        <v>18</v>
      </c>
      <c r="M1892" s="1093">
        <v>10</v>
      </c>
      <c r="N1892" s="1223">
        <v>226851.85</v>
      </c>
      <c r="O1892" s="1223">
        <f t="shared" si="324"/>
        <v>2268518.5</v>
      </c>
      <c r="P1892" s="1082">
        <f t="shared" si="318"/>
        <v>181481.48</v>
      </c>
      <c r="Q1892" s="1221">
        <f t="shared" si="319"/>
        <v>2449999.98</v>
      </c>
      <c r="V1892" s="1107">
        <f t="shared" si="322"/>
        <v>2449999.98</v>
      </c>
    </row>
    <row r="1893" spans="1:23" ht="31.5" hidden="1">
      <c r="A1893" s="1000" t="s">
        <v>717</v>
      </c>
      <c r="B1893" s="1001" t="s">
        <v>743</v>
      </c>
      <c r="C1893" s="1066">
        <v>46289</v>
      </c>
      <c r="D1893" s="1066">
        <v>46289</v>
      </c>
      <c r="E1893" s="1005" t="s">
        <v>1267</v>
      </c>
      <c r="F1893" s="1077">
        <v>46297</v>
      </c>
      <c r="G1893" s="1002" t="s">
        <v>1355</v>
      </c>
      <c r="H1893" s="1111" t="s">
        <v>1354</v>
      </c>
      <c r="I1893" s="1002" t="s">
        <v>822</v>
      </c>
      <c r="J1893" s="1007" t="s">
        <v>34</v>
      </c>
      <c r="K1893" s="1064" t="s">
        <v>35</v>
      </c>
      <c r="L1893" s="1007" t="s">
        <v>18</v>
      </c>
      <c r="M1893" s="1093">
        <v>10</v>
      </c>
      <c r="N1893" s="1223">
        <v>240740.74</v>
      </c>
      <c r="O1893" s="1223">
        <f>M1893*N1893</f>
        <v>2407407.4</v>
      </c>
      <c r="P1893" s="1082">
        <f t="shared" si="318"/>
        <v>192592.592</v>
      </c>
      <c r="Q1893" s="1221">
        <f t="shared" si="319"/>
        <v>2599999.9920000001</v>
      </c>
      <c r="V1893" s="1107">
        <f t="shared" si="322"/>
        <v>2599999.9920000001</v>
      </c>
    </row>
    <row r="1894" spans="1:23" ht="31.5" hidden="1">
      <c r="A1894" s="1000" t="s">
        <v>717</v>
      </c>
      <c r="B1894" s="1001" t="s">
        <v>743</v>
      </c>
      <c r="C1894" s="1066">
        <v>46289</v>
      </c>
      <c r="D1894" s="1066">
        <v>46289</v>
      </c>
      <c r="E1894" s="1005" t="s">
        <v>1267</v>
      </c>
      <c r="F1894" s="1077">
        <v>46297</v>
      </c>
      <c r="G1894" s="1002" t="s">
        <v>1355</v>
      </c>
      <c r="H1894" s="1111" t="s">
        <v>1354</v>
      </c>
      <c r="I1894" s="1002" t="s">
        <v>822</v>
      </c>
      <c r="J1894" s="1007" t="s">
        <v>36</v>
      </c>
      <c r="K1894" s="1064" t="s">
        <v>37</v>
      </c>
      <c r="L1894" s="1007" t="s">
        <v>18</v>
      </c>
      <c r="M1894" s="1093">
        <v>10</v>
      </c>
      <c r="N1894" s="1223">
        <v>259259.26</v>
      </c>
      <c r="O1894" s="1223">
        <f>M1894*N1894</f>
        <v>2592592.6</v>
      </c>
      <c r="P1894" s="1082">
        <f t="shared" si="318"/>
        <v>207407.40800000002</v>
      </c>
      <c r="Q1894" s="1221">
        <f t="shared" si="319"/>
        <v>2800000.0079999999</v>
      </c>
      <c r="V1894" s="1107">
        <f t="shared" si="322"/>
        <v>2800000.0079999999</v>
      </c>
    </row>
    <row r="1895" spans="1:23" ht="31.5" hidden="1">
      <c r="A1895" s="1000" t="s">
        <v>717</v>
      </c>
      <c r="B1895" s="1001" t="s">
        <v>743</v>
      </c>
      <c r="C1895" s="1066">
        <v>46289</v>
      </c>
      <c r="D1895" s="1066">
        <v>46289</v>
      </c>
      <c r="E1895" s="1005" t="s">
        <v>1267</v>
      </c>
      <c r="F1895" s="1077">
        <v>46297</v>
      </c>
      <c r="G1895" s="1002" t="s">
        <v>1355</v>
      </c>
      <c r="H1895" s="1111" t="s">
        <v>1354</v>
      </c>
      <c r="I1895" s="1002" t="s">
        <v>822</v>
      </c>
      <c r="J1895" s="1007" t="s">
        <v>38</v>
      </c>
      <c r="K1895" s="1064" t="s">
        <v>39</v>
      </c>
      <c r="L1895" s="1007" t="s">
        <v>18</v>
      </c>
      <c r="M1895" s="1093">
        <v>10</v>
      </c>
      <c r="N1895" s="1223">
        <v>277777.78000000003</v>
      </c>
      <c r="O1895" s="1223">
        <f t="shared" ref="O1895:O1897" si="325">M1895*N1895</f>
        <v>2777777.8000000003</v>
      </c>
      <c r="P1895" s="1082">
        <f t="shared" si="318"/>
        <v>222222.22400000002</v>
      </c>
      <c r="Q1895" s="1221">
        <f t="shared" si="319"/>
        <v>3000000.0240000002</v>
      </c>
      <c r="V1895" s="1107">
        <f t="shared" si="322"/>
        <v>3000000.0240000002</v>
      </c>
    </row>
    <row r="1896" spans="1:23" hidden="1">
      <c r="A1896" s="1000" t="s">
        <v>717</v>
      </c>
      <c r="B1896" s="1001" t="s">
        <v>743</v>
      </c>
      <c r="C1896" s="1066">
        <v>46289</v>
      </c>
      <c r="D1896" s="1066">
        <v>46290</v>
      </c>
      <c r="E1896" s="1005" t="s">
        <v>1267</v>
      </c>
      <c r="F1896" s="1077">
        <v>46297</v>
      </c>
      <c r="G1896" s="1002" t="s">
        <v>1355</v>
      </c>
      <c r="H1896" s="1111" t="s">
        <v>1354</v>
      </c>
      <c r="I1896" s="1002" t="s">
        <v>822</v>
      </c>
      <c r="J1896" s="1007" t="s">
        <v>219</v>
      </c>
      <c r="K1896" s="1064" t="s">
        <v>220</v>
      </c>
      <c r="L1896" s="1007" t="s">
        <v>18</v>
      </c>
      <c r="M1896" s="1093">
        <v>10</v>
      </c>
      <c r="N1896" s="1223">
        <v>263888.89</v>
      </c>
      <c r="O1896" s="1223">
        <f t="shared" si="325"/>
        <v>2638888.9000000004</v>
      </c>
      <c r="P1896" s="1082">
        <f t="shared" si="318"/>
        <v>211111.11200000002</v>
      </c>
      <c r="Q1896" s="1221">
        <f t="shared" si="319"/>
        <v>2850000.0120000006</v>
      </c>
      <c r="V1896" s="1107">
        <f t="shared" si="322"/>
        <v>2850000.0120000006</v>
      </c>
    </row>
    <row r="1897" spans="1:23" hidden="1">
      <c r="A1897" s="1000" t="s">
        <v>717</v>
      </c>
      <c r="B1897" s="1001" t="s">
        <v>743</v>
      </c>
      <c r="C1897" s="1066">
        <v>46289</v>
      </c>
      <c r="D1897" s="1066">
        <v>46290</v>
      </c>
      <c r="E1897" s="1005" t="s">
        <v>1267</v>
      </c>
      <c r="F1897" s="1077">
        <v>46297</v>
      </c>
      <c r="G1897" s="1002" t="s">
        <v>1355</v>
      </c>
      <c r="H1897" s="1111" t="s">
        <v>1354</v>
      </c>
      <c r="I1897" s="1008" t="s">
        <v>892</v>
      </c>
      <c r="J1897" s="1007" t="s">
        <v>643</v>
      </c>
      <c r="K1897" s="1064" t="s">
        <v>644</v>
      </c>
      <c r="L1897" s="1007" t="s">
        <v>18</v>
      </c>
      <c r="M1897" s="1093">
        <v>1</v>
      </c>
      <c r="N1897" s="1223">
        <v>0</v>
      </c>
      <c r="O1897" s="1223">
        <f t="shared" si="325"/>
        <v>0</v>
      </c>
      <c r="P1897" s="1082">
        <f t="shared" si="318"/>
        <v>0</v>
      </c>
      <c r="Q1897" s="1221">
        <f t="shared" si="319"/>
        <v>0</v>
      </c>
      <c r="V1897" s="1107">
        <f t="shared" si="322"/>
        <v>0</v>
      </c>
    </row>
    <row r="1898" spans="1:23" hidden="1">
      <c r="A1898" s="1000" t="s">
        <v>717</v>
      </c>
      <c r="B1898" s="1001" t="s">
        <v>743</v>
      </c>
      <c r="C1898" s="1066">
        <v>46289</v>
      </c>
      <c r="D1898" s="1066">
        <v>46290</v>
      </c>
      <c r="E1898" s="1005" t="s">
        <v>1267</v>
      </c>
      <c r="F1898" s="1077">
        <v>46297</v>
      </c>
      <c r="G1898" s="1002" t="s">
        <v>1355</v>
      </c>
      <c r="H1898" s="1111" t="s">
        <v>1354</v>
      </c>
      <c r="I1898" s="1008" t="s">
        <v>892</v>
      </c>
      <c r="J1898" s="1007" t="s">
        <v>645</v>
      </c>
      <c r="K1898" s="1064" t="s">
        <v>646</v>
      </c>
      <c r="L1898" s="1007" t="s">
        <v>18</v>
      </c>
      <c r="M1898" s="1093">
        <v>1</v>
      </c>
      <c r="N1898" s="1223">
        <v>0</v>
      </c>
      <c r="O1898" s="1223">
        <f>M1898*N1898</f>
        <v>0</v>
      </c>
      <c r="P1898" s="1082">
        <f t="shared" si="318"/>
        <v>0</v>
      </c>
      <c r="Q1898" s="1221">
        <f t="shared" si="319"/>
        <v>0</v>
      </c>
      <c r="V1898" s="1107">
        <f t="shared" si="322"/>
        <v>0</v>
      </c>
    </row>
    <row r="1899" spans="1:23" hidden="1">
      <c r="A1899" s="1000" t="s">
        <v>717</v>
      </c>
      <c r="B1899" s="1001" t="s">
        <v>743</v>
      </c>
      <c r="C1899" s="1066">
        <v>46289</v>
      </c>
      <c r="D1899" s="1066">
        <v>46290</v>
      </c>
      <c r="E1899" s="1005" t="s">
        <v>1267</v>
      </c>
      <c r="F1899" s="1077">
        <v>46297</v>
      </c>
      <c r="G1899" s="1002" t="s">
        <v>1355</v>
      </c>
      <c r="H1899" s="1111" t="s">
        <v>1354</v>
      </c>
      <c r="I1899" s="1008" t="s">
        <v>892</v>
      </c>
      <c r="J1899" s="1007" t="s">
        <v>219</v>
      </c>
      <c r="K1899" s="1064" t="s">
        <v>220</v>
      </c>
      <c r="L1899" s="1007" t="s">
        <v>18</v>
      </c>
      <c r="M1899" s="1093">
        <v>1</v>
      </c>
      <c r="N1899" s="1223">
        <v>0</v>
      </c>
      <c r="O1899" s="1223">
        <f>M1899*N1899</f>
        <v>0</v>
      </c>
      <c r="P1899" s="1082">
        <f t="shared" si="318"/>
        <v>0</v>
      </c>
      <c r="Q1899" s="1221">
        <f t="shared" si="319"/>
        <v>0</v>
      </c>
      <c r="V1899" s="1107">
        <f t="shared" si="322"/>
        <v>0</v>
      </c>
    </row>
    <row r="1900" spans="1:23" hidden="1">
      <c r="A1900" s="1000" t="s">
        <v>761</v>
      </c>
      <c r="B1900" s="1028" t="s">
        <v>1496</v>
      </c>
      <c r="C1900" s="1066">
        <v>46290</v>
      </c>
      <c r="D1900" s="1066">
        <v>46289</v>
      </c>
      <c r="E1900" s="1005" t="s">
        <v>1268</v>
      </c>
      <c r="F1900" s="1077">
        <v>46295</v>
      </c>
      <c r="G1900" s="1002" t="s">
        <v>1382</v>
      </c>
      <c r="H1900" s="1138" t="s">
        <v>1381</v>
      </c>
      <c r="I1900" s="1002" t="s">
        <v>1497</v>
      </c>
      <c r="J1900" s="1007" t="s">
        <v>23</v>
      </c>
      <c r="K1900" s="1064" t="s">
        <v>82</v>
      </c>
      <c r="L1900" s="1007" t="s">
        <v>18</v>
      </c>
      <c r="M1900" s="1093">
        <v>6</v>
      </c>
      <c r="N1900" s="1223">
        <v>1185185.19</v>
      </c>
      <c r="O1900" s="1223">
        <f t="shared" ref="O1900:O1903" si="326">M1900*N1900</f>
        <v>7111111.1399999997</v>
      </c>
      <c r="P1900" s="1082">
        <f t="shared" si="318"/>
        <v>568888.89119999995</v>
      </c>
      <c r="Q1900" s="1221">
        <f t="shared" si="319"/>
        <v>7680000.0311999992</v>
      </c>
      <c r="V1900" s="1107">
        <f t="shared" si="322"/>
        <v>7680000.0311999992</v>
      </c>
    </row>
    <row r="1901" spans="1:23" ht="31.5" hidden="1">
      <c r="A1901" s="1000" t="s">
        <v>761</v>
      </c>
      <c r="B1901" s="1028" t="s">
        <v>1496</v>
      </c>
      <c r="C1901" s="1066">
        <v>46290</v>
      </c>
      <c r="D1901" s="1066">
        <v>46290</v>
      </c>
      <c r="E1901" s="1005" t="s">
        <v>1268</v>
      </c>
      <c r="F1901" s="1077">
        <v>46295</v>
      </c>
      <c r="G1901" s="1002" t="s">
        <v>1382</v>
      </c>
      <c r="H1901" s="1138" t="s">
        <v>1381</v>
      </c>
      <c r="I1901" s="1002" t="s">
        <v>1497</v>
      </c>
      <c r="J1901" s="1007" t="s">
        <v>28</v>
      </c>
      <c r="K1901" s="1064" t="s">
        <v>29</v>
      </c>
      <c r="L1901" s="1007" t="s">
        <v>18</v>
      </c>
      <c r="M1901" s="1093">
        <v>40</v>
      </c>
      <c r="N1901" s="1223">
        <v>281481.48</v>
      </c>
      <c r="O1901" s="1223">
        <f t="shared" si="326"/>
        <v>11259259.199999999</v>
      </c>
      <c r="P1901" s="1082">
        <f t="shared" si="318"/>
        <v>900740.73599999992</v>
      </c>
      <c r="Q1901" s="1221">
        <f t="shared" si="319"/>
        <v>12159999.935999999</v>
      </c>
      <c r="V1901" s="1107">
        <f t="shared" si="322"/>
        <v>12159999.935999999</v>
      </c>
    </row>
    <row r="1902" spans="1:23" hidden="1">
      <c r="A1902" s="1000" t="s">
        <v>761</v>
      </c>
      <c r="B1902" s="1028" t="s">
        <v>1496</v>
      </c>
      <c r="C1902" s="1066">
        <v>46290</v>
      </c>
      <c r="D1902" s="1066">
        <v>46290</v>
      </c>
      <c r="E1902" s="1005" t="s">
        <v>1268</v>
      </c>
      <c r="F1902" s="1077">
        <v>46295</v>
      </c>
      <c r="G1902" s="1002" t="s">
        <v>1382</v>
      </c>
      <c r="H1902" s="1111" t="s">
        <v>1381</v>
      </c>
      <c r="I1902" s="1002" t="s">
        <v>1497</v>
      </c>
      <c r="J1902" s="1007" t="s">
        <v>645</v>
      </c>
      <c r="K1902" s="1064" t="s">
        <v>646</v>
      </c>
      <c r="L1902" s="1007" t="s">
        <v>18</v>
      </c>
      <c r="M1902" s="1093">
        <v>15</v>
      </c>
      <c r="N1902" s="1223">
        <v>629629.63</v>
      </c>
      <c r="O1902" s="1223">
        <f>M1902*N1902</f>
        <v>9444444.4499999993</v>
      </c>
      <c r="P1902" s="1082">
        <f t="shared" si="318"/>
        <v>755555.55599999998</v>
      </c>
      <c r="Q1902" s="1221">
        <f t="shared" si="319"/>
        <v>10200000.005999999</v>
      </c>
      <c r="V1902" s="1107">
        <f t="shared" si="322"/>
        <v>10200000.005999999</v>
      </c>
    </row>
    <row r="1903" spans="1:23" hidden="1">
      <c r="A1903" s="1000" t="s">
        <v>761</v>
      </c>
      <c r="B1903" s="1028" t="s">
        <v>1496</v>
      </c>
      <c r="C1903" s="1066">
        <v>46290</v>
      </c>
      <c r="D1903" s="1066">
        <v>46290</v>
      </c>
      <c r="E1903" s="1005" t="s">
        <v>1268</v>
      </c>
      <c r="F1903" s="1077">
        <v>46295</v>
      </c>
      <c r="G1903" s="1002" t="s">
        <v>1382</v>
      </c>
      <c r="H1903" s="1111" t="s">
        <v>1381</v>
      </c>
      <c r="I1903" s="1008" t="s">
        <v>892</v>
      </c>
      <c r="J1903" s="1007" t="s">
        <v>645</v>
      </c>
      <c r="K1903" s="1064" t="s">
        <v>646</v>
      </c>
      <c r="L1903" s="1007" t="s">
        <v>18</v>
      </c>
      <c r="M1903" s="1093">
        <v>1</v>
      </c>
      <c r="N1903" s="1223">
        <v>0</v>
      </c>
      <c r="O1903" s="1223">
        <f t="shared" si="326"/>
        <v>0</v>
      </c>
      <c r="P1903" s="1082">
        <f t="shared" si="318"/>
        <v>0</v>
      </c>
      <c r="Q1903" s="1221">
        <f t="shared" si="319"/>
        <v>0</v>
      </c>
      <c r="V1903" s="1107">
        <f t="shared" si="322"/>
        <v>0</v>
      </c>
    </row>
    <row r="1904" spans="1:23" hidden="1">
      <c r="A1904" s="1000" t="s">
        <v>741</v>
      </c>
      <c r="B1904" s="1001" t="s">
        <v>749</v>
      </c>
      <c r="C1904" s="1066">
        <v>46289</v>
      </c>
      <c r="D1904" s="1066">
        <v>46290</v>
      </c>
      <c r="I1904" s="1002" t="s">
        <v>702</v>
      </c>
      <c r="J1904" s="1007"/>
      <c r="K1904" s="1064"/>
      <c r="M1904" s="1093"/>
      <c r="P1904" s="1081">
        <f t="shared" si="318"/>
        <v>0</v>
      </c>
      <c r="Q1904" s="1081">
        <f t="shared" si="319"/>
        <v>0</v>
      </c>
      <c r="R1904" s="1107">
        <v>3000000</v>
      </c>
      <c r="V1904" s="1107">
        <f t="shared" si="322"/>
        <v>-3000000</v>
      </c>
      <c r="W1904" s="1002" t="s">
        <v>952</v>
      </c>
    </row>
    <row r="1905" spans="1:23" hidden="1">
      <c r="A1905" s="1040" t="s">
        <v>1150</v>
      </c>
      <c r="B1905" s="1040" t="s">
        <v>1271</v>
      </c>
      <c r="C1905" s="1066">
        <v>46290</v>
      </c>
      <c r="D1905" s="1066">
        <v>46290</v>
      </c>
      <c r="E1905" s="1005" t="s">
        <v>1269</v>
      </c>
      <c r="I1905" s="1059" t="s">
        <v>1100</v>
      </c>
      <c r="J1905" s="1007" t="s">
        <v>1199</v>
      </c>
      <c r="K1905" s="1064" t="s">
        <v>1270</v>
      </c>
      <c r="L1905" s="1061" t="s">
        <v>18</v>
      </c>
      <c r="M1905" s="1093">
        <v>-2</v>
      </c>
      <c r="N1905" s="1238">
        <v>0</v>
      </c>
      <c r="O1905" s="1238"/>
      <c r="P1905" s="1082">
        <f t="shared" ref="P1905:P1909" si="327">O1905*8%</f>
        <v>0</v>
      </c>
      <c r="Q1905" s="1081">
        <f t="shared" ref="Q1905:Q1909" si="328">O1905+P1905</f>
        <v>0</v>
      </c>
      <c r="V1905" s="1107">
        <f t="shared" si="322"/>
        <v>0</v>
      </c>
    </row>
    <row r="1906" spans="1:23" ht="31.5" hidden="1">
      <c r="A1906" s="1039" t="s">
        <v>1273</v>
      </c>
      <c r="B1906" s="1039" t="s">
        <v>1272</v>
      </c>
      <c r="C1906" s="1066">
        <v>46290</v>
      </c>
      <c r="D1906" s="1066">
        <v>46290</v>
      </c>
      <c r="E1906" s="1005" t="s">
        <v>1274</v>
      </c>
      <c r="I1906" s="1002" t="s">
        <v>1275</v>
      </c>
      <c r="J1906" s="1007" t="s">
        <v>355</v>
      </c>
      <c r="K1906" s="1064" t="s">
        <v>356</v>
      </c>
      <c r="L1906" s="1007" t="s">
        <v>18</v>
      </c>
      <c r="M1906" s="1093">
        <v>1</v>
      </c>
      <c r="N1906" s="1223">
        <v>1127000</v>
      </c>
      <c r="O1906" s="1223">
        <f>M1906*N1906</f>
        <v>1127000</v>
      </c>
      <c r="P1906" s="1083">
        <v>0</v>
      </c>
      <c r="Q1906" s="1107">
        <f>O1906</f>
        <v>1127000</v>
      </c>
      <c r="V1906" s="1107">
        <f t="shared" ref="V1906:V1937" si="329">Q1906-R1906-S1906-T1906-U1906</f>
        <v>1127000</v>
      </c>
    </row>
    <row r="1907" spans="1:23" hidden="1">
      <c r="A1907" s="1040" t="s">
        <v>1273</v>
      </c>
      <c r="B1907" s="1040" t="s">
        <v>1272</v>
      </c>
      <c r="C1907" s="1066">
        <v>46290</v>
      </c>
      <c r="D1907" s="1066">
        <v>46288</v>
      </c>
      <c r="E1907" s="1005" t="s">
        <v>1274</v>
      </c>
      <c r="I1907" s="1002" t="s">
        <v>1275</v>
      </c>
      <c r="J1907" s="1007" t="s">
        <v>23</v>
      </c>
      <c r="K1907" s="1064" t="s">
        <v>82</v>
      </c>
      <c r="L1907" s="1007" t="s">
        <v>18</v>
      </c>
      <c r="M1907" s="1093">
        <v>1</v>
      </c>
      <c r="N1907" s="1223">
        <v>1280000</v>
      </c>
      <c r="O1907" s="1223">
        <f>M1907*N1907</f>
        <v>1280000</v>
      </c>
      <c r="P1907" s="1082">
        <v>0</v>
      </c>
      <c r="Q1907" s="1221">
        <f t="shared" ref="Q1907:Q1908" si="330">O1907</f>
        <v>1280000</v>
      </c>
      <c r="V1907" s="1107">
        <f t="shared" si="329"/>
        <v>1280000</v>
      </c>
    </row>
    <row r="1908" spans="1:23" hidden="1">
      <c r="A1908" s="1040" t="s">
        <v>1273</v>
      </c>
      <c r="B1908" s="1040" t="s">
        <v>1272</v>
      </c>
      <c r="C1908" s="1066">
        <v>46290</v>
      </c>
      <c r="D1908" s="1066">
        <v>46288</v>
      </c>
      <c r="E1908" s="1005" t="s">
        <v>1274</v>
      </c>
      <c r="I1908" s="1002" t="s">
        <v>1275</v>
      </c>
      <c r="J1908" s="1007" t="s">
        <v>873</v>
      </c>
      <c r="K1908" s="1064" t="s">
        <v>874</v>
      </c>
      <c r="L1908" s="1007" t="s">
        <v>18</v>
      </c>
      <c r="M1908" s="1093">
        <v>1</v>
      </c>
      <c r="N1908" s="1223">
        <v>420000</v>
      </c>
      <c r="O1908" s="1223">
        <f>M1908*N1908</f>
        <v>420000</v>
      </c>
      <c r="P1908" s="1082">
        <v>0</v>
      </c>
      <c r="Q1908" s="1221">
        <f t="shared" si="330"/>
        <v>420000</v>
      </c>
      <c r="V1908" s="1107">
        <f t="shared" si="329"/>
        <v>420000</v>
      </c>
    </row>
    <row r="1909" spans="1:23" hidden="1">
      <c r="A1909" s="1040" t="s">
        <v>1273</v>
      </c>
      <c r="B1909" s="1040" t="s">
        <v>1272</v>
      </c>
      <c r="C1909" s="1066">
        <v>46290</v>
      </c>
      <c r="D1909" s="1066">
        <v>46288</v>
      </c>
      <c r="E1909" s="1005" t="s">
        <v>1276</v>
      </c>
      <c r="I1909" s="1002" t="s">
        <v>1515</v>
      </c>
      <c r="J1909" s="1007" t="s">
        <v>74</v>
      </c>
      <c r="K1909" s="1064" t="s">
        <v>141</v>
      </c>
      <c r="L1909" s="1007" t="s">
        <v>18</v>
      </c>
      <c r="M1909" s="1093">
        <v>1</v>
      </c>
      <c r="N1909" s="1223">
        <v>0</v>
      </c>
      <c r="O1909" s="1223">
        <f>M1909*N1909</f>
        <v>0</v>
      </c>
      <c r="P1909" s="1082">
        <f t="shared" si="327"/>
        <v>0</v>
      </c>
      <c r="Q1909" s="1221">
        <f t="shared" si="328"/>
        <v>0</v>
      </c>
      <c r="V1909" s="1107">
        <f t="shared" si="329"/>
        <v>0</v>
      </c>
    </row>
    <row r="1910" spans="1:23" hidden="1">
      <c r="A1910" s="1000" t="s">
        <v>717</v>
      </c>
      <c r="B1910" s="1001" t="s">
        <v>743</v>
      </c>
      <c r="C1910" s="1066">
        <v>46290</v>
      </c>
      <c r="D1910" s="1066">
        <v>46293</v>
      </c>
      <c r="I1910" s="1002" t="s">
        <v>844</v>
      </c>
      <c r="J1910" s="1007"/>
      <c r="K1910" s="1064"/>
      <c r="M1910" s="1093"/>
      <c r="R1910" s="1107">
        <v>50000000</v>
      </c>
      <c r="V1910" s="1107">
        <f t="shared" si="329"/>
        <v>-50000000</v>
      </c>
    </row>
    <row r="1911" spans="1:23" hidden="1">
      <c r="A1911" s="1000" t="s">
        <v>966</v>
      </c>
      <c r="B1911" s="1028" t="s">
        <v>1498</v>
      </c>
      <c r="C1911" s="1066">
        <v>46288</v>
      </c>
      <c r="D1911" s="1066">
        <v>46293</v>
      </c>
      <c r="E1911" s="1005" t="s">
        <v>1278</v>
      </c>
      <c r="I1911" s="1002" t="s">
        <v>1499</v>
      </c>
      <c r="J1911" s="1007" t="s">
        <v>98</v>
      </c>
      <c r="K1911" s="1064" t="s">
        <v>251</v>
      </c>
      <c r="L1911" s="1007" t="s">
        <v>18</v>
      </c>
      <c r="M1911" s="1093">
        <v>2</v>
      </c>
      <c r="N1911" s="1223">
        <v>694444.44</v>
      </c>
      <c r="O1911" s="1223">
        <f t="shared" ref="O1911:O1913" si="331">M1911*N1911</f>
        <v>1388888.88</v>
      </c>
      <c r="P1911" s="1081">
        <v>0</v>
      </c>
      <c r="Q1911" s="1221">
        <f t="shared" ref="Q1911:Q1916" si="332">O1911+P1911</f>
        <v>1388888.88</v>
      </c>
      <c r="V1911" s="1107">
        <f t="shared" si="329"/>
        <v>1388888.88</v>
      </c>
    </row>
    <row r="1912" spans="1:23" hidden="1">
      <c r="A1912" s="1000" t="s">
        <v>966</v>
      </c>
      <c r="B1912" s="1028" t="s">
        <v>1498</v>
      </c>
      <c r="C1912" s="1066">
        <v>46288</v>
      </c>
      <c r="D1912" s="1066">
        <v>46293</v>
      </c>
      <c r="E1912" s="1005" t="s">
        <v>1278</v>
      </c>
      <c r="F1912" s="1077">
        <v>46290</v>
      </c>
      <c r="G1912" s="1002" t="s">
        <v>1321</v>
      </c>
      <c r="H1912" s="1111" t="s">
        <v>1320</v>
      </c>
      <c r="I1912" s="1002" t="s">
        <v>1499</v>
      </c>
      <c r="J1912" s="1007" t="s">
        <v>52</v>
      </c>
      <c r="K1912" s="1064" t="s">
        <v>53</v>
      </c>
      <c r="L1912" s="1007" t="s">
        <v>18</v>
      </c>
      <c r="M1912" s="1093">
        <v>1</v>
      </c>
      <c r="N1912" s="1223">
        <v>1007407.41</v>
      </c>
      <c r="O1912" s="1223">
        <f t="shared" si="331"/>
        <v>1007407.41</v>
      </c>
      <c r="P1912" s="1081">
        <v>0</v>
      </c>
      <c r="Q1912" s="1221">
        <f t="shared" si="332"/>
        <v>1007407.41</v>
      </c>
      <c r="V1912" s="1107">
        <f t="shared" si="329"/>
        <v>1007407.41</v>
      </c>
    </row>
    <row r="1913" spans="1:23" hidden="1">
      <c r="A1913" s="1000" t="s">
        <v>966</v>
      </c>
      <c r="B1913" s="1028" t="s">
        <v>1498</v>
      </c>
      <c r="C1913" s="1066">
        <v>46288</v>
      </c>
      <c r="D1913" s="1066">
        <v>46293</v>
      </c>
      <c r="E1913" s="1005" t="s">
        <v>1278</v>
      </c>
      <c r="F1913" s="1077">
        <v>46290</v>
      </c>
      <c r="G1913" s="1002" t="s">
        <v>1321</v>
      </c>
      <c r="H1913" s="1111" t="s">
        <v>1320</v>
      </c>
      <c r="I1913" s="1002" t="s">
        <v>862</v>
      </c>
      <c r="J1913" s="1007" t="s">
        <v>959</v>
      </c>
      <c r="K1913" s="1064" t="s">
        <v>960</v>
      </c>
      <c r="L1913" s="1007" t="s">
        <v>18</v>
      </c>
      <c r="M1913" s="1093">
        <v>1</v>
      </c>
      <c r="N1913" s="1223">
        <v>0</v>
      </c>
      <c r="O1913" s="1223">
        <f t="shared" si="331"/>
        <v>0</v>
      </c>
      <c r="P1913" s="1081">
        <v>0</v>
      </c>
      <c r="Q1913" s="1221">
        <f t="shared" si="332"/>
        <v>0</v>
      </c>
      <c r="V1913" s="1107">
        <f t="shared" si="329"/>
        <v>0</v>
      </c>
    </row>
    <row r="1914" spans="1:23" hidden="1">
      <c r="A1914" s="1000" t="s">
        <v>966</v>
      </c>
      <c r="B1914" s="1028" t="s">
        <v>1498</v>
      </c>
      <c r="C1914" s="1066">
        <v>46293</v>
      </c>
      <c r="D1914" s="1066">
        <v>46289</v>
      </c>
      <c r="I1914" s="1002" t="s">
        <v>702</v>
      </c>
      <c r="J1914" s="1007"/>
      <c r="K1914" s="1064"/>
      <c r="M1914" s="1093"/>
      <c r="Q1914" s="1081">
        <f t="shared" si="332"/>
        <v>0</v>
      </c>
      <c r="R1914" s="1107">
        <v>2400000</v>
      </c>
      <c r="V1914" s="1107">
        <f t="shared" si="329"/>
        <v>-2400000</v>
      </c>
    </row>
    <row r="1915" spans="1:23" hidden="1">
      <c r="A1915" s="1039" t="s">
        <v>967</v>
      </c>
      <c r="B1915" s="1040" t="s">
        <v>1262</v>
      </c>
      <c r="C1915" s="1066">
        <v>46293</v>
      </c>
      <c r="D1915" s="1066">
        <v>46290</v>
      </c>
      <c r="I1915" s="1002" t="s">
        <v>844</v>
      </c>
      <c r="J1915" s="1007"/>
      <c r="K1915" s="1064"/>
      <c r="M1915" s="1093"/>
      <c r="P1915" s="1081">
        <f t="shared" ref="P1915:P1916" si="333">O1915*8%</f>
        <v>0</v>
      </c>
      <c r="Q1915" s="1081">
        <f t="shared" si="332"/>
        <v>0</v>
      </c>
      <c r="R1915" s="1107">
        <v>3720001</v>
      </c>
      <c r="V1915" s="1107">
        <f t="shared" si="329"/>
        <v>-3720001</v>
      </c>
      <c r="W1915" s="1005" t="s">
        <v>1261</v>
      </c>
    </row>
    <row r="1916" spans="1:23" hidden="1">
      <c r="A1916" s="1039" t="s">
        <v>967</v>
      </c>
      <c r="B1916" s="1040" t="s">
        <v>1262</v>
      </c>
      <c r="C1916" s="1066">
        <v>46293</v>
      </c>
      <c r="D1916" s="1066">
        <v>46290</v>
      </c>
      <c r="I1916" s="1002" t="s">
        <v>840</v>
      </c>
      <c r="J1916" s="1007"/>
      <c r="K1916" s="1064"/>
      <c r="M1916" s="1093"/>
      <c r="P1916" s="1081">
        <f t="shared" si="333"/>
        <v>0</v>
      </c>
      <c r="Q1916" s="1081">
        <f t="shared" si="332"/>
        <v>0</v>
      </c>
      <c r="R1916" s="1107">
        <v>-3720000</v>
      </c>
      <c r="V1916" s="1107">
        <f t="shared" si="329"/>
        <v>3720000</v>
      </c>
      <c r="W1916" s="1005" t="s">
        <v>1261</v>
      </c>
    </row>
    <row r="1917" spans="1:23" hidden="1">
      <c r="A1917" s="1000" t="s">
        <v>966</v>
      </c>
      <c r="B1917" s="1028" t="s">
        <v>1498</v>
      </c>
      <c r="C1917" s="1066">
        <v>46293</v>
      </c>
      <c r="D1917" s="1066">
        <v>46290</v>
      </c>
      <c r="E1917" s="1005" t="s">
        <v>1279</v>
      </c>
      <c r="I1917" s="1002" t="s">
        <v>1112</v>
      </c>
      <c r="J1917" s="1007" t="s">
        <v>194</v>
      </c>
      <c r="K1917" s="1064" t="s">
        <v>720</v>
      </c>
      <c r="L1917" s="1002" t="s">
        <v>18</v>
      </c>
      <c r="M1917" s="1093">
        <v>-10</v>
      </c>
      <c r="N1917" s="1081">
        <v>1203703.7</v>
      </c>
      <c r="O1917" s="1081">
        <f t="shared" ref="O1917" si="334">M1917*N1917</f>
        <v>-12037037</v>
      </c>
      <c r="P1917" s="1081">
        <f t="shared" ref="P1917" si="335">O1917*8%</f>
        <v>-962962.96</v>
      </c>
      <c r="Q1917" s="1081">
        <f t="shared" ref="Q1917" si="336">O1917+P1917</f>
        <v>-12999999.960000001</v>
      </c>
      <c r="V1917" s="1107">
        <f t="shared" si="329"/>
        <v>-12999999.960000001</v>
      </c>
    </row>
    <row r="1918" spans="1:23" hidden="1">
      <c r="D1918" s="1066">
        <v>46290</v>
      </c>
      <c r="J1918" s="1007"/>
      <c r="K1918" s="1064"/>
      <c r="M1918" s="1093"/>
      <c r="V1918" s="1107">
        <f t="shared" si="329"/>
        <v>0</v>
      </c>
    </row>
    <row r="1919" spans="1:23" hidden="1">
      <c r="A1919" s="1056" t="s">
        <v>974</v>
      </c>
      <c r="B1919" s="1040" t="s">
        <v>1510</v>
      </c>
      <c r="C1919" s="1066">
        <v>46289</v>
      </c>
      <c r="D1919" s="1066">
        <v>46290</v>
      </c>
      <c r="E1919" s="1005" t="s">
        <v>1280</v>
      </c>
      <c r="F1919" s="1066">
        <v>46294</v>
      </c>
      <c r="G1919" s="1005" t="s">
        <v>1323</v>
      </c>
      <c r="H1919" s="1138" t="s">
        <v>1322</v>
      </c>
      <c r="I1919" s="1002" t="s">
        <v>1068</v>
      </c>
      <c r="J1919" s="1007" t="s">
        <v>74</v>
      </c>
      <c r="K1919" s="1064" t="s">
        <v>141</v>
      </c>
      <c r="L1919" s="1007" t="s">
        <v>18</v>
      </c>
      <c r="M1919" s="1093">
        <v>4</v>
      </c>
      <c r="N1919" s="1223">
        <v>416666.66</v>
      </c>
      <c r="O1919" s="1223">
        <f t="shared" ref="O1919:O1925" si="337">M1919*N1919</f>
        <v>1666666.64</v>
      </c>
      <c r="P1919" s="1081">
        <f t="shared" ref="P1919:P1952" si="338">O1919*8%</f>
        <v>133333.33119999999</v>
      </c>
      <c r="Q1919" s="1221">
        <f t="shared" ref="Q1919:Q1952" si="339">O1919+P1919</f>
        <v>1799999.9711999998</v>
      </c>
      <c r="V1919" s="1107">
        <f t="shared" si="329"/>
        <v>1799999.9711999998</v>
      </c>
    </row>
    <row r="1920" spans="1:23" hidden="1">
      <c r="A1920" s="1000" t="s">
        <v>964</v>
      </c>
      <c r="B1920" s="1001" t="s">
        <v>852</v>
      </c>
      <c r="C1920" s="1066">
        <v>46290</v>
      </c>
      <c r="D1920" s="1066">
        <v>46290</v>
      </c>
      <c r="E1920" s="1005" t="s">
        <v>1281</v>
      </c>
      <c r="F1920" s="1066">
        <v>46295</v>
      </c>
      <c r="G1920" s="1005" t="s">
        <v>1407</v>
      </c>
      <c r="H1920" s="1138" t="s">
        <v>1408</v>
      </c>
      <c r="I1920" s="1008" t="s">
        <v>587</v>
      </c>
      <c r="J1920" s="1007" t="s">
        <v>77</v>
      </c>
      <c r="K1920" s="1064" t="s">
        <v>320</v>
      </c>
      <c r="L1920" s="1007" t="s">
        <v>18</v>
      </c>
      <c r="M1920" s="1093">
        <v>40</v>
      </c>
      <c r="N1920" s="1223">
        <v>324074.07</v>
      </c>
      <c r="O1920" s="1223">
        <f t="shared" si="337"/>
        <v>12962962.800000001</v>
      </c>
      <c r="P1920" s="1081">
        <f t="shared" si="338"/>
        <v>1037037.0240000001</v>
      </c>
      <c r="Q1920" s="1221">
        <f t="shared" si="339"/>
        <v>13999999.824000001</v>
      </c>
      <c r="V1920" s="1107">
        <f t="shared" si="329"/>
        <v>13999999.824000001</v>
      </c>
    </row>
    <row r="1921" spans="1:22" hidden="1">
      <c r="A1921" s="1000" t="s">
        <v>964</v>
      </c>
      <c r="B1921" s="1001" t="s">
        <v>852</v>
      </c>
      <c r="C1921" s="1066">
        <v>46290</v>
      </c>
      <c r="D1921" s="1066">
        <v>46290</v>
      </c>
      <c r="E1921" s="1005" t="s">
        <v>1281</v>
      </c>
      <c r="F1921" s="1066">
        <v>46295</v>
      </c>
      <c r="G1921" s="1005" t="s">
        <v>1407</v>
      </c>
      <c r="H1921" s="1138" t="s">
        <v>1408</v>
      </c>
      <c r="I1921" s="1008" t="s">
        <v>587</v>
      </c>
      <c r="J1921" s="1007" t="s">
        <v>206</v>
      </c>
      <c r="K1921" s="1064" t="s">
        <v>835</v>
      </c>
      <c r="L1921" s="1007" t="s">
        <v>18</v>
      </c>
      <c r="M1921" s="1093">
        <v>10</v>
      </c>
      <c r="N1921" s="1223">
        <v>483333.33</v>
      </c>
      <c r="O1921" s="1223">
        <f t="shared" si="337"/>
        <v>4833333.3</v>
      </c>
      <c r="P1921" s="1081">
        <f t="shared" si="338"/>
        <v>386666.66399999999</v>
      </c>
      <c r="Q1921" s="1221">
        <f t="shared" si="339"/>
        <v>5219999.9639999997</v>
      </c>
      <c r="V1921" s="1107">
        <f t="shared" si="329"/>
        <v>5219999.9639999997</v>
      </c>
    </row>
    <row r="1922" spans="1:22" hidden="1">
      <c r="A1922" s="1000" t="s">
        <v>964</v>
      </c>
      <c r="B1922" s="1001" t="s">
        <v>852</v>
      </c>
      <c r="C1922" s="1066">
        <v>46290</v>
      </c>
      <c r="D1922" s="1066">
        <v>46290</v>
      </c>
      <c r="E1922" s="1005" t="s">
        <v>1281</v>
      </c>
      <c r="F1922" s="1066">
        <v>46295</v>
      </c>
      <c r="G1922" s="1005" t="s">
        <v>1407</v>
      </c>
      <c r="H1922" s="1138" t="s">
        <v>1408</v>
      </c>
      <c r="I1922" s="1008" t="s">
        <v>587</v>
      </c>
      <c r="J1922" s="1007" t="s">
        <v>23</v>
      </c>
      <c r="K1922" s="1064" t="s">
        <v>82</v>
      </c>
      <c r="L1922" s="1007" t="s">
        <v>18</v>
      </c>
      <c r="M1922" s="1093">
        <v>10</v>
      </c>
      <c r="N1922" s="1223">
        <v>1185185.19</v>
      </c>
      <c r="O1922" s="1223">
        <f t="shared" si="337"/>
        <v>11851851.899999999</v>
      </c>
      <c r="P1922" s="1081">
        <f t="shared" si="338"/>
        <v>948148.15199999989</v>
      </c>
      <c r="Q1922" s="1221">
        <f t="shared" si="339"/>
        <v>12800000.051999999</v>
      </c>
      <c r="V1922" s="1107">
        <f t="shared" si="329"/>
        <v>12800000.051999999</v>
      </c>
    </row>
    <row r="1923" spans="1:22" hidden="1">
      <c r="A1923" s="1000" t="s">
        <v>964</v>
      </c>
      <c r="B1923" s="1001" t="s">
        <v>852</v>
      </c>
      <c r="C1923" s="1066">
        <v>46290</v>
      </c>
      <c r="D1923" s="1066">
        <v>46290</v>
      </c>
      <c r="E1923" s="1005" t="s">
        <v>1281</v>
      </c>
      <c r="F1923" s="1066">
        <v>46295</v>
      </c>
      <c r="G1923" s="1005" t="s">
        <v>1407</v>
      </c>
      <c r="H1923" s="1138" t="s">
        <v>1408</v>
      </c>
      <c r="I1923" s="1008" t="s">
        <v>587</v>
      </c>
      <c r="J1923" s="1007" t="s">
        <v>74</v>
      </c>
      <c r="K1923" s="1064" t="s">
        <v>141</v>
      </c>
      <c r="L1923" s="1007" t="s">
        <v>18</v>
      </c>
      <c r="M1923" s="1093">
        <v>16</v>
      </c>
      <c r="N1923" s="1223">
        <v>382407.41</v>
      </c>
      <c r="O1923" s="1223">
        <f t="shared" si="337"/>
        <v>6118518.5599999996</v>
      </c>
      <c r="P1923" s="1081">
        <f t="shared" si="338"/>
        <v>489481.48479999998</v>
      </c>
      <c r="Q1923" s="1221">
        <f t="shared" si="339"/>
        <v>6608000.0447999993</v>
      </c>
      <c r="V1923" s="1107">
        <f t="shared" si="329"/>
        <v>6608000.0447999993</v>
      </c>
    </row>
    <row r="1924" spans="1:22" ht="31.5" hidden="1">
      <c r="A1924" s="1000" t="s">
        <v>964</v>
      </c>
      <c r="B1924" s="1001" t="s">
        <v>852</v>
      </c>
      <c r="C1924" s="1066">
        <v>46290</v>
      </c>
      <c r="D1924" s="1066">
        <v>46290</v>
      </c>
      <c r="E1924" s="1005" t="s">
        <v>1281</v>
      </c>
      <c r="F1924" s="1066">
        <v>46295</v>
      </c>
      <c r="G1924" s="1005" t="s">
        <v>1407</v>
      </c>
      <c r="H1924" s="1138" t="s">
        <v>1408</v>
      </c>
      <c r="I1924" s="1008" t="s">
        <v>587</v>
      </c>
      <c r="J1924" s="1007" t="s">
        <v>60</v>
      </c>
      <c r="K1924" s="1064" t="s">
        <v>61</v>
      </c>
      <c r="L1924" s="1007" t="s">
        <v>18</v>
      </c>
      <c r="M1924" s="1093">
        <v>20</v>
      </c>
      <c r="N1924" s="1223">
        <v>1138888.8899999999</v>
      </c>
      <c r="O1924" s="1223">
        <f t="shared" si="337"/>
        <v>22777777.799999997</v>
      </c>
      <c r="P1924" s="1081">
        <f t="shared" si="338"/>
        <v>1822222.2239999997</v>
      </c>
      <c r="Q1924" s="1221">
        <f t="shared" si="339"/>
        <v>24600000.023999996</v>
      </c>
      <c r="V1924" s="1107">
        <f t="shared" si="329"/>
        <v>24600000.023999996</v>
      </c>
    </row>
    <row r="1925" spans="1:22" ht="31.5" hidden="1">
      <c r="A1925" s="1000" t="s">
        <v>964</v>
      </c>
      <c r="B1925" s="1001" t="s">
        <v>852</v>
      </c>
      <c r="C1925" s="1066">
        <v>46290</v>
      </c>
      <c r="D1925" s="1066">
        <v>46290</v>
      </c>
      <c r="E1925" s="1005" t="s">
        <v>1281</v>
      </c>
      <c r="F1925" s="1066">
        <v>46295</v>
      </c>
      <c r="G1925" s="1005" t="s">
        <v>1407</v>
      </c>
      <c r="H1925" s="1138" t="s">
        <v>1408</v>
      </c>
      <c r="I1925" s="1008" t="s">
        <v>587</v>
      </c>
      <c r="J1925" s="1007" t="s">
        <v>83</v>
      </c>
      <c r="K1925" s="1064" t="s">
        <v>84</v>
      </c>
      <c r="L1925" s="1007" t="s">
        <v>18</v>
      </c>
      <c r="M1925" s="1093">
        <v>20</v>
      </c>
      <c r="N1925" s="1223">
        <v>1097222.22</v>
      </c>
      <c r="O1925" s="1223">
        <f t="shared" si="337"/>
        <v>21944444.399999999</v>
      </c>
      <c r="P1925" s="1081">
        <f t="shared" si="338"/>
        <v>1755555.5519999999</v>
      </c>
      <c r="Q1925" s="1221">
        <f t="shared" si="339"/>
        <v>23699999.952</v>
      </c>
      <c r="V1925" s="1107">
        <f t="shared" si="329"/>
        <v>23699999.952</v>
      </c>
    </row>
    <row r="1926" spans="1:22" ht="31.5" hidden="1">
      <c r="A1926" s="1000" t="s">
        <v>964</v>
      </c>
      <c r="B1926" s="1001" t="s">
        <v>852</v>
      </c>
      <c r="C1926" s="1066">
        <v>46290</v>
      </c>
      <c r="D1926" s="1066">
        <v>46290</v>
      </c>
      <c r="E1926" s="1005" t="s">
        <v>1281</v>
      </c>
      <c r="F1926" s="1066">
        <v>46295</v>
      </c>
      <c r="G1926" s="1005" t="s">
        <v>1407</v>
      </c>
      <c r="H1926" s="1138" t="s">
        <v>1408</v>
      </c>
      <c r="I1926" s="1008" t="s">
        <v>587</v>
      </c>
      <c r="J1926" s="1007" t="s">
        <v>16</v>
      </c>
      <c r="K1926" s="1064" t="s">
        <v>17</v>
      </c>
      <c r="L1926" s="1007" t="s">
        <v>18</v>
      </c>
      <c r="M1926" s="1093">
        <v>12</v>
      </c>
      <c r="N1926" s="1223">
        <v>851851.85</v>
      </c>
      <c r="O1926" s="1223">
        <f>M1926*N1926</f>
        <v>10222222.199999999</v>
      </c>
      <c r="P1926" s="1081">
        <f t="shared" si="338"/>
        <v>817777.77599999995</v>
      </c>
      <c r="Q1926" s="1221">
        <f t="shared" si="339"/>
        <v>11039999.976</v>
      </c>
      <c r="V1926" s="1107">
        <f t="shared" si="329"/>
        <v>11039999.976</v>
      </c>
    </row>
    <row r="1927" spans="1:22" hidden="1">
      <c r="A1927" s="1000" t="s">
        <v>964</v>
      </c>
      <c r="B1927" s="1001" t="s">
        <v>852</v>
      </c>
      <c r="C1927" s="1066">
        <v>46290</v>
      </c>
      <c r="D1927" s="1066">
        <v>46290</v>
      </c>
      <c r="E1927" s="1005" t="s">
        <v>1281</v>
      </c>
      <c r="F1927" s="1066">
        <v>46295</v>
      </c>
      <c r="G1927" s="1005" t="s">
        <v>1407</v>
      </c>
      <c r="H1927" s="1138" t="s">
        <v>1408</v>
      </c>
      <c r="I1927" s="1008" t="s">
        <v>587</v>
      </c>
      <c r="J1927" s="1007" t="s">
        <v>645</v>
      </c>
      <c r="K1927" s="1064" t="s">
        <v>646</v>
      </c>
      <c r="L1927" s="1007" t="s">
        <v>18</v>
      </c>
      <c r="M1927" s="1093">
        <v>15</v>
      </c>
      <c r="N1927" s="1223">
        <v>629629.63</v>
      </c>
      <c r="O1927" s="1223">
        <f t="shared" ref="O1927:O1940" si="340">M1927*N1927</f>
        <v>9444444.4499999993</v>
      </c>
      <c r="P1927" s="1081">
        <f t="shared" si="338"/>
        <v>755555.55599999998</v>
      </c>
      <c r="Q1927" s="1221">
        <f t="shared" si="339"/>
        <v>10200000.005999999</v>
      </c>
      <c r="V1927" s="1107">
        <f t="shared" si="329"/>
        <v>10200000.005999999</v>
      </c>
    </row>
    <row r="1928" spans="1:22" hidden="1">
      <c r="A1928" s="1000" t="s">
        <v>964</v>
      </c>
      <c r="B1928" s="1001" t="s">
        <v>852</v>
      </c>
      <c r="C1928" s="1066">
        <v>46290</v>
      </c>
      <c r="D1928" s="1066">
        <v>46290</v>
      </c>
      <c r="E1928" s="1005" t="s">
        <v>1281</v>
      </c>
      <c r="F1928" s="1066">
        <v>46295</v>
      </c>
      <c r="G1928" s="1005" t="s">
        <v>1407</v>
      </c>
      <c r="H1928" s="1138" t="s">
        <v>1408</v>
      </c>
      <c r="I1928" s="1008" t="s">
        <v>587</v>
      </c>
      <c r="J1928" s="1007" t="s">
        <v>651</v>
      </c>
      <c r="K1928" s="1064" t="s">
        <v>652</v>
      </c>
      <c r="L1928" s="1007" t="s">
        <v>18</v>
      </c>
      <c r="M1928" s="1093">
        <v>15</v>
      </c>
      <c r="N1928" s="1223">
        <v>694444.44</v>
      </c>
      <c r="O1928" s="1223">
        <f t="shared" si="340"/>
        <v>10416666.6</v>
      </c>
      <c r="P1928" s="1081">
        <f t="shared" si="338"/>
        <v>833333.32799999998</v>
      </c>
      <c r="Q1928" s="1221">
        <f t="shared" si="339"/>
        <v>11249999.927999999</v>
      </c>
      <c r="V1928" s="1107">
        <f t="shared" si="329"/>
        <v>11249999.927999999</v>
      </c>
    </row>
    <row r="1929" spans="1:22" hidden="1">
      <c r="A1929" s="1000" t="s">
        <v>964</v>
      </c>
      <c r="B1929" s="1001" t="s">
        <v>852</v>
      </c>
      <c r="C1929" s="1066">
        <v>46290</v>
      </c>
      <c r="D1929" s="1066">
        <v>46290</v>
      </c>
      <c r="E1929" s="1005" t="s">
        <v>1281</v>
      </c>
      <c r="I1929" s="1008" t="s">
        <v>587</v>
      </c>
      <c r="J1929" s="1007" t="s">
        <v>103</v>
      </c>
      <c r="K1929" s="1064" t="s">
        <v>104</v>
      </c>
      <c r="L1929" s="1007" t="s">
        <v>18</v>
      </c>
      <c r="M1929" s="1093">
        <v>6</v>
      </c>
      <c r="N1929" s="1223">
        <v>675925.93</v>
      </c>
      <c r="O1929" s="1223">
        <f t="shared" si="340"/>
        <v>4055555.58</v>
      </c>
      <c r="P1929" s="1081">
        <f t="shared" si="338"/>
        <v>324444.44640000002</v>
      </c>
      <c r="Q1929" s="1221">
        <f t="shared" si="339"/>
        <v>4380000.0263999999</v>
      </c>
      <c r="V1929" s="1107">
        <f t="shared" si="329"/>
        <v>4380000.0263999999</v>
      </c>
    </row>
    <row r="1930" spans="1:22" ht="31.5" hidden="1">
      <c r="A1930" s="1000" t="s">
        <v>964</v>
      </c>
      <c r="B1930" s="1001" t="s">
        <v>852</v>
      </c>
      <c r="C1930" s="1066">
        <v>46290</v>
      </c>
      <c r="D1930" s="1066">
        <v>46290</v>
      </c>
      <c r="E1930" s="1005" t="s">
        <v>1281</v>
      </c>
      <c r="F1930" s="1066">
        <v>46295</v>
      </c>
      <c r="G1930" s="1005" t="s">
        <v>1407</v>
      </c>
      <c r="H1930" s="1138" t="s">
        <v>1408</v>
      </c>
      <c r="I1930" s="1008" t="s">
        <v>587</v>
      </c>
      <c r="J1930" s="1007" t="s">
        <v>54</v>
      </c>
      <c r="K1930" s="1064" t="s">
        <v>329</v>
      </c>
      <c r="L1930" s="1007" t="s">
        <v>18</v>
      </c>
      <c r="M1930" s="1093">
        <v>36</v>
      </c>
      <c r="N1930" s="1223">
        <v>324074.07</v>
      </c>
      <c r="O1930" s="1223">
        <f t="shared" si="340"/>
        <v>11666666.52</v>
      </c>
      <c r="P1930" s="1081">
        <f t="shared" si="338"/>
        <v>933333.32160000002</v>
      </c>
      <c r="Q1930" s="1221">
        <f t="shared" si="339"/>
        <v>12599999.841599999</v>
      </c>
      <c r="V1930" s="1107">
        <f t="shared" si="329"/>
        <v>12599999.841599999</v>
      </c>
    </row>
    <row r="1931" spans="1:22" ht="31.5" hidden="1">
      <c r="A1931" s="1000" t="s">
        <v>964</v>
      </c>
      <c r="B1931" s="1001" t="s">
        <v>852</v>
      </c>
      <c r="C1931" s="1066">
        <v>46290</v>
      </c>
      <c r="D1931" s="1066">
        <v>46290</v>
      </c>
      <c r="E1931" s="1005" t="s">
        <v>1281</v>
      </c>
      <c r="F1931" s="1066">
        <v>46295</v>
      </c>
      <c r="G1931" s="1005" t="s">
        <v>1407</v>
      </c>
      <c r="H1931" s="1138" t="s">
        <v>1408</v>
      </c>
      <c r="I1931" s="1008" t="s">
        <v>587</v>
      </c>
      <c r="J1931" s="1007" t="s">
        <v>56</v>
      </c>
      <c r="K1931" s="1064" t="s">
        <v>57</v>
      </c>
      <c r="L1931" s="1007" t="s">
        <v>18</v>
      </c>
      <c r="M1931" s="1093">
        <v>36</v>
      </c>
      <c r="N1931" s="1223">
        <v>325925.93</v>
      </c>
      <c r="O1931" s="1223">
        <f t="shared" si="340"/>
        <v>11733333.48</v>
      </c>
      <c r="P1931" s="1081">
        <f t="shared" si="338"/>
        <v>938666.67840000009</v>
      </c>
      <c r="Q1931" s="1221">
        <f t="shared" si="339"/>
        <v>12672000.158400001</v>
      </c>
      <c r="V1931" s="1107">
        <f t="shared" si="329"/>
        <v>12672000.158400001</v>
      </c>
    </row>
    <row r="1932" spans="1:22" hidden="1">
      <c r="A1932" s="1000" t="s">
        <v>964</v>
      </c>
      <c r="B1932" s="1001" t="s">
        <v>852</v>
      </c>
      <c r="C1932" s="1066">
        <v>46290</v>
      </c>
      <c r="D1932" s="1066">
        <v>46290</v>
      </c>
      <c r="E1932" s="1005" t="s">
        <v>1281</v>
      </c>
      <c r="F1932" s="1066">
        <v>46295</v>
      </c>
      <c r="G1932" s="1005" t="s">
        <v>1407</v>
      </c>
      <c r="H1932" s="1138" t="s">
        <v>1408</v>
      </c>
      <c r="I1932" s="1008" t="s">
        <v>587</v>
      </c>
      <c r="J1932" s="1007" t="s">
        <v>127</v>
      </c>
      <c r="K1932" s="1064" t="s">
        <v>128</v>
      </c>
      <c r="L1932" s="1007" t="s">
        <v>18</v>
      </c>
      <c r="M1932" s="1093">
        <v>24</v>
      </c>
      <c r="N1932" s="1223">
        <v>284259.26</v>
      </c>
      <c r="O1932" s="1223">
        <f t="shared" si="340"/>
        <v>6822222.2400000002</v>
      </c>
      <c r="P1932" s="1081">
        <f t="shared" si="338"/>
        <v>545777.77919999999</v>
      </c>
      <c r="Q1932" s="1221">
        <f t="shared" si="339"/>
        <v>7368000.0192</v>
      </c>
      <c r="V1932" s="1107">
        <f t="shared" si="329"/>
        <v>7368000.0192</v>
      </c>
    </row>
    <row r="1933" spans="1:22" hidden="1">
      <c r="A1933" s="1000" t="s">
        <v>964</v>
      </c>
      <c r="B1933" s="1001" t="s">
        <v>852</v>
      </c>
      <c r="C1933" s="1066">
        <v>46290</v>
      </c>
      <c r="D1933" s="1066">
        <v>46290</v>
      </c>
      <c r="E1933" s="1005" t="s">
        <v>1281</v>
      </c>
      <c r="F1933" s="1066">
        <v>46295</v>
      </c>
      <c r="G1933" s="1005" t="s">
        <v>1407</v>
      </c>
      <c r="H1933" s="1138" t="s">
        <v>1408</v>
      </c>
      <c r="I1933" s="1008" t="s">
        <v>587</v>
      </c>
      <c r="J1933" s="1007" t="s">
        <v>101</v>
      </c>
      <c r="K1933" s="1064" t="s">
        <v>102</v>
      </c>
      <c r="L1933" s="1007" t="s">
        <v>18</v>
      </c>
      <c r="M1933" s="1093">
        <v>20</v>
      </c>
      <c r="N1933" s="1223">
        <v>861111.11</v>
      </c>
      <c r="O1933" s="1223">
        <f t="shared" si="340"/>
        <v>17222222.199999999</v>
      </c>
      <c r="P1933" s="1081">
        <f t="shared" si="338"/>
        <v>1377777.7760000001</v>
      </c>
      <c r="Q1933" s="1221">
        <f t="shared" si="339"/>
        <v>18599999.976</v>
      </c>
      <c r="V1933" s="1107">
        <f t="shared" si="329"/>
        <v>18599999.976</v>
      </c>
    </row>
    <row r="1934" spans="1:22" hidden="1">
      <c r="A1934" s="1000" t="s">
        <v>964</v>
      </c>
      <c r="B1934" s="1001" t="s">
        <v>852</v>
      </c>
      <c r="C1934" s="1066">
        <v>46290</v>
      </c>
      <c r="D1934" s="1066">
        <v>46290</v>
      </c>
      <c r="E1934" s="1005" t="s">
        <v>1281</v>
      </c>
      <c r="F1934" s="1066">
        <v>46295</v>
      </c>
      <c r="G1934" s="1005" t="s">
        <v>1407</v>
      </c>
      <c r="H1934" s="1138" t="s">
        <v>1408</v>
      </c>
      <c r="I1934" s="1008" t="s">
        <v>587</v>
      </c>
      <c r="J1934" s="1007" t="s">
        <v>93</v>
      </c>
      <c r="K1934" s="1064" t="s">
        <v>94</v>
      </c>
      <c r="L1934" s="1007" t="s">
        <v>18</v>
      </c>
      <c r="M1934" s="1093">
        <v>6</v>
      </c>
      <c r="N1934" s="1223">
        <v>907407.41</v>
      </c>
      <c r="O1934" s="1223">
        <f t="shared" si="340"/>
        <v>5444444.46</v>
      </c>
      <c r="P1934" s="1081">
        <f t="shared" si="338"/>
        <v>435555.55680000002</v>
      </c>
      <c r="Q1934" s="1221">
        <f t="shared" si="339"/>
        <v>5880000.0168000003</v>
      </c>
      <c r="V1934" s="1107">
        <f t="shared" si="329"/>
        <v>5880000.0168000003</v>
      </c>
    </row>
    <row r="1935" spans="1:22" hidden="1">
      <c r="A1935" s="1000" t="s">
        <v>964</v>
      </c>
      <c r="B1935" s="1001" t="s">
        <v>852</v>
      </c>
      <c r="C1935" s="1066">
        <v>46290</v>
      </c>
      <c r="D1935" s="1066">
        <v>46290</v>
      </c>
      <c r="E1935" s="1005" t="s">
        <v>1281</v>
      </c>
      <c r="F1935" s="1066">
        <v>46295</v>
      </c>
      <c r="G1935" s="1005" t="s">
        <v>1407</v>
      </c>
      <c r="H1935" s="1138" t="s">
        <v>1408</v>
      </c>
      <c r="I1935" s="1008" t="s">
        <v>892</v>
      </c>
      <c r="J1935" s="1007" t="s">
        <v>645</v>
      </c>
      <c r="K1935" s="1064" t="s">
        <v>646</v>
      </c>
      <c r="L1935" s="1007" t="s">
        <v>18</v>
      </c>
      <c r="M1935" s="1093">
        <v>1</v>
      </c>
      <c r="N1935" s="1223">
        <v>0</v>
      </c>
      <c r="O1935" s="1223">
        <f t="shared" si="340"/>
        <v>0</v>
      </c>
      <c r="P1935" s="1081">
        <f t="shared" si="338"/>
        <v>0</v>
      </c>
      <c r="Q1935" s="1221">
        <f t="shared" si="339"/>
        <v>0</v>
      </c>
      <c r="V1935" s="1107">
        <f t="shared" si="329"/>
        <v>0</v>
      </c>
    </row>
    <row r="1936" spans="1:22" hidden="1">
      <c r="A1936" s="1000" t="s">
        <v>964</v>
      </c>
      <c r="B1936" s="1001" t="s">
        <v>852</v>
      </c>
      <c r="C1936" s="1066">
        <v>46290</v>
      </c>
      <c r="D1936" s="1066">
        <v>46293</v>
      </c>
      <c r="E1936" s="1005" t="s">
        <v>1281</v>
      </c>
      <c r="F1936" s="1066">
        <v>46295</v>
      </c>
      <c r="G1936" s="1005" t="s">
        <v>1407</v>
      </c>
      <c r="H1936" s="1138" t="s">
        <v>1408</v>
      </c>
      <c r="I1936" s="1008" t="s">
        <v>892</v>
      </c>
      <c r="J1936" s="1007" t="s">
        <v>651</v>
      </c>
      <c r="K1936" s="1064" t="s">
        <v>652</v>
      </c>
      <c r="L1936" s="1007" t="s">
        <v>18</v>
      </c>
      <c r="M1936" s="1093">
        <v>1</v>
      </c>
      <c r="N1936" s="1223">
        <v>0</v>
      </c>
      <c r="O1936" s="1223">
        <f t="shared" si="340"/>
        <v>0</v>
      </c>
      <c r="P1936" s="1081">
        <f t="shared" si="338"/>
        <v>0</v>
      </c>
      <c r="Q1936" s="1221">
        <f t="shared" si="339"/>
        <v>0</v>
      </c>
      <c r="V1936" s="1107">
        <f t="shared" si="329"/>
        <v>0</v>
      </c>
    </row>
    <row r="1937" spans="1:22" ht="31.5" hidden="1">
      <c r="A1937" s="1000" t="s">
        <v>964</v>
      </c>
      <c r="B1937" s="1001" t="s">
        <v>852</v>
      </c>
      <c r="C1937" s="1066">
        <v>46290</v>
      </c>
      <c r="D1937" s="1066">
        <v>46293</v>
      </c>
      <c r="E1937" s="1005" t="s">
        <v>1281</v>
      </c>
      <c r="F1937" s="1066">
        <v>46295</v>
      </c>
      <c r="G1937" s="1005" t="s">
        <v>1407</v>
      </c>
      <c r="H1937" s="1138" t="s">
        <v>1408</v>
      </c>
      <c r="I1937" s="1002" t="s">
        <v>1282</v>
      </c>
      <c r="J1937" s="1007" t="s">
        <v>54</v>
      </c>
      <c r="K1937" s="1064" t="s">
        <v>329</v>
      </c>
      <c r="L1937" s="1007" t="s">
        <v>18</v>
      </c>
      <c r="M1937" s="1093">
        <v>3</v>
      </c>
      <c r="N1937" s="1223">
        <v>0</v>
      </c>
      <c r="O1937" s="1223">
        <f t="shared" si="340"/>
        <v>0</v>
      </c>
      <c r="P1937" s="1081">
        <f t="shared" si="338"/>
        <v>0</v>
      </c>
      <c r="Q1937" s="1221">
        <f t="shared" si="339"/>
        <v>0</v>
      </c>
      <c r="V1937" s="1107">
        <f t="shared" si="329"/>
        <v>0</v>
      </c>
    </row>
    <row r="1938" spans="1:22" ht="31.5" hidden="1">
      <c r="A1938" s="1000" t="s">
        <v>964</v>
      </c>
      <c r="B1938" s="1001" t="s">
        <v>852</v>
      </c>
      <c r="C1938" s="1066">
        <v>46290</v>
      </c>
      <c r="D1938" s="1066">
        <v>46293</v>
      </c>
      <c r="E1938" s="1005" t="s">
        <v>1281</v>
      </c>
      <c r="F1938" s="1066">
        <v>46295</v>
      </c>
      <c r="G1938" s="1005" t="s">
        <v>1407</v>
      </c>
      <c r="H1938" s="1138" t="s">
        <v>1408</v>
      </c>
      <c r="I1938" s="1002" t="s">
        <v>1282</v>
      </c>
      <c r="J1938" s="1007" t="s">
        <v>56</v>
      </c>
      <c r="K1938" s="1064" t="s">
        <v>57</v>
      </c>
      <c r="L1938" s="1007" t="s">
        <v>18</v>
      </c>
      <c r="M1938" s="1093">
        <v>3</v>
      </c>
      <c r="N1938" s="1223">
        <v>0</v>
      </c>
      <c r="O1938" s="1223">
        <f t="shared" si="340"/>
        <v>0</v>
      </c>
      <c r="P1938" s="1081">
        <f t="shared" si="338"/>
        <v>0</v>
      </c>
      <c r="Q1938" s="1221">
        <f t="shared" si="339"/>
        <v>0</v>
      </c>
      <c r="V1938" s="1107">
        <f t="shared" ref="V1938:V1954" si="341">Q1938-R1938-S1938-T1938-U1938</f>
        <v>0</v>
      </c>
    </row>
    <row r="1939" spans="1:22" hidden="1">
      <c r="A1939" s="1000" t="s">
        <v>964</v>
      </c>
      <c r="B1939" s="1001" t="s">
        <v>852</v>
      </c>
      <c r="C1939" s="1066">
        <v>46290</v>
      </c>
      <c r="D1939" s="1066">
        <v>46293</v>
      </c>
      <c r="E1939" s="1005" t="s">
        <v>1281</v>
      </c>
      <c r="F1939" s="1066">
        <v>46295</v>
      </c>
      <c r="G1939" s="1005" t="s">
        <v>1407</v>
      </c>
      <c r="H1939" s="1138" t="s">
        <v>1408</v>
      </c>
      <c r="I1939" s="1002" t="s">
        <v>1282</v>
      </c>
      <c r="J1939" s="1007" t="s">
        <v>127</v>
      </c>
      <c r="K1939" s="1064" t="s">
        <v>128</v>
      </c>
      <c r="L1939" s="1007" t="s">
        <v>18</v>
      </c>
      <c r="M1939" s="1093">
        <v>2</v>
      </c>
      <c r="N1939" s="1223">
        <v>0</v>
      </c>
      <c r="O1939" s="1223">
        <f t="shared" si="340"/>
        <v>0</v>
      </c>
      <c r="P1939" s="1081">
        <f t="shared" si="338"/>
        <v>0</v>
      </c>
      <c r="Q1939" s="1221">
        <f t="shared" si="339"/>
        <v>0</v>
      </c>
      <c r="V1939" s="1107">
        <f t="shared" si="341"/>
        <v>0</v>
      </c>
    </row>
    <row r="1940" spans="1:22" hidden="1">
      <c r="A1940" s="1000" t="s">
        <v>964</v>
      </c>
      <c r="B1940" s="1001" t="s">
        <v>852</v>
      </c>
      <c r="C1940" s="1066">
        <v>46290</v>
      </c>
      <c r="D1940" s="1066">
        <v>46293</v>
      </c>
      <c r="E1940" s="1005" t="s">
        <v>1281</v>
      </c>
      <c r="I1940" s="1002" t="s">
        <v>862</v>
      </c>
      <c r="J1940" s="1007" t="s">
        <v>959</v>
      </c>
      <c r="K1940" s="1064" t="s">
        <v>960</v>
      </c>
      <c r="L1940" s="1007" t="s">
        <v>18</v>
      </c>
      <c r="M1940" s="1093">
        <v>6</v>
      </c>
      <c r="N1940" s="1223">
        <v>0</v>
      </c>
      <c r="O1940" s="1223">
        <f t="shared" si="340"/>
        <v>0</v>
      </c>
      <c r="P1940" s="1081">
        <f t="shared" si="338"/>
        <v>0</v>
      </c>
      <c r="Q1940" s="1221">
        <f t="shared" si="339"/>
        <v>0</v>
      </c>
      <c r="V1940" s="1107">
        <f t="shared" si="341"/>
        <v>0</v>
      </c>
    </row>
    <row r="1941" spans="1:22" hidden="1">
      <c r="A1941" s="1001" t="s">
        <v>792</v>
      </c>
      <c r="B1941" s="1001" t="s">
        <v>714</v>
      </c>
      <c r="C1941" s="1066">
        <v>46293</v>
      </c>
      <c r="D1941" s="1066">
        <v>46293</v>
      </c>
      <c r="E1941" s="1005" t="s">
        <v>1283</v>
      </c>
      <c r="F1941" s="1077">
        <v>46295</v>
      </c>
      <c r="H1941" s="1111" t="s">
        <v>1308</v>
      </c>
      <c r="I1941" s="1002" t="s">
        <v>810</v>
      </c>
      <c r="J1941" s="1007" t="s">
        <v>645</v>
      </c>
      <c r="K1941" s="1064" t="s">
        <v>646</v>
      </c>
      <c r="L1941" s="1007" t="s">
        <v>18</v>
      </c>
      <c r="M1941" s="1093">
        <v>30</v>
      </c>
      <c r="N1941" s="1223">
        <v>629629.63</v>
      </c>
      <c r="O1941" s="1223">
        <f>M1941*N1941</f>
        <v>18888888.899999999</v>
      </c>
      <c r="P1941" s="1081">
        <f t="shared" si="338"/>
        <v>1511111.112</v>
      </c>
      <c r="Q1941" s="1206">
        <f t="shared" si="339"/>
        <v>20400000.011999998</v>
      </c>
      <c r="V1941" s="1107">
        <f t="shared" si="341"/>
        <v>20400000.011999998</v>
      </c>
    </row>
    <row r="1942" spans="1:22" hidden="1">
      <c r="A1942" s="1001" t="s">
        <v>792</v>
      </c>
      <c r="B1942" s="1001" t="s">
        <v>714</v>
      </c>
      <c r="C1942" s="1066">
        <v>46293</v>
      </c>
      <c r="D1942" s="1066">
        <v>46293</v>
      </c>
      <c r="E1942" s="1005" t="s">
        <v>1283</v>
      </c>
      <c r="I1942" s="1002" t="s">
        <v>810</v>
      </c>
      <c r="J1942" s="1007" t="s">
        <v>726</v>
      </c>
      <c r="K1942" s="1064" t="s">
        <v>727</v>
      </c>
      <c r="L1942" s="1007" t="s">
        <v>18</v>
      </c>
      <c r="M1942" s="1093">
        <v>10</v>
      </c>
      <c r="N1942" s="1223">
        <v>259259.26</v>
      </c>
      <c r="O1942" s="1223">
        <f t="shared" ref="O1942:O1946" si="342">M1942*N1942</f>
        <v>2592592.6</v>
      </c>
      <c r="P1942" s="1081">
        <f t="shared" si="338"/>
        <v>207407.40800000002</v>
      </c>
      <c r="Q1942" s="1206">
        <f t="shared" si="339"/>
        <v>2800000.0079999999</v>
      </c>
      <c r="V1942" s="1107">
        <f t="shared" si="341"/>
        <v>2800000.0079999999</v>
      </c>
    </row>
    <row r="1943" spans="1:22" hidden="1">
      <c r="A1943" s="1001" t="s">
        <v>792</v>
      </c>
      <c r="B1943" s="1001" t="s">
        <v>714</v>
      </c>
      <c r="C1943" s="1066">
        <v>46293</v>
      </c>
      <c r="D1943" s="1066">
        <v>46293</v>
      </c>
      <c r="E1943" s="1005" t="s">
        <v>1283</v>
      </c>
      <c r="I1943" s="1002" t="s">
        <v>810</v>
      </c>
      <c r="J1943" s="1007" t="s">
        <v>728</v>
      </c>
      <c r="K1943" s="1064" t="s">
        <v>729</v>
      </c>
      <c r="L1943" s="1007" t="s">
        <v>18</v>
      </c>
      <c r="M1943" s="1093">
        <v>10</v>
      </c>
      <c r="N1943" s="1223">
        <v>277777.78000000003</v>
      </c>
      <c r="O1943" s="1223">
        <f t="shared" si="342"/>
        <v>2777777.8000000003</v>
      </c>
      <c r="P1943" s="1081">
        <f t="shared" si="338"/>
        <v>222222.22400000002</v>
      </c>
      <c r="Q1943" s="1206">
        <f t="shared" si="339"/>
        <v>3000000.0240000002</v>
      </c>
      <c r="V1943" s="1107">
        <f t="shared" si="341"/>
        <v>3000000.0240000002</v>
      </c>
    </row>
    <row r="1944" spans="1:22" hidden="1">
      <c r="A1944" s="1001" t="s">
        <v>792</v>
      </c>
      <c r="B1944" s="1001" t="s">
        <v>714</v>
      </c>
      <c r="C1944" s="1066">
        <v>46293</v>
      </c>
      <c r="D1944" s="1066">
        <v>46293</v>
      </c>
      <c r="E1944" s="1005" t="s">
        <v>1283</v>
      </c>
      <c r="I1944" s="1002" t="s">
        <v>810</v>
      </c>
      <c r="J1944" s="1007" t="s">
        <v>730</v>
      </c>
      <c r="K1944" s="1064" t="s">
        <v>731</v>
      </c>
      <c r="L1944" s="1007" t="s">
        <v>18</v>
      </c>
      <c r="M1944" s="1093">
        <v>10</v>
      </c>
      <c r="N1944" s="1223">
        <v>305555.56</v>
      </c>
      <c r="O1944" s="1223">
        <f t="shared" si="342"/>
        <v>3055555.6</v>
      </c>
      <c r="P1944" s="1081">
        <f t="shared" si="338"/>
        <v>244444.448</v>
      </c>
      <c r="Q1944" s="1206">
        <f t="shared" si="339"/>
        <v>3300000.048</v>
      </c>
      <c r="V1944" s="1107">
        <f t="shared" si="341"/>
        <v>3300000.048</v>
      </c>
    </row>
    <row r="1945" spans="1:22" hidden="1">
      <c r="A1945" s="1001" t="s">
        <v>792</v>
      </c>
      <c r="B1945" s="1001" t="s">
        <v>714</v>
      </c>
      <c r="C1945" s="1066">
        <v>46293</v>
      </c>
      <c r="D1945" s="1066">
        <v>46293</v>
      </c>
      <c r="E1945" s="1005" t="s">
        <v>1283</v>
      </c>
      <c r="I1945" s="1002" t="s">
        <v>810</v>
      </c>
      <c r="J1945" s="1007" t="s">
        <v>732</v>
      </c>
      <c r="K1945" s="1064" t="s">
        <v>733</v>
      </c>
      <c r="L1945" s="1007" t="s">
        <v>18</v>
      </c>
      <c r="M1945" s="1093">
        <v>10</v>
      </c>
      <c r="N1945" s="1223">
        <v>333333.33</v>
      </c>
      <c r="O1945" s="1223">
        <f t="shared" si="342"/>
        <v>3333333.3000000003</v>
      </c>
      <c r="P1945" s="1081">
        <f t="shared" si="338"/>
        <v>266666.66400000005</v>
      </c>
      <c r="Q1945" s="1206">
        <f t="shared" si="339"/>
        <v>3599999.9640000002</v>
      </c>
      <c r="V1945" s="1107">
        <f t="shared" si="341"/>
        <v>3599999.9640000002</v>
      </c>
    </row>
    <row r="1946" spans="1:22" hidden="1">
      <c r="A1946" s="1001" t="s">
        <v>792</v>
      </c>
      <c r="B1946" s="1001" t="s">
        <v>714</v>
      </c>
      <c r="C1946" s="1066">
        <v>46293</v>
      </c>
      <c r="D1946" s="1066">
        <v>46293</v>
      </c>
      <c r="E1946" s="1005" t="s">
        <v>1283</v>
      </c>
      <c r="F1946" s="1077">
        <v>46295</v>
      </c>
      <c r="H1946" s="1111" t="s">
        <v>1308</v>
      </c>
      <c r="I1946" s="1008" t="s">
        <v>892</v>
      </c>
      <c r="J1946" s="1007" t="s">
        <v>645</v>
      </c>
      <c r="K1946" s="1064" t="s">
        <v>646</v>
      </c>
      <c r="L1946" s="1007" t="s">
        <v>18</v>
      </c>
      <c r="M1946" s="1093">
        <v>2</v>
      </c>
      <c r="N1946" s="1223">
        <v>0</v>
      </c>
      <c r="O1946" s="1223">
        <f t="shared" si="342"/>
        <v>0</v>
      </c>
      <c r="P1946" s="1081">
        <f t="shared" si="338"/>
        <v>0</v>
      </c>
      <c r="Q1946" s="1206">
        <f t="shared" si="339"/>
        <v>0</v>
      </c>
      <c r="V1946" s="1107">
        <f t="shared" si="341"/>
        <v>0</v>
      </c>
    </row>
    <row r="1947" spans="1:22" hidden="1">
      <c r="A1947" s="1000" t="s">
        <v>761</v>
      </c>
      <c r="B1947" s="1028" t="s">
        <v>1496</v>
      </c>
      <c r="C1947" s="1066">
        <v>46293</v>
      </c>
      <c r="D1947" s="1066">
        <v>46293</v>
      </c>
      <c r="E1947" s="1005" t="s">
        <v>1284</v>
      </c>
      <c r="F1947" s="1077">
        <v>46295</v>
      </c>
      <c r="G1947" s="1002" t="s">
        <v>1382</v>
      </c>
      <c r="H1947" s="1138" t="s">
        <v>1381</v>
      </c>
      <c r="I1947" s="1002" t="s">
        <v>1497</v>
      </c>
      <c r="J1947" s="1007" t="s">
        <v>98</v>
      </c>
      <c r="K1947" s="1064" t="s">
        <v>251</v>
      </c>
      <c r="L1947" s="1007" t="s">
        <v>18</v>
      </c>
      <c r="M1947" s="1093">
        <v>20</v>
      </c>
      <c r="N1947" s="1223">
        <v>694444.44</v>
      </c>
      <c r="O1947" s="1223">
        <f>M1947*N1947</f>
        <v>13888888.799999999</v>
      </c>
      <c r="P1947" s="1081">
        <f t="shared" si="338"/>
        <v>1111111.1039999998</v>
      </c>
      <c r="Q1947" s="1221">
        <f t="shared" si="339"/>
        <v>14999999.903999999</v>
      </c>
      <c r="V1947" s="1107">
        <f t="shared" si="341"/>
        <v>14999999.903999999</v>
      </c>
    </row>
    <row r="1948" spans="1:22" hidden="1">
      <c r="A1948" s="1056" t="s">
        <v>974</v>
      </c>
      <c r="B1948" s="1040" t="s">
        <v>1510</v>
      </c>
      <c r="C1948" s="1066">
        <v>46293</v>
      </c>
      <c r="D1948" s="1066">
        <v>46290</v>
      </c>
      <c r="I1948" s="1002" t="s">
        <v>844</v>
      </c>
      <c r="J1948" s="1007"/>
      <c r="K1948" s="1064"/>
      <c r="M1948" s="1093"/>
      <c r="O1948" s="1223">
        <f t="shared" ref="O1948:O1952" si="343">M1948*N1948</f>
        <v>0</v>
      </c>
      <c r="P1948" s="1081">
        <f t="shared" si="338"/>
        <v>0</v>
      </c>
      <c r="Q1948" s="1081">
        <f t="shared" si="339"/>
        <v>0</v>
      </c>
      <c r="R1948" s="1107">
        <v>1800000</v>
      </c>
      <c r="V1948" s="1107">
        <f t="shared" si="341"/>
        <v>-1800000</v>
      </c>
    </row>
    <row r="1949" spans="1:22" hidden="1">
      <c r="A1949" s="1004" t="s">
        <v>934</v>
      </c>
      <c r="B1949" s="1001" t="s">
        <v>865</v>
      </c>
      <c r="C1949" s="1066">
        <v>46293</v>
      </c>
      <c r="D1949" s="1066">
        <v>46294</v>
      </c>
      <c r="E1949" s="1005" t="s">
        <v>1285</v>
      </c>
      <c r="I1949" s="1002" t="s">
        <v>867</v>
      </c>
      <c r="J1949" s="1007" t="s">
        <v>1199</v>
      </c>
      <c r="K1949" s="1064" t="s">
        <v>1200</v>
      </c>
      <c r="L1949" s="1007" t="s">
        <v>18</v>
      </c>
      <c r="M1949" s="1093">
        <v>60</v>
      </c>
      <c r="N1949" s="1223">
        <v>212962.96</v>
      </c>
      <c r="O1949" s="1223">
        <f t="shared" si="343"/>
        <v>12777777.6</v>
      </c>
      <c r="P1949" s="1081">
        <f t="shared" si="338"/>
        <v>1022222.208</v>
      </c>
      <c r="Q1949" s="1221">
        <f t="shared" si="339"/>
        <v>13799999.808</v>
      </c>
      <c r="V1949" s="1083">
        <f t="shared" si="341"/>
        <v>13799999.808</v>
      </c>
    </row>
    <row r="1950" spans="1:22" hidden="1">
      <c r="A1950" s="1004" t="s">
        <v>934</v>
      </c>
      <c r="B1950" s="1001" t="s">
        <v>865</v>
      </c>
      <c r="C1950" s="1066">
        <v>46293</v>
      </c>
      <c r="D1950" s="1066">
        <v>46293</v>
      </c>
      <c r="E1950" s="1005" t="s">
        <v>1285</v>
      </c>
      <c r="I1950" s="1002" t="s">
        <v>867</v>
      </c>
      <c r="J1950" s="1007" t="s">
        <v>80</v>
      </c>
      <c r="K1950" s="1064" t="s">
        <v>81</v>
      </c>
      <c r="L1950" s="1007" t="s">
        <v>18</v>
      </c>
      <c r="M1950" s="1093">
        <v>10</v>
      </c>
      <c r="N1950" s="1223">
        <v>824074.07</v>
      </c>
      <c r="O1950" s="1223">
        <f t="shared" si="343"/>
        <v>8240740.6999999993</v>
      </c>
      <c r="P1950" s="1081">
        <f t="shared" si="338"/>
        <v>659259.25599999994</v>
      </c>
      <c r="Q1950" s="1221">
        <f t="shared" si="339"/>
        <v>8899999.9559999984</v>
      </c>
      <c r="V1950" s="1083">
        <f t="shared" si="341"/>
        <v>8899999.9559999984</v>
      </c>
    </row>
    <row r="1951" spans="1:22" hidden="1">
      <c r="A1951" s="1004" t="s">
        <v>934</v>
      </c>
      <c r="B1951" s="1001" t="s">
        <v>865</v>
      </c>
      <c r="C1951" s="1066">
        <v>46293</v>
      </c>
      <c r="D1951" s="1066">
        <v>46293</v>
      </c>
      <c r="E1951" s="1005" t="s">
        <v>1285</v>
      </c>
      <c r="I1951" s="1002" t="s">
        <v>867</v>
      </c>
      <c r="J1951" s="1007" t="s">
        <v>21</v>
      </c>
      <c r="K1951" s="1064" t="s">
        <v>22</v>
      </c>
      <c r="L1951" s="1007" t="s">
        <v>18</v>
      </c>
      <c r="M1951" s="1093">
        <v>10</v>
      </c>
      <c r="N1951" s="1223">
        <v>937962.96</v>
      </c>
      <c r="O1951" s="1223">
        <f t="shared" si="343"/>
        <v>9379629.5999999996</v>
      </c>
      <c r="P1951" s="1081">
        <f t="shared" si="338"/>
        <v>750370.36800000002</v>
      </c>
      <c r="Q1951" s="1221">
        <f t="shared" si="339"/>
        <v>10129999.968</v>
      </c>
      <c r="V1951" s="1083">
        <f t="shared" si="341"/>
        <v>10129999.968</v>
      </c>
    </row>
    <row r="1952" spans="1:22" hidden="1">
      <c r="A1952" s="1000" t="s">
        <v>761</v>
      </c>
      <c r="B1952" s="1028" t="s">
        <v>1496</v>
      </c>
      <c r="C1952" s="1066">
        <v>46293</v>
      </c>
      <c r="D1952" s="1066">
        <v>46293</v>
      </c>
      <c r="E1952" s="1005" t="s">
        <v>1289</v>
      </c>
      <c r="F1952" s="1077">
        <v>46295</v>
      </c>
      <c r="G1952" s="1002" t="s">
        <v>1382</v>
      </c>
      <c r="H1952" s="1138" t="s">
        <v>1381</v>
      </c>
      <c r="I1952" s="1002" t="s">
        <v>1497</v>
      </c>
      <c r="J1952" s="1007" t="s">
        <v>98</v>
      </c>
      <c r="K1952" s="1064" t="s">
        <v>251</v>
      </c>
      <c r="L1952" s="1007" t="s">
        <v>18</v>
      </c>
      <c r="M1952" s="1093">
        <v>10</v>
      </c>
      <c r="N1952" s="1223">
        <v>694444.44</v>
      </c>
      <c r="O1952" s="1223">
        <f t="shared" si="343"/>
        <v>6944444.3999999994</v>
      </c>
      <c r="P1952" s="1081">
        <f t="shared" si="338"/>
        <v>555555.55199999991</v>
      </c>
      <c r="Q1952" s="1221">
        <f t="shared" si="339"/>
        <v>7499999.9519999996</v>
      </c>
      <c r="V1952" s="1107">
        <f t="shared" si="341"/>
        <v>7499999.9519999996</v>
      </c>
    </row>
    <row r="1953" spans="1:22" hidden="1">
      <c r="A1953" s="1000" t="s">
        <v>1018</v>
      </c>
      <c r="B1953" s="1001" t="s">
        <v>1017</v>
      </c>
      <c r="C1953" s="1066">
        <v>46290</v>
      </c>
      <c r="D1953" s="1066">
        <v>46293</v>
      </c>
      <c r="I1953" s="1002" t="s">
        <v>844</v>
      </c>
      <c r="J1953" s="1007"/>
      <c r="K1953" s="1064"/>
      <c r="M1953" s="1093"/>
      <c r="R1953" s="1107">
        <v>6500000</v>
      </c>
      <c r="V1953" s="1083">
        <f t="shared" si="341"/>
        <v>-6500000</v>
      </c>
    </row>
    <row r="1954" spans="1:22" hidden="1">
      <c r="A1954" s="1039" t="s">
        <v>967</v>
      </c>
      <c r="B1954" s="1040" t="s">
        <v>1262</v>
      </c>
      <c r="C1954" s="1066">
        <v>46294</v>
      </c>
      <c r="D1954" s="1066">
        <v>46293</v>
      </c>
      <c r="E1954" s="1005" t="s">
        <v>1295</v>
      </c>
      <c r="I1954" s="1002" t="s">
        <v>1263</v>
      </c>
      <c r="J1954" s="1007" t="s">
        <v>72</v>
      </c>
      <c r="K1954" s="1064" t="s">
        <v>73</v>
      </c>
      <c r="L1954" s="1002" t="s">
        <v>18</v>
      </c>
      <c r="M1954" s="1093">
        <v>12</v>
      </c>
      <c r="N1954" s="1107">
        <v>148148.15</v>
      </c>
      <c r="O1954" s="1081">
        <f t="shared" ref="O1954" si="344">M1954*N1954</f>
        <v>1777777.7999999998</v>
      </c>
      <c r="P1954" s="1081">
        <f t="shared" ref="P1954:P1965" si="345">O1954*8%</f>
        <v>142222.22399999999</v>
      </c>
      <c r="Q1954" s="1107">
        <f t="shared" ref="Q1954:Q1965" si="346">O1954+P1954</f>
        <v>1920000.0239999997</v>
      </c>
      <c r="V1954" s="1107">
        <f t="shared" si="341"/>
        <v>1920000.0239999997</v>
      </c>
    </row>
    <row r="1955" spans="1:22" hidden="1">
      <c r="A1955" s="1000" t="s">
        <v>768</v>
      </c>
      <c r="B1955" s="1001" t="s">
        <v>770</v>
      </c>
      <c r="C1955" s="1066">
        <v>46293</v>
      </c>
      <c r="D1955" s="1066">
        <v>46293</v>
      </c>
      <c r="E1955" s="1005" t="s">
        <v>1296</v>
      </c>
      <c r="I1955" s="1002" t="s">
        <v>820</v>
      </c>
      <c r="J1955" s="1007" t="s">
        <v>103</v>
      </c>
      <c r="K1955" s="1064" t="s">
        <v>104</v>
      </c>
      <c r="L1955" s="1007" t="s">
        <v>18</v>
      </c>
      <c r="M1955" s="1093">
        <v>12</v>
      </c>
      <c r="N1955" s="1223">
        <v>675925.93</v>
      </c>
      <c r="O1955" s="1223">
        <f>M1955*N1955</f>
        <v>8111111.1600000001</v>
      </c>
      <c r="P1955" s="1081">
        <f t="shared" si="345"/>
        <v>648888.89280000003</v>
      </c>
      <c r="Q1955" s="1206">
        <f t="shared" si="346"/>
        <v>8760000.0527999997</v>
      </c>
      <c r="V1955" s="1083">
        <f t="shared" ref="V1955:V1967" si="347">Q1955-R1955-S1955-T1955-U1955</f>
        <v>8760000.0527999997</v>
      </c>
    </row>
    <row r="1956" spans="1:22" hidden="1">
      <c r="A1956" s="1000" t="s">
        <v>768</v>
      </c>
      <c r="B1956" s="1001" t="s">
        <v>770</v>
      </c>
      <c r="C1956" s="1066">
        <v>46293</v>
      </c>
      <c r="D1956" s="1066">
        <v>46293</v>
      </c>
      <c r="E1956" s="1005" t="s">
        <v>1296</v>
      </c>
      <c r="F1956" s="1077">
        <v>46296</v>
      </c>
      <c r="G1956" s="1002" t="s">
        <v>1353</v>
      </c>
      <c r="H1956" s="1111" t="s">
        <v>1352</v>
      </c>
      <c r="I1956" s="1002" t="s">
        <v>820</v>
      </c>
      <c r="J1956" s="1007" t="s">
        <v>655</v>
      </c>
      <c r="K1956" s="1064" t="s">
        <v>656</v>
      </c>
      <c r="L1956" s="1007" t="s">
        <v>18</v>
      </c>
      <c r="M1956" s="1093">
        <v>15</v>
      </c>
      <c r="N1956" s="1223">
        <v>574074.06999999995</v>
      </c>
      <c r="O1956" s="1223">
        <f>M1956*N1956</f>
        <v>8611111.0499999989</v>
      </c>
      <c r="P1956" s="1081">
        <f t="shared" si="345"/>
        <v>688888.88399999996</v>
      </c>
      <c r="Q1956" s="1206">
        <f t="shared" si="346"/>
        <v>9299999.9339999985</v>
      </c>
      <c r="V1956" s="1083">
        <f t="shared" si="347"/>
        <v>9299999.9339999985</v>
      </c>
    </row>
    <row r="1957" spans="1:22" hidden="1">
      <c r="A1957" s="1000" t="s">
        <v>768</v>
      </c>
      <c r="B1957" s="1001" t="s">
        <v>770</v>
      </c>
      <c r="C1957" s="1066">
        <v>46293</v>
      </c>
      <c r="D1957" s="1066">
        <v>46293</v>
      </c>
      <c r="E1957" s="1005" t="s">
        <v>1296</v>
      </c>
      <c r="F1957" s="1077">
        <v>46296</v>
      </c>
      <c r="G1957" s="1002" t="s">
        <v>1353</v>
      </c>
      <c r="H1957" s="1111" t="s">
        <v>1352</v>
      </c>
      <c r="I1957" s="1002" t="s">
        <v>820</v>
      </c>
      <c r="J1957" s="1007" t="s">
        <v>90</v>
      </c>
      <c r="K1957" s="1064" t="s">
        <v>91</v>
      </c>
      <c r="L1957" s="1007" t="s">
        <v>18</v>
      </c>
      <c r="M1957" s="1093">
        <v>15</v>
      </c>
      <c r="N1957" s="1223">
        <v>814814.81</v>
      </c>
      <c r="O1957" s="1223">
        <f t="shared" ref="O1957:O1961" si="348">M1957*N1957</f>
        <v>12222222.15</v>
      </c>
      <c r="P1957" s="1081">
        <f t="shared" si="345"/>
        <v>977777.772</v>
      </c>
      <c r="Q1957" s="1206">
        <f t="shared" si="346"/>
        <v>13199999.922</v>
      </c>
      <c r="V1957" s="1083">
        <f t="shared" si="347"/>
        <v>13199999.922</v>
      </c>
    </row>
    <row r="1958" spans="1:22" hidden="1">
      <c r="A1958" s="1000" t="s">
        <v>768</v>
      </c>
      <c r="B1958" s="1001" t="s">
        <v>770</v>
      </c>
      <c r="C1958" s="1066">
        <v>46293</v>
      </c>
      <c r="D1958" s="1066">
        <v>46293</v>
      </c>
      <c r="E1958" s="1005" t="s">
        <v>1296</v>
      </c>
      <c r="F1958" s="1077">
        <v>46296</v>
      </c>
      <c r="G1958" s="1002" t="s">
        <v>1353</v>
      </c>
      <c r="H1958" s="1111" t="s">
        <v>1352</v>
      </c>
      <c r="I1958" s="1002" t="s">
        <v>820</v>
      </c>
      <c r="J1958" s="1007" t="s">
        <v>219</v>
      </c>
      <c r="K1958" s="1064" t="s">
        <v>220</v>
      </c>
      <c r="L1958" s="1007" t="s">
        <v>18</v>
      </c>
      <c r="M1958" s="1093">
        <v>20</v>
      </c>
      <c r="N1958" s="1223">
        <v>263888.89</v>
      </c>
      <c r="O1958" s="1223">
        <f t="shared" si="348"/>
        <v>5277777.8000000007</v>
      </c>
      <c r="P1958" s="1081">
        <f t="shared" si="345"/>
        <v>422222.22400000005</v>
      </c>
      <c r="Q1958" s="1206">
        <f t="shared" si="346"/>
        <v>5700000.0240000011</v>
      </c>
      <c r="V1958" s="1083">
        <f t="shared" si="347"/>
        <v>5700000.0240000011</v>
      </c>
    </row>
    <row r="1959" spans="1:22" hidden="1">
      <c r="A1959" s="1000" t="s">
        <v>768</v>
      </c>
      <c r="B1959" s="1001" t="s">
        <v>770</v>
      </c>
      <c r="C1959" s="1066">
        <v>46293</v>
      </c>
      <c r="D1959" s="1066">
        <v>46293</v>
      </c>
      <c r="E1959" s="1005" t="s">
        <v>1296</v>
      </c>
      <c r="F1959" s="1077">
        <v>46296</v>
      </c>
      <c r="G1959" s="1002" t="s">
        <v>1353</v>
      </c>
      <c r="H1959" s="1111" t="s">
        <v>1352</v>
      </c>
      <c r="I1959" s="1008" t="s">
        <v>892</v>
      </c>
      <c r="J1959" s="1007" t="s">
        <v>655</v>
      </c>
      <c r="K1959" s="1064" t="s">
        <v>656</v>
      </c>
      <c r="L1959" s="1007" t="s">
        <v>18</v>
      </c>
      <c r="M1959" s="1093">
        <v>1</v>
      </c>
      <c r="N1959" s="1223">
        <v>0</v>
      </c>
      <c r="O1959" s="1223">
        <f>M1959*N1959</f>
        <v>0</v>
      </c>
      <c r="P1959" s="1081">
        <f t="shared" si="345"/>
        <v>0</v>
      </c>
      <c r="Q1959" s="1206">
        <f t="shared" si="346"/>
        <v>0</v>
      </c>
      <c r="V1959" s="1083">
        <f t="shared" si="347"/>
        <v>0</v>
      </c>
    </row>
    <row r="1960" spans="1:22" hidden="1">
      <c r="A1960" s="1000" t="s">
        <v>768</v>
      </c>
      <c r="B1960" s="1001" t="s">
        <v>770</v>
      </c>
      <c r="C1960" s="1066">
        <v>46293</v>
      </c>
      <c r="D1960" s="1066">
        <v>46293</v>
      </c>
      <c r="E1960" s="1005" t="s">
        <v>1296</v>
      </c>
      <c r="I1960" s="1002" t="s">
        <v>862</v>
      </c>
      <c r="J1960" s="1007" t="s">
        <v>959</v>
      </c>
      <c r="K1960" s="1064" t="s">
        <v>960</v>
      </c>
      <c r="L1960" s="1007" t="s">
        <v>18</v>
      </c>
      <c r="M1960" s="1093">
        <v>12</v>
      </c>
      <c r="N1960" s="1223">
        <v>0</v>
      </c>
      <c r="O1960" s="1223">
        <f t="shared" si="348"/>
        <v>0</v>
      </c>
      <c r="P1960" s="1081">
        <f t="shared" si="345"/>
        <v>0</v>
      </c>
      <c r="Q1960" s="1206">
        <f t="shared" si="346"/>
        <v>0</v>
      </c>
      <c r="V1960" s="1083">
        <f t="shared" si="347"/>
        <v>0</v>
      </c>
    </row>
    <row r="1961" spans="1:22" hidden="1">
      <c r="A1961" s="1000" t="s">
        <v>768</v>
      </c>
      <c r="B1961" s="1001" t="s">
        <v>770</v>
      </c>
      <c r="C1961" s="1066">
        <v>46293</v>
      </c>
      <c r="D1961" s="1078">
        <v>46294</v>
      </c>
      <c r="E1961" s="1005" t="s">
        <v>1296</v>
      </c>
      <c r="F1961" s="1077">
        <v>46296</v>
      </c>
      <c r="G1961" s="1002" t="s">
        <v>1353</v>
      </c>
      <c r="H1961" s="1111" t="s">
        <v>1352</v>
      </c>
      <c r="I1961" s="1002" t="s">
        <v>1282</v>
      </c>
      <c r="J1961" s="1007" t="s">
        <v>219</v>
      </c>
      <c r="K1961" s="1064" t="s">
        <v>220</v>
      </c>
      <c r="L1961" s="1007" t="s">
        <v>18</v>
      </c>
      <c r="M1961" s="1093">
        <v>2</v>
      </c>
      <c r="N1961" s="1223">
        <v>0</v>
      </c>
      <c r="O1961" s="1223">
        <f t="shared" si="348"/>
        <v>0</v>
      </c>
      <c r="P1961" s="1081">
        <f t="shared" si="345"/>
        <v>0</v>
      </c>
      <c r="Q1961" s="1206">
        <f t="shared" si="346"/>
        <v>0</v>
      </c>
      <c r="V1961" s="1083">
        <f t="shared" si="347"/>
        <v>0</v>
      </c>
    </row>
    <row r="1962" spans="1:22" ht="31.5" hidden="1">
      <c r="A1962" s="1000" t="s">
        <v>734</v>
      </c>
      <c r="B1962" s="1001" t="s">
        <v>745</v>
      </c>
      <c r="C1962" s="1066">
        <v>46293</v>
      </c>
      <c r="D1962" s="1066">
        <v>46275</v>
      </c>
      <c r="E1962" s="1005" t="s">
        <v>1297</v>
      </c>
      <c r="F1962" s="1066">
        <v>46296</v>
      </c>
      <c r="G1962" s="1005" t="s">
        <v>1351</v>
      </c>
      <c r="H1962" s="1138" t="s">
        <v>1350</v>
      </c>
      <c r="I1962" s="1002" t="s">
        <v>746</v>
      </c>
      <c r="J1962" s="1007" t="s">
        <v>1357</v>
      </c>
      <c r="K1962" s="1064" t="s">
        <v>61</v>
      </c>
      <c r="L1962" s="1007" t="s">
        <v>18</v>
      </c>
      <c r="M1962" s="1093">
        <v>12</v>
      </c>
      <c r="N1962" s="1223">
        <v>1138888.8899999999</v>
      </c>
      <c r="O1962" s="1223">
        <f>M1962*N1962</f>
        <v>13666666.68</v>
      </c>
      <c r="P1962" s="1081">
        <f t="shared" si="345"/>
        <v>1093333.3344000001</v>
      </c>
      <c r="Q1962" s="1206">
        <f t="shared" si="346"/>
        <v>14760000.0144</v>
      </c>
      <c r="V1962" s="1107">
        <f t="shared" si="347"/>
        <v>14760000.0144</v>
      </c>
    </row>
    <row r="1963" spans="1:22" hidden="1">
      <c r="A1963" s="1000" t="s">
        <v>734</v>
      </c>
      <c r="B1963" s="1001" t="s">
        <v>745</v>
      </c>
      <c r="C1963" s="1066">
        <v>46293</v>
      </c>
      <c r="D1963" s="1066">
        <v>46295</v>
      </c>
      <c r="E1963" s="1005" t="s">
        <v>1297</v>
      </c>
      <c r="F1963" s="1066">
        <v>46296</v>
      </c>
      <c r="G1963" s="1005" t="s">
        <v>1351</v>
      </c>
      <c r="H1963" s="1138" t="s">
        <v>1350</v>
      </c>
      <c r="I1963" s="1002" t="s">
        <v>746</v>
      </c>
      <c r="J1963" s="1007" t="s">
        <v>68</v>
      </c>
      <c r="K1963" s="1064" t="s">
        <v>69</v>
      </c>
      <c r="L1963" s="1007" t="s">
        <v>18</v>
      </c>
      <c r="M1963" s="1093">
        <v>24</v>
      </c>
      <c r="N1963" s="1223">
        <v>129629.63</v>
      </c>
      <c r="O1963" s="1223">
        <f t="shared" ref="O1963:O1965" si="349">M1963*N1963</f>
        <v>3111111.12</v>
      </c>
      <c r="P1963" s="1081">
        <f t="shared" si="345"/>
        <v>248888.88960000002</v>
      </c>
      <c r="Q1963" s="1206">
        <f t="shared" si="346"/>
        <v>3360000.0096</v>
      </c>
      <c r="V1963" s="1107">
        <f t="shared" si="347"/>
        <v>3360000.0096</v>
      </c>
    </row>
    <row r="1964" spans="1:22" hidden="1">
      <c r="A1964" s="1000" t="s">
        <v>734</v>
      </c>
      <c r="B1964" s="1001" t="s">
        <v>745</v>
      </c>
      <c r="C1964" s="1066">
        <v>46293</v>
      </c>
      <c r="D1964" s="1066">
        <v>46295</v>
      </c>
      <c r="E1964" s="1005" t="s">
        <v>1297</v>
      </c>
      <c r="F1964" s="1066">
        <v>46296</v>
      </c>
      <c r="G1964" s="1005" t="s">
        <v>1351</v>
      </c>
      <c r="H1964" s="1138" t="s">
        <v>1350</v>
      </c>
      <c r="I1964" s="1002" t="s">
        <v>746</v>
      </c>
      <c r="J1964" s="1007" t="s">
        <v>70</v>
      </c>
      <c r="K1964" s="1064" t="s">
        <v>71</v>
      </c>
      <c r="L1964" s="1007" t="s">
        <v>18</v>
      </c>
      <c r="M1964" s="1093">
        <v>24</v>
      </c>
      <c r="N1964" s="1223">
        <v>138888.89000000001</v>
      </c>
      <c r="O1964" s="1223">
        <f t="shared" si="349"/>
        <v>3333333.3600000003</v>
      </c>
      <c r="P1964" s="1081">
        <f t="shared" si="345"/>
        <v>266666.66880000004</v>
      </c>
      <c r="Q1964" s="1206">
        <f t="shared" si="346"/>
        <v>3600000.0288000004</v>
      </c>
      <c r="V1964" s="1107">
        <f t="shared" si="347"/>
        <v>3600000.0288000004</v>
      </c>
    </row>
    <row r="1965" spans="1:22" hidden="1">
      <c r="A1965" s="1000" t="s">
        <v>734</v>
      </c>
      <c r="B1965" s="1001" t="s">
        <v>745</v>
      </c>
      <c r="C1965" s="1066">
        <v>46293</v>
      </c>
      <c r="D1965" s="1066">
        <v>46295</v>
      </c>
      <c r="E1965" s="1005" t="s">
        <v>1297</v>
      </c>
      <c r="F1965" s="1066">
        <v>46296</v>
      </c>
      <c r="G1965" s="1005" t="s">
        <v>1351</v>
      </c>
      <c r="H1965" s="1138" t="s">
        <v>1350</v>
      </c>
      <c r="I1965" s="1002" t="s">
        <v>746</v>
      </c>
      <c r="J1965" s="1007" t="s">
        <v>72</v>
      </c>
      <c r="K1965" s="1064" t="s">
        <v>73</v>
      </c>
      <c r="L1965" s="1007" t="s">
        <v>18</v>
      </c>
      <c r="M1965" s="1093">
        <v>36</v>
      </c>
      <c r="N1965" s="1223">
        <v>148148.15</v>
      </c>
      <c r="O1965" s="1223">
        <f t="shared" si="349"/>
        <v>5333333.3999999994</v>
      </c>
      <c r="P1965" s="1081">
        <f t="shared" si="345"/>
        <v>426666.67199999996</v>
      </c>
      <c r="Q1965" s="1206">
        <f t="shared" si="346"/>
        <v>5760000.0719999997</v>
      </c>
      <c r="V1965" s="1107">
        <f t="shared" si="347"/>
        <v>5760000.0719999997</v>
      </c>
    </row>
    <row r="1966" spans="1:22" hidden="1">
      <c r="A1966" s="1000" t="s">
        <v>768</v>
      </c>
      <c r="B1966" s="1001" t="s">
        <v>770</v>
      </c>
      <c r="C1966" s="1078">
        <v>46294</v>
      </c>
      <c r="D1966" s="1066">
        <v>46295</v>
      </c>
      <c r="F1966" s="1005"/>
      <c r="I1966" s="1002" t="s">
        <v>760</v>
      </c>
      <c r="J1966" s="1007"/>
      <c r="K1966" s="1064"/>
      <c r="L1966" s="1005"/>
      <c r="M1966" s="1093"/>
      <c r="S1966" s="1107">
        <v>550000</v>
      </c>
      <c r="V1966" s="1083">
        <f t="shared" si="347"/>
        <v>-550000</v>
      </c>
    </row>
    <row r="1967" spans="1:22" hidden="1">
      <c r="A1967" s="1000" t="s">
        <v>872</v>
      </c>
      <c r="B1967" s="1001" t="s">
        <v>875</v>
      </c>
      <c r="C1967" s="1066">
        <v>46275</v>
      </c>
      <c r="D1967" s="1066">
        <v>46295</v>
      </c>
      <c r="I1967" s="1002" t="s">
        <v>844</v>
      </c>
      <c r="J1967" s="1007"/>
      <c r="K1967" s="1064"/>
      <c r="M1967" s="1093"/>
      <c r="R1967" s="1107">
        <v>38778000</v>
      </c>
      <c r="V1967" s="1083">
        <f t="shared" si="347"/>
        <v>-38778000</v>
      </c>
    </row>
    <row r="1968" spans="1:22" hidden="1">
      <c r="A1968" s="1040" t="s">
        <v>1138</v>
      </c>
      <c r="B1968" s="1040" t="s">
        <v>1134</v>
      </c>
      <c r="D1968" s="1066">
        <v>46295</v>
      </c>
      <c r="I1968" s="1002" t="s">
        <v>844</v>
      </c>
      <c r="J1968" s="1007"/>
      <c r="K1968" s="1064"/>
      <c r="M1968" s="1093"/>
      <c r="R1968" s="1107">
        <v>50000000</v>
      </c>
    </row>
    <row r="1969" spans="1:23" hidden="1">
      <c r="A1969" s="1001" t="s">
        <v>792</v>
      </c>
      <c r="B1969" s="1001" t="s">
        <v>714</v>
      </c>
      <c r="C1969" s="1066">
        <v>46295</v>
      </c>
      <c r="D1969" s="1066">
        <v>46295</v>
      </c>
      <c r="I1969" s="1002" t="s">
        <v>844</v>
      </c>
      <c r="J1969" s="1007"/>
      <c r="K1969" s="1064"/>
      <c r="M1969" s="1093"/>
      <c r="R1969" s="1107">
        <v>50000000</v>
      </c>
      <c r="V1969" s="1107">
        <f t="shared" ref="V1969:V2011" si="350">Q1969-R1969-S1969-T1969-U1969</f>
        <v>-50000000</v>
      </c>
    </row>
    <row r="1970" spans="1:23" hidden="1">
      <c r="A1970" s="1000" t="s">
        <v>741</v>
      </c>
      <c r="B1970" s="1001" t="s">
        <v>749</v>
      </c>
      <c r="C1970" s="1066">
        <v>46296</v>
      </c>
      <c r="D1970" s="1066">
        <v>46295</v>
      </c>
      <c r="I1970" s="1002" t="s">
        <v>702</v>
      </c>
      <c r="J1970" s="1007"/>
      <c r="K1970" s="1064"/>
      <c r="M1970" s="1093"/>
      <c r="P1970" s="1081">
        <f t="shared" ref="P1970:P1971" si="351">O1970*8%</f>
        <v>0</v>
      </c>
      <c r="Q1970" s="1081">
        <f t="shared" ref="Q1970" si="352">O1970+P1970</f>
        <v>0</v>
      </c>
      <c r="R1970" s="1107">
        <v>1800000</v>
      </c>
      <c r="V1970" s="1239">
        <f t="shared" si="350"/>
        <v>-1800000</v>
      </c>
      <c r="W1970" s="1002" t="s">
        <v>952</v>
      </c>
    </row>
    <row r="1971" spans="1:23" hidden="1">
      <c r="A1971" s="1000" t="s">
        <v>1004</v>
      </c>
      <c r="B1971" s="1028" t="s">
        <v>888</v>
      </c>
      <c r="C1971" s="1066">
        <v>46296</v>
      </c>
      <c r="D1971" s="1066">
        <v>46295</v>
      </c>
      <c r="I1971" s="1002" t="s">
        <v>844</v>
      </c>
      <c r="J1971" s="1007"/>
      <c r="K1971" s="1064"/>
      <c r="M1971" s="1093"/>
      <c r="P1971" s="1081">
        <f t="shared" si="351"/>
        <v>0</v>
      </c>
      <c r="R1971" s="1107">
        <v>91000000</v>
      </c>
      <c r="V1971" s="1239">
        <f t="shared" si="350"/>
        <v>-91000000</v>
      </c>
    </row>
    <row r="1972" spans="1:23" hidden="1">
      <c r="A1972" s="1069" t="s">
        <v>934</v>
      </c>
      <c r="B1972" s="1001" t="s">
        <v>865</v>
      </c>
      <c r="C1972" s="1066">
        <v>46295</v>
      </c>
      <c r="D1972" s="1066">
        <v>46296</v>
      </c>
      <c r="E1972" s="1005" t="s">
        <v>1328</v>
      </c>
      <c r="I1972" s="1002" t="s">
        <v>867</v>
      </c>
      <c r="J1972" s="1007" t="s">
        <v>639</v>
      </c>
      <c r="K1972" s="1064" t="s">
        <v>640</v>
      </c>
      <c r="L1972" s="1007" t="s">
        <v>18</v>
      </c>
      <c r="M1972" s="1093">
        <v>15</v>
      </c>
      <c r="N1972" s="1223">
        <v>537037.04</v>
      </c>
      <c r="O1972" s="1223">
        <f>M1972*N1972</f>
        <v>8055555.6000000006</v>
      </c>
      <c r="P1972" s="1081">
        <f t="shared" ref="P1972:P1986" si="353">O1972*8%</f>
        <v>644444.44800000009</v>
      </c>
      <c r="Q1972" s="1221">
        <f t="shared" ref="Q1972:Q1986" si="354">O1972+P1972</f>
        <v>8700000.0480000004</v>
      </c>
      <c r="V1972" s="1107">
        <f t="shared" si="350"/>
        <v>8700000.0480000004</v>
      </c>
    </row>
    <row r="1973" spans="1:23" hidden="1">
      <c r="A1973" s="1004" t="s">
        <v>934</v>
      </c>
      <c r="B1973" s="1001" t="s">
        <v>865</v>
      </c>
      <c r="C1973" s="1066">
        <v>46295</v>
      </c>
      <c r="D1973" s="1066">
        <v>46296</v>
      </c>
      <c r="E1973" s="1005" t="s">
        <v>1328</v>
      </c>
      <c r="I1973" s="1002" t="s">
        <v>867</v>
      </c>
      <c r="J1973" s="1007" t="s">
        <v>641</v>
      </c>
      <c r="K1973" s="1064" t="s">
        <v>657</v>
      </c>
      <c r="L1973" s="1007" t="s">
        <v>18</v>
      </c>
      <c r="M1973" s="1093">
        <v>15</v>
      </c>
      <c r="N1973" s="1223">
        <v>638888.89</v>
      </c>
      <c r="O1973" s="1223">
        <f t="shared" ref="O1973:O1978" si="355">M1973*N1973</f>
        <v>9583333.3499999996</v>
      </c>
      <c r="P1973" s="1081">
        <f t="shared" si="353"/>
        <v>766666.66799999995</v>
      </c>
      <c r="Q1973" s="1221">
        <f t="shared" si="354"/>
        <v>10350000.017999999</v>
      </c>
      <c r="V1973" s="1107">
        <f t="shared" si="350"/>
        <v>10350000.017999999</v>
      </c>
    </row>
    <row r="1974" spans="1:23" hidden="1">
      <c r="A1974" s="1004" t="s">
        <v>934</v>
      </c>
      <c r="B1974" s="1001" t="s">
        <v>865</v>
      </c>
      <c r="C1974" s="1066">
        <v>46295</v>
      </c>
      <c r="D1974" s="1066">
        <v>46296</v>
      </c>
      <c r="E1974" s="1005" t="s">
        <v>1328</v>
      </c>
      <c r="I1974" s="1002" t="s">
        <v>867</v>
      </c>
      <c r="J1974" s="1007" t="s">
        <v>643</v>
      </c>
      <c r="K1974" s="1064" t="s">
        <v>644</v>
      </c>
      <c r="L1974" s="1007" t="s">
        <v>18</v>
      </c>
      <c r="M1974" s="1093">
        <v>15</v>
      </c>
      <c r="N1974" s="1223">
        <v>527777.78</v>
      </c>
      <c r="O1974" s="1223">
        <f t="shared" si="355"/>
        <v>7916666.7000000002</v>
      </c>
      <c r="P1974" s="1081">
        <f t="shared" si="353"/>
        <v>633333.33600000001</v>
      </c>
      <c r="Q1974" s="1221">
        <f t="shared" si="354"/>
        <v>8550000.0360000003</v>
      </c>
      <c r="V1974" s="1107">
        <f t="shared" si="350"/>
        <v>8550000.0360000003</v>
      </c>
    </row>
    <row r="1975" spans="1:23" hidden="1">
      <c r="A1975" s="1004" t="s">
        <v>934</v>
      </c>
      <c r="B1975" s="1001" t="s">
        <v>865</v>
      </c>
      <c r="C1975" s="1066">
        <v>46295</v>
      </c>
      <c r="D1975" s="1066">
        <v>46296</v>
      </c>
      <c r="E1975" s="1005" t="s">
        <v>1328</v>
      </c>
      <c r="I1975" s="1002" t="s">
        <v>867</v>
      </c>
      <c r="J1975" s="1007" t="s">
        <v>645</v>
      </c>
      <c r="K1975" s="1064" t="s">
        <v>646</v>
      </c>
      <c r="L1975" s="1007" t="s">
        <v>18</v>
      </c>
      <c r="M1975" s="1093">
        <v>15</v>
      </c>
      <c r="N1975" s="1223">
        <v>629629.63</v>
      </c>
      <c r="O1975" s="1223">
        <f t="shared" si="355"/>
        <v>9444444.4499999993</v>
      </c>
      <c r="P1975" s="1081">
        <f t="shared" si="353"/>
        <v>755555.55599999998</v>
      </c>
      <c r="Q1975" s="1221">
        <f t="shared" si="354"/>
        <v>10200000.005999999</v>
      </c>
      <c r="V1975" s="1107">
        <f t="shared" si="350"/>
        <v>10200000.005999999</v>
      </c>
    </row>
    <row r="1976" spans="1:23" hidden="1">
      <c r="A1976" s="1004" t="s">
        <v>934</v>
      </c>
      <c r="B1976" s="1001" t="s">
        <v>865</v>
      </c>
      <c r="C1976" s="1066">
        <v>46295</v>
      </c>
      <c r="D1976" s="1066">
        <v>46296</v>
      </c>
      <c r="E1976" s="1005" t="s">
        <v>1328</v>
      </c>
      <c r="I1976" s="1002" t="s">
        <v>867</v>
      </c>
      <c r="J1976" s="1007" t="s">
        <v>649</v>
      </c>
      <c r="K1976" s="1064" t="s">
        <v>650</v>
      </c>
      <c r="L1976" s="1007" t="s">
        <v>18</v>
      </c>
      <c r="M1976" s="1093">
        <v>15</v>
      </c>
      <c r="N1976" s="1223">
        <v>574074.06999999995</v>
      </c>
      <c r="O1976" s="1223">
        <f t="shared" si="355"/>
        <v>8611111.0499999989</v>
      </c>
      <c r="P1976" s="1081">
        <f t="shared" si="353"/>
        <v>688888.88399999996</v>
      </c>
      <c r="Q1976" s="1221">
        <f t="shared" si="354"/>
        <v>9299999.9339999985</v>
      </c>
      <c r="V1976" s="1107">
        <f t="shared" si="350"/>
        <v>9299999.9339999985</v>
      </c>
    </row>
    <row r="1977" spans="1:23" hidden="1">
      <c r="A1977" s="1004" t="s">
        <v>934</v>
      </c>
      <c r="B1977" s="1001" t="s">
        <v>865</v>
      </c>
      <c r="C1977" s="1066">
        <v>46295</v>
      </c>
      <c r="D1977" s="1066">
        <v>46296</v>
      </c>
      <c r="E1977" s="1005" t="s">
        <v>1328</v>
      </c>
      <c r="I1977" s="1002" t="s">
        <v>867</v>
      </c>
      <c r="J1977" s="1007" t="s">
        <v>651</v>
      </c>
      <c r="K1977" s="1064" t="s">
        <v>652</v>
      </c>
      <c r="L1977" s="1007" t="s">
        <v>18</v>
      </c>
      <c r="M1977" s="1093">
        <v>15</v>
      </c>
      <c r="N1977" s="1223">
        <v>694444.44</v>
      </c>
      <c r="O1977" s="1223">
        <f t="shared" si="355"/>
        <v>10416666.6</v>
      </c>
      <c r="P1977" s="1081">
        <f t="shared" si="353"/>
        <v>833333.32799999998</v>
      </c>
      <c r="Q1977" s="1221">
        <f t="shared" si="354"/>
        <v>11249999.927999999</v>
      </c>
      <c r="V1977" s="1107">
        <f t="shared" si="350"/>
        <v>11249999.927999999</v>
      </c>
    </row>
    <row r="1978" spans="1:23" hidden="1">
      <c r="A1978" s="1004" t="s">
        <v>934</v>
      </c>
      <c r="B1978" s="1001" t="s">
        <v>865</v>
      </c>
      <c r="C1978" s="1066">
        <v>46295</v>
      </c>
      <c r="D1978" s="1066">
        <v>46296</v>
      </c>
      <c r="E1978" s="1005" t="s">
        <v>1328</v>
      </c>
      <c r="I1978" s="1002" t="s">
        <v>867</v>
      </c>
      <c r="J1978" s="1007" t="s">
        <v>653</v>
      </c>
      <c r="K1978" s="1064" t="s">
        <v>654</v>
      </c>
      <c r="L1978" s="1007" t="s">
        <v>18</v>
      </c>
      <c r="M1978" s="1093">
        <v>15</v>
      </c>
      <c r="N1978" s="1223">
        <v>481481.48</v>
      </c>
      <c r="O1978" s="1223">
        <f t="shared" si="355"/>
        <v>7222222.1999999993</v>
      </c>
      <c r="P1978" s="1081">
        <f t="shared" si="353"/>
        <v>577777.77599999995</v>
      </c>
      <c r="Q1978" s="1221">
        <f t="shared" si="354"/>
        <v>7799999.9759999989</v>
      </c>
      <c r="V1978" s="1107">
        <f t="shared" si="350"/>
        <v>7799999.9759999989</v>
      </c>
    </row>
    <row r="1979" spans="1:23" hidden="1">
      <c r="A1979" s="1004" t="s">
        <v>934</v>
      </c>
      <c r="B1979" s="1001" t="s">
        <v>865</v>
      </c>
      <c r="C1979" s="1066">
        <v>46295</v>
      </c>
      <c r="D1979" s="1066">
        <v>46296</v>
      </c>
      <c r="E1979" s="1005" t="s">
        <v>1328</v>
      </c>
      <c r="I1979" s="1002" t="s">
        <v>892</v>
      </c>
      <c r="J1979" s="1007" t="s">
        <v>639</v>
      </c>
      <c r="K1979" s="1064" t="s">
        <v>640</v>
      </c>
      <c r="L1979" s="1007" t="s">
        <v>18</v>
      </c>
      <c r="M1979" s="1093">
        <v>1</v>
      </c>
      <c r="N1979" s="1223">
        <v>0</v>
      </c>
      <c r="O1979" s="1223">
        <f>M1979*N1979</f>
        <v>0</v>
      </c>
      <c r="P1979" s="1081">
        <f t="shared" si="353"/>
        <v>0</v>
      </c>
      <c r="Q1979" s="1221">
        <f t="shared" si="354"/>
        <v>0</v>
      </c>
      <c r="V1979" s="1107">
        <f t="shared" si="350"/>
        <v>0</v>
      </c>
    </row>
    <row r="1980" spans="1:23" hidden="1">
      <c r="A1980" s="1004" t="s">
        <v>934</v>
      </c>
      <c r="B1980" s="1001" t="s">
        <v>865</v>
      </c>
      <c r="C1980" s="1066">
        <v>46295</v>
      </c>
      <c r="D1980" s="1066">
        <v>46296</v>
      </c>
      <c r="E1980" s="1005" t="s">
        <v>1328</v>
      </c>
      <c r="I1980" s="1002" t="s">
        <v>892</v>
      </c>
      <c r="J1980" s="1007" t="s">
        <v>641</v>
      </c>
      <c r="K1980" s="1064" t="s">
        <v>657</v>
      </c>
      <c r="L1980" s="1007" t="s">
        <v>18</v>
      </c>
      <c r="M1980" s="1093">
        <v>1</v>
      </c>
      <c r="N1980" s="1223">
        <v>0</v>
      </c>
      <c r="O1980" s="1223">
        <f t="shared" ref="O1980:O1986" si="356">M1980*N1980</f>
        <v>0</v>
      </c>
      <c r="P1980" s="1081">
        <f t="shared" si="353"/>
        <v>0</v>
      </c>
      <c r="Q1980" s="1221">
        <f t="shared" si="354"/>
        <v>0</v>
      </c>
      <c r="V1980" s="1107">
        <f t="shared" si="350"/>
        <v>0</v>
      </c>
    </row>
    <row r="1981" spans="1:23" hidden="1">
      <c r="A1981" s="1004" t="s">
        <v>934</v>
      </c>
      <c r="B1981" s="1001" t="s">
        <v>865</v>
      </c>
      <c r="C1981" s="1066">
        <v>46295</v>
      </c>
      <c r="D1981" s="1066">
        <v>46296</v>
      </c>
      <c r="E1981" s="1005" t="s">
        <v>1328</v>
      </c>
      <c r="I1981" s="1002" t="s">
        <v>892</v>
      </c>
      <c r="J1981" s="1007" t="s">
        <v>643</v>
      </c>
      <c r="K1981" s="1064" t="s">
        <v>644</v>
      </c>
      <c r="L1981" s="1007" t="s">
        <v>18</v>
      </c>
      <c r="M1981" s="1093">
        <v>1</v>
      </c>
      <c r="N1981" s="1223">
        <v>0</v>
      </c>
      <c r="O1981" s="1223">
        <f t="shared" si="356"/>
        <v>0</v>
      </c>
      <c r="P1981" s="1081">
        <f t="shared" si="353"/>
        <v>0</v>
      </c>
      <c r="Q1981" s="1221">
        <f t="shared" si="354"/>
        <v>0</v>
      </c>
      <c r="V1981" s="1107">
        <f t="shared" si="350"/>
        <v>0</v>
      </c>
    </row>
    <row r="1982" spans="1:23" hidden="1">
      <c r="A1982" s="1004" t="s">
        <v>934</v>
      </c>
      <c r="B1982" s="1001" t="s">
        <v>865</v>
      </c>
      <c r="C1982" s="1066">
        <v>46295</v>
      </c>
      <c r="D1982" s="1066">
        <v>46296</v>
      </c>
      <c r="E1982" s="1005" t="s">
        <v>1328</v>
      </c>
      <c r="I1982" s="1002" t="s">
        <v>892</v>
      </c>
      <c r="J1982" s="1007" t="s">
        <v>645</v>
      </c>
      <c r="K1982" s="1064" t="s">
        <v>646</v>
      </c>
      <c r="L1982" s="1007" t="s">
        <v>18</v>
      </c>
      <c r="M1982" s="1093">
        <v>1</v>
      </c>
      <c r="N1982" s="1223">
        <v>0</v>
      </c>
      <c r="O1982" s="1223">
        <f t="shared" si="356"/>
        <v>0</v>
      </c>
      <c r="P1982" s="1081">
        <f t="shared" si="353"/>
        <v>0</v>
      </c>
      <c r="Q1982" s="1221">
        <f t="shared" si="354"/>
        <v>0</v>
      </c>
      <c r="V1982" s="1107">
        <f t="shared" si="350"/>
        <v>0</v>
      </c>
    </row>
    <row r="1983" spans="1:23" hidden="1">
      <c r="A1983" s="1004" t="s">
        <v>934</v>
      </c>
      <c r="B1983" s="1001" t="s">
        <v>865</v>
      </c>
      <c r="C1983" s="1066">
        <v>46295</v>
      </c>
      <c r="D1983" s="1066">
        <v>46296</v>
      </c>
      <c r="E1983" s="1005" t="s">
        <v>1328</v>
      </c>
      <c r="I1983" s="1002" t="s">
        <v>892</v>
      </c>
      <c r="J1983" s="1007" t="s">
        <v>649</v>
      </c>
      <c r="K1983" s="1064" t="s">
        <v>650</v>
      </c>
      <c r="L1983" s="1007" t="s">
        <v>18</v>
      </c>
      <c r="M1983" s="1093">
        <v>1</v>
      </c>
      <c r="N1983" s="1223">
        <v>0</v>
      </c>
      <c r="O1983" s="1223">
        <f t="shared" si="356"/>
        <v>0</v>
      </c>
      <c r="P1983" s="1081">
        <f t="shared" si="353"/>
        <v>0</v>
      </c>
      <c r="Q1983" s="1221">
        <f t="shared" si="354"/>
        <v>0</v>
      </c>
      <c r="V1983" s="1107">
        <f t="shared" si="350"/>
        <v>0</v>
      </c>
    </row>
    <row r="1984" spans="1:23" hidden="1">
      <c r="A1984" s="1004" t="s">
        <v>934</v>
      </c>
      <c r="B1984" s="1001" t="s">
        <v>865</v>
      </c>
      <c r="C1984" s="1066">
        <v>46295</v>
      </c>
      <c r="D1984" s="1066">
        <v>46296</v>
      </c>
      <c r="E1984" s="1005" t="s">
        <v>1328</v>
      </c>
      <c r="I1984" s="1002" t="s">
        <v>892</v>
      </c>
      <c r="J1984" s="1007" t="s">
        <v>651</v>
      </c>
      <c r="K1984" s="1064" t="s">
        <v>652</v>
      </c>
      <c r="L1984" s="1007" t="s">
        <v>18</v>
      </c>
      <c r="M1984" s="1093">
        <v>1</v>
      </c>
      <c r="N1984" s="1223">
        <v>0</v>
      </c>
      <c r="O1984" s="1223">
        <f t="shared" si="356"/>
        <v>0</v>
      </c>
      <c r="P1984" s="1081">
        <f t="shared" si="353"/>
        <v>0</v>
      </c>
      <c r="Q1984" s="1221">
        <f t="shared" si="354"/>
        <v>0</v>
      </c>
      <c r="V1984" s="1107">
        <f t="shared" si="350"/>
        <v>0</v>
      </c>
    </row>
    <row r="1985" spans="1:22" hidden="1">
      <c r="A1985" s="1004" t="s">
        <v>934</v>
      </c>
      <c r="B1985" s="1001" t="s">
        <v>865</v>
      </c>
      <c r="C1985" s="1066">
        <v>46295</v>
      </c>
      <c r="D1985" s="1066">
        <v>46296</v>
      </c>
      <c r="E1985" s="1005" t="s">
        <v>1328</v>
      </c>
      <c r="I1985" s="1002" t="s">
        <v>892</v>
      </c>
      <c r="J1985" s="1007" t="s">
        <v>653</v>
      </c>
      <c r="K1985" s="1064" t="s">
        <v>654</v>
      </c>
      <c r="L1985" s="1007" t="s">
        <v>18</v>
      </c>
      <c r="M1985" s="1093">
        <v>1</v>
      </c>
      <c r="N1985" s="1223">
        <v>0</v>
      </c>
      <c r="O1985" s="1223">
        <f t="shared" si="356"/>
        <v>0</v>
      </c>
      <c r="P1985" s="1081">
        <f t="shared" si="353"/>
        <v>0</v>
      </c>
      <c r="Q1985" s="1221">
        <f t="shared" si="354"/>
        <v>0</v>
      </c>
      <c r="V1985" s="1107">
        <f t="shared" si="350"/>
        <v>0</v>
      </c>
    </row>
    <row r="1986" spans="1:22" hidden="1">
      <c r="A1986" s="1004" t="s">
        <v>934</v>
      </c>
      <c r="B1986" s="1001" t="s">
        <v>865</v>
      </c>
      <c r="C1986" s="1066">
        <v>46295</v>
      </c>
      <c r="D1986" s="1066">
        <v>46296</v>
      </c>
      <c r="E1986" s="1005" t="s">
        <v>1328</v>
      </c>
      <c r="F1986" s="1040"/>
      <c r="G1986" s="1066"/>
      <c r="I1986" s="1002" t="s">
        <v>1329</v>
      </c>
      <c r="J1986" s="1007" t="s">
        <v>873</v>
      </c>
      <c r="K1986" s="1064" t="s">
        <v>874</v>
      </c>
      <c r="L1986" s="1007" t="s">
        <v>18</v>
      </c>
      <c r="M1986" s="1093">
        <v>2</v>
      </c>
      <c r="N1986" s="1223">
        <v>0</v>
      </c>
      <c r="O1986" s="1223">
        <f t="shared" si="356"/>
        <v>0</v>
      </c>
      <c r="P1986" s="1081">
        <f t="shared" si="353"/>
        <v>0</v>
      </c>
      <c r="Q1986" s="1221">
        <f t="shared" si="354"/>
        <v>0</v>
      </c>
      <c r="V1986" s="1107">
        <f t="shared" si="350"/>
        <v>0</v>
      </c>
    </row>
    <row r="1987" spans="1:22" hidden="1">
      <c r="A1987" s="1004" t="s">
        <v>934</v>
      </c>
      <c r="B1987" s="1001" t="s">
        <v>865</v>
      </c>
      <c r="C1987" s="1066">
        <v>46296</v>
      </c>
      <c r="F1987" s="1040"/>
      <c r="G1987" s="1066"/>
      <c r="I1987" s="1002" t="s">
        <v>844</v>
      </c>
      <c r="J1987" s="1007"/>
      <c r="K1987" s="1064"/>
      <c r="M1987" s="1093"/>
      <c r="R1987" s="1107">
        <v>50000000</v>
      </c>
      <c r="V1987" s="1239">
        <f t="shared" si="350"/>
        <v>-50000000</v>
      </c>
    </row>
    <row r="1988" spans="1:22" hidden="1">
      <c r="A1988" s="1000" t="s">
        <v>685</v>
      </c>
      <c r="B1988" s="1001" t="s">
        <v>707</v>
      </c>
      <c r="C1988" s="1066">
        <v>46297</v>
      </c>
      <c r="D1988" s="1066">
        <v>46297</v>
      </c>
      <c r="E1988" s="1005" t="s">
        <v>1330</v>
      </c>
      <c r="F1988" s="1040"/>
      <c r="G1988" s="1066"/>
      <c r="I1988" s="1008" t="s">
        <v>1100</v>
      </c>
      <c r="J1988" s="1007" t="s">
        <v>1331</v>
      </c>
      <c r="K1988" s="1064" t="s">
        <v>1332</v>
      </c>
      <c r="L1988" s="1007" t="s">
        <v>18</v>
      </c>
      <c r="M1988" s="1093">
        <v>1</v>
      </c>
      <c r="N1988" s="1223">
        <v>0</v>
      </c>
      <c r="O1988" s="1223">
        <v>0</v>
      </c>
      <c r="P1988" s="1081">
        <f t="shared" ref="P1988:P1999" si="357">O1988*8%</f>
        <v>0</v>
      </c>
      <c r="Q1988" s="1221">
        <f t="shared" ref="Q1988:Q1999" si="358">O1988+P1988</f>
        <v>0</v>
      </c>
      <c r="V1988" s="1107">
        <f t="shared" si="350"/>
        <v>0</v>
      </c>
    </row>
    <row r="1989" spans="1:22" hidden="1">
      <c r="A1989" s="1000" t="s">
        <v>685</v>
      </c>
      <c r="B1989" s="1001" t="s">
        <v>707</v>
      </c>
      <c r="C1989" s="1066">
        <v>46297</v>
      </c>
      <c r="D1989" s="1066">
        <v>46297</v>
      </c>
      <c r="E1989" s="1005" t="s">
        <v>1330</v>
      </c>
      <c r="F1989" s="1040"/>
      <c r="G1989" s="1066"/>
      <c r="I1989" s="1008" t="s">
        <v>1100</v>
      </c>
      <c r="J1989" s="1007" t="s">
        <v>1333</v>
      </c>
      <c r="K1989" s="1064" t="s">
        <v>1334</v>
      </c>
      <c r="L1989" s="1007" t="s">
        <v>18</v>
      </c>
      <c r="M1989" s="1093">
        <v>1</v>
      </c>
      <c r="N1989" s="1223">
        <v>0</v>
      </c>
      <c r="O1989" s="1223">
        <f>M1989*N1989</f>
        <v>0</v>
      </c>
      <c r="P1989" s="1081">
        <f t="shared" si="357"/>
        <v>0</v>
      </c>
      <c r="Q1989" s="1221">
        <f t="shared" si="358"/>
        <v>0</v>
      </c>
      <c r="V1989" s="1107">
        <f t="shared" si="350"/>
        <v>0</v>
      </c>
    </row>
    <row r="1990" spans="1:22" hidden="1">
      <c r="A1990" s="1000" t="s">
        <v>685</v>
      </c>
      <c r="B1990" s="1001" t="s">
        <v>707</v>
      </c>
      <c r="C1990" s="1066">
        <v>46297</v>
      </c>
      <c r="D1990" s="1066">
        <v>46297</v>
      </c>
      <c r="E1990" s="1005" t="s">
        <v>1330</v>
      </c>
      <c r="F1990" s="1040"/>
      <c r="G1990" s="1066"/>
      <c r="I1990" s="1008" t="s">
        <v>1100</v>
      </c>
      <c r="J1990" s="1007" t="s">
        <v>1335</v>
      </c>
      <c r="K1990" s="1064" t="s">
        <v>1336</v>
      </c>
      <c r="L1990" s="1007" t="s">
        <v>18</v>
      </c>
      <c r="M1990" s="1093">
        <v>1</v>
      </c>
      <c r="N1990" s="1223">
        <v>0</v>
      </c>
      <c r="O1990" s="1223">
        <f>M1990*N1990</f>
        <v>0</v>
      </c>
      <c r="P1990" s="1081">
        <f t="shared" si="357"/>
        <v>0</v>
      </c>
      <c r="Q1990" s="1221">
        <f t="shared" si="358"/>
        <v>0</v>
      </c>
      <c r="V1990" s="1107">
        <f t="shared" si="350"/>
        <v>0</v>
      </c>
    </row>
    <row r="1991" spans="1:22" hidden="1">
      <c r="A1991" s="1000" t="s">
        <v>685</v>
      </c>
      <c r="B1991" s="1001" t="s">
        <v>707</v>
      </c>
      <c r="C1991" s="1066">
        <v>46297</v>
      </c>
      <c r="D1991" s="1066">
        <v>46297</v>
      </c>
      <c r="E1991" s="1005" t="s">
        <v>1330</v>
      </c>
      <c r="F1991" s="1040"/>
      <c r="G1991" s="1066"/>
      <c r="I1991" s="1008" t="s">
        <v>1100</v>
      </c>
      <c r="J1991" s="1007" t="s">
        <v>1337</v>
      </c>
      <c r="K1991" s="1064" t="s">
        <v>1338</v>
      </c>
      <c r="L1991" s="1007" t="s">
        <v>18</v>
      </c>
      <c r="M1991" s="1093">
        <v>1</v>
      </c>
      <c r="N1991" s="1223">
        <v>0</v>
      </c>
      <c r="O1991" s="1223">
        <f>M1991*N1991</f>
        <v>0</v>
      </c>
      <c r="P1991" s="1081">
        <f t="shared" si="357"/>
        <v>0</v>
      </c>
      <c r="Q1991" s="1221">
        <f t="shared" si="358"/>
        <v>0</v>
      </c>
      <c r="V1991" s="1107">
        <f t="shared" si="350"/>
        <v>0</v>
      </c>
    </row>
    <row r="1992" spans="1:22" hidden="1">
      <c r="A1992" s="1068" t="s">
        <v>1192</v>
      </c>
      <c r="B1992" s="1040" t="s">
        <v>1191</v>
      </c>
      <c r="C1992" s="1066">
        <v>46297</v>
      </c>
      <c r="D1992" s="1066">
        <v>46297</v>
      </c>
      <c r="E1992" s="1005" t="s">
        <v>1339</v>
      </c>
      <c r="F1992" s="1040"/>
      <c r="G1992" s="1066"/>
      <c r="I1992" s="1002" t="s">
        <v>1202</v>
      </c>
      <c r="J1992" s="1007" t="s">
        <v>1331</v>
      </c>
      <c r="K1992" s="1064" t="s">
        <v>1332</v>
      </c>
      <c r="L1992" s="1061" t="s">
        <v>18</v>
      </c>
      <c r="M1992" s="1240">
        <v>-1062</v>
      </c>
      <c r="N1992" s="1238">
        <v>0</v>
      </c>
      <c r="O1992" s="1238">
        <f>M1992*N1992</f>
        <v>0</v>
      </c>
      <c r="P1992" s="1081">
        <f t="shared" si="357"/>
        <v>0</v>
      </c>
      <c r="Q1992" s="1107">
        <f t="shared" si="358"/>
        <v>0</v>
      </c>
      <c r="V1992" s="1107">
        <f t="shared" si="350"/>
        <v>0</v>
      </c>
    </row>
    <row r="1993" spans="1:22" hidden="1">
      <c r="A1993" s="1068" t="s">
        <v>1192</v>
      </c>
      <c r="B1993" s="1040" t="s">
        <v>1191</v>
      </c>
      <c r="C1993" s="1066">
        <v>46297</v>
      </c>
      <c r="D1993" s="1066">
        <v>46297</v>
      </c>
      <c r="E1993" s="1005" t="s">
        <v>1339</v>
      </c>
      <c r="I1993" s="1002" t="s">
        <v>1202</v>
      </c>
      <c r="J1993" s="1007" t="s">
        <v>1333</v>
      </c>
      <c r="K1993" s="1064" t="s">
        <v>1334</v>
      </c>
      <c r="L1993" s="1061" t="s">
        <v>18</v>
      </c>
      <c r="M1993" s="1240">
        <v>-1062</v>
      </c>
      <c r="N1993" s="1238">
        <v>0</v>
      </c>
      <c r="O1993" s="1238">
        <f t="shared" ref="O1993:O1998" si="359">M1993*N1993</f>
        <v>0</v>
      </c>
      <c r="P1993" s="1081">
        <f t="shared" si="357"/>
        <v>0</v>
      </c>
      <c r="Q1993" s="1107">
        <f t="shared" si="358"/>
        <v>0</v>
      </c>
      <c r="V1993" s="1107">
        <f t="shared" si="350"/>
        <v>0</v>
      </c>
    </row>
    <row r="1994" spans="1:22" hidden="1">
      <c r="A1994" s="1068" t="s">
        <v>1192</v>
      </c>
      <c r="B1994" s="1040" t="s">
        <v>1191</v>
      </c>
      <c r="C1994" s="1066">
        <v>46297</v>
      </c>
      <c r="D1994" s="1066">
        <v>46297</v>
      </c>
      <c r="E1994" s="1005" t="s">
        <v>1339</v>
      </c>
      <c r="I1994" s="1002" t="s">
        <v>1202</v>
      </c>
      <c r="J1994" s="1007" t="s">
        <v>1335</v>
      </c>
      <c r="K1994" s="1064" t="s">
        <v>1336</v>
      </c>
      <c r="L1994" s="1061" t="s">
        <v>18</v>
      </c>
      <c r="M1994" s="1240">
        <v>-1062</v>
      </c>
      <c r="N1994" s="1238">
        <v>0</v>
      </c>
      <c r="O1994" s="1238">
        <f t="shared" si="359"/>
        <v>0</v>
      </c>
      <c r="P1994" s="1081">
        <f t="shared" si="357"/>
        <v>0</v>
      </c>
      <c r="Q1994" s="1107">
        <f t="shared" si="358"/>
        <v>0</v>
      </c>
      <c r="V1994" s="1107">
        <f t="shared" si="350"/>
        <v>0</v>
      </c>
    </row>
    <row r="1995" spans="1:22" hidden="1">
      <c r="A1995" s="1068" t="s">
        <v>1192</v>
      </c>
      <c r="B1995" s="1040" t="s">
        <v>1191</v>
      </c>
      <c r="C1995" s="1066">
        <v>46297</v>
      </c>
      <c r="D1995" s="1066">
        <v>46297</v>
      </c>
      <c r="E1995" s="1005" t="s">
        <v>1339</v>
      </c>
      <c r="I1995" s="1002" t="s">
        <v>1202</v>
      </c>
      <c r="J1995" s="1007" t="s">
        <v>1337</v>
      </c>
      <c r="K1995" s="1064" t="s">
        <v>1338</v>
      </c>
      <c r="L1995" s="1061" t="s">
        <v>18</v>
      </c>
      <c r="M1995" s="1240">
        <v>-1062</v>
      </c>
      <c r="N1995" s="1238">
        <v>0</v>
      </c>
      <c r="O1995" s="1238">
        <f t="shared" si="359"/>
        <v>0</v>
      </c>
      <c r="P1995" s="1081">
        <f t="shared" si="357"/>
        <v>0</v>
      </c>
      <c r="Q1995" s="1107">
        <f t="shared" si="358"/>
        <v>0</v>
      </c>
      <c r="V1995" s="1107">
        <f t="shared" si="350"/>
        <v>0</v>
      </c>
    </row>
    <row r="1996" spans="1:22" hidden="1">
      <c r="A1996" s="1068" t="s">
        <v>1192</v>
      </c>
      <c r="B1996" s="1040" t="s">
        <v>1191</v>
      </c>
      <c r="C1996" s="1066">
        <v>46297</v>
      </c>
      <c r="D1996" s="1066">
        <v>46297</v>
      </c>
      <c r="E1996" s="1005" t="s">
        <v>1339</v>
      </c>
      <c r="I1996" s="1002" t="s">
        <v>1202</v>
      </c>
      <c r="J1996" s="1007" t="s">
        <v>1340</v>
      </c>
      <c r="K1996" s="1064" t="s">
        <v>1341</v>
      </c>
      <c r="L1996" s="1061" t="s">
        <v>18</v>
      </c>
      <c r="M1996" s="1240">
        <v>-1008</v>
      </c>
      <c r="N1996" s="1238">
        <v>0</v>
      </c>
      <c r="O1996" s="1238">
        <f t="shared" si="359"/>
        <v>0</v>
      </c>
      <c r="P1996" s="1081">
        <f t="shared" si="357"/>
        <v>0</v>
      </c>
      <c r="Q1996" s="1107">
        <f t="shared" si="358"/>
        <v>0</v>
      </c>
      <c r="V1996" s="1107">
        <f t="shared" si="350"/>
        <v>0</v>
      </c>
    </row>
    <row r="1997" spans="1:22" hidden="1">
      <c r="A1997" s="1068" t="s">
        <v>1192</v>
      </c>
      <c r="B1997" s="1040" t="s">
        <v>1191</v>
      </c>
      <c r="C1997" s="1066">
        <v>46297</v>
      </c>
      <c r="D1997" s="1066">
        <v>46297</v>
      </c>
      <c r="E1997" s="1005" t="s">
        <v>1339</v>
      </c>
      <c r="I1997" s="1002" t="s">
        <v>1202</v>
      </c>
      <c r="J1997" s="1007" t="s">
        <v>1342</v>
      </c>
      <c r="K1997" s="1064" t="s">
        <v>1343</v>
      </c>
      <c r="L1997" s="1061" t="s">
        <v>18</v>
      </c>
      <c r="M1997" s="1240">
        <v>-1008</v>
      </c>
      <c r="N1997" s="1238">
        <v>0</v>
      </c>
      <c r="O1997" s="1238">
        <f t="shared" si="359"/>
        <v>0</v>
      </c>
      <c r="P1997" s="1081">
        <f t="shared" si="357"/>
        <v>0</v>
      </c>
      <c r="Q1997" s="1107">
        <f t="shared" si="358"/>
        <v>0</v>
      </c>
      <c r="V1997" s="1107">
        <f t="shared" si="350"/>
        <v>0</v>
      </c>
    </row>
    <row r="1998" spans="1:22" hidden="1">
      <c r="A1998" s="1068" t="s">
        <v>1192</v>
      </c>
      <c r="B1998" s="1040" t="s">
        <v>1191</v>
      </c>
      <c r="C1998" s="1066">
        <v>46297</v>
      </c>
      <c r="D1998" s="1066">
        <v>46297</v>
      </c>
      <c r="E1998" s="1005" t="s">
        <v>1339</v>
      </c>
      <c r="I1998" s="1002" t="s">
        <v>1202</v>
      </c>
      <c r="J1998" s="1007" t="s">
        <v>1199</v>
      </c>
      <c r="K1998" s="1064" t="s">
        <v>1200</v>
      </c>
      <c r="L1998" s="1061" t="s">
        <v>18</v>
      </c>
      <c r="M1998" s="1240">
        <v>-1872</v>
      </c>
      <c r="N1998" s="1238">
        <v>0</v>
      </c>
      <c r="O1998" s="1238">
        <f t="shared" si="359"/>
        <v>0</v>
      </c>
      <c r="P1998" s="1081">
        <f t="shared" si="357"/>
        <v>0</v>
      </c>
      <c r="Q1998" s="1107">
        <f t="shared" si="358"/>
        <v>0</v>
      </c>
      <c r="V1998" s="1107">
        <f t="shared" si="350"/>
        <v>0</v>
      </c>
    </row>
    <row r="1999" spans="1:22" hidden="1">
      <c r="A1999" s="1039" t="s">
        <v>967</v>
      </c>
      <c r="B1999" s="1040" t="s">
        <v>1262</v>
      </c>
      <c r="D1999" s="1066">
        <v>46297</v>
      </c>
      <c r="I1999" s="1002" t="s">
        <v>702</v>
      </c>
      <c r="J1999" s="1007"/>
      <c r="K1999" s="1064"/>
      <c r="M1999" s="1093"/>
      <c r="P1999" s="1081">
        <f t="shared" si="357"/>
        <v>0</v>
      </c>
      <c r="Q1999" s="1107">
        <f t="shared" si="358"/>
        <v>0</v>
      </c>
      <c r="R1999" s="1107">
        <v>1920000</v>
      </c>
      <c r="V1999" s="1239">
        <f t="shared" si="350"/>
        <v>-1920000</v>
      </c>
    </row>
    <row r="2000" spans="1:22" hidden="1">
      <c r="A2000" s="1039" t="s">
        <v>736</v>
      </c>
      <c r="B2000" s="1040" t="s">
        <v>747</v>
      </c>
      <c r="C2000" s="1066">
        <v>46297</v>
      </c>
      <c r="D2000" s="1066">
        <v>46297</v>
      </c>
      <c r="I2000" s="1002" t="s">
        <v>844</v>
      </c>
      <c r="J2000" s="1007"/>
      <c r="K2000" s="1064"/>
      <c r="M2000" s="1093"/>
      <c r="R2000" s="1107">
        <v>64350000</v>
      </c>
      <c r="V2000" s="1239">
        <f t="shared" si="350"/>
        <v>-64350000</v>
      </c>
    </row>
    <row r="2001" spans="1:22" hidden="1">
      <c r="A2001" s="1000" t="s">
        <v>711</v>
      </c>
      <c r="B2001" s="1001" t="s">
        <v>715</v>
      </c>
      <c r="C2001" s="1066">
        <v>46298</v>
      </c>
      <c r="D2001" s="1066">
        <v>46297</v>
      </c>
      <c r="I2001" s="1002" t="s">
        <v>844</v>
      </c>
      <c r="J2001" s="1007"/>
      <c r="K2001" s="1064"/>
      <c r="M2001" s="1093"/>
      <c r="R2001" s="1107">
        <v>59300000</v>
      </c>
      <c r="V2001" s="1239">
        <f t="shared" si="350"/>
        <v>-59300000</v>
      </c>
    </row>
    <row r="2002" spans="1:22" hidden="1">
      <c r="A2002" s="1000" t="s">
        <v>1175</v>
      </c>
      <c r="B2002" s="1001" t="s">
        <v>1188</v>
      </c>
      <c r="C2002" s="1066">
        <v>46298</v>
      </c>
      <c r="D2002" s="1066">
        <v>46298</v>
      </c>
      <c r="E2002" s="1066" t="s">
        <v>1361</v>
      </c>
      <c r="I2002" s="1002" t="s">
        <v>1177</v>
      </c>
      <c r="J2002" s="1007" t="s">
        <v>279</v>
      </c>
      <c r="K2002" s="1064" t="s">
        <v>280</v>
      </c>
      <c r="L2002" s="1002" t="s">
        <v>18</v>
      </c>
      <c r="M2002" s="1093">
        <v>1</v>
      </c>
      <c r="N2002" s="1107">
        <v>426851.85</v>
      </c>
      <c r="O2002" s="1081">
        <f>M2002*N2002</f>
        <v>426851.85</v>
      </c>
      <c r="P2002" s="1081">
        <f t="shared" ref="P2002:P2065" si="360">O2002*8%</f>
        <v>34148.148000000001</v>
      </c>
      <c r="Q2002" s="1221">
        <f t="shared" ref="Q2002:Q2065" si="361">O2002+P2002</f>
        <v>460999.99799999996</v>
      </c>
      <c r="V2002" s="1107">
        <f t="shared" si="350"/>
        <v>460999.99799999996</v>
      </c>
    </row>
    <row r="2003" spans="1:22" ht="31.5" hidden="1">
      <c r="A2003" s="1000" t="s">
        <v>1175</v>
      </c>
      <c r="B2003" s="1001" t="s">
        <v>1188</v>
      </c>
      <c r="C2003" s="1066">
        <v>46298</v>
      </c>
      <c r="D2003" s="1066">
        <v>46298</v>
      </c>
      <c r="E2003" s="1066" t="s">
        <v>1361</v>
      </c>
      <c r="I2003" s="1002" t="s">
        <v>1177</v>
      </c>
      <c r="J2003" s="1007" t="s">
        <v>28</v>
      </c>
      <c r="K2003" s="1064" t="s">
        <v>29</v>
      </c>
      <c r="L2003" s="1002" t="s">
        <v>18</v>
      </c>
      <c r="M2003" s="1093">
        <v>1</v>
      </c>
      <c r="N2003" s="1107">
        <v>309259.26</v>
      </c>
      <c r="O2003" s="1081">
        <f>M2003*N2003</f>
        <v>309259.26</v>
      </c>
      <c r="P2003" s="1081">
        <f t="shared" si="360"/>
        <v>24740.7408</v>
      </c>
      <c r="Q2003" s="1221">
        <f t="shared" si="361"/>
        <v>334000.00080000004</v>
      </c>
      <c r="V2003" s="1107">
        <f t="shared" si="350"/>
        <v>334000.00080000004</v>
      </c>
    </row>
    <row r="2004" spans="1:22" ht="31.5" hidden="1">
      <c r="A2004" s="1000" t="s">
        <v>1175</v>
      </c>
      <c r="B2004" s="1001" t="s">
        <v>1188</v>
      </c>
      <c r="C2004" s="1066">
        <v>46298</v>
      </c>
      <c r="D2004" s="1066">
        <v>46298</v>
      </c>
      <c r="E2004" s="1066" t="s">
        <v>1361</v>
      </c>
      <c r="I2004" s="1002" t="s">
        <v>1177</v>
      </c>
      <c r="J2004" s="1007" t="s">
        <v>60</v>
      </c>
      <c r="K2004" s="1064" t="s">
        <v>61</v>
      </c>
      <c r="L2004" s="1002" t="s">
        <v>18</v>
      </c>
      <c r="M2004" s="1093">
        <v>2</v>
      </c>
      <c r="N2004" s="1107">
        <v>1252777.78</v>
      </c>
      <c r="O2004" s="1081">
        <f>M2004*N2004</f>
        <v>2505555.56</v>
      </c>
      <c r="P2004" s="1081">
        <f t="shared" si="360"/>
        <v>200444.4448</v>
      </c>
      <c r="Q2004" s="1221">
        <f t="shared" si="361"/>
        <v>2706000.0048000002</v>
      </c>
      <c r="V2004" s="1107">
        <f t="shared" si="350"/>
        <v>2706000.0048000002</v>
      </c>
    </row>
    <row r="2005" spans="1:22" hidden="1">
      <c r="A2005" s="1000" t="s">
        <v>734</v>
      </c>
      <c r="B2005" s="1001" t="s">
        <v>745</v>
      </c>
      <c r="C2005" s="1066">
        <v>46298</v>
      </c>
      <c r="D2005" s="1066">
        <v>46299</v>
      </c>
      <c r="I2005" s="1002" t="s">
        <v>844</v>
      </c>
      <c r="J2005" s="1007"/>
      <c r="K2005" s="1064"/>
      <c r="M2005" s="1093"/>
      <c r="P2005" s="1081">
        <f t="shared" si="360"/>
        <v>0</v>
      </c>
      <c r="Q2005" s="1081">
        <f t="shared" si="361"/>
        <v>0</v>
      </c>
      <c r="R2005" s="1107">
        <v>27480000</v>
      </c>
      <c r="V2005" s="1239">
        <f t="shared" si="350"/>
        <v>-27480000</v>
      </c>
    </row>
    <row r="2006" spans="1:22" hidden="1">
      <c r="A2006" s="1000" t="s">
        <v>1363</v>
      </c>
      <c r="B2006" s="1001" t="s">
        <v>1362</v>
      </c>
      <c r="C2006" s="1066">
        <v>46298</v>
      </c>
      <c r="D2006" s="1066">
        <v>46299</v>
      </c>
      <c r="E2006" s="1005" t="s">
        <v>1364</v>
      </c>
      <c r="I2006" s="1002" t="s">
        <v>1370</v>
      </c>
      <c r="J2006" s="1007" t="s">
        <v>1365</v>
      </c>
      <c r="K2006" s="1064" t="s">
        <v>69</v>
      </c>
      <c r="L2006" s="1007" t="s">
        <v>18</v>
      </c>
      <c r="M2006" s="1093">
        <v>36</v>
      </c>
      <c r="N2006" s="1223">
        <v>129629.63</v>
      </c>
      <c r="O2006" s="1223">
        <f t="shared" ref="O2006:O2008" si="362">M2006*N2006</f>
        <v>4666666.68</v>
      </c>
      <c r="P2006" s="1081">
        <f t="shared" si="360"/>
        <v>373333.33439999999</v>
      </c>
      <c r="Q2006" s="1221">
        <f t="shared" si="361"/>
        <v>5040000.0143999998</v>
      </c>
      <c r="V2006" s="1107">
        <f t="shared" si="350"/>
        <v>5040000.0143999998</v>
      </c>
    </row>
    <row r="2007" spans="1:22" hidden="1">
      <c r="A2007" s="1000" t="s">
        <v>1363</v>
      </c>
      <c r="B2007" s="1001" t="s">
        <v>1362</v>
      </c>
      <c r="C2007" s="1066">
        <v>46298</v>
      </c>
      <c r="D2007" s="1066">
        <v>46299</v>
      </c>
      <c r="E2007" s="1005" t="s">
        <v>1364</v>
      </c>
      <c r="I2007" s="1002" t="s">
        <v>1370</v>
      </c>
      <c r="J2007" s="1007" t="s">
        <v>1366</v>
      </c>
      <c r="K2007" s="1064" t="s">
        <v>1367</v>
      </c>
      <c r="L2007" s="1007" t="s">
        <v>18</v>
      </c>
      <c r="M2007" s="1093">
        <v>24</v>
      </c>
      <c r="N2007" s="1223">
        <v>138888.89000000001</v>
      </c>
      <c r="O2007" s="1223">
        <f t="shared" si="362"/>
        <v>3333333.3600000003</v>
      </c>
      <c r="P2007" s="1081">
        <f t="shared" si="360"/>
        <v>266666.66880000004</v>
      </c>
      <c r="Q2007" s="1221">
        <f t="shared" si="361"/>
        <v>3600000.0288000004</v>
      </c>
      <c r="V2007" s="1107">
        <f t="shared" si="350"/>
        <v>3600000.0288000004</v>
      </c>
    </row>
    <row r="2008" spans="1:22" hidden="1">
      <c r="A2008" s="1000" t="s">
        <v>1363</v>
      </c>
      <c r="B2008" s="1001" t="s">
        <v>1362</v>
      </c>
      <c r="C2008" s="1066">
        <v>46298</v>
      </c>
      <c r="D2008" s="1066">
        <v>46299</v>
      </c>
      <c r="E2008" s="1005" t="s">
        <v>1364</v>
      </c>
      <c r="I2008" s="1002" t="s">
        <v>1370</v>
      </c>
      <c r="J2008" s="1007" t="s">
        <v>1368</v>
      </c>
      <c r="K2008" s="1064" t="s">
        <v>1369</v>
      </c>
      <c r="L2008" s="1007" t="s">
        <v>18</v>
      </c>
      <c r="M2008" s="1093">
        <v>24</v>
      </c>
      <c r="N2008" s="1223">
        <v>148148.15</v>
      </c>
      <c r="O2008" s="1223">
        <f t="shared" si="362"/>
        <v>3555555.5999999996</v>
      </c>
      <c r="P2008" s="1081">
        <f t="shared" si="360"/>
        <v>284444.44799999997</v>
      </c>
      <c r="Q2008" s="1221">
        <f t="shared" si="361"/>
        <v>3840000.0479999995</v>
      </c>
      <c r="V2008" s="1107">
        <f t="shared" si="350"/>
        <v>3840000.0479999995</v>
      </c>
    </row>
    <row r="2009" spans="1:22" hidden="1">
      <c r="A2009" s="1000" t="s">
        <v>741</v>
      </c>
      <c r="B2009" s="1001" t="s">
        <v>749</v>
      </c>
      <c r="C2009" s="1066">
        <v>46297</v>
      </c>
      <c r="D2009" s="1066">
        <v>46299</v>
      </c>
      <c r="E2009" s="1005" t="s">
        <v>1371</v>
      </c>
      <c r="I2009" s="1002" t="s">
        <v>815</v>
      </c>
      <c r="J2009" s="1007" t="s">
        <v>1335</v>
      </c>
      <c r="K2009" s="1064" t="s">
        <v>1336</v>
      </c>
      <c r="L2009" s="1007" t="s">
        <v>18</v>
      </c>
      <c r="M2009" s="1093">
        <v>12</v>
      </c>
      <c r="N2009" s="1223">
        <v>648148.15</v>
      </c>
      <c r="O2009" s="1223">
        <f>M2009*N2009</f>
        <v>7777777.8000000007</v>
      </c>
      <c r="P2009" s="1081">
        <f t="shared" si="360"/>
        <v>622222.22400000005</v>
      </c>
      <c r="Q2009" s="1221">
        <f t="shared" si="361"/>
        <v>8400000.0240000002</v>
      </c>
      <c r="V2009" s="1107">
        <f t="shared" si="350"/>
        <v>8400000.0240000002</v>
      </c>
    </row>
    <row r="2010" spans="1:22" hidden="1">
      <c r="A2010" s="1000" t="s">
        <v>756</v>
      </c>
      <c r="B2010" s="1001" t="s">
        <v>759</v>
      </c>
      <c r="C2010" s="1066">
        <v>46297</v>
      </c>
      <c r="D2010" s="1066">
        <v>46299</v>
      </c>
      <c r="E2010" s="1005" t="s">
        <v>1372</v>
      </c>
      <c r="I2010" s="1002" t="s">
        <v>758</v>
      </c>
      <c r="J2010" s="1007" t="s">
        <v>1333</v>
      </c>
      <c r="K2010" s="1064" t="s">
        <v>1334</v>
      </c>
      <c r="L2010" s="1007" t="s">
        <v>18</v>
      </c>
      <c r="M2010" s="1093">
        <v>6</v>
      </c>
      <c r="N2010" s="1223">
        <v>592592.59</v>
      </c>
      <c r="O2010" s="1223">
        <f>M2010*N2010</f>
        <v>3555555.54</v>
      </c>
      <c r="P2010" s="1081">
        <f t="shared" si="360"/>
        <v>284444.44320000004</v>
      </c>
      <c r="Q2010" s="1206">
        <f t="shared" si="361"/>
        <v>3839999.9832000001</v>
      </c>
      <c r="V2010" s="1107">
        <f t="shared" si="350"/>
        <v>3839999.9832000001</v>
      </c>
    </row>
    <row r="2011" spans="1:22" hidden="1">
      <c r="A2011" s="1000" t="s">
        <v>756</v>
      </c>
      <c r="B2011" s="1001" t="s">
        <v>759</v>
      </c>
      <c r="C2011" s="1066">
        <v>46297</v>
      </c>
      <c r="D2011" s="1066">
        <v>46299</v>
      </c>
      <c r="E2011" s="1005" t="s">
        <v>1372</v>
      </c>
      <c r="I2011" s="1002" t="s">
        <v>758</v>
      </c>
      <c r="J2011" s="1007" t="s">
        <v>1335</v>
      </c>
      <c r="K2011" s="1064" t="s">
        <v>1336</v>
      </c>
      <c r="L2011" s="1007" t="s">
        <v>18</v>
      </c>
      <c r="M2011" s="1093">
        <v>6</v>
      </c>
      <c r="N2011" s="1223">
        <v>648148.15</v>
      </c>
      <c r="O2011" s="1223">
        <f>M2011*N2011</f>
        <v>3888888.9000000004</v>
      </c>
      <c r="P2011" s="1081">
        <f t="shared" si="360"/>
        <v>311111.11200000002</v>
      </c>
      <c r="Q2011" s="1206">
        <f t="shared" si="361"/>
        <v>4200000.0120000001</v>
      </c>
      <c r="V2011" s="1107">
        <f t="shared" si="350"/>
        <v>4200000.0120000001</v>
      </c>
    </row>
    <row r="2012" spans="1:22" hidden="1">
      <c r="A2012" s="1039" t="s">
        <v>1373</v>
      </c>
      <c r="B2012" s="1040" t="s">
        <v>1375</v>
      </c>
      <c r="C2012" s="1066">
        <v>46298</v>
      </c>
      <c r="D2012" s="1066">
        <v>46299</v>
      </c>
      <c r="E2012" s="1005" t="s">
        <v>1374</v>
      </c>
      <c r="I2012" s="1002" t="s">
        <v>1376</v>
      </c>
      <c r="J2012" s="1007" t="s">
        <v>1377</v>
      </c>
      <c r="K2012" s="1064" t="s">
        <v>320</v>
      </c>
      <c r="L2012" s="1007" t="s">
        <v>18</v>
      </c>
      <c r="M2012" s="1093">
        <v>5</v>
      </c>
      <c r="N2012" s="1223">
        <v>333333.33</v>
      </c>
      <c r="O2012" s="1223">
        <f>M2012*N2012</f>
        <v>1666666.6500000001</v>
      </c>
      <c r="P2012" s="1081">
        <f t="shared" si="360"/>
        <v>133333.33200000002</v>
      </c>
      <c r="Q2012" s="1206">
        <f t="shared" si="361"/>
        <v>1799999.9820000001</v>
      </c>
      <c r="V2012" s="1107">
        <f t="shared" ref="V2012:V2014" si="363">Q2012-R2012-S2012-T2012-U2012</f>
        <v>1799999.9820000001</v>
      </c>
    </row>
    <row r="2013" spans="1:22" hidden="1">
      <c r="A2013" s="1039" t="s">
        <v>1373</v>
      </c>
      <c r="B2013" s="1040" t="s">
        <v>1375</v>
      </c>
      <c r="C2013" s="1066">
        <v>46298</v>
      </c>
      <c r="D2013" s="1066">
        <v>46299</v>
      </c>
      <c r="E2013" s="1005" t="s">
        <v>1374</v>
      </c>
      <c r="I2013" s="1002" t="s">
        <v>1376</v>
      </c>
      <c r="J2013" s="1007" t="s">
        <v>1365</v>
      </c>
      <c r="K2013" s="1064" t="s">
        <v>69</v>
      </c>
      <c r="L2013" s="1007" t="s">
        <v>18</v>
      </c>
      <c r="M2013" s="1093">
        <v>5</v>
      </c>
      <c r="N2013" s="1223">
        <v>129629.63</v>
      </c>
      <c r="O2013" s="1223">
        <f t="shared" ref="O2013:O2022" si="364">M2013*N2013</f>
        <v>648148.15</v>
      </c>
      <c r="P2013" s="1081">
        <f t="shared" si="360"/>
        <v>51851.852000000006</v>
      </c>
      <c r="Q2013" s="1206">
        <f t="shared" si="361"/>
        <v>700000.00199999998</v>
      </c>
      <c r="V2013" s="1107">
        <f t="shared" si="363"/>
        <v>700000.00199999998</v>
      </c>
    </row>
    <row r="2014" spans="1:22" hidden="1">
      <c r="A2014" s="1000" t="s">
        <v>756</v>
      </c>
      <c r="B2014" s="1001" t="s">
        <v>759</v>
      </c>
      <c r="C2014" s="1066">
        <v>46300</v>
      </c>
      <c r="I2014" s="1002" t="s">
        <v>844</v>
      </c>
      <c r="J2014" s="1007"/>
      <c r="K2014" s="1064"/>
      <c r="M2014" s="1093"/>
      <c r="O2014" s="1223">
        <f t="shared" si="364"/>
        <v>0</v>
      </c>
      <c r="P2014" s="1081">
        <f t="shared" si="360"/>
        <v>0</v>
      </c>
      <c r="Q2014" s="1083">
        <f t="shared" si="361"/>
        <v>0</v>
      </c>
      <c r="R2014" s="1107">
        <v>20628000</v>
      </c>
      <c r="V2014" s="1239">
        <f t="shared" si="363"/>
        <v>-20628000</v>
      </c>
    </row>
    <row r="2015" spans="1:22" hidden="1">
      <c r="A2015" s="1000" t="s">
        <v>972</v>
      </c>
      <c r="B2015" s="1001" t="s">
        <v>1378</v>
      </c>
      <c r="C2015" s="1066">
        <v>46300</v>
      </c>
      <c r="I2015" s="1002" t="s">
        <v>702</v>
      </c>
      <c r="J2015" s="1007"/>
      <c r="K2015" s="1064"/>
      <c r="M2015" s="1093"/>
      <c r="O2015" s="1223">
        <f t="shared" si="364"/>
        <v>0</v>
      </c>
      <c r="P2015" s="1081">
        <f t="shared" si="360"/>
        <v>0</v>
      </c>
      <c r="Q2015" s="1083">
        <f t="shared" si="361"/>
        <v>0</v>
      </c>
      <c r="R2015" s="1107">
        <v>5530000</v>
      </c>
      <c r="V2015" s="1241">
        <f>Q2015-R2015-S2015-T2015-U2015</f>
        <v>-5530000</v>
      </c>
    </row>
    <row r="2016" spans="1:22" hidden="1">
      <c r="C2016" s="1066">
        <v>46301</v>
      </c>
      <c r="D2016" s="1066">
        <v>46301</v>
      </c>
      <c r="E2016" s="1005" t="s">
        <v>1383</v>
      </c>
      <c r="I2016" s="1002" t="s">
        <v>1384</v>
      </c>
      <c r="J2016" s="1007" t="s">
        <v>98</v>
      </c>
      <c r="K2016" s="1064" t="s">
        <v>1385</v>
      </c>
      <c r="L2016" s="1061" t="s">
        <v>18</v>
      </c>
      <c r="M2016" s="1240">
        <v>-2</v>
      </c>
      <c r="N2016" s="1107">
        <v>0</v>
      </c>
      <c r="O2016" s="1223">
        <f t="shared" si="364"/>
        <v>0</v>
      </c>
      <c r="P2016" s="1081">
        <f t="shared" si="360"/>
        <v>0</v>
      </c>
      <c r="Q2016" s="1083">
        <f t="shared" si="361"/>
        <v>0</v>
      </c>
      <c r="V2016" s="1083">
        <f t="shared" ref="V2016:V2080" si="365">Q2016-R2016-S2016-T2016-U2016</f>
        <v>0</v>
      </c>
    </row>
    <row r="2017" spans="1:22" hidden="1">
      <c r="C2017" s="1066">
        <v>46301</v>
      </c>
      <c r="D2017" s="1066">
        <v>46301</v>
      </c>
      <c r="E2017" s="1005" t="s">
        <v>1388</v>
      </c>
      <c r="I2017" s="1002" t="s">
        <v>1387</v>
      </c>
      <c r="J2017" s="1007" t="s">
        <v>167</v>
      </c>
      <c r="K2017" s="1064" t="s">
        <v>1386</v>
      </c>
      <c r="L2017" s="1061" t="s">
        <v>18</v>
      </c>
      <c r="M2017" s="1240">
        <v>-4</v>
      </c>
      <c r="N2017" s="1107">
        <v>0</v>
      </c>
      <c r="O2017" s="1223">
        <f t="shared" si="364"/>
        <v>0</v>
      </c>
      <c r="P2017" s="1081">
        <f t="shared" si="360"/>
        <v>0</v>
      </c>
      <c r="Q2017" s="1083">
        <f t="shared" si="361"/>
        <v>0</v>
      </c>
      <c r="V2017" s="1083">
        <f t="shared" si="365"/>
        <v>0</v>
      </c>
    </row>
    <row r="2018" spans="1:22" hidden="1">
      <c r="C2018" s="1066">
        <v>46301</v>
      </c>
      <c r="D2018" s="1066">
        <v>46301</v>
      </c>
      <c r="E2018" s="1005" t="s">
        <v>1388</v>
      </c>
      <c r="I2018" s="1002" t="s">
        <v>1387</v>
      </c>
      <c r="J2018" s="1007" t="s">
        <v>873</v>
      </c>
      <c r="K2018" s="1064" t="s">
        <v>874</v>
      </c>
      <c r="L2018" s="1061" t="s">
        <v>18</v>
      </c>
      <c r="M2018" s="1240">
        <v>-2</v>
      </c>
      <c r="N2018" s="1107">
        <v>0</v>
      </c>
      <c r="O2018" s="1223">
        <f t="shared" si="364"/>
        <v>0</v>
      </c>
      <c r="P2018" s="1081">
        <f t="shared" si="360"/>
        <v>0</v>
      </c>
      <c r="Q2018" s="1083">
        <f t="shared" si="361"/>
        <v>0</v>
      </c>
      <c r="V2018" s="1083">
        <f t="shared" si="365"/>
        <v>0</v>
      </c>
    </row>
    <row r="2019" spans="1:22" hidden="1">
      <c r="C2019" s="1066">
        <v>46301</v>
      </c>
      <c r="D2019" s="1066">
        <v>46301</v>
      </c>
      <c r="E2019" s="1005" t="s">
        <v>1388</v>
      </c>
      <c r="I2019" s="1002" t="s">
        <v>1387</v>
      </c>
      <c r="J2019" s="1007" t="s">
        <v>796</v>
      </c>
      <c r="K2019" s="1064" t="s">
        <v>797</v>
      </c>
      <c r="L2019" s="1061" t="s">
        <v>18</v>
      </c>
      <c r="M2019" s="1240">
        <v>-3</v>
      </c>
      <c r="N2019" s="1107">
        <v>0</v>
      </c>
      <c r="O2019" s="1223">
        <f t="shared" si="364"/>
        <v>0</v>
      </c>
      <c r="P2019" s="1081">
        <f t="shared" si="360"/>
        <v>0</v>
      </c>
      <c r="Q2019" s="1083">
        <f t="shared" si="361"/>
        <v>0</v>
      </c>
      <c r="V2019" s="1083">
        <f t="shared" si="365"/>
        <v>0</v>
      </c>
    </row>
    <row r="2020" spans="1:22" hidden="1">
      <c r="C2020" s="1066">
        <v>46301</v>
      </c>
      <c r="D2020" s="1066">
        <v>46301</v>
      </c>
      <c r="E2020" s="1005" t="s">
        <v>1388</v>
      </c>
      <c r="I2020" s="1002" t="s">
        <v>1387</v>
      </c>
      <c r="J2020" s="1007" t="s">
        <v>798</v>
      </c>
      <c r="K2020" s="1064" t="s">
        <v>799</v>
      </c>
      <c r="L2020" s="1061" t="s">
        <v>18</v>
      </c>
      <c r="M2020" s="1240">
        <v>-4</v>
      </c>
      <c r="N2020" s="1107">
        <v>0</v>
      </c>
      <c r="O2020" s="1223">
        <f t="shared" si="364"/>
        <v>0</v>
      </c>
      <c r="P2020" s="1081">
        <f t="shared" si="360"/>
        <v>0</v>
      </c>
      <c r="Q2020" s="1083">
        <f t="shared" si="361"/>
        <v>0</v>
      </c>
      <c r="V2020" s="1083">
        <f t="shared" si="365"/>
        <v>0</v>
      </c>
    </row>
    <row r="2021" spans="1:22" hidden="1">
      <c r="A2021" s="1039" t="s">
        <v>1150</v>
      </c>
      <c r="B2021" s="1040" t="s">
        <v>1271</v>
      </c>
      <c r="C2021" s="1066">
        <v>46300</v>
      </c>
      <c r="D2021" s="1066">
        <v>46301</v>
      </c>
      <c r="E2021" s="1005" t="s">
        <v>1389</v>
      </c>
      <c r="I2021" s="1002" t="s">
        <v>1100</v>
      </c>
      <c r="J2021" s="1007" t="s">
        <v>1340</v>
      </c>
      <c r="K2021" s="1064" t="s">
        <v>1341</v>
      </c>
      <c r="L2021" s="1061" t="s">
        <v>18</v>
      </c>
      <c r="M2021" s="1061">
        <v>1</v>
      </c>
      <c r="N2021" s="1223">
        <v>0</v>
      </c>
      <c r="O2021" s="1223">
        <f t="shared" si="364"/>
        <v>0</v>
      </c>
      <c r="P2021" s="1081">
        <f t="shared" si="360"/>
        <v>0</v>
      </c>
      <c r="Q2021" s="1206">
        <f t="shared" si="361"/>
        <v>0</v>
      </c>
      <c r="V2021" s="1083">
        <f t="shared" si="365"/>
        <v>0</v>
      </c>
    </row>
    <row r="2022" spans="1:22" hidden="1">
      <c r="A2022" s="1039" t="s">
        <v>1150</v>
      </c>
      <c r="B2022" s="1040" t="s">
        <v>1271</v>
      </c>
      <c r="C2022" s="1066">
        <v>46300</v>
      </c>
      <c r="D2022" s="1066">
        <v>46301</v>
      </c>
      <c r="E2022" s="1005" t="s">
        <v>1389</v>
      </c>
      <c r="I2022" s="1002" t="s">
        <v>1100</v>
      </c>
      <c r="J2022" s="1007" t="s">
        <v>1342</v>
      </c>
      <c r="K2022" s="1064" t="s">
        <v>1343</v>
      </c>
      <c r="L2022" s="1242" t="s">
        <v>18</v>
      </c>
      <c r="M2022" s="1243">
        <v>1</v>
      </c>
      <c r="N2022" s="1223">
        <v>0</v>
      </c>
      <c r="O2022" s="1223">
        <f t="shared" si="364"/>
        <v>0</v>
      </c>
      <c r="P2022" s="1081">
        <f t="shared" si="360"/>
        <v>0</v>
      </c>
      <c r="Q2022" s="1206">
        <f t="shared" si="361"/>
        <v>0</v>
      </c>
      <c r="V2022" s="1083">
        <f t="shared" si="365"/>
        <v>0</v>
      </c>
    </row>
    <row r="2023" spans="1:22" hidden="1">
      <c r="C2023" s="1066">
        <v>46300</v>
      </c>
      <c r="D2023" s="1066">
        <v>46301</v>
      </c>
      <c r="E2023" s="1005" t="s">
        <v>1393</v>
      </c>
      <c r="I2023" s="1002" t="s">
        <v>1390</v>
      </c>
      <c r="J2023" s="1007" t="s">
        <v>641</v>
      </c>
      <c r="K2023" s="1064" t="s">
        <v>657</v>
      </c>
      <c r="L2023" s="1007" t="s">
        <v>18</v>
      </c>
      <c r="M2023" s="1243">
        <v>1</v>
      </c>
      <c r="N2023" s="1223">
        <v>0</v>
      </c>
      <c r="O2023" s="1223">
        <f>M2023*N2023</f>
        <v>0</v>
      </c>
      <c r="P2023" s="1081">
        <f t="shared" si="360"/>
        <v>0</v>
      </c>
      <c r="Q2023" s="1206">
        <f t="shared" si="361"/>
        <v>0</v>
      </c>
      <c r="V2023" s="1083">
        <f t="shared" si="365"/>
        <v>0</v>
      </c>
    </row>
    <row r="2024" spans="1:22" hidden="1">
      <c r="C2024" s="1066">
        <v>46300</v>
      </c>
      <c r="D2024" s="1066">
        <v>46301</v>
      </c>
      <c r="E2024" s="1005" t="s">
        <v>1393</v>
      </c>
      <c r="I2024" s="1002" t="s">
        <v>1390</v>
      </c>
      <c r="J2024" s="1007" t="s">
        <v>643</v>
      </c>
      <c r="K2024" s="1064" t="s">
        <v>644</v>
      </c>
      <c r="L2024" s="1007" t="s">
        <v>18</v>
      </c>
      <c r="M2024" s="1243">
        <v>1</v>
      </c>
      <c r="N2024" s="1223">
        <v>0</v>
      </c>
      <c r="O2024" s="1223">
        <f t="shared" ref="O2024:O2030" si="366">M2024*N2024</f>
        <v>0</v>
      </c>
      <c r="P2024" s="1081">
        <f t="shared" si="360"/>
        <v>0</v>
      </c>
      <c r="Q2024" s="1206">
        <f t="shared" si="361"/>
        <v>0</v>
      </c>
      <c r="V2024" s="1083">
        <f t="shared" si="365"/>
        <v>0</v>
      </c>
    </row>
    <row r="2025" spans="1:22" hidden="1">
      <c r="C2025" s="1066">
        <v>46300</v>
      </c>
      <c r="D2025" s="1066">
        <v>46301</v>
      </c>
      <c r="E2025" s="1005" t="s">
        <v>1393</v>
      </c>
      <c r="I2025" s="1002" t="s">
        <v>1390</v>
      </c>
      <c r="J2025" s="1007" t="s">
        <v>645</v>
      </c>
      <c r="K2025" s="1064" t="s">
        <v>644</v>
      </c>
      <c r="L2025" s="1007" t="s">
        <v>18</v>
      </c>
      <c r="M2025" s="1243">
        <v>1</v>
      </c>
      <c r="N2025" s="1223">
        <v>0</v>
      </c>
      <c r="O2025" s="1223">
        <f t="shared" si="366"/>
        <v>0</v>
      </c>
      <c r="P2025" s="1081">
        <f t="shared" si="360"/>
        <v>0</v>
      </c>
      <c r="Q2025" s="1206">
        <f t="shared" si="361"/>
        <v>0</v>
      </c>
      <c r="V2025" s="1083">
        <f t="shared" si="365"/>
        <v>0</v>
      </c>
    </row>
    <row r="2026" spans="1:22" hidden="1">
      <c r="C2026" s="1066">
        <v>46300</v>
      </c>
      <c r="D2026" s="1066">
        <v>46301</v>
      </c>
      <c r="E2026" s="1005" t="s">
        <v>1393</v>
      </c>
      <c r="I2026" s="1002" t="s">
        <v>1390</v>
      </c>
      <c r="J2026" s="1007" t="s">
        <v>651</v>
      </c>
      <c r="K2026" s="1064" t="s">
        <v>652</v>
      </c>
      <c r="L2026" s="1007" t="s">
        <v>18</v>
      </c>
      <c r="M2026" s="1243">
        <v>1</v>
      </c>
      <c r="N2026" s="1223">
        <v>0</v>
      </c>
      <c r="O2026" s="1223">
        <f t="shared" si="366"/>
        <v>0</v>
      </c>
      <c r="P2026" s="1081">
        <f t="shared" si="360"/>
        <v>0</v>
      </c>
      <c r="Q2026" s="1206">
        <f t="shared" si="361"/>
        <v>0</v>
      </c>
      <c r="V2026" s="1083">
        <f t="shared" si="365"/>
        <v>0</v>
      </c>
    </row>
    <row r="2027" spans="1:22" hidden="1">
      <c r="C2027" s="1066">
        <v>46300</v>
      </c>
      <c r="D2027" s="1066">
        <v>46301</v>
      </c>
      <c r="E2027" s="1005" t="s">
        <v>1393</v>
      </c>
      <c r="I2027" s="1002" t="s">
        <v>1390</v>
      </c>
      <c r="J2027" s="1007" t="s">
        <v>653</v>
      </c>
      <c r="K2027" s="1064" t="s">
        <v>654</v>
      </c>
      <c r="L2027" s="1007" t="s">
        <v>18</v>
      </c>
      <c r="M2027" s="1243">
        <v>1</v>
      </c>
      <c r="N2027" s="1223">
        <v>0</v>
      </c>
      <c r="O2027" s="1223">
        <f t="shared" si="366"/>
        <v>0</v>
      </c>
      <c r="P2027" s="1081">
        <f t="shared" si="360"/>
        <v>0</v>
      </c>
      <c r="Q2027" s="1206">
        <f t="shared" si="361"/>
        <v>0</v>
      </c>
      <c r="V2027" s="1083">
        <f t="shared" si="365"/>
        <v>0</v>
      </c>
    </row>
    <row r="2028" spans="1:22" hidden="1">
      <c r="C2028" s="1066">
        <v>46300</v>
      </c>
      <c r="D2028" s="1066">
        <v>46301</v>
      </c>
      <c r="E2028" s="1005" t="s">
        <v>1393</v>
      </c>
      <c r="I2028" s="1002" t="s">
        <v>1390</v>
      </c>
      <c r="J2028" s="1007" t="s">
        <v>655</v>
      </c>
      <c r="K2028" s="1064" t="s">
        <v>656</v>
      </c>
      <c r="L2028" s="1007" t="s">
        <v>18</v>
      </c>
      <c r="M2028" s="1243">
        <v>1</v>
      </c>
      <c r="N2028" s="1223">
        <v>0</v>
      </c>
      <c r="O2028" s="1223">
        <f t="shared" si="366"/>
        <v>0</v>
      </c>
      <c r="P2028" s="1081">
        <f t="shared" si="360"/>
        <v>0</v>
      </c>
      <c r="Q2028" s="1206">
        <f t="shared" si="361"/>
        <v>0</v>
      </c>
      <c r="V2028" s="1083">
        <f t="shared" si="365"/>
        <v>0</v>
      </c>
    </row>
    <row r="2029" spans="1:22" hidden="1">
      <c r="C2029" s="1066">
        <v>46300</v>
      </c>
      <c r="D2029" s="1066">
        <v>46301</v>
      </c>
      <c r="E2029" s="1005" t="s">
        <v>1393</v>
      </c>
      <c r="I2029" s="1002" t="s">
        <v>1390</v>
      </c>
      <c r="J2029" s="1007" t="s">
        <v>647</v>
      </c>
      <c r="K2029" s="1064" t="s">
        <v>648</v>
      </c>
      <c r="L2029" s="1007" t="s">
        <v>18</v>
      </c>
      <c r="M2029" s="1243">
        <v>1</v>
      </c>
      <c r="N2029" s="1223">
        <v>0</v>
      </c>
      <c r="O2029" s="1223">
        <f t="shared" si="366"/>
        <v>0</v>
      </c>
      <c r="P2029" s="1081">
        <f t="shared" si="360"/>
        <v>0</v>
      </c>
      <c r="Q2029" s="1206">
        <f t="shared" si="361"/>
        <v>0</v>
      </c>
      <c r="V2029" s="1083">
        <f t="shared" si="365"/>
        <v>0</v>
      </c>
    </row>
    <row r="2030" spans="1:22" hidden="1">
      <c r="C2030" s="1066">
        <v>46300</v>
      </c>
      <c r="D2030" s="1066">
        <v>46301</v>
      </c>
      <c r="E2030" s="1005" t="s">
        <v>1393</v>
      </c>
      <c r="I2030" s="1002" t="s">
        <v>1390</v>
      </c>
      <c r="J2030" s="1007" t="s">
        <v>1199</v>
      </c>
      <c r="K2030" s="1064" t="s">
        <v>1270</v>
      </c>
      <c r="L2030" s="1007" t="s">
        <v>18</v>
      </c>
      <c r="M2030" s="1243">
        <v>1</v>
      </c>
      <c r="N2030" s="1223">
        <v>0</v>
      </c>
      <c r="O2030" s="1223">
        <f t="shared" si="366"/>
        <v>0</v>
      </c>
      <c r="P2030" s="1081">
        <f t="shared" si="360"/>
        <v>0</v>
      </c>
      <c r="Q2030" s="1206">
        <f t="shared" si="361"/>
        <v>0</v>
      </c>
      <c r="V2030" s="1083">
        <f t="shared" si="365"/>
        <v>0</v>
      </c>
    </row>
    <row r="2031" spans="1:22" hidden="1">
      <c r="A2031" s="1000" t="s">
        <v>1004</v>
      </c>
      <c r="B2031" s="1028" t="s">
        <v>888</v>
      </c>
      <c r="C2031" s="1066">
        <v>46300</v>
      </c>
      <c r="D2031" s="1066">
        <v>46301</v>
      </c>
      <c r="E2031" s="1005" t="s">
        <v>1391</v>
      </c>
      <c r="I2031" s="1008" t="s">
        <v>893</v>
      </c>
      <c r="J2031" s="1007" t="s">
        <v>204</v>
      </c>
      <c r="K2031" s="1064" t="s">
        <v>269</v>
      </c>
      <c r="L2031" s="1007" t="s">
        <v>25</v>
      </c>
      <c r="M2031" s="1243">
        <v>20</v>
      </c>
      <c r="N2031" s="1223">
        <v>480555.56</v>
      </c>
      <c r="O2031" s="1223">
        <f>M2031*N2031</f>
        <v>9611111.1999999993</v>
      </c>
      <c r="P2031" s="1081">
        <f t="shared" si="360"/>
        <v>768888.89599999995</v>
      </c>
      <c r="Q2031" s="1206">
        <f t="shared" si="361"/>
        <v>10380000.095999999</v>
      </c>
      <c r="V2031" s="1083">
        <f t="shared" si="365"/>
        <v>10380000.095999999</v>
      </c>
    </row>
    <row r="2032" spans="1:22" hidden="1">
      <c r="A2032" s="1000" t="s">
        <v>1004</v>
      </c>
      <c r="B2032" s="1028" t="s">
        <v>888</v>
      </c>
      <c r="C2032" s="1066">
        <v>46300</v>
      </c>
      <c r="D2032" s="1066">
        <v>46301</v>
      </c>
      <c r="E2032" s="1005" t="s">
        <v>1391</v>
      </c>
      <c r="I2032" s="1008" t="s">
        <v>893</v>
      </c>
      <c r="J2032" s="1007" t="s">
        <v>206</v>
      </c>
      <c r="K2032" s="1064" t="s">
        <v>835</v>
      </c>
      <c r="L2032" s="1007" t="s">
        <v>25</v>
      </c>
      <c r="M2032" s="1243">
        <v>20</v>
      </c>
      <c r="N2032" s="1223">
        <v>483333.33</v>
      </c>
      <c r="O2032" s="1223">
        <f t="shared" ref="O2032:O2039" si="367">M2032*N2032</f>
        <v>9666666.5999999996</v>
      </c>
      <c r="P2032" s="1081">
        <f t="shared" si="360"/>
        <v>773333.32799999998</v>
      </c>
      <c r="Q2032" s="1206">
        <f t="shared" si="361"/>
        <v>10439999.927999999</v>
      </c>
      <c r="V2032" s="1083">
        <f t="shared" si="365"/>
        <v>10439999.927999999</v>
      </c>
    </row>
    <row r="2033" spans="1:22" hidden="1">
      <c r="A2033" s="1000" t="s">
        <v>1004</v>
      </c>
      <c r="B2033" s="1028" t="s">
        <v>888</v>
      </c>
      <c r="C2033" s="1066">
        <v>46300</v>
      </c>
      <c r="D2033" s="1066">
        <v>46301</v>
      </c>
      <c r="E2033" s="1005" t="s">
        <v>1391</v>
      </c>
      <c r="I2033" s="1008" t="s">
        <v>893</v>
      </c>
      <c r="J2033" s="1007" t="s">
        <v>1331</v>
      </c>
      <c r="K2033" s="1064" t="s">
        <v>1332</v>
      </c>
      <c r="L2033" s="1007" t="s">
        <v>18</v>
      </c>
      <c r="M2033" s="1243">
        <v>2</v>
      </c>
      <c r="N2033" s="1223">
        <v>537037.04</v>
      </c>
      <c r="O2033" s="1223">
        <f t="shared" si="367"/>
        <v>1074074.08</v>
      </c>
      <c r="P2033" s="1081">
        <f t="shared" si="360"/>
        <v>85925.926400000011</v>
      </c>
      <c r="Q2033" s="1206">
        <f t="shared" si="361"/>
        <v>1160000.0064000001</v>
      </c>
      <c r="V2033" s="1083">
        <f t="shared" si="365"/>
        <v>1160000.0064000001</v>
      </c>
    </row>
    <row r="2034" spans="1:22" hidden="1">
      <c r="A2034" s="1000" t="s">
        <v>1004</v>
      </c>
      <c r="B2034" s="1028" t="s">
        <v>888</v>
      </c>
      <c r="C2034" s="1066">
        <v>46300</v>
      </c>
      <c r="D2034" s="1066">
        <v>46301</v>
      </c>
      <c r="E2034" s="1005" t="s">
        <v>1391</v>
      </c>
      <c r="I2034" s="1008" t="s">
        <v>893</v>
      </c>
      <c r="J2034" s="1007" t="s">
        <v>1333</v>
      </c>
      <c r="K2034" s="1064" t="s">
        <v>1334</v>
      </c>
      <c r="L2034" s="1007" t="s">
        <v>18</v>
      </c>
      <c r="M2034" s="1243">
        <v>2</v>
      </c>
      <c r="N2034" s="1223">
        <v>500000</v>
      </c>
      <c r="O2034" s="1223">
        <f>M2034*N2034</f>
        <v>1000000</v>
      </c>
      <c r="P2034" s="1081">
        <f t="shared" si="360"/>
        <v>80000</v>
      </c>
      <c r="Q2034" s="1206">
        <f t="shared" si="361"/>
        <v>1080000</v>
      </c>
      <c r="V2034" s="1083">
        <f t="shared" si="365"/>
        <v>1080000</v>
      </c>
    </row>
    <row r="2035" spans="1:22" hidden="1">
      <c r="A2035" s="1000" t="s">
        <v>1004</v>
      </c>
      <c r="B2035" s="1028" t="s">
        <v>888</v>
      </c>
      <c r="C2035" s="1066">
        <v>46300</v>
      </c>
      <c r="D2035" s="1066">
        <v>46301</v>
      </c>
      <c r="E2035" s="1005" t="s">
        <v>1391</v>
      </c>
      <c r="I2035" s="1008" t="s">
        <v>893</v>
      </c>
      <c r="J2035" s="1007" t="s">
        <v>1335</v>
      </c>
      <c r="K2035" s="1064" t="s">
        <v>1336</v>
      </c>
      <c r="L2035" s="1007" t="s">
        <v>18</v>
      </c>
      <c r="M2035" s="1243">
        <v>2</v>
      </c>
      <c r="N2035" s="1223">
        <v>555555.56000000006</v>
      </c>
      <c r="O2035" s="1223">
        <f t="shared" si="367"/>
        <v>1111111.1200000001</v>
      </c>
      <c r="P2035" s="1081">
        <f t="shared" si="360"/>
        <v>88888.88960000001</v>
      </c>
      <c r="Q2035" s="1206">
        <f t="shared" si="361"/>
        <v>1200000.0096000002</v>
      </c>
      <c r="V2035" s="1083">
        <f t="shared" si="365"/>
        <v>1200000.0096000002</v>
      </c>
    </row>
    <row r="2036" spans="1:22" hidden="1">
      <c r="A2036" s="1000" t="s">
        <v>1004</v>
      </c>
      <c r="B2036" s="1028" t="s">
        <v>888</v>
      </c>
      <c r="C2036" s="1066">
        <v>46300</v>
      </c>
      <c r="D2036" s="1066">
        <v>46301</v>
      </c>
      <c r="E2036" s="1005" t="s">
        <v>1391</v>
      </c>
      <c r="I2036" s="1008" t="s">
        <v>893</v>
      </c>
      <c r="J2036" s="1007" t="s">
        <v>1337</v>
      </c>
      <c r="K2036" s="1064" t="s">
        <v>1338</v>
      </c>
      <c r="L2036" s="1007" t="s">
        <v>18</v>
      </c>
      <c r="M2036" s="1243">
        <v>2</v>
      </c>
      <c r="N2036" s="1223">
        <v>564814.81000000006</v>
      </c>
      <c r="O2036" s="1223">
        <f t="shared" si="367"/>
        <v>1129629.6200000001</v>
      </c>
      <c r="P2036" s="1081">
        <f t="shared" si="360"/>
        <v>90370.369600000005</v>
      </c>
      <c r="Q2036" s="1206">
        <f t="shared" si="361"/>
        <v>1219999.9896000002</v>
      </c>
      <c r="V2036" s="1083">
        <f t="shared" si="365"/>
        <v>1219999.9896000002</v>
      </c>
    </row>
    <row r="2037" spans="1:22" hidden="1">
      <c r="A2037" s="1000" t="s">
        <v>1004</v>
      </c>
      <c r="B2037" s="1028" t="s">
        <v>888</v>
      </c>
      <c r="C2037" s="1066">
        <v>46300</v>
      </c>
      <c r="D2037" s="1066">
        <v>46301</v>
      </c>
      <c r="E2037" s="1005" t="s">
        <v>1391</v>
      </c>
      <c r="I2037" s="1008" t="s">
        <v>893</v>
      </c>
      <c r="J2037" s="1007" t="s">
        <v>1340</v>
      </c>
      <c r="K2037" s="1064" t="s">
        <v>1341</v>
      </c>
      <c r="L2037" s="1007" t="s">
        <v>18</v>
      </c>
      <c r="M2037" s="1243">
        <v>2</v>
      </c>
      <c r="N2037" s="1223">
        <v>203703.07</v>
      </c>
      <c r="O2037" s="1223">
        <f t="shared" si="367"/>
        <v>407406.14</v>
      </c>
      <c r="P2037" s="1081">
        <f t="shared" si="360"/>
        <v>32592.4912</v>
      </c>
      <c r="Q2037" s="1206">
        <f t="shared" si="361"/>
        <v>439998.6312</v>
      </c>
      <c r="V2037" s="1083">
        <f t="shared" si="365"/>
        <v>439998.6312</v>
      </c>
    </row>
    <row r="2038" spans="1:22" hidden="1">
      <c r="A2038" s="1000" t="s">
        <v>1004</v>
      </c>
      <c r="B2038" s="1028" t="s">
        <v>888</v>
      </c>
      <c r="C2038" s="1066">
        <v>46300</v>
      </c>
      <c r="D2038" s="1066">
        <v>46301</v>
      </c>
      <c r="E2038" s="1005" t="s">
        <v>1391</v>
      </c>
      <c r="I2038" s="1008" t="s">
        <v>893</v>
      </c>
      <c r="J2038" s="1007" t="s">
        <v>1342</v>
      </c>
      <c r="K2038" s="1064" t="s">
        <v>1343</v>
      </c>
      <c r="L2038" s="1007" t="s">
        <v>18</v>
      </c>
      <c r="M2038" s="1243">
        <v>2</v>
      </c>
      <c r="N2038" s="1223">
        <v>203703.07</v>
      </c>
      <c r="O2038" s="1223">
        <f t="shared" si="367"/>
        <v>407406.14</v>
      </c>
      <c r="P2038" s="1081">
        <f t="shared" si="360"/>
        <v>32592.4912</v>
      </c>
      <c r="Q2038" s="1206">
        <f t="shared" si="361"/>
        <v>439998.6312</v>
      </c>
      <c r="V2038" s="1083">
        <f t="shared" si="365"/>
        <v>439998.6312</v>
      </c>
    </row>
    <row r="2039" spans="1:22" hidden="1">
      <c r="A2039" s="1000" t="s">
        <v>1004</v>
      </c>
      <c r="B2039" s="1028" t="s">
        <v>888</v>
      </c>
      <c r="C2039" s="1066">
        <v>46300</v>
      </c>
      <c r="D2039" s="1066">
        <v>46301</v>
      </c>
      <c r="E2039" s="1005" t="s">
        <v>1391</v>
      </c>
      <c r="I2039" s="1008" t="s">
        <v>893</v>
      </c>
      <c r="J2039" s="1007" t="s">
        <v>1199</v>
      </c>
      <c r="K2039" s="1064" t="s">
        <v>1200</v>
      </c>
      <c r="L2039" s="1007" t="s">
        <v>18</v>
      </c>
      <c r="M2039" s="1243">
        <v>2</v>
      </c>
      <c r="N2039" s="1223">
        <v>212962.96</v>
      </c>
      <c r="O2039" s="1223">
        <f t="shared" si="367"/>
        <v>425925.92</v>
      </c>
      <c r="P2039" s="1081">
        <f t="shared" si="360"/>
        <v>34074.073599999996</v>
      </c>
      <c r="Q2039" s="1206">
        <f t="shared" si="361"/>
        <v>459999.99359999999</v>
      </c>
      <c r="V2039" s="1083">
        <f t="shared" si="365"/>
        <v>459999.99359999999</v>
      </c>
    </row>
    <row r="2040" spans="1:22" hidden="1">
      <c r="A2040" s="1000" t="s">
        <v>756</v>
      </c>
      <c r="B2040" s="1001" t="s">
        <v>759</v>
      </c>
      <c r="C2040" s="1066">
        <v>46302</v>
      </c>
      <c r="D2040" s="1066">
        <v>46302</v>
      </c>
      <c r="E2040" s="1005" t="s">
        <v>1392</v>
      </c>
      <c r="I2040" s="1002" t="s">
        <v>758</v>
      </c>
      <c r="J2040" s="1007" t="s">
        <v>208</v>
      </c>
      <c r="K2040" s="1064" t="s">
        <v>1127</v>
      </c>
      <c r="L2040" s="1007" t="s">
        <v>18</v>
      </c>
      <c r="M2040" s="1243">
        <v>2</v>
      </c>
      <c r="N2040" s="1223">
        <v>685185.19</v>
      </c>
      <c r="O2040" s="1223">
        <f>M2040*N2040</f>
        <v>1370370.38</v>
      </c>
      <c r="P2040" s="1081">
        <f t="shared" si="360"/>
        <v>109629.63039999999</v>
      </c>
      <c r="Q2040" s="1206">
        <f t="shared" si="361"/>
        <v>1480000.0103999998</v>
      </c>
      <c r="V2040" s="1083">
        <f t="shared" si="365"/>
        <v>1480000.0103999998</v>
      </c>
    </row>
    <row r="2041" spans="1:22" hidden="1">
      <c r="A2041" s="1000" t="s">
        <v>756</v>
      </c>
      <c r="B2041" s="1001" t="s">
        <v>759</v>
      </c>
      <c r="C2041" s="1066">
        <v>46302</v>
      </c>
      <c r="D2041" s="1066">
        <v>46302</v>
      </c>
      <c r="E2041" s="1005" t="s">
        <v>1392</v>
      </c>
      <c r="I2041" s="1002" t="s">
        <v>758</v>
      </c>
      <c r="J2041" s="1007" t="s">
        <v>98</v>
      </c>
      <c r="K2041" s="1064" t="s">
        <v>251</v>
      </c>
      <c r="L2041" s="1007" t="s">
        <v>18</v>
      </c>
      <c r="M2041" s="1243">
        <v>1</v>
      </c>
      <c r="N2041" s="1223">
        <v>740740.74</v>
      </c>
      <c r="O2041" s="1223">
        <f>M2041*N2041</f>
        <v>740740.74</v>
      </c>
      <c r="P2041" s="1081">
        <f t="shared" si="360"/>
        <v>59259.2592</v>
      </c>
      <c r="Q2041" s="1206">
        <f t="shared" si="361"/>
        <v>799999.99919999996</v>
      </c>
      <c r="V2041" s="1083">
        <f t="shared" si="365"/>
        <v>799999.99919999996</v>
      </c>
    </row>
    <row r="2042" spans="1:22" hidden="1">
      <c r="A2042" s="1000" t="s">
        <v>756</v>
      </c>
      <c r="B2042" s="1001" t="s">
        <v>759</v>
      </c>
      <c r="C2042" s="1066">
        <v>46302</v>
      </c>
      <c r="D2042" s="1066">
        <v>46302</v>
      </c>
      <c r="E2042" s="1005" t="s">
        <v>1392</v>
      </c>
      <c r="I2042" s="1002" t="s">
        <v>758</v>
      </c>
      <c r="J2042" s="1007" t="s">
        <v>90</v>
      </c>
      <c r="K2042" s="1064" t="s">
        <v>91</v>
      </c>
      <c r="L2042" s="1007" t="s">
        <v>18</v>
      </c>
      <c r="M2042" s="1243">
        <v>2</v>
      </c>
      <c r="N2042" s="1223">
        <v>907407.41</v>
      </c>
      <c r="O2042" s="1223">
        <f>M2042*N2042</f>
        <v>1814814.82</v>
      </c>
      <c r="P2042" s="1081">
        <f t="shared" si="360"/>
        <v>145185.1856</v>
      </c>
      <c r="Q2042" s="1206">
        <f t="shared" si="361"/>
        <v>1960000.0056</v>
      </c>
      <c r="V2042" s="1083">
        <f t="shared" si="365"/>
        <v>1960000.0056</v>
      </c>
    </row>
    <row r="2043" spans="1:22" hidden="1">
      <c r="A2043" s="1000" t="s">
        <v>964</v>
      </c>
      <c r="B2043" s="1001" t="s">
        <v>852</v>
      </c>
      <c r="C2043" s="1066">
        <v>46300</v>
      </c>
      <c r="D2043" s="1066">
        <v>46303</v>
      </c>
      <c r="E2043" s="1005" t="s">
        <v>1394</v>
      </c>
      <c r="I2043" s="1008" t="s">
        <v>587</v>
      </c>
      <c r="J2043" s="1007" t="s">
        <v>77</v>
      </c>
      <c r="K2043" s="1064" t="s">
        <v>320</v>
      </c>
      <c r="L2043" s="1007" t="s">
        <v>18</v>
      </c>
      <c r="M2043" s="1243">
        <v>60</v>
      </c>
      <c r="N2043" s="1223">
        <v>333333.33</v>
      </c>
      <c r="O2043" s="1223">
        <f t="shared" ref="O2043:O2047" si="368">M2043*N2043</f>
        <v>19999999.800000001</v>
      </c>
      <c r="P2043" s="1081">
        <f t="shared" si="360"/>
        <v>1599999.9840000002</v>
      </c>
      <c r="Q2043" s="1221">
        <f t="shared" si="361"/>
        <v>21599999.784000002</v>
      </c>
      <c r="V2043" s="1083">
        <f t="shared" si="365"/>
        <v>21599999.784000002</v>
      </c>
    </row>
    <row r="2044" spans="1:22" hidden="1">
      <c r="A2044" s="1000" t="s">
        <v>964</v>
      </c>
      <c r="B2044" s="1001" t="s">
        <v>852</v>
      </c>
      <c r="C2044" s="1066">
        <v>46300</v>
      </c>
      <c r="D2044" s="1066">
        <v>46303</v>
      </c>
      <c r="E2044" s="1005" t="s">
        <v>1394</v>
      </c>
      <c r="I2044" s="1008" t="s">
        <v>587</v>
      </c>
      <c r="J2044" s="1007" t="s">
        <v>645</v>
      </c>
      <c r="K2044" s="1064" t="s">
        <v>646</v>
      </c>
      <c r="L2044" s="1007" t="s">
        <v>18</v>
      </c>
      <c r="M2044" s="1243">
        <v>60</v>
      </c>
      <c r="N2044" s="1223">
        <v>629629.63</v>
      </c>
      <c r="O2044" s="1223">
        <f t="shared" si="368"/>
        <v>37777777.799999997</v>
      </c>
      <c r="P2044" s="1081">
        <f t="shared" si="360"/>
        <v>3022222.2239999999</v>
      </c>
      <c r="Q2044" s="1221">
        <f t="shared" si="361"/>
        <v>40800000.023999996</v>
      </c>
      <c r="V2044" s="1083">
        <f t="shared" si="365"/>
        <v>40800000.023999996</v>
      </c>
    </row>
    <row r="2045" spans="1:22" hidden="1">
      <c r="A2045" s="1000" t="s">
        <v>964</v>
      </c>
      <c r="B2045" s="1001" t="s">
        <v>852</v>
      </c>
      <c r="C2045" s="1066">
        <v>46300</v>
      </c>
      <c r="D2045" s="1066">
        <v>46303</v>
      </c>
      <c r="E2045" s="1005" t="s">
        <v>1394</v>
      </c>
      <c r="I2045" s="1008" t="s">
        <v>587</v>
      </c>
      <c r="J2045" s="1007" t="s">
        <v>103</v>
      </c>
      <c r="K2045" s="1064" t="s">
        <v>104</v>
      </c>
      <c r="L2045" s="1007" t="s">
        <v>18</v>
      </c>
      <c r="M2045" s="1243">
        <v>30</v>
      </c>
      <c r="N2045" s="1223">
        <v>675925.93</v>
      </c>
      <c r="O2045" s="1223">
        <f t="shared" si="368"/>
        <v>20277777.900000002</v>
      </c>
      <c r="P2045" s="1081">
        <f t="shared" si="360"/>
        <v>1622222.2320000003</v>
      </c>
      <c r="Q2045" s="1221">
        <f t="shared" si="361"/>
        <v>21900000.132000003</v>
      </c>
      <c r="V2045" s="1083">
        <f t="shared" si="365"/>
        <v>21900000.132000003</v>
      </c>
    </row>
    <row r="2046" spans="1:22" hidden="1">
      <c r="A2046" s="1000" t="s">
        <v>964</v>
      </c>
      <c r="B2046" s="1001" t="s">
        <v>852</v>
      </c>
      <c r="C2046" s="1066">
        <v>46300</v>
      </c>
      <c r="D2046" s="1066">
        <v>46303</v>
      </c>
      <c r="E2046" s="1005" t="s">
        <v>1394</v>
      </c>
      <c r="I2046" s="1008" t="s">
        <v>892</v>
      </c>
      <c r="J2046" s="1007" t="s">
        <v>645</v>
      </c>
      <c r="K2046" s="1064" t="s">
        <v>646</v>
      </c>
      <c r="L2046" s="1007" t="s">
        <v>18</v>
      </c>
      <c r="M2046" s="1243">
        <v>4</v>
      </c>
      <c r="N2046" s="1223">
        <v>0</v>
      </c>
      <c r="O2046" s="1223">
        <f t="shared" si="368"/>
        <v>0</v>
      </c>
      <c r="P2046" s="1081">
        <f t="shared" si="360"/>
        <v>0</v>
      </c>
      <c r="Q2046" s="1221">
        <f t="shared" si="361"/>
        <v>0</v>
      </c>
      <c r="V2046" s="1083">
        <f t="shared" si="365"/>
        <v>0</v>
      </c>
    </row>
    <row r="2047" spans="1:22" hidden="1">
      <c r="A2047" s="1000" t="s">
        <v>964</v>
      </c>
      <c r="B2047" s="1001" t="s">
        <v>852</v>
      </c>
      <c r="C2047" s="1066">
        <v>46300</v>
      </c>
      <c r="D2047" s="1066">
        <v>46303</v>
      </c>
      <c r="E2047" s="1005" t="s">
        <v>1394</v>
      </c>
      <c r="I2047" s="1002" t="s">
        <v>862</v>
      </c>
      <c r="J2047" s="1007" t="s">
        <v>959</v>
      </c>
      <c r="K2047" s="1064" t="s">
        <v>960</v>
      </c>
      <c r="L2047" s="1007" t="s">
        <v>18</v>
      </c>
      <c r="M2047" s="1243">
        <v>30</v>
      </c>
      <c r="N2047" s="1223">
        <v>0</v>
      </c>
      <c r="O2047" s="1223">
        <f t="shared" si="368"/>
        <v>0</v>
      </c>
      <c r="P2047" s="1081">
        <f t="shared" si="360"/>
        <v>0</v>
      </c>
      <c r="Q2047" s="1221">
        <f t="shared" si="361"/>
        <v>0</v>
      </c>
      <c r="V2047" s="1083">
        <f t="shared" si="365"/>
        <v>0</v>
      </c>
    </row>
    <row r="2048" spans="1:22" hidden="1">
      <c r="A2048" s="1000" t="s">
        <v>964</v>
      </c>
      <c r="B2048" s="1001" t="s">
        <v>852</v>
      </c>
      <c r="C2048" s="1066">
        <v>46303</v>
      </c>
      <c r="I2048" s="1002" t="s">
        <v>844</v>
      </c>
      <c r="J2048" s="1007"/>
      <c r="K2048" s="1064"/>
      <c r="R2048" s="1107">
        <v>100000000</v>
      </c>
      <c r="V2048" s="1241">
        <f t="shared" si="365"/>
        <v>-100000000</v>
      </c>
    </row>
    <row r="2049" spans="1:22" ht="31.5" hidden="1">
      <c r="A2049" s="1000" t="s">
        <v>1175</v>
      </c>
      <c r="B2049" s="1001" t="s">
        <v>1188</v>
      </c>
      <c r="C2049" s="1066">
        <v>46302</v>
      </c>
      <c r="D2049" s="1066">
        <v>46303</v>
      </c>
      <c r="E2049" s="1005" t="s">
        <v>1395</v>
      </c>
      <c r="I2049" s="1002" t="s">
        <v>1177</v>
      </c>
      <c r="J2049" s="1007" t="s">
        <v>355</v>
      </c>
      <c r="K2049" s="1064" t="s">
        <v>356</v>
      </c>
      <c r="L2049" s="1007" t="s">
        <v>18</v>
      </c>
      <c r="M2049" s="1243">
        <v>1</v>
      </c>
      <c r="N2049" s="1223">
        <v>1148148.1499999999</v>
      </c>
      <c r="O2049" s="1223">
        <f>M2049*N2049</f>
        <v>1148148.1499999999</v>
      </c>
      <c r="P2049" s="1081">
        <f t="shared" si="360"/>
        <v>91851.851999999999</v>
      </c>
      <c r="Q2049" s="1221">
        <f t="shared" si="361"/>
        <v>1240000.0019999999</v>
      </c>
      <c r="V2049" s="1083">
        <f t="shared" si="365"/>
        <v>1240000.0019999999</v>
      </c>
    </row>
    <row r="2050" spans="1:22" ht="31.5" hidden="1">
      <c r="A2050" s="1000" t="s">
        <v>1175</v>
      </c>
      <c r="B2050" s="1001" t="s">
        <v>1188</v>
      </c>
      <c r="C2050" s="1066">
        <v>46302</v>
      </c>
      <c r="D2050" s="1066">
        <v>46303</v>
      </c>
      <c r="E2050" s="1005" t="s">
        <v>1395</v>
      </c>
      <c r="I2050" s="1002" t="s">
        <v>1177</v>
      </c>
      <c r="J2050" s="1007" t="s">
        <v>28</v>
      </c>
      <c r="K2050" s="1064" t="s">
        <v>29</v>
      </c>
      <c r="L2050" s="1007" t="s">
        <v>18</v>
      </c>
      <c r="M2050" s="1243">
        <v>1</v>
      </c>
      <c r="N2050" s="1223">
        <v>309259.26</v>
      </c>
      <c r="O2050" s="1223">
        <f>M2050*N2050</f>
        <v>309259.26</v>
      </c>
      <c r="P2050" s="1081">
        <f t="shared" si="360"/>
        <v>24740.7408</v>
      </c>
      <c r="Q2050" s="1221">
        <f t="shared" si="361"/>
        <v>334000.00080000004</v>
      </c>
      <c r="V2050" s="1083">
        <f t="shared" si="365"/>
        <v>334000.00080000004</v>
      </c>
    </row>
    <row r="2051" spans="1:22" hidden="1">
      <c r="A2051" s="1000" t="s">
        <v>756</v>
      </c>
      <c r="B2051" s="1001" t="s">
        <v>759</v>
      </c>
      <c r="C2051" s="1066">
        <v>46303</v>
      </c>
      <c r="D2051" s="1066">
        <v>46303</v>
      </c>
      <c r="E2051" s="1005" t="s">
        <v>1396</v>
      </c>
      <c r="I2051" s="1002" t="s">
        <v>758</v>
      </c>
      <c r="J2051" s="1007" t="s">
        <v>98</v>
      </c>
      <c r="K2051" s="1064" t="s">
        <v>251</v>
      </c>
      <c r="L2051" s="1007" t="s">
        <v>18</v>
      </c>
      <c r="M2051" s="1243">
        <v>3</v>
      </c>
      <c r="N2051" s="1223">
        <v>740740.74</v>
      </c>
      <c r="O2051" s="1223">
        <f>M2051*N2051</f>
        <v>2222222.2199999997</v>
      </c>
      <c r="P2051" s="1081">
        <f t="shared" si="360"/>
        <v>177777.77759999997</v>
      </c>
      <c r="Q2051" s="1206">
        <f t="shared" si="361"/>
        <v>2399999.9975999999</v>
      </c>
      <c r="V2051" s="1083">
        <f t="shared" si="365"/>
        <v>2399999.9975999999</v>
      </c>
    </row>
    <row r="2052" spans="1:22" hidden="1">
      <c r="A2052" s="1039" t="s">
        <v>1150</v>
      </c>
      <c r="B2052" s="1040" t="s">
        <v>1271</v>
      </c>
      <c r="C2052" s="1066">
        <v>46303</v>
      </c>
      <c r="D2052" s="1066">
        <v>46303</v>
      </c>
      <c r="E2052" s="1005" t="s">
        <v>1397</v>
      </c>
      <c r="I2052" s="1002" t="s">
        <v>1100</v>
      </c>
      <c r="J2052" s="1007" t="s">
        <v>1398</v>
      </c>
      <c r="K2052" s="1064" t="s">
        <v>1399</v>
      </c>
      <c r="L2052" s="1007" t="s">
        <v>18</v>
      </c>
      <c r="M2052" s="1243">
        <v>1</v>
      </c>
      <c r="N2052" s="1223">
        <v>0</v>
      </c>
      <c r="O2052" s="1223">
        <v>0</v>
      </c>
      <c r="P2052" s="1081">
        <f t="shared" si="360"/>
        <v>0</v>
      </c>
      <c r="Q2052" s="1206">
        <f t="shared" si="361"/>
        <v>0</v>
      </c>
      <c r="V2052" s="1083">
        <f t="shared" si="365"/>
        <v>0</v>
      </c>
    </row>
    <row r="2053" spans="1:22" hidden="1">
      <c r="A2053" s="1039" t="s">
        <v>1150</v>
      </c>
      <c r="B2053" s="1040" t="s">
        <v>1271</v>
      </c>
      <c r="C2053" s="1066">
        <v>46303</v>
      </c>
      <c r="D2053" s="1066">
        <v>46303</v>
      </c>
      <c r="E2053" s="1005" t="s">
        <v>1397</v>
      </c>
      <c r="I2053" s="1002" t="s">
        <v>1100</v>
      </c>
      <c r="J2053" s="1007" t="s">
        <v>1400</v>
      </c>
      <c r="K2053" s="1064" t="s">
        <v>1401</v>
      </c>
      <c r="L2053" s="1007" t="s">
        <v>18</v>
      </c>
      <c r="M2053" s="1243">
        <v>1</v>
      </c>
      <c r="N2053" s="1223">
        <v>0</v>
      </c>
      <c r="O2053" s="1223">
        <v>0</v>
      </c>
      <c r="P2053" s="1081">
        <f t="shared" si="360"/>
        <v>0</v>
      </c>
      <c r="Q2053" s="1206">
        <f t="shared" si="361"/>
        <v>0</v>
      </c>
      <c r="V2053" s="1083">
        <f t="shared" si="365"/>
        <v>0</v>
      </c>
    </row>
    <row r="2054" spans="1:22" hidden="1">
      <c r="A2054" s="1039" t="s">
        <v>1402</v>
      </c>
      <c r="B2054" s="1040" t="s">
        <v>1402</v>
      </c>
      <c r="C2054" s="1066">
        <v>46302</v>
      </c>
      <c r="D2054" s="1066">
        <v>46303</v>
      </c>
      <c r="E2054" s="1005" t="s">
        <v>1403</v>
      </c>
      <c r="I2054" s="1002" t="s">
        <v>1404</v>
      </c>
      <c r="J2054" s="1007" t="s">
        <v>444</v>
      </c>
      <c r="K2054" s="1064" t="s">
        <v>445</v>
      </c>
      <c r="L2054" s="1007" t="s">
        <v>18</v>
      </c>
      <c r="M2054" s="1243">
        <v>1</v>
      </c>
      <c r="N2054" s="1223">
        <v>0</v>
      </c>
      <c r="O2054" s="1223">
        <f>M2054*N2054</f>
        <v>0</v>
      </c>
      <c r="P2054" s="1081">
        <f t="shared" si="360"/>
        <v>0</v>
      </c>
      <c r="Q2054" s="1206">
        <f t="shared" si="361"/>
        <v>0</v>
      </c>
      <c r="V2054" s="1083">
        <f t="shared" si="365"/>
        <v>0</v>
      </c>
    </row>
    <row r="2055" spans="1:22" hidden="1">
      <c r="A2055" s="1039" t="s">
        <v>1402</v>
      </c>
      <c r="B2055" s="1040" t="s">
        <v>1402</v>
      </c>
      <c r="C2055" s="1066">
        <v>46302</v>
      </c>
      <c r="D2055" s="1066">
        <v>46303</v>
      </c>
      <c r="E2055" s="1005" t="s">
        <v>1403</v>
      </c>
      <c r="I2055" s="1002" t="s">
        <v>1404</v>
      </c>
      <c r="J2055" s="1007" t="s">
        <v>101</v>
      </c>
      <c r="K2055" s="1064" t="s">
        <v>102</v>
      </c>
      <c r="L2055" s="1007" t="s">
        <v>18</v>
      </c>
      <c r="M2055" s="1243">
        <v>1</v>
      </c>
      <c r="N2055" s="1223">
        <v>0</v>
      </c>
      <c r="O2055" s="1223">
        <f t="shared" ref="O2055:O2057" si="369">M2055*N2055</f>
        <v>0</v>
      </c>
      <c r="P2055" s="1081">
        <f t="shared" si="360"/>
        <v>0</v>
      </c>
      <c r="Q2055" s="1206">
        <f t="shared" si="361"/>
        <v>0</v>
      </c>
      <c r="V2055" s="1083">
        <f t="shared" si="365"/>
        <v>0</v>
      </c>
    </row>
    <row r="2056" spans="1:22" hidden="1">
      <c r="A2056" s="1039" t="s">
        <v>1402</v>
      </c>
      <c r="B2056" s="1040" t="s">
        <v>1402</v>
      </c>
      <c r="C2056" s="1066">
        <v>46302</v>
      </c>
      <c r="D2056" s="1066">
        <v>46303</v>
      </c>
      <c r="E2056" s="1005" t="s">
        <v>1403</v>
      </c>
      <c r="I2056" s="1002" t="s">
        <v>1404</v>
      </c>
      <c r="J2056" s="1007" t="s">
        <v>90</v>
      </c>
      <c r="K2056" s="1064" t="s">
        <v>91</v>
      </c>
      <c r="L2056" s="1007" t="s">
        <v>18</v>
      </c>
      <c r="M2056" s="1243">
        <v>1</v>
      </c>
      <c r="N2056" s="1223">
        <v>0</v>
      </c>
      <c r="O2056" s="1223">
        <f t="shared" si="369"/>
        <v>0</v>
      </c>
      <c r="P2056" s="1081">
        <f t="shared" si="360"/>
        <v>0</v>
      </c>
      <c r="Q2056" s="1206">
        <f t="shared" si="361"/>
        <v>0</v>
      </c>
      <c r="V2056" s="1083">
        <f t="shared" si="365"/>
        <v>0</v>
      </c>
    </row>
    <row r="2057" spans="1:22" hidden="1">
      <c r="A2057" s="1039" t="s">
        <v>1402</v>
      </c>
      <c r="B2057" s="1040" t="s">
        <v>1402</v>
      </c>
      <c r="C2057" s="1066">
        <v>46302</v>
      </c>
      <c r="D2057" s="1066">
        <v>46303</v>
      </c>
      <c r="E2057" s="1005" t="s">
        <v>1403</v>
      </c>
      <c r="I2057" s="1002" t="s">
        <v>1404</v>
      </c>
      <c r="J2057" s="1007" t="s">
        <v>93</v>
      </c>
      <c r="K2057" s="1064" t="s">
        <v>94</v>
      </c>
      <c r="L2057" s="1007" t="s">
        <v>18</v>
      </c>
      <c r="M2057" s="1243">
        <v>1</v>
      </c>
      <c r="N2057" s="1223">
        <v>0</v>
      </c>
      <c r="O2057" s="1223">
        <f t="shared" si="369"/>
        <v>0</v>
      </c>
      <c r="P2057" s="1081">
        <f t="shared" si="360"/>
        <v>0</v>
      </c>
      <c r="Q2057" s="1206">
        <f t="shared" si="361"/>
        <v>0</v>
      </c>
      <c r="V2057" s="1083">
        <f t="shared" si="365"/>
        <v>0</v>
      </c>
    </row>
    <row r="2058" spans="1:22" ht="31.5" hidden="1">
      <c r="A2058" s="1000" t="s">
        <v>741</v>
      </c>
      <c r="B2058" s="1001" t="s">
        <v>749</v>
      </c>
      <c r="C2058" s="1066">
        <v>46303</v>
      </c>
      <c r="D2058" s="1066">
        <v>46304</v>
      </c>
      <c r="E2058" s="1005" t="s">
        <v>1406</v>
      </c>
      <c r="I2058" s="1002" t="s">
        <v>815</v>
      </c>
      <c r="J2058" s="1007" t="s">
        <v>1405</v>
      </c>
      <c r="K2058" s="1064" t="s">
        <v>17</v>
      </c>
      <c r="L2058" s="1007" t="s">
        <v>18</v>
      </c>
      <c r="M2058" s="1243">
        <v>6</v>
      </c>
      <c r="N2058" s="1223">
        <v>907407.41</v>
      </c>
      <c r="O2058" s="1223">
        <f>M2058*N2058</f>
        <v>5444444.46</v>
      </c>
      <c r="P2058" s="1081">
        <f t="shared" si="360"/>
        <v>435555.55680000002</v>
      </c>
      <c r="Q2058" s="1206">
        <f t="shared" si="361"/>
        <v>5880000.0168000003</v>
      </c>
      <c r="V2058" s="1083">
        <f t="shared" si="365"/>
        <v>5880000.0168000003</v>
      </c>
    </row>
    <row r="2059" spans="1:22" hidden="1">
      <c r="A2059" s="1000" t="s">
        <v>734</v>
      </c>
      <c r="B2059" s="1001" t="s">
        <v>745</v>
      </c>
      <c r="C2059" s="1066">
        <v>46303</v>
      </c>
      <c r="D2059" s="1066">
        <v>46304</v>
      </c>
      <c r="E2059" s="1005" t="s">
        <v>1409</v>
      </c>
      <c r="I2059" s="1002" t="s">
        <v>746</v>
      </c>
      <c r="J2059" s="1007" t="s">
        <v>68</v>
      </c>
      <c r="K2059" s="1064" t="s">
        <v>69</v>
      </c>
      <c r="L2059" s="1007" t="s">
        <v>18</v>
      </c>
      <c r="M2059" s="1243">
        <v>120</v>
      </c>
      <c r="N2059" s="1223">
        <v>129629.63</v>
      </c>
      <c r="O2059" s="1223">
        <f t="shared" ref="O2059:O2061" si="370">M2059*N2059</f>
        <v>15555555.600000001</v>
      </c>
      <c r="P2059" s="1081">
        <f t="shared" si="360"/>
        <v>1244444.4480000001</v>
      </c>
      <c r="Q2059" s="1221">
        <f t="shared" si="361"/>
        <v>16800000.048</v>
      </c>
      <c r="V2059" s="1083">
        <f t="shared" si="365"/>
        <v>16800000.048</v>
      </c>
    </row>
    <row r="2060" spans="1:22" hidden="1">
      <c r="A2060" s="1000" t="s">
        <v>734</v>
      </c>
      <c r="B2060" s="1001" t="s">
        <v>745</v>
      </c>
      <c r="C2060" s="1066">
        <v>46303</v>
      </c>
      <c r="D2060" s="1066">
        <v>46304</v>
      </c>
      <c r="E2060" s="1005" t="s">
        <v>1409</v>
      </c>
      <c r="I2060" s="1002" t="s">
        <v>746</v>
      </c>
      <c r="J2060" s="1007" t="s">
        <v>70</v>
      </c>
      <c r="K2060" s="1064" t="s">
        <v>71</v>
      </c>
      <c r="L2060" s="1007" t="s">
        <v>18</v>
      </c>
      <c r="M2060" s="1243">
        <v>120</v>
      </c>
      <c r="N2060" s="1223">
        <v>138888.89000000001</v>
      </c>
      <c r="O2060" s="1223">
        <f t="shared" si="370"/>
        <v>16666666.800000001</v>
      </c>
      <c r="P2060" s="1081">
        <f t="shared" si="360"/>
        <v>1333333.344</v>
      </c>
      <c r="Q2060" s="1221">
        <f t="shared" si="361"/>
        <v>18000000.144000001</v>
      </c>
      <c r="V2060" s="1083">
        <f t="shared" si="365"/>
        <v>18000000.144000001</v>
      </c>
    </row>
    <row r="2061" spans="1:22" hidden="1">
      <c r="A2061" s="1000" t="s">
        <v>734</v>
      </c>
      <c r="B2061" s="1001" t="s">
        <v>745</v>
      </c>
      <c r="C2061" s="1066">
        <v>46303</v>
      </c>
      <c r="D2061" s="1066">
        <v>46304</v>
      </c>
      <c r="E2061" s="1005" t="s">
        <v>1409</v>
      </c>
      <c r="I2061" s="1002" t="s">
        <v>746</v>
      </c>
      <c r="J2061" s="1007" t="s">
        <v>72</v>
      </c>
      <c r="K2061" s="1064" t="s">
        <v>73</v>
      </c>
      <c r="L2061" s="1007" t="s">
        <v>18</v>
      </c>
      <c r="M2061" s="1243">
        <v>120</v>
      </c>
      <c r="N2061" s="1223">
        <v>148148.15</v>
      </c>
      <c r="O2061" s="1223">
        <f t="shared" si="370"/>
        <v>17777778</v>
      </c>
      <c r="P2061" s="1081">
        <f t="shared" si="360"/>
        <v>1422222.24</v>
      </c>
      <c r="Q2061" s="1221">
        <f t="shared" si="361"/>
        <v>19200000.239999998</v>
      </c>
      <c r="V2061" s="1083">
        <f t="shared" si="365"/>
        <v>19200000.239999998</v>
      </c>
    </row>
    <row r="2062" spans="1:22" hidden="1">
      <c r="A2062" s="1000" t="s">
        <v>1003</v>
      </c>
      <c r="B2062" s="1028" t="s">
        <v>1495</v>
      </c>
      <c r="C2062" s="1066">
        <v>46304</v>
      </c>
      <c r="D2062" s="1066">
        <v>46304</v>
      </c>
      <c r="E2062" s="1005" t="s">
        <v>1410</v>
      </c>
      <c r="I2062" s="1002" t="s">
        <v>1112</v>
      </c>
      <c r="J2062" s="1007" t="s">
        <v>194</v>
      </c>
      <c r="K2062" s="1064" t="s">
        <v>1170</v>
      </c>
      <c r="L2062" s="1007" t="s">
        <v>18</v>
      </c>
      <c r="M2062" s="1244">
        <v>-4</v>
      </c>
      <c r="N2062" s="1107">
        <v>1203703.75</v>
      </c>
      <c r="O2062" s="1107">
        <f>N2062*M2062</f>
        <v>-4814815</v>
      </c>
      <c r="P2062" s="1107">
        <f t="shared" si="360"/>
        <v>-385185.2</v>
      </c>
      <c r="Q2062" s="1107">
        <f t="shared" si="361"/>
        <v>-5200000.2</v>
      </c>
      <c r="V2062" s="1083">
        <f t="shared" si="365"/>
        <v>-5200000.2</v>
      </c>
    </row>
    <row r="2063" spans="1:22" hidden="1">
      <c r="A2063" s="1000" t="s">
        <v>1003</v>
      </c>
      <c r="B2063" s="1028" t="s">
        <v>1495</v>
      </c>
      <c r="C2063" s="1066">
        <v>46304</v>
      </c>
      <c r="D2063" s="1066">
        <v>46304</v>
      </c>
      <c r="E2063" s="1005" t="s">
        <v>1415</v>
      </c>
      <c r="I2063" s="1002" t="s">
        <v>1215</v>
      </c>
      <c r="J2063" s="1007" t="s">
        <v>355</v>
      </c>
      <c r="K2063" s="1064" t="s">
        <v>1411</v>
      </c>
      <c r="L2063" s="1007" t="s">
        <v>18</v>
      </c>
      <c r="M2063" s="1244">
        <v>-1</v>
      </c>
      <c r="N2063" s="1107">
        <v>0</v>
      </c>
      <c r="O2063" s="1081">
        <f>N2063*M2063</f>
        <v>0</v>
      </c>
      <c r="P2063" s="1081">
        <f t="shared" si="360"/>
        <v>0</v>
      </c>
      <c r="Q2063" s="1081">
        <f t="shared" si="361"/>
        <v>0</v>
      </c>
      <c r="V2063" s="1083">
        <f t="shared" si="365"/>
        <v>0</v>
      </c>
    </row>
    <row r="2064" spans="1:22" hidden="1">
      <c r="A2064" s="1000" t="s">
        <v>1003</v>
      </c>
      <c r="B2064" s="1028" t="s">
        <v>1495</v>
      </c>
      <c r="C2064" s="1066">
        <v>46304</v>
      </c>
      <c r="D2064" s="1066">
        <v>46304</v>
      </c>
      <c r="E2064" s="1005" t="s">
        <v>1415</v>
      </c>
      <c r="I2064" s="1002" t="s">
        <v>1215</v>
      </c>
      <c r="J2064" s="1007" t="s">
        <v>74</v>
      </c>
      <c r="K2064" s="1064" t="s">
        <v>1412</v>
      </c>
      <c r="L2064" s="1007" t="s">
        <v>18</v>
      </c>
      <c r="M2064" s="1244">
        <v>-1</v>
      </c>
      <c r="N2064" s="1107">
        <v>0</v>
      </c>
      <c r="O2064" s="1081">
        <f t="shared" ref="O2064:O2068" si="371">N2064*M2064</f>
        <v>0</v>
      </c>
      <c r="P2064" s="1081">
        <f t="shared" si="360"/>
        <v>0</v>
      </c>
      <c r="Q2064" s="1081">
        <f t="shared" si="361"/>
        <v>0</v>
      </c>
      <c r="V2064" s="1083">
        <f t="shared" si="365"/>
        <v>0</v>
      </c>
    </row>
    <row r="2065" spans="1:22" hidden="1">
      <c r="A2065" s="1000" t="s">
        <v>1003</v>
      </c>
      <c r="B2065" s="1028" t="s">
        <v>1495</v>
      </c>
      <c r="C2065" s="1066">
        <v>46304</v>
      </c>
      <c r="D2065" s="1066">
        <v>46304</v>
      </c>
      <c r="E2065" s="1005" t="s">
        <v>1415</v>
      </c>
      <c r="I2065" s="1002" t="s">
        <v>1215</v>
      </c>
      <c r="J2065" s="1007" t="s">
        <v>46</v>
      </c>
      <c r="K2065" s="1064" t="s">
        <v>1413</v>
      </c>
      <c r="L2065" s="1007" t="s">
        <v>18</v>
      </c>
      <c r="M2065" s="1244">
        <v>-1</v>
      </c>
      <c r="N2065" s="1107">
        <v>0</v>
      </c>
      <c r="O2065" s="1081">
        <f t="shared" si="371"/>
        <v>0</v>
      </c>
      <c r="P2065" s="1081">
        <f t="shared" si="360"/>
        <v>0</v>
      </c>
      <c r="Q2065" s="1081">
        <f t="shared" si="361"/>
        <v>0</v>
      </c>
      <c r="V2065" s="1083">
        <f t="shared" si="365"/>
        <v>0</v>
      </c>
    </row>
    <row r="2066" spans="1:22" hidden="1">
      <c r="A2066" s="1000" t="s">
        <v>1003</v>
      </c>
      <c r="B2066" s="1028" t="s">
        <v>1495</v>
      </c>
      <c r="C2066" s="1066">
        <v>46304</v>
      </c>
      <c r="D2066" s="1066">
        <v>46304</v>
      </c>
      <c r="E2066" s="1005" t="s">
        <v>1415</v>
      </c>
      <c r="I2066" s="1002" t="s">
        <v>1215</v>
      </c>
      <c r="J2066" s="1007" t="s">
        <v>77</v>
      </c>
      <c r="K2066" s="1064" t="s">
        <v>501</v>
      </c>
      <c r="L2066" s="1007" t="s">
        <v>18</v>
      </c>
      <c r="M2066" s="1244">
        <v>-1</v>
      </c>
      <c r="N2066" s="1107">
        <v>0</v>
      </c>
      <c r="O2066" s="1081">
        <f t="shared" si="371"/>
        <v>0</v>
      </c>
      <c r="P2066" s="1081">
        <f t="shared" ref="P2066:P2068" si="372">O2066*8%</f>
        <v>0</v>
      </c>
      <c r="Q2066" s="1081">
        <f t="shared" ref="Q2066:Q2068" si="373">O2066+P2066</f>
        <v>0</v>
      </c>
      <c r="V2066" s="1083">
        <f t="shared" si="365"/>
        <v>0</v>
      </c>
    </row>
    <row r="2067" spans="1:22" hidden="1">
      <c r="A2067" s="1000" t="s">
        <v>1003</v>
      </c>
      <c r="B2067" s="1028" t="s">
        <v>1495</v>
      </c>
      <c r="C2067" s="1066">
        <v>46304</v>
      </c>
      <c r="D2067" s="1066">
        <v>46304</v>
      </c>
      <c r="E2067" s="1005" t="s">
        <v>1415</v>
      </c>
      <c r="I2067" s="1002" t="s">
        <v>1215</v>
      </c>
      <c r="J2067" s="1007" t="s">
        <v>653</v>
      </c>
      <c r="K2067" s="1064" t="s">
        <v>1196</v>
      </c>
      <c r="L2067" s="1007" t="s">
        <v>18</v>
      </c>
      <c r="M2067" s="1244">
        <v>-1</v>
      </c>
      <c r="N2067" s="1107">
        <v>0</v>
      </c>
      <c r="O2067" s="1081">
        <f t="shared" si="371"/>
        <v>0</v>
      </c>
      <c r="P2067" s="1081">
        <f t="shared" si="372"/>
        <v>0</v>
      </c>
      <c r="Q2067" s="1081">
        <f t="shared" si="373"/>
        <v>0</v>
      </c>
      <c r="V2067" s="1083">
        <f t="shared" si="365"/>
        <v>0</v>
      </c>
    </row>
    <row r="2068" spans="1:22" hidden="1">
      <c r="A2068" s="1000" t="s">
        <v>1003</v>
      </c>
      <c r="B2068" s="1028" t="s">
        <v>1495</v>
      </c>
      <c r="C2068" s="1066">
        <v>46304</v>
      </c>
      <c r="D2068" s="1066">
        <v>46304</v>
      </c>
      <c r="E2068" s="1005" t="s">
        <v>1415</v>
      </c>
      <c r="I2068" s="1002" t="s">
        <v>1215</v>
      </c>
      <c r="J2068" s="1007" t="s">
        <v>98</v>
      </c>
      <c r="K2068" s="1064" t="s">
        <v>1414</v>
      </c>
      <c r="L2068" s="1007" t="s">
        <v>18</v>
      </c>
      <c r="M2068" s="1244">
        <v>-1</v>
      </c>
      <c r="N2068" s="1107">
        <v>0</v>
      </c>
      <c r="O2068" s="1081">
        <f t="shared" si="371"/>
        <v>0</v>
      </c>
      <c r="P2068" s="1081">
        <f t="shared" si="372"/>
        <v>0</v>
      </c>
      <c r="Q2068" s="1081">
        <f t="shared" si="373"/>
        <v>0</v>
      </c>
      <c r="V2068" s="1083">
        <f t="shared" si="365"/>
        <v>0</v>
      </c>
    </row>
    <row r="2069" spans="1:22" hidden="1">
      <c r="A2069" s="1040" t="s">
        <v>1273</v>
      </c>
      <c r="B2069" s="1040" t="s">
        <v>1272</v>
      </c>
      <c r="C2069" s="1066">
        <v>46304</v>
      </c>
      <c r="I2069" s="1002" t="s">
        <v>702</v>
      </c>
      <c r="J2069" s="1007"/>
      <c r="K2069" s="1064"/>
      <c r="M2069" s="1245"/>
      <c r="R2069" s="1107">
        <v>2827000</v>
      </c>
      <c r="V2069" s="1239">
        <f t="shared" si="365"/>
        <v>-2827000</v>
      </c>
    </row>
    <row r="2070" spans="1:22" hidden="1">
      <c r="A2070" s="1000" t="s">
        <v>965</v>
      </c>
      <c r="B2070" s="1029" t="s">
        <v>1117</v>
      </c>
      <c r="C2070" s="1066">
        <v>46304</v>
      </c>
      <c r="I2070" s="1002" t="s">
        <v>844</v>
      </c>
      <c r="J2070" s="1007"/>
      <c r="K2070" s="1064"/>
      <c r="R2070" s="1107">
        <v>4706000</v>
      </c>
      <c r="V2070" s="1239">
        <f t="shared" si="365"/>
        <v>-4706000</v>
      </c>
    </row>
    <row r="2071" spans="1:22" hidden="1">
      <c r="A2071" s="1039" t="s">
        <v>1373</v>
      </c>
      <c r="B2071" s="1040" t="s">
        <v>1375</v>
      </c>
      <c r="C2071" s="1066">
        <v>46304</v>
      </c>
      <c r="I2071" s="1002" t="s">
        <v>702</v>
      </c>
      <c r="J2071" s="1007"/>
      <c r="K2071" s="1064"/>
      <c r="R2071" s="1107">
        <v>2500000</v>
      </c>
      <c r="V2071" s="1239">
        <f t="shared" si="365"/>
        <v>-2500000</v>
      </c>
    </row>
    <row r="2072" spans="1:22" hidden="1">
      <c r="A2072" s="1000" t="s">
        <v>753</v>
      </c>
      <c r="B2072" s="1001" t="s">
        <v>754</v>
      </c>
      <c r="C2072" s="1066">
        <v>46304</v>
      </c>
      <c r="I2072" s="1002" t="s">
        <v>844</v>
      </c>
      <c r="J2072" s="1007"/>
      <c r="K2072" s="1064"/>
      <c r="P2072" s="1081">
        <f t="shared" ref="P2072" si="374">O2072*8%</f>
        <v>0</v>
      </c>
      <c r="Q2072" s="1082">
        <f t="shared" ref="Q2072" si="375">O2072+P2072</f>
        <v>0</v>
      </c>
      <c r="R2072" s="1107">
        <v>100000000</v>
      </c>
      <c r="V2072" s="1239">
        <f t="shared" si="365"/>
        <v>-100000000</v>
      </c>
    </row>
    <row r="2073" spans="1:22" hidden="1">
      <c r="A2073" s="1000" t="s">
        <v>1003</v>
      </c>
      <c r="B2073" s="1028" t="s">
        <v>1495</v>
      </c>
      <c r="C2073" s="1066">
        <v>46304</v>
      </c>
      <c r="I2073" s="1002" t="s">
        <v>844</v>
      </c>
      <c r="J2073" s="1007"/>
      <c r="K2073" s="1064"/>
      <c r="R2073" s="1107">
        <v>60000000</v>
      </c>
      <c r="V2073" s="1241">
        <f t="shared" si="365"/>
        <v>-60000000</v>
      </c>
    </row>
    <row r="2074" spans="1:22" hidden="1">
      <c r="A2074" s="1039" t="s">
        <v>967</v>
      </c>
      <c r="B2074" s="1040" t="s">
        <v>1262</v>
      </c>
      <c r="C2074" s="1066">
        <v>46304</v>
      </c>
      <c r="D2074" s="1066">
        <v>46305</v>
      </c>
      <c r="E2074" s="1005" t="s">
        <v>1418</v>
      </c>
      <c r="I2074" s="1002" t="s">
        <v>1263</v>
      </c>
      <c r="J2074" s="1007" t="s">
        <v>68</v>
      </c>
      <c r="K2074" s="1064" t="s">
        <v>1416</v>
      </c>
      <c r="L2074" s="1007" t="s">
        <v>18</v>
      </c>
      <c r="M2074" s="1243">
        <v>12</v>
      </c>
      <c r="N2074" s="1223">
        <v>129629.63</v>
      </c>
      <c r="O2074" s="1223">
        <f>M2074*N2074</f>
        <v>1555555.56</v>
      </c>
      <c r="P2074" s="1081">
        <f t="shared" ref="P2074:P2101" si="376">O2074*8%</f>
        <v>124444.44480000001</v>
      </c>
      <c r="Q2074" s="1221">
        <f t="shared" ref="Q2074:Q2101" si="377">O2074+P2074</f>
        <v>1680000.0048</v>
      </c>
      <c r="V2074" s="1107">
        <f t="shared" si="365"/>
        <v>1680000.0048</v>
      </c>
    </row>
    <row r="2075" spans="1:22" hidden="1">
      <c r="A2075" s="1039" t="s">
        <v>967</v>
      </c>
      <c r="B2075" s="1040" t="s">
        <v>1262</v>
      </c>
      <c r="C2075" s="1066">
        <v>46304</v>
      </c>
      <c r="D2075" s="1066">
        <v>46305</v>
      </c>
      <c r="E2075" s="1005" t="s">
        <v>1418</v>
      </c>
      <c r="I2075" s="1002" t="s">
        <v>1263</v>
      </c>
      <c r="J2075" s="1007" t="s">
        <v>70</v>
      </c>
      <c r="K2075" s="1064" t="s">
        <v>1417</v>
      </c>
      <c r="L2075" s="1007" t="s">
        <v>18</v>
      </c>
      <c r="M2075" s="1243">
        <v>12</v>
      </c>
      <c r="N2075" s="1223">
        <v>138888.89000000001</v>
      </c>
      <c r="O2075" s="1223">
        <f>M2075*N2075</f>
        <v>1666666.6800000002</v>
      </c>
      <c r="P2075" s="1081">
        <f t="shared" si="376"/>
        <v>133333.33440000002</v>
      </c>
      <c r="Q2075" s="1221">
        <f t="shared" si="377"/>
        <v>1800000.0144000002</v>
      </c>
      <c r="V2075" s="1107">
        <f t="shared" si="365"/>
        <v>1800000.0144000002</v>
      </c>
    </row>
    <row r="2076" spans="1:22" hidden="1">
      <c r="A2076" s="1039" t="s">
        <v>967</v>
      </c>
      <c r="B2076" s="1040" t="s">
        <v>1262</v>
      </c>
      <c r="C2076" s="1066">
        <v>46304</v>
      </c>
      <c r="D2076" s="1066">
        <v>46305</v>
      </c>
      <c r="E2076" s="1005" t="s">
        <v>1418</v>
      </c>
      <c r="I2076" s="1002" t="s">
        <v>1263</v>
      </c>
      <c r="J2076" s="1007" t="s">
        <v>72</v>
      </c>
      <c r="K2076" s="1064" t="s">
        <v>73</v>
      </c>
      <c r="L2076" s="1007" t="s">
        <v>18</v>
      </c>
      <c r="M2076" s="1243">
        <v>12</v>
      </c>
      <c r="N2076" s="1223">
        <v>148148.15</v>
      </c>
      <c r="O2076" s="1223">
        <f t="shared" ref="O2076" si="378">M2076*N2076</f>
        <v>1777777.7999999998</v>
      </c>
      <c r="P2076" s="1081">
        <f t="shared" si="376"/>
        <v>142222.22399999999</v>
      </c>
      <c r="Q2076" s="1221">
        <f t="shared" si="377"/>
        <v>1920000.0239999997</v>
      </c>
      <c r="V2076" s="1107">
        <f t="shared" si="365"/>
        <v>1920000.0239999997</v>
      </c>
    </row>
    <row r="2077" spans="1:22" hidden="1">
      <c r="A2077" s="1039" t="s">
        <v>967</v>
      </c>
      <c r="B2077" s="1040" t="s">
        <v>1262</v>
      </c>
      <c r="C2077" s="1066">
        <v>46304</v>
      </c>
      <c r="D2077" s="1066">
        <v>46305</v>
      </c>
      <c r="I2077" s="1002" t="s">
        <v>702</v>
      </c>
      <c r="J2077" s="1007"/>
      <c r="K2077" s="1064"/>
      <c r="P2077" s="1081">
        <f t="shared" si="376"/>
        <v>0</v>
      </c>
      <c r="Q2077" s="1107">
        <f t="shared" si="377"/>
        <v>0</v>
      </c>
      <c r="R2077" s="1107">
        <v>5400000</v>
      </c>
      <c r="V2077" s="1239">
        <f t="shared" si="365"/>
        <v>-5400000</v>
      </c>
    </row>
    <row r="2078" spans="1:22" hidden="1">
      <c r="A2078" s="1039" t="s">
        <v>1150</v>
      </c>
      <c r="B2078" s="1040" t="s">
        <v>1271</v>
      </c>
      <c r="C2078" s="1066">
        <v>46304</v>
      </c>
      <c r="D2078" s="1066">
        <v>46307</v>
      </c>
      <c r="E2078" s="1005" t="s">
        <v>1419</v>
      </c>
      <c r="I2078" s="1002" t="s">
        <v>1420</v>
      </c>
      <c r="J2078" s="1007" t="s">
        <v>90</v>
      </c>
      <c r="K2078" s="1064" t="s">
        <v>91</v>
      </c>
      <c r="L2078" s="1007" t="s">
        <v>18</v>
      </c>
      <c r="M2078" s="1243">
        <v>1</v>
      </c>
      <c r="N2078" s="1223">
        <v>0</v>
      </c>
      <c r="O2078" s="1223">
        <v>0</v>
      </c>
      <c r="P2078" s="1081">
        <f t="shared" si="376"/>
        <v>0</v>
      </c>
      <c r="Q2078" s="1221">
        <f t="shared" si="377"/>
        <v>0</v>
      </c>
      <c r="V2078" s="1107">
        <f t="shared" si="365"/>
        <v>0</v>
      </c>
    </row>
    <row r="2079" spans="1:22" hidden="1">
      <c r="B2079" s="1040" t="s">
        <v>1422</v>
      </c>
      <c r="C2079" s="1066">
        <v>46304</v>
      </c>
      <c r="D2079" s="1066">
        <v>46307</v>
      </c>
      <c r="E2079" s="1005" t="s">
        <v>1421</v>
      </c>
      <c r="I2079" s="1002" t="s">
        <v>1423</v>
      </c>
      <c r="J2079" s="1007" t="s">
        <v>1335</v>
      </c>
      <c r="K2079" s="1064" t="s">
        <v>1336</v>
      </c>
      <c r="L2079" s="1007" t="s">
        <v>18</v>
      </c>
      <c r="M2079" s="1243">
        <v>1</v>
      </c>
      <c r="N2079" s="1223">
        <v>555555.56000000006</v>
      </c>
      <c r="O2079" s="1223">
        <f t="shared" ref="O2079:O2080" si="379">M2079*N2079</f>
        <v>555555.56000000006</v>
      </c>
      <c r="P2079" s="1081">
        <f t="shared" si="376"/>
        <v>44444.444800000005</v>
      </c>
      <c r="Q2079" s="1221">
        <f t="shared" si="377"/>
        <v>600000.00480000011</v>
      </c>
      <c r="V2079" s="1107">
        <f t="shared" si="365"/>
        <v>600000.00480000011</v>
      </c>
    </row>
    <row r="2080" spans="1:22" ht="31.5" hidden="1">
      <c r="B2080" s="1040" t="s">
        <v>1422</v>
      </c>
      <c r="C2080" s="1066">
        <v>46304</v>
      </c>
      <c r="D2080" s="1066">
        <v>46307</v>
      </c>
      <c r="E2080" s="1005" t="s">
        <v>1421</v>
      </c>
      <c r="I2080" s="1002" t="s">
        <v>1423</v>
      </c>
      <c r="J2080" s="1007" t="s">
        <v>30</v>
      </c>
      <c r="K2080" s="1064" t="s">
        <v>31</v>
      </c>
      <c r="L2080" s="1007" t="s">
        <v>18</v>
      </c>
      <c r="M2080" s="1243">
        <v>1</v>
      </c>
      <c r="N2080" s="1223">
        <v>259259.26</v>
      </c>
      <c r="O2080" s="1223">
        <f t="shared" si="379"/>
        <v>259259.26</v>
      </c>
      <c r="P2080" s="1081">
        <f t="shared" si="376"/>
        <v>20740.7408</v>
      </c>
      <c r="Q2080" s="1221">
        <f t="shared" si="377"/>
        <v>280000.00080000004</v>
      </c>
      <c r="V2080" s="1107">
        <f t="shared" si="365"/>
        <v>280000.00080000004</v>
      </c>
    </row>
    <row r="2081" spans="1:22" hidden="1">
      <c r="A2081" s="1039" t="s">
        <v>1150</v>
      </c>
      <c r="B2081" s="1040" t="s">
        <v>1271</v>
      </c>
      <c r="C2081" s="1066">
        <v>46307</v>
      </c>
      <c r="D2081" s="1066">
        <v>46307</v>
      </c>
      <c r="E2081" s="1005" t="s">
        <v>1424</v>
      </c>
      <c r="I2081" s="1002" t="s">
        <v>1390</v>
      </c>
      <c r="J2081" s="1007" t="s">
        <v>1331</v>
      </c>
      <c r="K2081" s="1064" t="s">
        <v>1332</v>
      </c>
      <c r="L2081" s="1007" t="s">
        <v>18</v>
      </c>
      <c r="M2081" s="1243">
        <v>1</v>
      </c>
      <c r="N2081" s="1223">
        <v>0</v>
      </c>
      <c r="O2081" s="1223">
        <v>0</v>
      </c>
      <c r="P2081" s="1081">
        <f t="shared" si="376"/>
        <v>0</v>
      </c>
      <c r="Q2081" s="1221">
        <f t="shared" si="377"/>
        <v>0</v>
      </c>
      <c r="V2081" s="1107">
        <f t="shared" ref="V2081:V2111" si="380">Q2081-R2081-S2081-T2081-U2081</f>
        <v>0</v>
      </c>
    </row>
    <row r="2082" spans="1:22" hidden="1">
      <c r="A2082" s="1039" t="s">
        <v>1150</v>
      </c>
      <c r="B2082" s="1040" t="s">
        <v>1271</v>
      </c>
      <c r="C2082" s="1066">
        <v>46307</v>
      </c>
      <c r="D2082" s="1066">
        <v>46307</v>
      </c>
      <c r="E2082" s="1005" t="s">
        <v>1424</v>
      </c>
      <c r="I2082" s="1002" t="s">
        <v>1390</v>
      </c>
      <c r="J2082" s="1007" t="s">
        <v>1333</v>
      </c>
      <c r="K2082" s="1064" t="s">
        <v>1334</v>
      </c>
      <c r="L2082" s="1007" t="s">
        <v>18</v>
      </c>
      <c r="M2082" s="1243">
        <v>1</v>
      </c>
      <c r="N2082" s="1223">
        <v>0</v>
      </c>
      <c r="O2082" s="1223">
        <f>M2082*N2082</f>
        <v>0</v>
      </c>
      <c r="P2082" s="1081">
        <f t="shared" si="376"/>
        <v>0</v>
      </c>
      <c r="Q2082" s="1221">
        <f t="shared" si="377"/>
        <v>0</v>
      </c>
      <c r="V2082" s="1107">
        <f t="shared" si="380"/>
        <v>0</v>
      </c>
    </row>
    <row r="2083" spans="1:22" hidden="1">
      <c r="A2083" s="1039" t="s">
        <v>1150</v>
      </c>
      <c r="B2083" s="1040" t="s">
        <v>1271</v>
      </c>
      <c r="C2083" s="1066">
        <v>46307</v>
      </c>
      <c r="D2083" s="1066">
        <v>46307</v>
      </c>
      <c r="E2083" s="1005" t="s">
        <v>1424</v>
      </c>
      <c r="I2083" s="1002" t="s">
        <v>1390</v>
      </c>
      <c r="J2083" s="1007" t="s">
        <v>1335</v>
      </c>
      <c r="K2083" s="1064" t="s">
        <v>1336</v>
      </c>
      <c r="L2083" s="1007" t="s">
        <v>18</v>
      </c>
      <c r="M2083" s="1243">
        <v>1</v>
      </c>
      <c r="N2083" s="1223">
        <v>0</v>
      </c>
      <c r="O2083" s="1223">
        <f>M2083*N2083</f>
        <v>0</v>
      </c>
      <c r="P2083" s="1081">
        <f t="shared" si="376"/>
        <v>0</v>
      </c>
      <c r="Q2083" s="1221">
        <f t="shared" si="377"/>
        <v>0</v>
      </c>
      <c r="V2083" s="1107">
        <f t="shared" si="380"/>
        <v>0</v>
      </c>
    </row>
    <row r="2084" spans="1:22" hidden="1">
      <c r="A2084" s="1039" t="s">
        <v>1150</v>
      </c>
      <c r="B2084" s="1040" t="s">
        <v>1271</v>
      </c>
      <c r="C2084" s="1066">
        <v>46307</v>
      </c>
      <c r="D2084" s="1066">
        <v>46307</v>
      </c>
      <c r="E2084" s="1005" t="s">
        <v>1424</v>
      </c>
      <c r="I2084" s="1002" t="s">
        <v>1390</v>
      </c>
      <c r="J2084" s="1007" t="s">
        <v>1337</v>
      </c>
      <c r="K2084" s="1064" t="s">
        <v>1338</v>
      </c>
      <c r="L2084" s="1007" t="s">
        <v>18</v>
      </c>
      <c r="M2084" s="1243">
        <v>1</v>
      </c>
      <c r="N2084" s="1223">
        <v>0</v>
      </c>
      <c r="O2084" s="1223">
        <f>M2084*N2084</f>
        <v>0</v>
      </c>
      <c r="P2084" s="1081">
        <f t="shared" si="376"/>
        <v>0</v>
      </c>
      <c r="Q2084" s="1221">
        <f t="shared" si="377"/>
        <v>0</v>
      </c>
      <c r="V2084" s="1107">
        <f t="shared" si="380"/>
        <v>0</v>
      </c>
    </row>
    <row r="2085" spans="1:22" hidden="1">
      <c r="A2085" s="1039" t="s">
        <v>1150</v>
      </c>
      <c r="B2085" s="1040" t="s">
        <v>1271</v>
      </c>
      <c r="C2085" s="1066">
        <v>46307</v>
      </c>
      <c r="D2085" s="1066">
        <v>46307</v>
      </c>
      <c r="E2085" s="1005" t="s">
        <v>1424</v>
      </c>
      <c r="I2085" s="1002" t="s">
        <v>1390</v>
      </c>
      <c r="J2085" s="1007" t="s">
        <v>1340</v>
      </c>
      <c r="K2085" s="1064" t="s">
        <v>1341</v>
      </c>
      <c r="L2085" s="1007" t="s">
        <v>18</v>
      </c>
      <c r="M2085" s="1243">
        <v>1</v>
      </c>
      <c r="N2085" s="1223">
        <v>0</v>
      </c>
      <c r="O2085" s="1223">
        <f t="shared" ref="O2085:O2086" si="381">M2085*N2085</f>
        <v>0</v>
      </c>
      <c r="P2085" s="1081">
        <f t="shared" si="376"/>
        <v>0</v>
      </c>
      <c r="Q2085" s="1221">
        <f t="shared" si="377"/>
        <v>0</v>
      </c>
      <c r="V2085" s="1107">
        <f t="shared" si="380"/>
        <v>0</v>
      </c>
    </row>
    <row r="2086" spans="1:22" hidden="1">
      <c r="A2086" s="1039" t="s">
        <v>1150</v>
      </c>
      <c r="B2086" s="1040" t="s">
        <v>1271</v>
      </c>
      <c r="C2086" s="1066">
        <v>46307</v>
      </c>
      <c r="D2086" s="1066">
        <v>46307</v>
      </c>
      <c r="E2086" s="1005" t="s">
        <v>1424</v>
      </c>
      <c r="I2086" s="1002" t="s">
        <v>1390</v>
      </c>
      <c r="J2086" s="1007" t="s">
        <v>1400</v>
      </c>
      <c r="K2086" s="1064" t="s">
        <v>1401</v>
      </c>
      <c r="L2086" s="1007" t="s">
        <v>18</v>
      </c>
      <c r="M2086" s="1243">
        <v>1</v>
      </c>
      <c r="N2086" s="1223">
        <v>0</v>
      </c>
      <c r="O2086" s="1223">
        <f t="shared" si="381"/>
        <v>0</v>
      </c>
      <c r="P2086" s="1081">
        <f t="shared" si="376"/>
        <v>0</v>
      </c>
      <c r="Q2086" s="1221">
        <f t="shared" si="377"/>
        <v>0</v>
      </c>
      <c r="V2086" s="1107">
        <f t="shared" si="380"/>
        <v>0</v>
      </c>
    </row>
    <row r="2087" spans="1:22" hidden="1">
      <c r="B2087" s="1001" t="s">
        <v>932</v>
      </c>
      <c r="C2087" s="1066">
        <v>46307</v>
      </c>
      <c r="D2087" s="1066">
        <v>46307</v>
      </c>
      <c r="E2087" s="1005" t="s">
        <v>1425</v>
      </c>
      <c r="I2087" s="1002" t="s">
        <v>1100</v>
      </c>
      <c r="J2087" s="1007" t="s">
        <v>641</v>
      </c>
      <c r="K2087" s="1064" t="s">
        <v>657</v>
      </c>
      <c r="L2087" s="1007" t="s">
        <v>18</v>
      </c>
      <c r="M2087" s="1243">
        <v>1</v>
      </c>
      <c r="N2087" s="1223">
        <v>0</v>
      </c>
      <c r="O2087" s="1223">
        <v>0</v>
      </c>
      <c r="P2087" s="1081">
        <f t="shared" si="376"/>
        <v>0</v>
      </c>
      <c r="Q2087" s="1221">
        <f t="shared" si="377"/>
        <v>0</v>
      </c>
      <c r="V2087" s="1107">
        <f t="shared" si="380"/>
        <v>0</v>
      </c>
    </row>
    <row r="2088" spans="1:22" hidden="1">
      <c r="B2088" s="1001" t="s">
        <v>932</v>
      </c>
      <c r="C2088" s="1066">
        <v>46307</v>
      </c>
      <c r="D2088" s="1066">
        <v>46307</v>
      </c>
      <c r="E2088" s="1005" t="s">
        <v>1425</v>
      </c>
      <c r="I2088" s="1002" t="s">
        <v>1100</v>
      </c>
      <c r="J2088" s="1007" t="s">
        <v>643</v>
      </c>
      <c r="K2088" s="1064" t="s">
        <v>644</v>
      </c>
      <c r="L2088" s="1007" t="s">
        <v>18</v>
      </c>
      <c r="M2088" s="1243">
        <v>1</v>
      </c>
      <c r="N2088" s="1223">
        <v>0</v>
      </c>
      <c r="O2088" s="1223">
        <f>M2088*N2088</f>
        <v>0</v>
      </c>
      <c r="P2088" s="1081">
        <f t="shared" si="376"/>
        <v>0</v>
      </c>
      <c r="Q2088" s="1221">
        <f t="shared" si="377"/>
        <v>0</v>
      </c>
      <c r="V2088" s="1107">
        <f t="shared" si="380"/>
        <v>0</v>
      </c>
    </row>
    <row r="2089" spans="1:22" hidden="1">
      <c r="B2089" s="1001" t="s">
        <v>932</v>
      </c>
      <c r="C2089" s="1066">
        <v>46307</v>
      </c>
      <c r="D2089" s="1066">
        <v>46307</v>
      </c>
      <c r="E2089" s="1005" t="s">
        <v>1425</v>
      </c>
      <c r="I2089" s="1002" t="s">
        <v>1100</v>
      </c>
      <c r="J2089" s="1007" t="s">
        <v>649</v>
      </c>
      <c r="K2089" s="1064" t="s">
        <v>650</v>
      </c>
      <c r="L2089" s="1007" t="s">
        <v>18</v>
      </c>
      <c r="M2089" s="1243">
        <v>1</v>
      </c>
      <c r="N2089" s="1223">
        <v>0</v>
      </c>
      <c r="O2089" s="1223">
        <f>M2089*N2089</f>
        <v>0</v>
      </c>
      <c r="P2089" s="1081">
        <f t="shared" si="376"/>
        <v>0</v>
      </c>
      <c r="Q2089" s="1221">
        <f t="shared" si="377"/>
        <v>0</v>
      </c>
      <c r="V2089" s="1107">
        <f t="shared" si="380"/>
        <v>0</v>
      </c>
    </row>
    <row r="2090" spans="1:22" hidden="1">
      <c r="B2090" s="1001" t="s">
        <v>932</v>
      </c>
      <c r="C2090" s="1066">
        <v>46307</v>
      </c>
      <c r="D2090" s="1066">
        <v>46307</v>
      </c>
      <c r="E2090" s="1005" t="s">
        <v>1425</v>
      </c>
      <c r="I2090" s="1002" t="s">
        <v>1100</v>
      </c>
      <c r="J2090" s="1007" t="s">
        <v>655</v>
      </c>
      <c r="K2090" s="1064" t="s">
        <v>656</v>
      </c>
      <c r="L2090" s="1007" t="s">
        <v>18</v>
      </c>
      <c r="M2090" s="1243">
        <v>1</v>
      </c>
      <c r="N2090" s="1223">
        <v>0</v>
      </c>
      <c r="O2090" s="1223">
        <f>M2090*N2090</f>
        <v>0</v>
      </c>
      <c r="P2090" s="1081">
        <f t="shared" si="376"/>
        <v>0</v>
      </c>
      <c r="Q2090" s="1221">
        <f t="shared" si="377"/>
        <v>0</v>
      </c>
      <c r="V2090" s="1107">
        <f t="shared" si="380"/>
        <v>0</v>
      </c>
    </row>
    <row r="2091" spans="1:22" hidden="1">
      <c r="A2091" s="1040" t="s">
        <v>1138</v>
      </c>
      <c r="B2091" s="1040" t="s">
        <v>1134</v>
      </c>
      <c r="C2091" s="1066">
        <v>46307</v>
      </c>
      <c r="D2091" s="1066">
        <v>46308</v>
      </c>
      <c r="E2091" s="1005" t="s">
        <v>1426</v>
      </c>
      <c r="F2091" s="1066">
        <v>46309</v>
      </c>
      <c r="G2091" s="1138" t="s">
        <v>1436</v>
      </c>
      <c r="H2091" s="1138" t="s">
        <v>1435</v>
      </c>
      <c r="I2091" s="1002" t="s">
        <v>1135</v>
      </c>
      <c r="J2091" s="1007" t="s">
        <v>80</v>
      </c>
      <c r="K2091" s="1064" t="s">
        <v>81</v>
      </c>
      <c r="L2091" s="1007" t="s">
        <v>18</v>
      </c>
      <c r="M2091" s="1243">
        <v>6</v>
      </c>
      <c r="N2091" s="1223">
        <v>824074.07</v>
      </c>
      <c r="O2091" s="1223">
        <f>M2091*N2091</f>
        <v>4944444.42</v>
      </c>
      <c r="P2091" s="1081">
        <f t="shared" si="376"/>
        <v>395555.55359999998</v>
      </c>
      <c r="Q2091" s="1239">
        <f t="shared" si="377"/>
        <v>5339999.9736000001</v>
      </c>
      <c r="V2091" s="1107">
        <f t="shared" si="380"/>
        <v>5339999.9736000001</v>
      </c>
    </row>
    <row r="2092" spans="1:22" hidden="1">
      <c r="A2092" s="1040" t="s">
        <v>1138</v>
      </c>
      <c r="B2092" s="1040" t="s">
        <v>1134</v>
      </c>
      <c r="C2092" s="1066">
        <v>46307</v>
      </c>
      <c r="D2092" s="1066">
        <v>46308</v>
      </c>
      <c r="E2092" s="1005" t="s">
        <v>1426</v>
      </c>
      <c r="F2092" s="1066">
        <v>46309</v>
      </c>
      <c r="G2092" s="1138" t="s">
        <v>1436</v>
      </c>
      <c r="H2092" s="1138" t="s">
        <v>1435</v>
      </c>
      <c r="I2092" s="1002" t="s">
        <v>1135</v>
      </c>
      <c r="J2092" s="1007" t="s">
        <v>21</v>
      </c>
      <c r="K2092" s="1064" t="s">
        <v>22</v>
      </c>
      <c r="L2092" s="1007" t="s">
        <v>18</v>
      </c>
      <c r="M2092" s="1243">
        <v>6</v>
      </c>
      <c r="N2092" s="1223">
        <v>937962.96</v>
      </c>
      <c r="O2092" s="1223">
        <f t="shared" ref="O2092:O2101" si="382">M2092*N2092</f>
        <v>5627777.7599999998</v>
      </c>
      <c r="P2092" s="1081">
        <f t="shared" si="376"/>
        <v>450222.22080000001</v>
      </c>
      <c r="Q2092" s="1239">
        <f t="shared" si="377"/>
        <v>6077999.9808</v>
      </c>
      <c r="V2092" s="1107">
        <f t="shared" si="380"/>
        <v>6077999.9808</v>
      </c>
    </row>
    <row r="2093" spans="1:22" ht="31.5" hidden="1">
      <c r="A2093" s="1040" t="s">
        <v>1138</v>
      </c>
      <c r="B2093" s="1040" t="s">
        <v>1134</v>
      </c>
      <c r="C2093" s="1066">
        <v>46307</v>
      </c>
      <c r="D2093" s="1066">
        <v>46308</v>
      </c>
      <c r="E2093" s="1005" t="s">
        <v>1426</v>
      </c>
      <c r="F2093" s="1066">
        <v>46309</v>
      </c>
      <c r="G2093" s="1138" t="s">
        <v>1436</v>
      </c>
      <c r="H2093" s="1138" t="s">
        <v>1435</v>
      </c>
      <c r="I2093" s="1002" t="s">
        <v>1135</v>
      </c>
      <c r="J2093" s="1007" t="s">
        <v>262</v>
      </c>
      <c r="K2093" s="1064" t="s">
        <v>976</v>
      </c>
      <c r="L2093" s="1007" t="s">
        <v>18</v>
      </c>
      <c r="M2093" s="1243">
        <v>15</v>
      </c>
      <c r="N2093" s="1223">
        <v>851851.85</v>
      </c>
      <c r="O2093" s="1223">
        <f t="shared" si="382"/>
        <v>12777777.75</v>
      </c>
      <c r="P2093" s="1081">
        <f t="shared" si="376"/>
        <v>1022222.22</v>
      </c>
      <c r="Q2093" s="1239">
        <f t="shared" si="377"/>
        <v>13799999.970000001</v>
      </c>
      <c r="V2093" s="1107">
        <f t="shared" si="380"/>
        <v>13799999.970000001</v>
      </c>
    </row>
    <row r="2094" spans="1:22" hidden="1">
      <c r="A2094" s="1040" t="s">
        <v>1138</v>
      </c>
      <c r="B2094" s="1040" t="s">
        <v>1134</v>
      </c>
      <c r="C2094" s="1066">
        <v>46307</v>
      </c>
      <c r="D2094" s="1066">
        <v>46308</v>
      </c>
      <c r="E2094" s="1005" t="s">
        <v>1426</v>
      </c>
      <c r="I2094" s="1002" t="s">
        <v>1135</v>
      </c>
      <c r="J2094" s="1007" t="s">
        <v>23</v>
      </c>
      <c r="K2094" s="1064" t="s">
        <v>82</v>
      </c>
      <c r="L2094" s="1007" t="s">
        <v>18</v>
      </c>
      <c r="M2094" s="1243">
        <v>2</v>
      </c>
      <c r="N2094" s="1223">
        <v>1185185.19</v>
      </c>
      <c r="O2094" s="1223">
        <f t="shared" si="382"/>
        <v>2370370.38</v>
      </c>
      <c r="P2094" s="1081">
        <f t="shared" si="376"/>
        <v>189629.63039999999</v>
      </c>
      <c r="Q2094" s="1239">
        <f t="shared" si="377"/>
        <v>2560000.0104</v>
      </c>
      <c r="V2094" s="1107">
        <f t="shared" si="380"/>
        <v>2560000.0104</v>
      </c>
    </row>
    <row r="2095" spans="1:22" hidden="1">
      <c r="A2095" s="1040" t="s">
        <v>1138</v>
      </c>
      <c r="B2095" s="1040" t="s">
        <v>1134</v>
      </c>
      <c r="C2095" s="1066">
        <v>46307</v>
      </c>
      <c r="D2095" s="1066">
        <v>46308</v>
      </c>
      <c r="E2095" s="1005" t="s">
        <v>1426</v>
      </c>
      <c r="I2095" s="1002" t="s">
        <v>1135</v>
      </c>
      <c r="J2095" s="1007" t="s">
        <v>1333</v>
      </c>
      <c r="K2095" s="1064" t="s">
        <v>1334</v>
      </c>
      <c r="L2095" s="1007" t="s">
        <v>18</v>
      </c>
      <c r="M2095" s="1243">
        <v>18</v>
      </c>
      <c r="N2095" s="1223">
        <v>500000</v>
      </c>
      <c r="O2095" s="1223">
        <f t="shared" si="382"/>
        <v>9000000</v>
      </c>
      <c r="P2095" s="1081">
        <f t="shared" si="376"/>
        <v>720000</v>
      </c>
      <c r="Q2095" s="1239">
        <f t="shared" si="377"/>
        <v>9720000</v>
      </c>
      <c r="V2095" s="1107">
        <f t="shared" si="380"/>
        <v>9720000</v>
      </c>
    </row>
    <row r="2096" spans="1:22" hidden="1">
      <c r="A2096" s="1040" t="s">
        <v>1138</v>
      </c>
      <c r="B2096" s="1040" t="s">
        <v>1134</v>
      </c>
      <c r="C2096" s="1066">
        <v>46307</v>
      </c>
      <c r="D2096" s="1066">
        <v>46308</v>
      </c>
      <c r="E2096" s="1005" t="s">
        <v>1426</v>
      </c>
      <c r="I2096" s="1002" t="s">
        <v>1135</v>
      </c>
      <c r="J2096" s="1007" t="s">
        <v>1337</v>
      </c>
      <c r="K2096" s="1064" t="s">
        <v>1338</v>
      </c>
      <c r="L2096" s="1007" t="s">
        <v>18</v>
      </c>
      <c r="M2096" s="1243">
        <v>18</v>
      </c>
      <c r="N2096" s="1223">
        <v>564814.81000000006</v>
      </c>
      <c r="O2096" s="1223">
        <f t="shared" si="382"/>
        <v>10166666.580000002</v>
      </c>
      <c r="P2096" s="1081">
        <f t="shared" si="376"/>
        <v>813333.32640000014</v>
      </c>
      <c r="Q2096" s="1239">
        <f t="shared" si="377"/>
        <v>10979999.906400003</v>
      </c>
      <c r="V2096" s="1107">
        <f t="shared" si="380"/>
        <v>10979999.906400003</v>
      </c>
    </row>
    <row r="2097" spans="1:22" hidden="1">
      <c r="A2097" s="1040" t="s">
        <v>1138</v>
      </c>
      <c r="B2097" s="1040" t="s">
        <v>1134</v>
      </c>
      <c r="C2097" s="1066">
        <v>46307</v>
      </c>
      <c r="D2097" s="1066">
        <v>46308</v>
      </c>
      <c r="E2097" s="1005" t="s">
        <v>1426</v>
      </c>
      <c r="I2097" s="1002" t="s">
        <v>1135</v>
      </c>
      <c r="J2097" s="1007" t="s">
        <v>1340</v>
      </c>
      <c r="K2097" s="1064" t="s">
        <v>1341</v>
      </c>
      <c r="L2097" s="1007" t="s">
        <v>18</v>
      </c>
      <c r="M2097" s="1243">
        <v>12</v>
      </c>
      <c r="N2097" s="1223">
        <v>203703.7</v>
      </c>
      <c r="O2097" s="1223">
        <f t="shared" si="382"/>
        <v>2444444.4000000004</v>
      </c>
      <c r="P2097" s="1081">
        <f t="shared" si="376"/>
        <v>195555.55200000003</v>
      </c>
      <c r="Q2097" s="1239">
        <f t="shared" si="377"/>
        <v>2639999.9520000005</v>
      </c>
      <c r="V2097" s="1107">
        <f t="shared" si="380"/>
        <v>2639999.9520000005</v>
      </c>
    </row>
    <row r="2098" spans="1:22" hidden="1">
      <c r="A2098" s="1040" t="s">
        <v>1138</v>
      </c>
      <c r="B2098" s="1040" t="s">
        <v>1134</v>
      </c>
      <c r="C2098" s="1066">
        <v>46307</v>
      </c>
      <c r="D2098" s="1066">
        <v>46308</v>
      </c>
      <c r="E2098" s="1005" t="s">
        <v>1426</v>
      </c>
      <c r="I2098" s="1002" t="s">
        <v>1135</v>
      </c>
      <c r="J2098" s="1007" t="s">
        <v>1342</v>
      </c>
      <c r="K2098" s="1064" t="s">
        <v>1343</v>
      </c>
      <c r="L2098" s="1007" t="s">
        <v>18</v>
      </c>
      <c r="M2098" s="1243">
        <v>12</v>
      </c>
      <c r="N2098" s="1223">
        <v>203703.7</v>
      </c>
      <c r="O2098" s="1223">
        <f t="shared" si="382"/>
        <v>2444444.4000000004</v>
      </c>
      <c r="P2098" s="1081">
        <f t="shared" si="376"/>
        <v>195555.55200000003</v>
      </c>
      <c r="Q2098" s="1239">
        <f t="shared" si="377"/>
        <v>2639999.9520000005</v>
      </c>
      <c r="V2098" s="1107">
        <f t="shared" si="380"/>
        <v>2639999.9520000005</v>
      </c>
    </row>
    <row r="2099" spans="1:22" hidden="1">
      <c r="A2099" s="1040" t="s">
        <v>1138</v>
      </c>
      <c r="B2099" s="1040" t="s">
        <v>1134</v>
      </c>
      <c r="C2099" s="1066">
        <v>46307</v>
      </c>
      <c r="D2099" s="1066">
        <v>46308</v>
      </c>
      <c r="E2099" s="1005" t="s">
        <v>1426</v>
      </c>
      <c r="I2099" s="1002" t="s">
        <v>1135</v>
      </c>
      <c r="J2099" s="1007" t="s">
        <v>1400</v>
      </c>
      <c r="K2099" s="1064" t="s">
        <v>1401</v>
      </c>
      <c r="L2099" s="1007" t="s">
        <v>18</v>
      </c>
      <c r="M2099" s="1243">
        <v>12</v>
      </c>
      <c r="N2099" s="1223">
        <v>212962.96</v>
      </c>
      <c r="O2099" s="1223">
        <f t="shared" si="382"/>
        <v>2555555.52</v>
      </c>
      <c r="P2099" s="1081">
        <f t="shared" si="376"/>
        <v>204444.44160000002</v>
      </c>
      <c r="Q2099" s="1239">
        <f t="shared" si="377"/>
        <v>2759999.9616</v>
      </c>
      <c r="V2099" s="1107">
        <f t="shared" si="380"/>
        <v>2759999.9616</v>
      </c>
    </row>
    <row r="2100" spans="1:22" ht="31.5" hidden="1">
      <c r="A2100" s="1040" t="s">
        <v>1138</v>
      </c>
      <c r="B2100" s="1040" t="s">
        <v>1134</v>
      </c>
      <c r="C2100" s="1066">
        <v>46307</v>
      </c>
      <c r="D2100" s="1066">
        <v>46308</v>
      </c>
      <c r="E2100" s="1005" t="s">
        <v>1426</v>
      </c>
      <c r="F2100" s="1066">
        <v>46309</v>
      </c>
      <c r="G2100" s="1138" t="s">
        <v>1436</v>
      </c>
      <c r="H2100" s="1138" t="s">
        <v>1435</v>
      </c>
      <c r="I2100" s="1002" t="s">
        <v>892</v>
      </c>
      <c r="J2100" s="1007" t="s">
        <v>262</v>
      </c>
      <c r="K2100" s="1064" t="s">
        <v>976</v>
      </c>
      <c r="L2100" s="1007" t="s">
        <v>18</v>
      </c>
      <c r="M2100" s="1243">
        <v>1</v>
      </c>
      <c r="N2100" s="1223">
        <v>0</v>
      </c>
      <c r="O2100" s="1223">
        <f t="shared" si="382"/>
        <v>0</v>
      </c>
      <c r="P2100" s="1081">
        <f t="shared" si="376"/>
        <v>0</v>
      </c>
      <c r="Q2100" s="1239">
        <f t="shared" si="377"/>
        <v>0</v>
      </c>
      <c r="V2100" s="1107">
        <f t="shared" si="380"/>
        <v>0</v>
      </c>
    </row>
    <row r="2101" spans="1:22" hidden="1">
      <c r="A2101" s="1040" t="s">
        <v>1138</v>
      </c>
      <c r="B2101" s="1040" t="s">
        <v>1134</v>
      </c>
      <c r="C2101" s="1066">
        <v>46307</v>
      </c>
      <c r="D2101" s="1066">
        <v>46308</v>
      </c>
      <c r="E2101" s="1005" t="s">
        <v>1426</v>
      </c>
      <c r="J2101" s="1007" t="s">
        <v>23</v>
      </c>
      <c r="K2101" s="1064" t="s">
        <v>82</v>
      </c>
      <c r="L2101" s="1007" t="s">
        <v>18</v>
      </c>
      <c r="M2101" s="1243">
        <v>1</v>
      </c>
      <c r="N2101" s="1223">
        <v>0</v>
      </c>
      <c r="O2101" s="1223">
        <f t="shared" si="382"/>
        <v>0</v>
      </c>
      <c r="P2101" s="1081">
        <f t="shared" si="376"/>
        <v>0</v>
      </c>
      <c r="Q2101" s="1239">
        <f t="shared" si="377"/>
        <v>0</v>
      </c>
      <c r="V2101" s="1107">
        <f t="shared" si="380"/>
        <v>0</v>
      </c>
    </row>
    <row r="2102" spans="1:22" hidden="1">
      <c r="J2102" s="1007"/>
      <c r="K2102" s="1064"/>
      <c r="V2102" s="1107">
        <f t="shared" si="380"/>
        <v>0</v>
      </c>
    </row>
    <row r="2103" spans="1:22" hidden="1">
      <c r="J2103" s="1007"/>
      <c r="K2103" s="1064"/>
      <c r="V2103" s="1107">
        <f t="shared" si="380"/>
        <v>0</v>
      </c>
    </row>
    <row r="2104" spans="1:22" hidden="1">
      <c r="A2104" s="1000" t="s">
        <v>794</v>
      </c>
      <c r="B2104" s="1001" t="s">
        <v>804</v>
      </c>
      <c r="C2104" s="1066">
        <v>46304</v>
      </c>
      <c r="D2104" s="1066">
        <v>46308</v>
      </c>
      <c r="E2104" s="1005" t="s">
        <v>1427</v>
      </c>
      <c r="F2104" s="1066">
        <v>46310</v>
      </c>
      <c r="G2104" s="1005" t="s">
        <v>1481</v>
      </c>
      <c r="H2104" s="1138" t="s">
        <v>1480</v>
      </c>
      <c r="I2104" s="1002" t="s">
        <v>809</v>
      </c>
      <c r="J2104" s="1007" t="s">
        <v>77</v>
      </c>
      <c r="K2104" s="1064" t="s">
        <v>501</v>
      </c>
      <c r="L2104" s="1007" t="s">
        <v>18</v>
      </c>
      <c r="M2104" s="1243">
        <v>100</v>
      </c>
      <c r="N2104" s="1223">
        <v>333333.33</v>
      </c>
      <c r="O2104" s="1223">
        <f t="shared" ref="O2104:O2110" si="383">M2104*N2104</f>
        <v>33333333</v>
      </c>
      <c r="P2104" s="1081">
        <f t="shared" ref="P2104:P2132" si="384">O2104*8%</f>
        <v>2666666.64</v>
      </c>
      <c r="Q2104" s="1082">
        <f t="shared" ref="Q2104:Q2132" si="385">O2104+P2104</f>
        <v>35999999.640000001</v>
      </c>
      <c r="V2104" s="1107">
        <f t="shared" si="380"/>
        <v>35999999.640000001</v>
      </c>
    </row>
    <row r="2105" spans="1:22" hidden="1">
      <c r="A2105" s="1000" t="s">
        <v>794</v>
      </c>
      <c r="B2105" s="1001" t="s">
        <v>804</v>
      </c>
      <c r="C2105" s="1066">
        <v>46304</v>
      </c>
      <c r="D2105" s="1066">
        <v>46308</v>
      </c>
      <c r="E2105" s="1005" t="s">
        <v>1427</v>
      </c>
      <c r="I2105" s="1002" t="s">
        <v>809</v>
      </c>
      <c r="J2105" s="1007" t="s">
        <v>96</v>
      </c>
      <c r="K2105" s="1064" t="s">
        <v>567</v>
      </c>
      <c r="L2105" s="1007" t="s">
        <v>18</v>
      </c>
      <c r="M2105" s="1243">
        <v>1</v>
      </c>
      <c r="N2105" s="1223">
        <v>574074.06999999995</v>
      </c>
      <c r="O2105" s="1223">
        <f t="shared" si="383"/>
        <v>574074.06999999995</v>
      </c>
      <c r="P2105" s="1081">
        <f t="shared" si="384"/>
        <v>45925.925599999995</v>
      </c>
      <c r="Q2105" s="1082">
        <f t="shared" si="385"/>
        <v>619999.99559999991</v>
      </c>
      <c r="V2105" s="1107">
        <f t="shared" si="380"/>
        <v>619999.99559999991</v>
      </c>
    </row>
    <row r="2106" spans="1:22" ht="31.5" hidden="1">
      <c r="A2106" s="1000" t="s">
        <v>794</v>
      </c>
      <c r="B2106" s="1001" t="s">
        <v>804</v>
      </c>
      <c r="C2106" s="1066">
        <v>46304</v>
      </c>
      <c r="D2106" s="1066">
        <v>46308</v>
      </c>
      <c r="E2106" s="1005" t="s">
        <v>1427</v>
      </c>
      <c r="F2106" s="1066">
        <v>46310</v>
      </c>
      <c r="G2106" s="1005" t="s">
        <v>1481</v>
      </c>
      <c r="H2106" s="1138" t="s">
        <v>1480</v>
      </c>
      <c r="I2106" s="1002" t="s">
        <v>809</v>
      </c>
      <c r="J2106" s="1007" t="s">
        <v>180</v>
      </c>
      <c r="K2106" s="1064" t="s">
        <v>181</v>
      </c>
      <c r="L2106" s="1007" t="s">
        <v>18</v>
      </c>
      <c r="M2106" s="1243">
        <v>30</v>
      </c>
      <c r="N2106" s="1223">
        <v>234259.26</v>
      </c>
      <c r="O2106" s="1223">
        <f t="shared" si="383"/>
        <v>7027777.8000000007</v>
      </c>
      <c r="P2106" s="1081">
        <f t="shared" si="384"/>
        <v>562222.22400000005</v>
      </c>
      <c r="Q2106" s="1082">
        <f t="shared" si="385"/>
        <v>7590000.0240000011</v>
      </c>
      <c r="V2106" s="1107">
        <f t="shared" si="380"/>
        <v>7590000.0240000011</v>
      </c>
    </row>
    <row r="2107" spans="1:22" ht="31.5" hidden="1">
      <c r="A2107" s="1000" t="s">
        <v>794</v>
      </c>
      <c r="B2107" s="1001" t="s">
        <v>804</v>
      </c>
      <c r="C2107" s="1066">
        <v>46304</v>
      </c>
      <c r="D2107" s="1066">
        <v>46308</v>
      </c>
      <c r="E2107" s="1005" t="s">
        <v>1427</v>
      </c>
      <c r="F2107" s="1066">
        <v>46310</v>
      </c>
      <c r="G2107" s="1005" t="s">
        <v>1481</v>
      </c>
      <c r="H2107" s="1138" t="s">
        <v>1480</v>
      </c>
      <c r="I2107" s="1002" t="s">
        <v>809</v>
      </c>
      <c r="J2107" s="1007" t="s">
        <v>26</v>
      </c>
      <c r="K2107" s="1064" t="s">
        <v>27</v>
      </c>
      <c r="L2107" s="1007" t="s">
        <v>18</v>
      </c>
      <c r="M2107" s="1243">
        <v>30</v>
      </c>
      <c r="N2107" s="1223">
        <v>256481.48</v>
      </c>
      <c r="O2107" s="1223">
        <f t="shared" si="383"/>
        <v>7694444.4000000004</v>
      </c>
      <c r="P2107" s="1081">
        <f t="shared" si="384"/>
        <v>615555.55200000003</v>
      </c>
      <c r="Q2107" s="1082">
        <f t="shared" si="385"/>
        <v>8309999.9520000005</v>
      </c>
      <c r="V2107" s="1107">
        <f t="shared" si="380"/>
        <v>8309999.9520000005</v>
      </c>
    </row>
    <row r="2108" spans="1:22" ht="31.5" hidden="1">
      <c r="A2108" s="1000" t="s">
        <v>794</v>
      </c>
      <c r="B2108" s="1001" t="s">
        <v>804</v>
      </c>
      <c r="C2108" s="1066">
        <v>46304</v>
      </c>
      <c r="D2108" s="1066">
        <v>46308</v>
      </c>
      <c r="E2108" s="1005" t="s">
        <v>1427</v>
      </c>
      <c r="F2108" s="1066">
        <v>46310</v>
      </c>
      <c r="G2108" s="1005" t="s">
        <v>1481</v>
      </c>
      <c r="H2108" s="1138" t="s">
        <v>1480</v>
      </c>
      <c r="I2108" s="1002" t="s">
        <v>809</v>
      </c>
      <c r="J2108" s="1007" t="s">
        <v>243</v>
      </c>
      <c r="K2108" s="1064" t="s">
        <v>249</v>
      </c>
      <c r="L2108" s="1007" t="s">
        <v>18</v>
      </c>
      <c r="M2108" s="1243">
        <v>30</v>
      </c>
      <c r="N2108" s="1223">
        <v>298148.15000000002</v>
      </c>
      <c r="O2108" s="1223">
        <f t="shared" si="383"/>
        <v>8944444.5</v>
      </c>
      <c r="P2108" s="1081">
        <f t="shared" si="384"/>
        <v>715555.56</v>
      </c>
      <c r="Q2108" s="1082">
        <f t="shared" si="385"/>
        <v>9660000.0600000005</v>
      </c>
      <c r="V2108" s="1107">
        <f t="shared" si="380"/>
        <v>9660000.0600000005</v>
      </c>
    </row>
    <row r="2109" spans="1:22" hidden="1">
      <c r="A2109" s="1000" t="s">
        <v>794</v>
      </c>
      <c r="B2109" s="1001" t="s">
        <v>804</v>
      </c>
      <c r="C2109" s="1066">
        <v>46304</v>
      </c>
      <c r="D2109" s="1066">
        <v>46308</v>
      </c>
      <c r="E2109" s="1005" t="s">
        <v>1427</v>
      </c>
      <c r="I2109" s="1002" t="s">
        <v>1428</v>
      </c>
      <c r="J2109" s="1007" t="s">
        <v>77</v>
      </c>
      <c r="K2109" s="1064" t="s">
        <v>501</v>
      </c>
      <c r="L2109" s="1007" t="s">
        <v>18</v>
      </c>
      <c r="M2109" s="1243">
        <v>1</v>
      </c>
      <c r="N2109" s="1223">
        <v>0</v>
      </c>
      <c r="O2109" s="1223">
        <f t="shared" si="383"/>
        <v>0</v>
      </c>
      <c r="P2109" s="1081">
        <f t="shared" si="384"/>
        <v>0</v>
      </c>
      <c r="Q2109" s="1082">
        <f t="shared" si="385"/>
        <v>0</v>
      </c>
      <c r="V2109" s="1107">
        <f t="shared" si="380"/>
        <v>0</v>
      </c>
    </row>
    <row r="2110" spans="1:22" ht="31.5" hidden="1">
      <c r="A2110" s="1000" t="s">
        <v>794</v>
      </c>
      <c r="B2110" s="1001" t="s">
        <v>804</v>
      </c>
      <c r="C2110" s="1066">
        <v>46304</v>
      </c>
      <c r="D2110" s="1066">
        <v>46308</v>
      </c>
      <c r="E2110" s="1005" t="s">
        <v>1427</v>
      </c>
      <c r="I2110" s="1002" t="s">
        <v>1428</v>
      </c>
      <c r="J2110" s="1007" t="s">
        <v>26</v>
      </c>
      <c r="K2110" s="1064" t="s">
        <v>27</v>
      </c>
      <c r="L2110" s="1007" t="s">
        <v>18</v>
      </c>
      <c r="M2110" s="1243">
        <v>1</v>
      </c>
      <c r="N2110" s="1223">
        <v>0</v>
      </c>
      <c r="O2110" s="1223">
        <f t="shared" si="383"/>
        <v>0</v>
      </c>
      <c r="P2110" s="1081">
        <f t="shared" si="384"/>
        <v>0</v>
      </c>
      <c r="Q2110" s="1082">
        <f t="shared" si="385"/>
        <v>0</v>
      </c>
      <c r="V2110" s="1107">
        <f t="shared" si="380"/>
        <v>0</v>
      </c>
    </row>
    <row r="2111" spans="1:22" hidden="1">
      <c r="A2111" s="1000" t="s">
        <v>734</v>
      </c>
      <c r="B2111" s="1001" t="s">
        <v>745</v>
      </c>
      <c r="C2111" s="1066">
        <v>46308</v>
      </c>
      <c r="I2111" s="1002" t="s">
        <v>844</v>
      </c>
      <c r="J2111" s="1007"/>
      <c r="K2111" s="1064"/>
      <c r="P2111" s="1081">
        <f t="shared" si="384"/>
        <v>0</v>
      </c>
      <c r="Q2111" s="1082">
        <f t="shared" si="385"/>
        <v>0</v>
      </c>
      <c r="R2111" s="1107">
        <v>54000001</v>
      </c>
      <c r="V2111" s="1239">
        <f t="shared" si="380"/>
        <v>-54000001</v>
      </c>
    </row>
    <row r="2112" spans="1:22" hidden="1">
      <c r="A2112" s="1007" t="s">
        <v>943</v>
      </c>
      <c r="B2112" s="1001" t="s">
        <v>860</v>
      </c>
      <c r="C2112" s="1066">
        <v>46309</v>
      </c>
      <c r="I2112" s="1002" t="s">
        <v>844</v>
      </c>
      <c r="J2112" s="1007"/>
      <c r="K2112" s="1064"/>
      <c r="P2112" s="1081">
        <f t="shared" si="384"/>
        <v>0</v>
      </c>
      <c r="Q2112" s="1082">
        <f t="shared" si="385"/>
        <v>0</v>
      </c>
      <c r="R2112" s="1107">
        <v>41617997</v>
      </c>
      <c r="V2112" s="1241">
        <f t="shared" ref="V2112:V2129" si="386">Q2112-R2112-S2112-T2112-U2112</f>
        <v>-41617997</v>
      </c>
    </row>
    <row r="2113" spans="1:22" ht="31.5" hidden="1">
      <c r="A2113" s="1040" t="s">
        <v>1138</v>
      </c>
      <c r="B2113" s="1040" t="s">
        <v>1134</v>
      </c>
      <c r="C2113" s="1066">
        <v>46308</v>
      </c>
      <c r="D2113" s="1066">
        <v>46309</v>
      </c>
      <c r="E2113" s="1066" t="s">
        <v>1432</v>
      </c>
      <c r="I2113" s="1002" t="s">
        <v>1135</v>
      </c>
      <c r="J2113" s="1007" t="s">
        <v>48</v>
      </c>
      <c r="K2113" s="1064" t="s">
        <v>49</v>
      </c>
      <c r="L2113" s="1007" t="s">
        <v>18</v>
      </c>
      <c r="M2113" s="1243">
        <v>12</v>
      </c>
      <c r="N2113" s="1223">
        <v>601851.85</v>
      </c>
      <c r="O2113" s="1223">
        <f>M2113*N2113</f>
        <v>7222222.1999999993</v>
      </c>
      <c r="P2113" s="1081">
        <f t="shared" si="384"/>
        <v>577777.77599999995</v>
      </c>
      <c r="Q2113" s="1082">
        <f t="shared" si="385"/>
        <v>7799999.9759999989</v>
      </c>
      <c r="V2113" s="1083">
        <f t="shared" si="386"/>
        <v>7799999.9759999989</v>
      </c>
    </row>
    <row r="2114" spans="1:22" hidden="1">
      <c r="A2114" s="1040" t="s">
        <v>1138</v>
      </c>
      <c r="B2114" s="1040" t="s">
        <v>1134</v>
      </c>
      <c r="C2114" s="1066">
        <v>46308</v>
      </c>
      <c r="D2114" s="1066">
        <v>46309</v>
      </c>
      <c r="E2114" s="1066" t="s">
        <v>1432</v>
      </c>
      <c r="I2114" s="1002" t="s">
        <v>1135</v>
      </c>
      <c r="J2114" s="1007" t="s">
        <v>103</v>
      </c>
      <c r="K2114" s="1064" t="s">
        <v>104</v>
      </c>
      <c r="L2114" s="1007" t="s">
        <v>18</v>
      </c>
      <c r="M2114" s="1243">
        <v>12</v>
      </c>
      <c r="N2114" s="1223">
        <v>675925.93</v>
      </c>
      <c r="O2114" s="1223">
        <f t="shared" ref="O2114:O2124" si="387">M2114*N2114</f>
        <v>8111111.1600000001</v>
      </c>
      <c r="P2114" s="1081">
        <f t="shared" si="384"/>
        <v>648888.89280000003</v>
      </c>
      <c r="Q2114" s="1082">
        <f t="shared" si="385"/>
        <v>8760000.0527999997</v>
      </c>
      <c r="V2114" s="1083">
        <f t="shared" si="386"/>
        <v>8760000.0527999997</v>
      </c>
    </row>
    <row r="2115" spans="1:22" hidden="1">
      <c r="A2115" s="1040" t="s">
        <v>1138</v>
      </c>
      <c r="B2115" s="1040" t="s">
        <v>1134</v>
      </c>
      <c r="C2115" s="1066">
        <v>46308</v>
      </c>
      <c r="D2115" s="1066">
        <v>46309</v>
      </c>
      <c r="E2115" s="1066" t="s">
        <v>1432</v>
      </c>
      <c r="I2115" s="1002" t="s">
        <v>1135</v>
      </c>
      <c r="J2115" s="1007" t="s">
        <v>90</v>
      </c>
      <c r="K2115" s="1064" t="s">
        <v>91</v>
      </c>
      <c r="L2115" s="1007" t="s">
        <v>18</v>
      </c>
      <c r="M2115" s="1243">
        <v>12</v>
      </c>
      <c r="N2115" s="1223">
        <v>814814.81</v>
      </c>
      <c r="O2115" s="1223">
        <f t="shared" si="387"/>
        <v>9777777.7200000007</v>
      </c>
      <c r="P2115" s="1081">
        <f t="shared" si="384"/>
        <v>782222.21760000009</v>
      </c>
      <c r="Q2115" s="1082">
        <f t="shared" si="385"/>
        <v>10559999.937600002</v>
      </c>
      <c r="V2115" s="1083">
        <f t="shared" si="386"/>
        <v>10559999.937600002</v>
      </c>
    </row>
    <row r="2116" spans="1:22" hidden="1">
      <c r="A2116" s="1040" t="s">
        <v>1138</v>
      </c>
      <c r="B2116" s="1040" t="s">
        <v>1134</v>
      </c>
      <c r="C2116" s="1066">
        <v>46308</v>
      </c>
      <c r="D2116" s="1066">
        <v>46309</v>
      </c>
      <c r="E2116" s="1066" t="s">
        <v>1432</v>
      </c>
      <c r="I2116" s="1002" t="s">
        <v>1135</v>
      </c>
      <c r="J2116" s="1007" t="s">
        <v>1340</v>
      </c>
      <c r="K2116" s="1064" t="s">
        <v>1341</v>
      </c>
      <c r="L2116" s="1007" t="s">
        <v>18</v>
      </c>
      <c r="M2116" s="1243">
        <v>24</v>
      </c>
      <c r="N2116" s="1223">
        <v>203703.7</v>
      </c>
      <c r="O2116" s="1223">
        <f t="shared" si="387"/>
        <v>4888888.8000000007</v>
      </c>
      <c r="P2116" s="1081">
        <f t="shared" si="384"/>
        <v>391111.10400000005</v>
      </c>
      <c r="Q2116" s="1082">
        <f t="shared" si="385"/>
        <v>5279999.904000001</v>
      </c>
      <c r="V2116" s="1083">
        <f t="shared" si="386"/>
        <v>5279999.904000001</v>
      </c>
    </row>
    <row r="2117" spans="1:22" hidden="1">
      <c r="A2117" s="1040" t="s">
        <v>1138</v>
      </c>
      <c r="B2117" s="1040" t="s">
        <v>1134</v>
      </c>
      <c r="C2117" s="1066">
        <v>46308</v>
      </c>
      <c r="D2117" s="1066">
        <v>46309</v>
      </c>
      <c r="E2117" s="1066" t="s">
        <v>1432</v>
      </c>
      <c r="I2117" s="1002" t="s">
        <v>1135</v>
      </c>
      <c r="J2117" s="1007" t="s">
        <v>1342</v>
      </c>
      <c r="K2117" s="1064" t="s">
        <v>1343</v>
      </c>
      <c r="L2117" s="1007" t="s">
        <v>18</v>
      </c>
      <c r="M2117" s="1243">
        <v>24</v>
      </c>
      <c r="N2117" s="1223">
        <v>203703.7</v>
      </c>
      <c r="O2117" s="1223">
        <f t="shared" si="387"/>
        <v>4888888.8000000007</v>
      </c>
      <c r="P2117" s="1081">
        <f t="shared" si="384"/>
        <v>391111.10400000005</v>
      </c>
      <c r="Q2117" s="1082">
        <f t="shared" si="385"/>
        <v>5279999.904000001</v>
      </c>
      <c r="V2117" s="1083">
        <f t="shared" si="386"/>
        <v>5279999.904000001</v>
      </c>
    </row>
    <row r="2118" spans="1:22" hidden="1">
      <c r="A2118" s="1040" t="s">
        <v>1138</v>
      </c>
      <c r="B2118" s="1040" t="s">
        <v>1134</v>
      </c>
      <c r="C2118" s="1066">
        <v>46308</v>
      </c>
      <c r="D2118" s="1066">
        <v>46309</v>
      </c>
      <c r="E2118" s="1066" t="s">
        <v>1432</v>
      </c>
      <c r="I2118" s="1002" t="s">
        <v>1135</v>
      </c>
      <c r="J2118" s="1007" t="s">
        <v>1400</v>
      </c>
      <c r="K2118" s="1064" t="s">
        <v>1401</v>
      </c>
      <c r="L2118" s="1007" t="s">
        <v>18</v>
      </c>
      <c r="M2118" s="1243">
        <v>24</v>
      </c>
      <c r="N2118" s="1223">
        <v>212962.96</v>
      </c>
      <c r="O2118" s="1223">
        <f t="shared" si="387"/>
        <v>5111111.04</v>
      </c>
      <c r="P2118" s="1081">
        <f t="shared" si="384"/>
        <v>408888.88320000004</v>
      </c>
      <c r="Q2118" s="1082">
        <f t="shared" si="385"/>
        <v>5519999.9232000001</v>
      </c>
      <c r="V2118" s="1083">
        <f t="shared" si="386"/>
        <v>5519999.9232000001</v>
      </c>
    </row>
    <row r="2119" spans="1:22" hidden="1">
      <c r="A2119" s="1040" t="s">
        <v>1138</v>
      </c>
      <c r="B2119" s="1040" t="s">
        <v>1134</v>
      </c>
      <c r="C2119" s="1066">
        <v>46308</v>
      </c>
      <c r="D2119" s="1066">
        <v>46309</v>
      </c>
      <c r="E2119" s="1066" t="s">
        <v>1432</v>
      </c>
      <c r="I2119" s="1002" t="s">
        <v>1135</v>
      </c>
      <c r="J2119" s="1007" t="s">
        <v>23</v>
      </c>
      <c r="K2119" s="1064" t="s">
        <v>82</v>
      </c>
      <c r="L2119" s="1007" t="s">
        <v>18</v>
      </c>
      <c r="M2119" s="1243">
        <v>13</v>
      </c>
      <c r="N2119" s="1223">
        <v>1185185.19</v>
      </c>
      <c r="O2119" s="1223">
        <f t="shared" si="387"/>
        <v>15407407.469999999</v>
      </c>
      <c r="P2119" s="1081">
        <f t="shared" si="384"/>
        <v>1232592.5976</v>
      </c>
      <c r="Q2119" s="1082">
        <f t="shared" si="385"/>
        <v>16640000.067599999</v>
      </c>
      <c r="V2119" s="1083">
        <f t="shared" si="386"/>
        <v>16640000.067599999</v>
      </c>
    </row>
    <row r="2120" spans="1:22" hidden="1">
      <c r="A2120" s="1040" t="s">
        <v>1138</v>
      </c>
      <c r="B2120" s="1040" t="s">
        <v>1134</v>
      </c>
      <c r="C2120" s="1066">
        <v>46308</v>
      </c>
      <c r="D2120" s="1066">
        <v>46309</v>
      </c>
      <c r="E2120" s="1066" t="s">
        <v>1432</v>
      </c>
      <c r="I2120" s="1002" t="s">
        <v>1434</v>
      </c>
      <c r="J2120" s="1007" t="s">
        <v>107</v>
      </c>
      <c r="K2120" s="1064" t="s">
        <v>108</v>
      </c>
      <c r="L2120" s="1007" t="s">
        <v>18</v>
      </c>
      <c r="M2120" s="1243">
        <v>1</v>
      </c>
      <c r="N2120" s="1223">
        <v>0</v>
      </c>
      <c r="O2120" s="1223">
        <f t="shared" si="387"/>
        <v>0</v>
      </c>
      <c r="P2120" s="1081">
        <f t="shared" si="384"/>
        <v>0</v>
      </c>
      <c r="Q2120" s="1082">
        <f t="shared" si="385"/>
        <v>0</v>
      </c>
      <c r="V2120" s="1083">
        <f t="shared" si="386"/>
        <v>0</v>
      </c>
    </row>
    <row r="2121" spans="1:22" hidden="1">
      <c r="A2121" s="1040" t="s">
        <v>1138</v>
      </c>
      <c r="B2121" s="1040" t="s">
        <v>1134</v>
      </c>
      <c r="C2121" s="1066">
        <v>46308</v>
      </c>
      <c r="D2121" s="1066">
        <v>46309</v>
      </c>
      <c r="E2121" s="1066" t="s">
        <v>1432</v>
      </c>
      <c r="I2121" s="1002" t="s">
        <v>862</v>
      </c>
      <c r="J2121" s="1007" t="s">
        <v>959</v>
      </c>
      <c r="K2121" s="1064" t="s">
        <v>960</v>
      </c>
      <c r="L2121" s="1007" t="s">
        <v>18</v>
      </c>
      <c r="M2121" s="1243">
        <v>24</v>
      </c>
      <c r="N2121" s="1223">
        <v>0</v>
      </c>
      <c r="O2121" s="1223">
        <f t="shared" si="387"/>
        <v>0</v>
      </c>
      <c r="P2121" s="1081">
        <f t="shared" si="384"/>
        <v>0</v>
      </c>
      <c r="Q2121" s="1082">
        <f t="shared" si="385"/>
        <v>0</v>
      </c>
      <c r="V2121" s="1083">
        <f t="shared" si="386"/>
        <v>0</v>
      </c>
    </row>
    <row r="2122" spans="1:22" hidden="1">
      <c r="A2122" s="1000" t="s">
        <v>752</v>
      </c>
      <c r="B2122" s="1028" t="s">
        <v>1494</v>
      </c>
      <c r="C2122" s="1066">
        <v>46309</v>
      </c>
      <c r="D2122" s="1066">
        <v>46309</v>
      </c>
      <c r="E2122" s="1005" t="s">
        <v>1433</v>
      </c>
      <c r="F2122" s="1066">
        <v>46311</v>
      </c>
      <c r="G2122" s="1005" t="s">
        <v>1485</v>
      </c>
      <c r="H2122" s="1138" t="s">
        <v>1484</v>
      </c>
      <c r="I2122" s="1002" t="s">
        <v>812</v>
      </c>
      <c r="J2122" s="1007" t="s">
        <v>643</v>
      </c>
      <c r="K2122" s="1064" t="s">
        <v>644</v>
      </c>
      <c r="L2122" s="1007" t="s">
        <v>18</v>
      </c>
      <c r="M2122" s="1243">
        <v>15</v>
      </c>
      <c r="N2122" s="1223">
        <v>527777.78</v>
      </c>
      <c r="O2122" s="1223">
        <f t="shared" si="387"/>
        <v>7916666.7000000002</v>
      </c>
      <c r="P2122" s="1081">
        <f t="shared" si="384"/>
        <v>633333.33600000001</v>
      </c>
      <c r="Q2122" s="1081">
        <f t="shared" si="385"/>
        <v>8550000.0360000003</v>
      </c>
      <c r="V2122" s="1083">
        <f t="shared" si="386"/>
        <v>8550000.0360000003</v>
      </c>
    </row>
    <row r="2123" spans="1:22" hidden="1">
      <c r="A2123" s="1000" t="s">
        <v>752</v>
      </c>
      <c r="B2123" s="1028" t="s">
        <v>1494</v>
      </c>
      <c r="C2123" s="1066">
        <v>46309</v>
      </c>
      <c r="D2123" s="1066">
        <v>46309</v>
      </c>
      <c r="E2123" s="1005" t="s">
        <v>1433</v>
      </c>
      <c r="F2123" s="1066">
        <v>46311</v>
      </c>
      <c r="G2123" s="1005" t="s">
        <v>1485</v>
      </c>
      <c r="H2123" s="1138" t="s">
        <v>1484</v>
      </c>
      <c r="I2123" s="1002" t="s">
        <v>812</v>
      </c>
      <c r="J2123" s="1007" t="s">
        <v>653</v>
      </c>
      <c r="K2123" s="1064" t="s">
        <v>654</v>
      </c>
      <c r="L2123" s="1007" t="s">
        <v>18</v>
      </c>
      <c r="M2123" s="1243">
        <v>15</v>
      </c>
      <c r="N2123" s="1223">
        <v>481481.48</v>
      </c>
      <c r="O2123" s="1223">
        <f t="shared" si="387"/>
        <v>7222222.1999999993</v>
      </c>
      <c r="P2123" s="1081">
        <f t="shared" si="384"/>
        <v>577777.77599999995</v>
      </c>
      <c r="Q2123" s="1081">
        <f t="shared" si="385"/>
        <v>7799999.9759999989</v>
      </c>
      <c r="V2123" s="1083">
        <f t="shared" si="386"/>
        <v>7799999.9759999989</v>
      </c>
    </row>
    <row r="2124" spans="1:22" hidden="1">
      <c r="A2124" s="1000" t="s">
        <v>752</v>
      </c>
      <c r="B2124" s="1028" t="s">
        <v>1494</v>
      </c>
      <c r="C2124" s="1066">
        <v>46309</v>
      </c>
      <c r="D2124" s="1066">
        <v>46309</v>
      </c>
      <c r="E2124" s="1005" t="s">
        <v>1433</v>
      </c>
      <c r="F2124" s="1066">
        <v>46311</v>
      </c>
      <c r="G2124" s="1005" t="s">
        <v>1485</v>
      </c>
      <c r="H2124" s="1138" t="s">
        <v>1484</v>
      </c>
      <c r="I2124" s="1002" t="s">
        <v>812</v>
      </c>
      <c r="J2124" s="1007" t="s">
        <v>655</v>
      </c>
      <c r="K2124" s="1064" t="s">
        <v>656</v>
      </c>
      <c r="L2124" s="1007" t="s">
        <v>18</v>
      </c>
      <c r="M2124" s="1243">
        <v>15</v>
      </c>
      <c r="N2124" s="1223">
        <v>574074.06999999995</v>
      </c>
      <c r="O2124" s="1223">
        <f t="shared" si="387"/>
        <v>8611111.0499999989</v>
      </c>
      <c r="P2124" s="1081">
        <f t="shared" si="384"/>
        <v>688888.88399999996</v>
      </c>
      <c r="Q2124" s="1081">
        <f t="shared" si="385"/>
        <v>9299999.9339999985</v>
      </c>
      <c r="V2124" s="1083">
        <f t="shared" si="386"/>
        <v>9299999.9339999985</v>
      </c>
    </row>
    <row r="2125" spans="1:22" hidden="1">
      <c r="A2125" s="1000" t="s">
        <v>752</v>
      </c>
      <c r="B2125" s="1028" t="s">
        <v>1494</v>
      </c>
      <c r="C2125" s="1066">
        <v>46309</v>
      </c>
      <c r="D2125" s="1066">
        <v>46309</v>
      </c>
      <c r="E2125" s="1005" t="s">
        <v>1433</v>
      </c>
      <c r="F2125" s="1066">
        <v>46311</v>
      </c>
      <c r="G2125" s="1005" t="s">
        <v>1485</v>
      </c>
      <c r="H2125" s="1138" t="s">
        <v>1484</v>
      </c>
      <c r="I2125" s="1002" t="s">
        <v>812</v>
      </c>
      <c r="J2125" s="1007" t="s">
        <v>90</v>
      </c>
      <c r="K2125" s="1064" t="s">
        <v>91</v>
      </c>
      <c r="L2125" s="1007" t="s">
        <v>18</v>
      </c>
      <c r="M2125" s="1243">
        <v>10</v>
      </c>
      <c r="N2125" s="1223">
        <v>814814.81</v>
      </c>
      <c r="O2125" s="1223">
        <f>M2125*N2125</f>
        <v>8148148.1000000006</v>
      </c>
      <c r="P2125" s="1081">
        <f t="shared" si="384"/>
        <v>651851.84800000011</v>
      </c>
      <c r="Q2125" s="1081">
        <f t="shared" si="385"/>
        <v>8799999.9480000008</v>
      </c>
      <c r="V2125" s="1083">
        <f t="shared" si="386"/>
        <v>8799999.9480000008</v>
      </c>
    </row>
    <row r="2126" spans="1:22" hidden="1">
      <c r="A2126" s="1000" t="s">
        <v>752</v>
      </c>
      <c r="B2126" s="1028" t="s">
        <v>1494</v>
      </c>
      <c r="C2126" s="1066">
        <v>46309</v>
      </c>
      <c r="D2126" s="1066">
        <v>46309</v>
      </c>
      <c r="E2126" s="1005" t="s">
        <v>1433</v>
      </c>
      <c r="F2126" s="1066">
        <v>46311</v>
      </c>
      <c r="G2126" s="1005" t="s">
        <v>1485</v>
      </c>
      <c r="H2126" s="1138" t="s">
        <v>1484</v>
      </c>
      <c r="I2126" s="1008" t="s">
        <v>892</v>
      </c>
      <c r="J2126" s="1007" t="s">
        <v>643</v>
      </c>
      <c r="K2126" s="1064" t="s">
        <v>644</v>
      </c>
      <c r="L2126" s="1007" t="s">
        <v>18</v>
      </c>
      <c r="M2126" s="1243">
        <v>1</v>
      </c>
      <c r="N2126" s="1223">
        <v>0</v>
      </c>
      <c r="O2126" s="1223">
        <f t="shared" ref="O2126:O2134" si="388">M2126*N2126</f>
        <v>0</v>
      </c>
      <c r="P2126" s="1081">
        <f t="shared" si="384"/>
        <v>0</v>
      </c>
      <c r="Q2126" s="1081">
        <f t="shared" si="385"/>
        <v>0</v>
      </c>
      <c r="V2126" s="1083">
        <f t="shared" si="386"/>
        <v>0</v>
      </c>
    </row>
    <row r="2127" spans="1:22" hidden="1">
      <c r="A2127" s="1000" t="s">
        <v>752</v>
      </c>
      <c r="B2127" s="1028" t="s">
        <v>1494</v>
      </c>
      <c r="C2127" s="1066">
        <v>46309</v>
      </c>
      <c r="D2127" s="1066">
        <v>46309</v>
      </c>
      <c r="E2127" s="1005" t="s">
        <v>1433</v>
      </c>
      <c r="F2127" s="1066">
        <v>46311</v>
      </c>
      <c r="G2127" s="1005" t="s">
        <v>1485</v>
      </c>
      <c r="H2127" s="1138" t="s">
        <v>1484</v>
      </c>
      <c r="I2127" s="1008" t="s">
        <v>892</v>
      </c>
      <c r="J2127" s="1007" t="s">
        <v>653</v>
      </c>
      <c r="K2127" s="1064" t="s">
        <v>654</v>
      </c>
      <c r="L2127" s="1007" t="s">
        <v>18</v>
      </c>
      <c r="M2127" s="1243">
        <v>1</v>
      </c>
      <c r="N2127" s="1223">
        <v>0</v>
      </c>
      <c r="O2127" s="1223">
        <f t="shared" si="388"/>
        <v>0</v>
      </c>
      <c r="P2127" s="1081">
        <f t="shared" si="384"/>
        <v>0</v>
      </c>
      <c r="Q2127" s="1081">
        <f t="shared" si="385"/>
        <v>0</v>
      </c>
      <c r="V2127" s="1083">
        <f t="shared" si="386"/>
        <v>0</v>
      </c>
    </row>
    <row r="2128" spans="1:22" hidden="1">
      <c r="A2128" s="1000" t="s">
        <v>752</v>
      </c>
      <c r="B2128" s="1028" t="s">
        <v>1494</v>
      </c>
      <c r="C2128" s="1066">
        <v>46309</v>
      </c>
      <c r="D2128" s="1066">
        <v>46309</v>
      </c>
      <c r="E2128" s="1005" t="s">
        <v>1433</v>
      </c>
      <c r="F2128" s="1066">
        <v>46311</v>
      </c>
      <c r="G2128" s="1005" t="s">
        <v>1485</v>
      </c>
      <c r="H2128" s="1138" t="s">
        <v>1484</v>
      </c>
      <c r="I2128" s="1008" t="s">
        <v>892</v>
      </c>
      <c r="J2128" s="1007" t="s">
        <v>655</v>
      </c>
      <c r="K2128" s="1064" t="s">
        <v>656</v>
      </c>
      <c r="L2128" s="1007" t="s">
        <v>18</v>
      </c>
      <c r="M2128" s="1243">
        <v>1</v>
      </c>
      <c r="N2128" s="1223">
        <v>0</v>
      </c>
      <c r="O2128" s="1223">
        <f t="shared" si="388"/>
        <v>0</v>
      </c>
      <c r="P2128" s="1081">
        <f t="shared" si="384"/>
        <v>0</v>
      </c>
      <c r="Q2128" s="1081">
        <f t="shared" si="385"/>
        <v>0</v>
      </c>
      <c r="V2128" s="1083">
        <f t="shared" si="386"/>
        <v>0</v>
      </c>
    </row>
    <row r="2129" spans="1:23" hidden="1">
      <c r="A2129" s="1000" t="s">
        <v>1004</v>
      </c>
      <c r="B2129" s="1028" t="s">
        <v>888</v>
      </c>
      <c r="C2129" s="1066">
        <v>46310</v>
      </c>
      <c r="I2129" s="1002" t="s">
        <v>844</v>
      </c>
      <c r="O2129" s="1223">
        <f t="shared" si="388"/>
        <v>0</v>
      </c>
      <c r="P2129" s="1081">
        <f t="shared" si="384"/>
        <v>0</v>
      </c>
      <c r="Q2129" s="1081">
        <f t="shared" si="385"/>
        <v>0</v>
      </c>
      <c r="R2129" s="1107">
        <v>76000000</v>
      </c>
      <c r="V2129" s="1241">
        <f t="shared" si="386"/>
        <v>-76000000</v>
      </c>
    </row>
    <row r="2130" spans="1:23" hidden="1">
      <c r="A2130" s="1040" t="s">
        <v>1138</v>
      </c>
      <c r="B2130" s="1040" t="s">
        <v>1134</v>
      </c>
      <c r="C2130" s="1066">
        <v>46308</v>
      </c>
      <c r="I2130" s="1002" t="s">
        <v>760</v>
      </c>
      <c r="J2130" s="1007"/>
      <c r="K2130" s="1064"/>
      <c r="N2130" s="1223">
        <v>0</v>
      </c>
      <c r="O2130" s="1223">
        <f t="shared" si="388"/>
        <v>0</v>
      </c>
      <c r="P2130" s="1081">
        <f t="shared" si="384"/>
        <v>0</v>
      </c>
      <c r="Q2130" s="1081">
        <f t="shared" si="385"/>
        <v>0</v>
      </c>
      <c r="S2130" s="1107">
        <v>600000</v>
      </c>
      <c r="V2130" s="1083"/>
      <c r="W2130" s="1050" t="s">
        <v>1426</v>
      </c>
    </row>
    <row r="2131" spans="1:23" hidden="1">
      <c r="A2131" s="1040" t="s">
        <v>1138</v>
      </c>
      <c r="B2131" s="1040" t="s">
        <v>1134</v>
      </c>
      <c r="C2131" s="1066">
        <v>46309</v>
      </c>
      <c r="I2131" s="1002" t="s">
        <v>760</v>
      </c>
      <c r="J2131" s="1007"/>
      <c r="N2131" s="1223">
        <v>0</v>
      </c>
      <c r="O2131" s="1223">
        <f t="shared" si="388"/>
        <v>0</v>
      </c>
      <c r="P2131" s="1081">
        <f t="shared" si="384"/>
        <v>0</v>
      </c>
      <c r="Q2131" s="1081">
        <f t="shared" si="385"/>
        <v>0</v>
      </c>
      <c r="S2131" s="1107">
        <v>650000</v>
      </c>
      <c r="W2131" s="1050" t="s">
        <v>1432</v>
      </c>
    </row>
    <row r="2132" spans="1:23" hidden="1">
      <c r="A2132" s="1000" t="s">
        <v>753</v>
      </c>
      <c r="B2132" s="1001" t="s">
        <v>754</v>
      </c>
      <c r="C2132" s="1066">
        <v>46310</v>
      </c>
      <c r="D2132" s="1066">
        <v>46310</v>
      </c>
      <c r="E2132" s="1005" t="s">
        <v>1439</v>
      </c>
      <c r="I2132" s="1002" t="s">
        <v>1465</v>
      </c>
      <c r="J2132" s="1061" t="s">
        <v>77</v>
      </c>
      <c r="K2132" s="1061" t="s">
        <v>428</v>
      </c>
      <c r="L2132" s="1061" t="s">
        <v>25</v>
      </c>
      <c r="M2132" s="1093">
        <v>-1</v>
      </c>
      <c r="N2132" s="1082">
        <v>324074.07</v>
      </c>
      <c r="O2132" s="1223">
        <f t="shared" si="388"/>
        <v>-324074.07</v>
      </c>
      <c r="P2132" s="1081">
        <f t="shared" si="384"/>
        <v>-25925.925600000002</v>
      </c>
      <c r="Q2132" s="1081">
        <f t="shared" si="385"/>
        <v>-349999.99560000002</v>
      </c>
      <c r="V2132" s="1107">
        <f t="shared" ref="V2132:V2195" si="389">Q2132-R2132-S2132-T2132-U2132</f>
        <v>-349999.99560000002</v>
      </c>
      <c r="W2132" s="1049" t="s">
        <v>1457</v>
      </c>
    </row>
    <row r="2133" spans="1:23" hidden="1">
      <c r="A2133" s="1000" t="s">
        <v>753</v>
      </c>
      <c r="B2133" s="1001" t="s">
        <v>754</v>
      </c>
      <c r="C2133" s="1066">
        <v>46310</v>
      </c>
      <c r="D2133" s="1066">
        <v>46310</v>
      </c>
      <c r="E2133" s="1005" t="s">
        <v>1439</v>
      </c>
      <c r="I2133" s="1002" t="s">
        <v>1465</v>
      </c>
      <c r="J2133" s="1061" t="s">
        <v>80</v>
      </c>
      <c r="K2133" s="1061" t="s">
        <v>1437</v>
      </c>
      <c r="L2133" s="1061" t="s">
        <v>18</v>
      </c>
      <c r="M2133" s="1093">
        <v>-1</v>
      </c>
      <c r="N2133" s="1082">
        <v>824074.07</v>
      </c>
      <c r="O2133" s="1223">
        <f t="shared" si="388"/>
        <v>-824074.07</v>
      </c>
      <c r="P2133" s="1081">
        <f t="shared" ref="P2133:P2196" si="390">O2133*8%</f>
        <v>-65925.925600000002</v>
      </c>
      <c r="Q2133" s="1082">
        <f t="shared" ref="Q2133:Q2196" si="391">O2133+P2133</f>
        <v>-889999.99559999991</v>
      </c>
      <c r="V2133" s="1107">
        <f t="shared" si="389"/>
        <v>-889999.99559999991</v>
      </c>
      <c r="W2133" s="1049" t="s">
        <v>1458</v>
      </c>
    </row>
    <row r="2134" spans="1:23" hidden="1">
      <c r="A2134" s="1000" t="s">
        <v>753</v>
      </c>
      <c r="B2134" s="1001" t="s">
        <v>754</v>
      </c>
      <c r="C2134" s="1066">
        <v>46310</v>
      </c>
      <c r="D2134" s="1066">
        <v>46310</v>
      </c>
      <c r="E2134" s="1005" t="s">
        <v>1439</v>
      </c>
      <c r="I2134" s="1002" t="s">
        <v>1465</v>
      </c>
      <c r="J2134" s="1061" t="s">
        <v>83</v>
      </c>
      <c r="K2134" s="1067" t="s">
        <v>1438</v>
      </c>
      <c r="L2134" s="1061" t="s">
        <v>18</v>
      </c>
      <c r="M2134" s="1093">
        <v>-1</v>
      </c>
      <c r="N2134" s="1082">
        <v>1097222.22</v>
      </c>
      <c r="O2134" s="1223">
        <f t="shared" si="388"/>
        <v>-1097222.22</v>
      </c>
      <c r="P2134" s="1081">
        <f t="shared" si="390"/>
        <v>-87777.777600000001</v>
      </c>
      <c r="Q2134" s="1082">
        <f t="shared" si="391"/>
        <v>-1184999.9975999999</v>
      </c>
      <c r="V2134" s="1107">
        <f t="shared" si="389"/>
        <v>-1184999.9975999999</v>
      </c>
      <c r="W2134" s="1049" t="s">
        <v>1459</v>
      </c>
    </row>
    <row r="2135" spans="1:23" hidden="1">
      <c r="A2135" s="1000" t="s">
        <v>753</v>
      </c>
      <c r="B2135" s="1001" t="s">
        <v>754</v>
      </c>
      <c r="C2135" s="1066">
        <v>46310</v>
      </c>
      <c r="D2135" s="1066">
        <v>46310</v>
      </c>
      <c r="E2135" s="1005" t="s">
        <v>1439</v>
      </c>
      <c r="I2135" s="1002" t="s">
        <v>1465</v>
      </c>
      <c r="J2135" s="1061" t="s">
        <v>90</v>
      </c>
      <c r="K2135" s="1067" t="s">
        <v>1140</v>
      </c>
      <c r="L2135" s="1061" t="s">
        <v>18</v>
      </c>
      <c r="M2135" s="1093">
        <v>-2</v>
      </c>
      <c r="N2135" s="1081">
        <v>814814.81</v>
      </c>
      <c r="O2135" s="1082">
        <f t="shared" ref="O2135:O2138" si="392">M2135*N2135</f>
        <v>-1629629.62</v>
      </c>
      <c r="P2135" s="1081">
        <f t="shared" si="390"/>
        <v>-130370.36960000001</v>
      </c>
      <c r="Q2135" s="1082">
        <f t="shared" si="391"/>
        <v>-1759999.9896000002</v>
      </c>
      <c r="V2135" s="1107">
        <f t="shared" si="389"/>
        <v>-1759999.9896000002</v>
      </c>
      <c r="W2135" s="1049" t="s">
        <v>1460</v>
      </c>
    </row>
    <row r="2136" spans="1:23" hidden="1">
      <c r="A2136" s="1000" t="s">
        <v>753</v>
      </c>
      <c r="B2136" s="1001" t="s">
        <v>754</v>
      </c>
      <c r="C2136" s="1066">
        <v>46310</v>
      </c>
      <c r="D2136" s="1066">
        <v>46310</v>
      </c>
      <c r="E2136" s="1005" t="s">
        <v>1439</v>
      </c>
      <c r="I2136" s="1002" t="s">
        <v>1465</v>
      </c>
      <c r="J2136" s="1061" t="s">
        <v>74</v>
      </c>
      <c r="K2136" s="1067" t="s">
        <v>141</v>
      </c>
      <c r="L2136" s="1061" t="s">
        <v>18</v>
      </c>
      <c r="M2136" s="1093">
        <v>-2</v>
      </c>
      <c r="N2136" s="1081">
        <v>382407.41</v>
      </c>
      <c r="O2136" s="1082">
        <f t="shared" si="392"/>
        <v>-764814.82</v>
      </c>
      <c r="P2136" s="1081">
        <f t="shared" si="390"/>
        <v>-61185.185599999997</v>
      </c>
      <c r="Q2136" s="1082">
        <f t="shared" si="391"/>
        <v>-826000.00559999992</v>
      </c>
      <c r="V2136" s="1107">
        <f t="shared" si="389"/>
        <v>-826000.00559999992</v>
      </c>
      <c r="W2136" s="1049" t="s">
        <v>1461</v>
      </c>
    </row>
    <row r="2137" spans="1:23" hidden="1">
      <c r="A2137" s="1000" t="s">
        <v>753</v>
      </c>
      <c r="B2137" s="1001" t="s">
        <v>754</v>
      </c>
      <c r="C2137" s="1066">
        <v>46310</v>
      </c>
      <c r="D2137" s="1066">
        <v>46310</v>
      </c>
      <c r="E2137" s="1005" t="s">
        <v>1439</v>
      </c>
      <c r="I2137" s="1002" t="s">
        <v>1465</v>
      </c>
      <c r="J2137" s="1061" t="s">
        <v>655</v>
      </c>
      <c r="K2137" s="1067" t="s">
        <v>1197</v>
      </c>
      <c r="L2137" s="1061" t="s">
        <v>18</v>
      </c>
      <c r="M2137" s="1093">
        <v>-1</v>
      </c>
      <c r="N2137" s="1082">
        <v>574074.06999999995</v>
      </c>
      <c r="O2137" s="1082">
        <f t="shared" si="392"/>
        <v>-574074.06999999995</v>
      </c>
      <c r="P2137" s="1081">
        <f t="shared" si="390"/>
        <v>-45925.925599999995</v>
      </c>
      <c r="Q2137" s="1082">
        <f t="shared" si="391"/>
        <v>-619999.99559999991</v>
      </c>
      <c r="V2137" s="1107">
        <f t="shared" si="389"/>
        <v>-619999.99559999991</v>
      </c>
      <c r="W2137" s="1049" t="s">
        <v>1462</v>
      </c>
    </row>
    <row r="2138" spans="1:23" hidden="1">
      <c r="A2138" s="1000" t="s">
        <v>753</v>
      </c>
      <c r="B2138" s="1001" t="s">
        <v>754</v>
      </c>
      <c r="C2138" s="1066">
        <v>46310</v>
      </c>
      <c r="D2138" s="1066">
        <v>46310</v>
      </c>
      <c r="E2138" s="1005" t="s">
        <v>1439</v>
      </c>
      <c r="I2138" s="1002" t="s">
        <v>1465</v>
      </c>
      <c r="J2138" s="1061" t="s">
        <v>653</v>
      </c>
      <c r="K2138" s="1061" t="s">
        <v>1196</v>
      </c>
      <c r="L2138" s="1061" t="s">
        <v>18</v>
      </c>
      <c r="M2138" s="1093">
        <v>-2</v>
      </c>
      <c r="N2138" s="1082">
        <v>481481.48</v>
      </c>
      <c r="O2138" s="1082">
        <f t="shared" si="392"/>
        <v>-962962.96</v>
      </c>
      <c r="P2138" s="1081">
        <f t="shared" si="390"/>
        <v>-77037.036800000002</v>
      </c>
      <c r="Q2138" s="1082">
        <f t="shared" si="391"/>
        <v>-1039999.9968</v>
      </c>
      <c r="V2138" s="1107">
        <f t="shared" si="389"/>
        <v>-1039999.9968</v>
      </c>
      <c r="W2138" s="1049" t="s">
        <v>1463</v>
      </c>
    </row>
    <row r="2139" spans="1:23" hidden="1">
      <c r="A2139" s="1000" t="s">
        <v>753</v>
      </c>
      <c r="B2139" s="1001" t="s">
        <v>754</v>
      </c>
      <c r="C2139" s="1066">
        <v>46310</v>
      </c>
      <c r="D2139" s="1066">
        <v>46310</v>
      </c>
      <c r="E2139" s="1005" t="s">
        <v>1456</v>
      </c>
      <c r="I2139" s="1002" t="s">
        <v>1465</v>
      </c>
      <c r="J2139" s="1061" t="s">
        <v>279</v>
      </c>
      <c r="K2139" s="1061" t="s">
        <v>1464</v>
      </c>
      <c r="L2139" s="1061" t="s">
        <v>18</v>
      </c>
      <c r="M2139" s="1093">
        <v>-12</v>
      </c>
      <c r="N2139" s="1082">
        <v>387962.96</v>
      </c>
      <c r="O2139" s="1082">
        <f>M2139*N2139</f>
        <v>-4655555.5200000005</v>
      </c>
      <c r="P2139" s="1081">
        <f t="shared" si="390"/>
        <v>-372444.44160000002</v>
      </c>
      <c r="Q2139" s="1082">
        <f t="shared" si="391"/>
        <v>-5027999.9616</v>
      </c>
      <c r="V2139" s="1107">
        <f t="shared" si="389"/>
        <v>-5027999.9616</v>
      </c>
    </row>
    <row r="2140" spans="1:23" hidden="1">
      <c r="A2140" s="1000" t="s">
        <v>753</v>
      </c>
      <c r="B2140" s="1001" t="s">
        <v>754</v>
      </c>
      <c r="C2140" s="1066">
        <v>46310</v>
      </c>
      <c r="D2140" s="1066">
        <v>46310</v>
      </c>
      <c r="E2140" s="1005" t="s">
        <v>1456</v>
      </c>
      <c r="I2140" s="1002" t="s">
        <v>1465</v>
      </c>
      <c r="J2140" s="1061" t="s">
        <v>258</v>
      </c>
      <c r="K2140" s="1061" t="s">
        <v>1464</v>
      </c>
      <c r="L2140" s="1061" t="s">
        <v>18</v>
      </c>
      <c r="M2140" s="1093">
        <v>-12</v>
      </c>
      <c r="N2140" s="1082">
        <v>472222.22</v>
      </c>
      <c r="O2140" s="1082">
        <f t="shared" ref="O2140:O2165" si="393">M2140*N2140</f>
        <v>-5666666.6399999997</v>
      </c>
      <c r="P2140" s="1081">
        <f t="shared" si="390"/>
        <v>-453333.33119999996</v>
      </c>
      <c r="Q2140" s="1082">
        <f t="shared" si="391"/>
        <v>-6119999.9711999996</v>
      </c>
      <c r="V2140" s="1107">
        <f t="shared" si="389"/>
        <v>-6119999.9711999996</v>
      </c>
    </row>
    <row r="2141" spans="1:23" hidden="1">
      <c r="A2141" s="1000" t="s">
        <v>753</v>
      </c>
      <c r="B2141" s="1001" t="s">
        <v>754</v>
      </c>
      <c r="C2141" s="1066">
        <v>46310</v>
      </c>
      <c r="D2141" s="1066">
        <v>46310</v>
      </c>
      <c r="E2141" s="1005" t="s">
        <v>1456</v>
      </c>
      <c r="I2141" s="1002" t="s">
        <v>1465</v>
      </c>
      <c r="J2141" s="1061" t="s">
        <v>260</v>
      </c>
      <c r="K2141" s="1061" t="s">
        <v>1464</v>
      </c>
      <c r="L2141" s="1061" t="s">
        <v>18</v>
      </c>
      <c r="M2141" s="1093">
        <v>-8</v>
      </c>
      <c r="N2141" s="1082">
        <v>492592.59</v>
      </c>
      <c r="O2141" s="1082">
        <f t="shared" si="393"/>
        <v>-3940740.72</v>
      </c>
      <c r="P2141" s="1081">
        <f t="shared" si="390"/>
        <v>-315259.25760000001</v>
      </c>
      <c r="Q2141" s="1082">
        <f t="shared" si="391"/>
        <v>-4255999.9775999999</v>
      </c>
      <c r="V2141" s="1107">
        <f t="shared" si="389"/>
        <v>-4255999.9775999999</v>
      </c>
    </row>
    <row r="2142" spans="1:23" hidden="1">
      <c r="A2142" s="1000" t="s">
        <v>753</v>
      </c>
      <c r="B2142" s="1001" t="s">
        <v>754</v>
      </c>
      <c r="C2142" s="1066">
        <v>46310</v>
      </c>
      <c r="D2142" s="1066">
        <v>46310</v>
      </c>
      <c r="E2142" s="1005" t="s">
        <v>1456</v>
      </c>
      <c r="I2142" s="1002" t="s">
        <v>1465</v>
      </c>
      <c r="J2142" s="1061" t="s">
        <v>40</v>
      </c>
      <c r="K2142" s="1061" t="s">
        <v>1440</v>
      </c>
      <c r="L2142" s="1061" t="s">
        <v>18</v>
      </c>
      <c r="M2142" s="1093">
        <v>-8</v>
      </c>
      <c r="N2142" s="1082">
        <v>844444.4</v>
      </c>
      <c r="O2142" s="1082">
        <f t="shared" si="393"/>
        <v>-6755555.2000000002</v>
      </c>
      <c r="P2142" s="1081">
        <f t="shared" si="390"/>
        <v>-540444.41599999997</v>
      </c>
      <c r="Q2142" s="1082">
        <f t="shared" si="391"/>
        <v>-7295999.6160000004</v>
      </c>
      <c r="V2142" s="1107">
        <f t="shared" si="389"/>
        <v>-7295999.6160000004</v>
      </c>
    </row>
    <row r="2143" spans="1:23" hidden="1">
      <c r="A2143" s="1000" t="s">
        <v>753</v>
      </c>
      <c r="B2143" s="1001" t="s">
        <v>754</v>
      </c>
      <c r="C2143" s="1066">
        <v>46310</v>
      </c>
      <c r="D2143" s="1066">
        <v>46310</v>
      </c>
      <c r="E2143" s="1005" t="s">
        <v>1456</v>
      </c>
      <c r="I2143" s="1002" t="s">
        <v>1465</v>
      </c>
      <c r="J2143" s="1061" t="s">
        <v>274</v>
      </c>
      <c r="K2143" s="1067" t="s">
        <v>297</v>
      </c>
      <c r="L2143" s="1061" t="s">
        <v>18</v>
      </c>
      <c r="M2143" s="1093">
        <v>-14</v>
      </c>
      <c r="N2143" s="1082">
        <v>416666.66</v>
      </c>
      <c r="O2143" s="1082">
        <f t="shared" si="393"/>
        <v>-5833333.2399999993</v>
      </c>
      <c r="P2143" s="1081">
        <f t="shared" si="390"/>
        <v>-466666.65919999994</v>
      </c>
      <c r="Q2143" s="1082">
        <f t="shared" si="391"/>
        <v>-6299999.8991999989</v>
      </c>
      <c r="V2143" s="1107">
        <f t="shared" si="389"/>
        <v>-6299999.8991999989</v>
      </c>
    </row>
    <row r="2144" spans="1:23" hidden="1">
      <c r="A2144" s="1000" t="s">
        <v>753</v>
      </c>
      <c r="B2144" s="1001" t="s">
        <v>754</v>
      </c>
      <c r="C2144" s="1066">
        <v>46310</v>
      </c>
      <c r="D2144" s="1066">
        <v>46310</v>
      </c>
      <c r="E2144" s="1005" t="s">
        <v>1456</v>
      </c>
      <c r="I2144" s="1002" t="s">
        <v>1465</v>
      </c>
      <c r="J2144" s="1061" t="s">
        <v>206</v>
      </c>
      <c r="K2144" s="1067" t="s">
        <v>1441</v>
      </c>
      <c r="L2144" s="1061" t="s">
        <v>18</v>
      </c>
      <c r="M2144" s="1093">
        <v>-2</v>
      </c>
      <c r="N2144" s="1082">
        <v>483333.33</v>
      </c>
      <c r="O2144" s="1082">
        <f t="shared" si="393"/>
        <v>-966666.66</v>
      </c>
      <c r="P2144" s="1081">
        <f t="shared" si="390"/>
        <v>-77333.332800000004</v>
      </c>
      <c r="Q2144" s="1082">
        <f t="shared" si="391"/>
        <v>-1043999.9928</v>
      </c>
      <c r="V2144" s="1107">
        <f t="shared" si="389"/>
        <v>-1043999.9928</v>
      </c>
    </row>
    <row r="2145" spans="1:22" hidden="1">
      <c r="A2145" s="1000" t="s">
        <v>753</v>
      </c>
      <c r="B2145" s="1001" t="s">
        <v>754</v>
      </c>
      <c r="C2145" s="1066">
        <v>46310</v>
      </c>
      <c r="D2145" s="1066">
        <v>46310</v>
      </c>
      <c r="E2145" s="1005" t="s">
        <v>1456</v>
      </c>
      <c r="I2145" s="1002" t="s">
        <v>1465</v>
      </c>
      <c r="J2145" s="1061" t="s">
        <v>80</v>
      </c>
      <c r="K2145" s="1067" t="s">
        <v>1437</v>
      </c>
      <c r="L2145" s="1061" t="s">
        <v>18</v>
      </c>
      <c r="M2145" s="1093">
        <v>-12</v>
      </c>
      <c r="N2145" s="1082">
        <v>824074.07</v>
      </c>
      <c r="O2145" s="1082">
        <f t="shared" si="393"/>
        <v>-9888888.8399999999</v>
      </c>
      <c r="P2145" s="1081">
        <f t="shared" si="390"/>
        <v>-791111.10719999997</v>
      </c>
      <c r="Q2145" s="1082">
        <f t="shared" si="391"/>
        <v>-10679999.9472</v>
      </c>
      <c r="V2145" s="1107">
        <f t="shared" si="389"/>
        <v>-10679999.9472</v>
      </c>
    </row>
    <row r="2146" spans="1:22" hidden="1">
      <c r="A2146" s="1000" t="s">
        <v>753</v>
      </c>
      <c r="B2146" s="1001" t="s">
        <v>754</v>
      </c>
      <c r="C2146" s="1066">
        <v>46310</v>
      </c>
      <c r="D2146" s="1066">
        <v>46310</v>
      </c>
      <c r="E2146" s="1005" t="s">
        <v>1456</v>
      </c>
      <c r="I2146" s="1002" t="s">
        <v>1465</v>
      </c>
      <c r="J2146" s="1061" t="s">
        <v>21</v>
      </c>
      <c r="K2146" s="1067" t="s">
        <v>1442</v>
      </c>
      <c r="L2146" s="1061" t="s">
        <v>18</v>
      </c>
      <c r="M2146" s="1093">
        <v>-14</v>
      </c>
      <c r="N2146" s="1082">
        <v>937962.97</v>
      </c>
      <c r="O2146" s="1082">
        <f t="shared" si="393"/>
        <v>-13131481.58</v>
      </c>
      <c r="P2146" s="1081">
        <f t="shared" si="390"/>
        <v>-1050518.5264000001</v>
      </c>
      <c r="Q2146" s="1082">
        <f t="shared" si="391"/>
        <v>-14182000.1064</v>
      </c>
      <c r="V2146" s="1107">
        <f t="shared" si="389"/>
        <v>-14182000.1064</v>
      </c>
    </row>
    <row r="2147" spans="1:22" hidden="1">
      <c r="A2147" s="1000" t="s">
        <v>753</v>
      </c>
      <c r="B2147" s="1001" t="s">
        <v>754</v>
      </c>
      <c r="C2147" s="1066">
        <v>46310</v>
      </c>
      <c r="D2147" s="1066">
        <v>46310</v>
      </c>
      <c r="E2147" s="1005" t="s">
        <v>1456</v>
      </c>
      <c r="I2147" s="1002" t="s">
        <v>1465</v>
      </c>
      <c r="J2147" s="1061" t="s">
        <v>23</v>
      </c>
      <c r="K2147" s="1067" t="s">
        <v>1443</v>
      </c>
      <c r="L2147" s="1061" t="s">
        <v>18</v>
      </c>
      <c r="M2147" s="1093">
        <v>-5</v>
      </c>
      <c r="N2147" s="1082">
        <v>1185185.2</v>
      </c>
      <c r="O2147" s="1082">
        <f t="shared" si="393"/>
        <v>-5925926</v>
      </c>
      <c r="P2147" s="1081">
        <f t="shared" si="390"/>
        <v>-474074.08</v>
      </c>
      <c r="Q2147" s="1082">
        <f t="shared" si="391"/>
        <v>-6400000.0800000001</v>
      </c>
      <c r="V2147" s="1107">
        <f t="shared" si="389"/>
        <v>-6400000.0800000001</v>
      </c>
    </row>
    <row r="2148" spans="1:22" hidden="1">
      <c r="A2148" s="1000" t="s">
        <v>753</v>
      </c>
      <c r="B2148" s="1001" t="s">
        <v>754</v>
      </c>
      <c r="C2148" s="1066">
        <v>46310</v>
      </c>
      <c r="D2148" s="1066">
        <v>46310</v>
      </c>
      <c r="E2148" s="1005" t="s">
        <v>1456</v>
      </c>
      <c r="I2148" s="1002" t="s">
        <v>1465</v>
      </c>
      <c r="J2148" s="1061" t="s">
        <v>184</v>
      </c>
      <c r="K2148" s="1067" t="s">
        <v>1444</v>
      </c>
      <c r="L2148" s="1061" t="s">
        <v>18</v>
      </c>
      <c r="M2148" s="1093">
        <v>-16</v>
      </c>
      <c r="N2148" s="1082">
        <v>227777.8</v>
      </c>
      <c r="O2148" s="1082">
        <f t="shared" si="393"/>
        <v>-3644444.8</v>
      </c>
      <c r="P2148" s="1081">
        <f t="shared" si="390"/>
        <v>-291555.58399999997</v>
      </c>
      <c r="Q2148" s="1082">
        <f t="shared" si="391"/>
        <v>-3936000.3839999996</v>
      </c>
      <c r="V2148" s="1107">
        <f t="shared" si="389"/>
        <v>-3936000.3839999996</v>
      </c>
    </row>
    <row r="2149" spans="1:22" hidden="1">
      <c r="A2149" s="1000" t="s">
        <v>753</v>
      </c>
      <c r="B2149" s="1001" t="s">
        <v>754</v>
      </c>
      <c r="C2149" s="1066">
        <v>46310</v>
      </c>
      <c r="D2149" s="1066">
        <v>46310</v>
      </c>
      <c r="E2149" s="1005" t="s">
        <v>1456</v>
      </c>
      <c r="I2149" s="1002" t="s">
        <v>1465</v>
      </c>
      <c r="J2149" s="1061" t="s">
        <v>30</v>
      </c>
      <c r="K2149" s="1067" t="s">
        <v>1445</v>
      </c>
      <c r="L2149" s="1061" t="s">
        <v>18</v>
      </c>
      <c r="M2149" s="1093">
        <v>-16</v>
      </c>
      <c r="N2149" s="1082">
        <v>252777.8</v>
      </c>
      <c r="O2149" s="1082">
        <f t="shared" si="393"/>
        <v>-4044444.8</v>
      </c>
      <c r="P2149" s="1081">
        <f t="shared" si="390"/>
        <v>-323555.58399999997</v>
      </c>
      <c r="Q2149" s="1082">
        <f t="shared" si="391"/>
        <v>-4368000.3839999996</v>
      </c>
      <c r="V2149" s="1107">
        <f t="shared" si="389"/>
        <v>-4368000.3839999996</v>
      </c>
    </row>
    <row r="2150" spans="1:22" hidden="1">
      <c r="A2150" s="1000" t="s">
        <v>753</v>
      </c>
      <c r="B2150" s="1001" t="s">
        <v>754</v>
      </c>
      <c r="C2150" s="1066">
        <v>46310</v>
      </c>
      <c r="D2150" s="1066">
        <v>46310</v>
      </c>
      <c r="E2150" s="1005" t="s">
        <v>1456</v>
      </c>
      <c r="I2150" s="1002" t="s">
        <v>1465</v>
      </c>
      <c r="J2150" s="1061" t="s">
        <v>32</v>
      </c>
      <c r="K2150" s="1067" t="s">
        <v>1446</v>
      </c>
      <c r="L2150" s="1061" t="s">
        <v>18</v>
      </c>
      <c r="M2150" s="1093">
        <v>-10</v>
      </c>
      <c r="N2150" s="1082">
        <v>256481.5</v>
      </c>
      <c r="O2150" s="1082">
        <f t="shared" si="393"/>
        <v>-2564815</v>
      </c>
      <c r="P2150" s="1081">
        <f t="shared" si="390"/>
        <v>-205185.2</v>
      </c>
      <c r="Q2150" s="1082">
        <f t="shared" si="391"/>
        <v>-2770000.2</v>
      </c>
      <c r="V2150" s="1107">
        <f t="shared" si="389"/>
        <v>-2770000.2</v>
      </c>
    </row>
    <row r="2151" spans="1:22" hidden="1">
      <c r="A2151" s="1000" t="s">
        <v>753</v>
      </c>
      <c r="B2151" s="1001" t="s">
        <v>754</v>
      </c>
      <c r="C2151" s="1066">
        <v>46310</v>
      </c>
      <c r="D2151" s="1066">
        <v>46310</v>
      </c>
      <c r="E2151" s="1005" t="s">
        <v>1456</v>
      </c>
      <c r="I2151" s="1002" t="s">
        <v>1465</v>
      </c>
      <c r="J2151" s="1061" t="s">
        <v>34</v>
      </c>
      <c r="K2151" s="1067" t="s">
        <v>1447</v>
      </c>
      <c r="L2151" s="1061" t="s">
        <v>18</v>
      </c>
      <c r="M2151" s="1093">
        <v>-13</v>
      </c>
      <c r="N2151" s="1082">
        <v>227777.8</v>
      </c>
      <c r="O2151" s="1082">
        <f t="shared" si="393"/>
        <v>-2961111.4</v>
      </c>
      <c r="P2151" s="1081">
        <f t="shared" si="390"/>
        <v>-236888.91200000001</v>
      </c>
      <c r="Q2151" s="1082">
        <f t="shared" si="391"/>
        <v>-3198000.3119999999</v>
      </c>
      <c r="V2151" s="1107">
        <f t="shared" si="389"/>
        <v>-3198000.3119999999</v>
      </c>
    </row>
    <row r="2152" spans="1:22" hidden="1">
      <c r="A2152" s="1000" t="s">
        <v>753</v>
      </c>
      <c r="B2152" s="1001" t="s">
        <v>754</v>
      </c>
      <c r="C2152" s="1066">
        <v>46310</v>
      </c>
      <c r="D2152" s="1066">
        <v>46310</v>
      </c>
      <c r="E2152" s="1005" t="s">
        <v>1456</v>
      </c>
      <c r="I2152" s="1002" t="s">
        <v>1465</v>
      </c>
      <c r="J2152" s="1061" t="s">
        <v>36</v>
      </c>
      <c r="K2152" s="1067" t="s">
        <v>1448</v>
      </c>
      <c r="L2152" s="1061" t="s">
        <v>18</v>
      </c>
      <c r="M2152" s="1093">
        <v>-13</v>
      </c>
      <c r="N2152" s="1082">
        <v>252777.8</v>
      </c>
      <c r="O2152" s="1082">
        <f t="shared" si="393"/>
        <v>-3286111.4</v>
      </c>
      <c r="P2152" s="1081">
        <f t="shared" si="390"/>
        <v>-262888.91200000001</v>
      </c>
      <c r="Q2152" s="1082">
        <f t="shared" si="391"/>
        <v>-3549000.3119999999</v>
      </c>
      <c r="V2152" s="1107">
        <f t="shared" si="389"/>
        <v>-3549000.3119999999</v>
      </c>
    </row>
    <row r="2153" spans="1:22" hidden="1">
      <c r="A2153" s="1000" t="s">
        <v>753</v>
      </c>
      <c r="B2153" s="1001" t="s">
        <v>754</v>
      </c>
      <c r="C2153" s="1066">
        <v>46310</v>
      </c>
      <c r="D2153" s="1066">
        <v>46310</v>
      </c>
      <c r="E2153" s="1005" t="s">
        <v>1456</v>
      </c>
      <c r="I2153" s="1002" t="s">
        <v>1465</v>
      </c>
      <c r="J2153" s="1061" t="s">
        <v>38</v>
      </c>
      <c r="K2153" s="1067" t="s">
        <v>1449</v>
      </c>
      <c r="L2153" s="1061" t="s">
        <v>18</v>
      </c>
      <c r="M2153" s="1093">
        <v>-13</v>
      </c>
      <c r="N2153" s="1082">
        <v>277777.8</v>
      </c>
      <c r="O2153" s="1082">
        <f t="shared" si="393"/>
        <v>-3611111.4</v>
      </c>
      <c r="P2153" s="1081">
        <f t="shared" si="390"/>
        <v>-288888.91200000001</v>
      </c>
      <c r="Q2153" s="1082">
        <f t="shared" si="391"/>
        <v>-3900000.3119999999</v>
      </c>
      <c r="V2153" s="1107">
        <f t="shared" si="389"/>
        <v>-3900000.3119999999</v>
      </c>
    </row>
    <row r="2154" spans="1:22" hidden="1">
      <c r="A2154" s="1000" t="s">
        <v>753</v>
      </c>
      <c r="B2154" s="1001" t="s">
        <v>754</v>
      </c>
      <c r="C2154" s="1066">
        <v>46310</v>
      </c>
      <c r="D2154" s="1066">
        <v>46310</v>
      </c>
      <c r="E2154" s="1005" t="s">
        <v>1456</v>
      </c>
      <c r="I2154" s="1002" t="s">
        <v>1465</v>
      </c>
      <c r="J2154" s="1061" t="s">
        <v>119</v>
      </c>
      <c r="K2154" s="1067" t="s">
        <v>1450</v>
      </c>
      <c r="L2154" s="1061" t="s">
        <v>18</v>
      </c>
      <c r="M2154" s="1093">
        <v>-10</v>
      </c>
      <c r="N2154" s="1082">
        <v>659259.30000000005</v>
      </c>
      <c r="O2154" s="1082">
        <f t="shared" si="393"/>
        <v>-6592593</v>
      </c>
      <c r="P2154" s="1081">
        <f t="shared" si="390"/>
        <v>-527407.44000000006</v>
      </c>
      <c r="Q2154" s="1082">
        <f t="shared" si="391"/>
        <v>-7120000.4400000004</v>
      </c>
      <c r="V2154" s="1107">
        <f t="shared" si="389"/>
        <v>-7120000.4400000004</v>
      </c>
    </row>
    <row r="2155" spans="1:22" hidden="1">
      <c r="A2155" s="1000" t="s">
        <v>753</v>
      </c>
      <c r="B2155" s="1001" t="s">
        <v>754</v>
      </c>
      <c r="C2155" s="1066">
        <v>46310</v>
      </c>
      <c r="D2155" s="1066">
        <v>46310</v>
      </c>
      <c r="E2155" s="1005" t="s">
        <v>1456</v>
      </c>
      <c r="I2155" s="1002" t="s">
        <v>1465</v>
      </c>
      <c r="J2155" s="1061" t="s">
        <v>42</v>
      </c>
      <c r="K2155" s="1067" t="s">
        <v>1451</v>
      </c>
      <c r="L2155" s="1061" t="s">
        <v>18</v>
      </c>
      <c r="M2155" s="1093">
        <v>-10</v>
      </c>
      <c r="N2155" s="1082">
        <v>569444.4</v>
      </c>
      <c r="O2155" s="1082">
        <f t="shared" si="393"/>
        <v>-5694444</v>
      </c>
      <c r="P2155" s="1081">
        <f t="shared" si="390"/>
        <v>-455555.52</v>
      </c>
      <c r="Q2155" s="1082">
        <f t="shared" si="391"/>
        <v>-6149999.5199999996</v>
      </c>
      <c r="V2155" s="1107">
        <f t="shared" si="389"/>
        <v>-6149999.5199999996</v>
      </c>
    </row>
    <row r="2156" spans="1:22" hidden="1">
      <c r="A2156" s="1000" t="s">
        <v>753</v>
      </c>
      <c r="B2156" s="1001" t="s">
        <v>754</v>
      </c>
      <c r="C2156" s="1066">
        <v>46310</v>
      </c>
      <c r="D2156" s="1066">
        <v>46310</v>
      </c>
      <c r="E2156" s="1005" t="s">
        <v>1456</v>
      </c>
      <c r="I2156" s="1002" t="s">
        <v>1465</v>
      </c>
      <c r="J2156" s="1061" t="s">
        <v>44</v>
      </c>
      <c r="K2156" s="1067" t="s">
        <v>1452</v>
      </c>
      <c r="L2156" s="1061" t="s">
        <v>18</v>
      </c>
      <c r="M2156" s="1093">
        <v>-12</v>
      </c>
      <c r="N2156" s="1082">
        <v>564814.82999999996</v>
      </c>
      <c r="O2156" s="1082">
        <f t="shared" si="393"/>
        <v>-6777777.959999999</v>
      </c>
      <c r="P2156" s="1081">
        <f t="shared" si="390"/>
        <v>-542222.23679999996</v>
      </c>
      <c r="Q2156" s="1082">
        <f t="shared" si="391"/>
        <v>-7320000.1967999991</v>
      </c>
      <c r="V2156" s="1107">
        <f t="shared" si="389"/>
        <v>-7320000.1967999991</v>
      </c>
    </row>
    <row r="2157" spans="1:22" hidden="1">
      <c r="A2157" s="1000" t="s">
        <v>753</v>
      </c>
      <c r="B2157" s="1001" t="s">
        <v>754</v>
      </c>
      <c r="C2157" s="1066">
        <v>46310</v>
      </c>
      <c r="D2157" s="1066">
        <v>46310</v>
      </c>
      <c r="E2157" s="1005" t="s">
        <v>1456</v>
      </c>
      <c r="I2157" s="1002" t="s">
        <v>1465</v>
      </c>
      <c r="J2157" s="1061" t="s">
        <v>148</v>
      </c>
      <c r="K2157" s="1067" t="s">
        <v>1453</v>
      </c>
      <c r="L2157" s="1061" t="s">
        <v>18</v>
      </c>
      <c r="M2157" s="1093">
        <v>-12</v>
      </c>
      <c r="N2157" s="1082">
        <v>358333.33</v>
      </c>
      <c r="O2157" s="1082">
        <f t="shared" si="393"/>
        <v>-4299999.96</v>
      </c>
      <c r="P2157" s="1081">
        <f t="shared" si="390"/>
        <v>-343999.99680000002</v>
      </c>
      <c r="Q2157" s="1082">
        <f t="shared" si="391"/>
        <v>-4643999.9567999998</v>
      </c>
      <c r="V2157" s="1107">
        <f t="shared" si="389"/>
        <v>-4643999.9567999998</v>
      </c>
    </row>
    <row r="2158" spans="1:22" hidden="1">
      <c r="A2158" s="1000" t="s">
        <v>753</v>
      </c>
      <c r="B2158" s="1001" t="s">
        <v>754</v>
      </c>
      <c r="C2158" s="1066">
        <v>46310</v>
      </c>
      <c r="D2158" s="1066">
        <v>46310</v>
      </c>
      <c r="E2158" s="1005" t="s">
        <v>1456</v>
      </c>
      <c r="I2158" s="1002" t="s">
        <v>1465</v>
      </c>
      <c r="J2158" s="1061" t="s">
        <v>192</v>
      </c>
      <c r="K2158" s="1067" t="s">
        <v>1454</v>
      </c>
      <c r="L2158" s="1061" t="s">
        <v>18</v>
      </c>
      <c r="M2158" s="1093">
        <v>-12</v>
      </c>
      <c r="N2158" s="1082">
        <v>398148.17</v>
      </c>
      <c r="O2158" s="1082">
        <f t="shared" si="393"/>
        <v>-4777778.04</v>
      </c>
      <c r="P2158" s="1081">
        <f t="shared" si="390"/>
        <v>-382222.24320000003</v>
      </c>
      <c r="Q2158" s="1082">
        <f t="shared" si="391"/>
        <v>-5160000.2832000004</v>
      </c>
      <c r="V2158" s="1107">
        <f t="shared" si="389"/>
        <v>-5160000.2832000004</v>
      </c>
    </row>
    <row r="2159" spans="1:22" hidden="1">
      <c r="A2159" s="1000" t="s">
        <v>753</v>
      </c>
      <c r="B2159" s="1001" t="s">
        <v>754</v>
      </c>
      <c r="C2159" s="1066">
        <v>46310</v>
      </c>
      <c r="D2159" s="1066">
        <v>46310</v>
      </c>
      <c r="E2159" s="1005" t="s">
        <v>1456</v>
      </c>
      <c r="I2159" s="1002" t="s">
        <v>1465</v>
      </c>
      <c r="J2159" s="1061" t="s">
        <v>60</v>
      </c>
      <c r="K2159" s="1067" t="s">
        <v>1455</v>
      </c>
      <c r="L2159" s="1061" t="s">
        <v>18</v>
      </c>
      <c r="M2159" s="1093">
        <v>-8</v>
      </c>
      <c r="N2159" s="1082">
        <v>1138888.8799999999</v>
      </c>
      <c r="O2159" s="1082">
        <f t="shared" si="393"/>
        <v>-9111111.0399999991</v>
      </c>
      <c r="P2159" s="1081">
        <f t="shared" si="390"/>
        <v>-728888.88319999992</v>
      </c>
      <c r="Q2159" s="1082">
        <f t="shared" si="391"/>
        <v>-9839999.9231999982</v>
      </c>
      <c r="V2159" s="1107">
        <f t="shared" si="389"/>
        <v>-9839999.9231999982</v>
      </c>
    </row>
    <row r="2160" spans="1:22" hidden="1">
      <c r="A2160" s="1000" t="s">
        <v>753</v>
      </c>
      <c r="B2160" s="1001" t="s">
        <v>754</v>
      </c>
      <c r="C2160" s="1066">
        <v>46310</v>
      </c>
      <c r="D2160" s="1066">
        <v>46310</v>
      </c>
      <c r="E2160" s="1005" t="s">
        <v>1456</v>
      </c>
      <c r="I2160" s="1002" t="s">
        <v>1465</v>
      </c>
      <c r="J2160" s="1061" t="s">
        <v>83</v>
      </c>
      <c r="K2160" s="1067" t="s">
        <v>1438</v>
      </c>
      <c r="L2160" s="1061" t="s">
        <v>18</v>
      </c>
      <c r="M2160" s="1093">
        <v>-12</v>
      </c>
      <c r="N2160" s="1082">
        <v>1097222.22</v>
      </c>
      <c r="O2160" s="1082">
        <f t="shared" si="393"/>
        <v>-13166666.640000001</v>
      </c>
      <c r="P2160" s="1081">
        <f t="shared" si="390"/>
        <v>-1053333.3312000001</v>
      </c>
      <c r="Q2160" s="1082">
        <f t="shared" si="391"/>
        <v>-14219999.9712</v>
      </c>
      <c r="V2160" s="1107">
        <f t="shared" si="389"/>
        <v>-14219999.9712</v>
      </c>
    </row>
    <row r="2161" spans="1:22" ht="31.5" hidden="1">
      <c r="A2161" s="1000" t="s">
        <v>753</v>
      </c>
      <c r="B2161" s="1001" t="s">
        <v>754</v>
      </c>
      <c r="C2161" s="1066">
        <v>46310</v>
      </c>
      <c r="D2161" s="1066">
        <v>46310</v>
      </c>
      <c r="E2161" s="1005" t="s">
        <v>1456</v>
      </c>
      <c r="I2161" s="1002" t="s">
        <v>1465</v>
      </c>
      <c r="J2161" s="1061" t="s">
        <v>386</v>
      </c>
      <c r="K2161" s="1067" t="s">
        <v>387</v>
      </c>
      <c r="L2161" s="1061" t="s">
        <v>18</v>
      </c>
      <c r="M2161" s="1093">
        <v>-12</v>
      </c>
      <c r="N2161" s="1082">
        <v>847222.25</v>
      </c>
      <c r="O2161" s="1082">
        <f t="shared" si="393"/>
        <v>-10166667</v>
      </c>
      <c r="P2161" s="1081">
        <f t="shared" si="390"/>
        <v>-813333.36</v>
      </c>
      <c r="Q2161" s="1082">
        <f t="shared" si="391"/>
        <v>-10980000.359999999</v>
      </c>
      <c r="V2161" s="1107">
        <f t="shared" si="389"/>
        <v>-10980000.359999999</v>
      </c>
    </row>
    <row r="2162" spans="1:22" hidden="1">
      <c r="A2162" s="1000" t="s">
        <v>753</v>
      </c>
      <c r="B2162" s="1001" t="s">
        <v>754</v>
      </c>
      <c r="C2162" s="1066">
        <v>46310</v>
      </c>
      <c r="D2162" s="1066">
        <v>46310</v>
      </c>
      <c r="E2162" s="1005" t="s">
        <v>1456</v>
      </c>
      <c r="I2162" s="1002" t="s">
        <v>1465</v>
      </c>
      <c r="J2162" s="1061" t="s">
        <v>194</v>
      </c>
      <c r="K2162" s="1067" t="s">
        <v>720</v>
      </c>
      <c r="L2162" s="1061" t="s">
        <v>18</v>
      </c>
      <c r="M2162" s="1093">
        <v>-8</v>
      </c>
      <c r="N2162" s="1082">
        <v>1203703.7</v>
      </c>
      <c r="O2162" s="1082">
        <f t="shared" si="393"/>
        <v>-9629629.5999999996</v>
      </c>
      <c r="P2162" s="1081">
        <f t="shared" si="390"/>
        <v>-770370.36800000002</v>
      </c>
      <c r="Q2162" s="1082">
        <f t="shared" si="391"/>
        <v>-10399999.968</v>
      </c>
      <c r="V2162" s="1107">
        <f t="shared" si="389"/>
        <v>-10399999.968</v>
      </c>
    </row>
    <row r="2163" spans="1:22" hidden="1">
      <c r="A2163" s="1000" t="s">
        <v>753</v>
      </c>
      <c r="B2163" s="1001" t="s">
        <v>754</v>
      </c>
      <c r="C2163" s="1066">
        <v>46310</v>
      </c>
      <c r="D2163" s="1066">
        <v>46310</v>
      </c>
      <c r="E2163" s="1005" t="s">
        <v>1456</v>
      </c>
      <c r="I2163" s="1002" t="s">
        <v>1465</v>
      </c>
      <c r="J2163" s="1061" t="s">
        <v>58</v>
      </c>
      <c r="K2163" s="1067" t="s">
        <v>59</v>
      </c>
      <c r="L2163" s="1061" t="s">
        <v>18</v>
      </c>
      <c r="M2163" s="1093">
        <v>-4</v>
      </c>
      <c r="N2163" s="1082">
        <v>1361111.1</v>
      </c>
      <c r="O2163" s="1082">
        <f t="shared" si="393"/>
        <v>-5444444.4000000004</v>
      </c>
      <c r="P2163" s="1081">
        <f t="shared" si="390"/>
        <v>-435555.55200000003</v>
      </c>
      <c r="Q2163" s="1082">
        <f t="shared" si="391"/>
        <v>-5879999.9520000005</v>
      </c>
      <c r="V2163" s="1107">
        <f t="shared" si="389"/>
        <v>-5879999.9520000005</v>
      </c>
    </row>
    <row r="2164" spans="1:22" hidden="1">
      <c r="A2164" s="1000" t="s">
        <v>753</v>
      </c>
      <c r="B2164" s="1001" t="s">
        <v>754</v>
      </c>
      <c r="C2164" s="1066">
        <v>46310</v>
      </c>
      <c r="D2164" s="1066">
        <v>46310</v>
      </c>
      <c r="E2164" s="1005" t="s">
        <v>1456</v>
      </c>
      <c r="I2164" s="1002" t="s">
        <v>1465</v>
      </c>
      <c r="J2164" s="1061" t="s">
        <v>873</v>
      </c>
      <c r="K2164" s="1067" t="s">
        <v>874</v>
      </c>
      <c r="L2164" s="1061" t="s">
        <v>18</v>
      </c>
      <c r="M2164" s="1093">
        <v>-51</v>
      </c>
      <c r="N2164" s="1082">
        <v>388888.89</v>
      </c>
      <c r="O2164" s="1082">
        <f t="shared" si="393"/>
        <v>-19833333.390000001</v>
      </c>
      <c r="P2164" s="1081">
        <f t="shared" si="390"/>
        <v>-1586666.6712</v>
      </c>
      <c r="Q2164" s="1082">
        <f t="shared" si="391"/>
        <v>-21420000.0612</v>
      </c>
      <c r="V2164" s="1107">
        <f t="shared" si="389"/>
        <v>-21420000.0612</v>
      </c>
    </row>
    <row r="2165" spans="1:22" hidden="1">
      <c r="A2165" s="1000" t="s">
        <v>753</v>
      </c>
      <c r="B2165" s="1001" t="s">
        <v>754</v>
      </c>
      <c r="C2165" s="1066">
        <v>46310</v>
      </c>
      <c r="D2165" s="1066">
        <v>46310</v>
      </c>
      <c r="E2165" s="1005" t="s">
        <v>1456</v>
      </c>
      <c r="I2165" s="1002" t="s">
        <v>1465</v>
      </c>
      <c r="J2165" s="1061" t="s">
        <v>796</v>
      </c>
      <c r="K2165" s="1067" t="s">
        <v>797</v>
      </c>
      <c r="L2165" s="1061" t="s">
        <v>18</v>
      </c>
      <c r="M2165" s="1093">
        <v>-90</v>
      </c>
      <c r="N2165" s="1082">
        <v>292592.59000000003</v>
      </c>
      <c r="O2165" s="1082">
        <f t="shared" si="393"/>
        <v>-26333333.100000001</v>
      </c>
      <c r="P2165" s="1081">
        <f t="shared" si="390"/>
        <v>-2106666.648</v>
      </c>
      <c r="Q2165" s="1082">
        <f t="shared" si="391"/>
        <v>-28439999.748000003</v>
      </c>
      <c r="V2165" s="1107">
        <f t="shared" si="389"/>
        <v>-28439999.748000003</v>
      </c>
    </row>
    <row r="2166" spans="1:22" ht="31.5" hidden="1">
      <c r="A2166" s="1007" t="s">
        <v>943</v>
      </c>
      <c r="B2166" s="1001" t="s">
        <v>860</v>
      </c>
      <c r="C2166" s="1066">
        <v>46309</v>
      </c>
      <c r="D2166" s="1066">
        <v>46310</v>
      </c>
      <c r="E2166" s="1005" t="s">
        <v>1466</v>
      </c>
      <c r="I2166" s="572" t="s">
        <v>861</v>
      </c>
      <c r="J2166" s="1007" t="s">
        <v>959</v>
      </c>
      <c r="K2166" s="1065" t="s">
        <v>960</v>
      </c>
      <c r="L2166" s="1007" t="s">
        <v>18</v>
      </c>
      <c r="M2166" s="1243">
        <v>40</v>
      </c>
      <c r="N2166" s="1223">
        <v>111111.11</v>
      </c>
      <c r="O2166" s="1223">
        <f>M2166*N2166</f>
        <v>4444444.4000000004</v>
      </c>
      <c r="P2166" s="1081">
        <f t="shared" si="390"/>
        <v>355555.55200000003</v>
      </c>
      <c r="Q2166" s="1082">
        <f t="shared" si="391"/>
        <v>4799999.9520000005</v>
      </c>
      <c r="V2166" s="1107">
        <f t="shared" si="389"/>
        <v>4799999.9520000005</v>
      </c>
    </row>
    <row r="2167" spans="1:22" ht="31.5" hidden="1">
      <c r="A2167" s="1007" t="s">
        <v>943</v>
      </c>
      <c r="B2167" s="1001" t="s">
        <v>860</v>
      </c>
      <c r="C2167" s="1066">
        <v>46309</v>
      </c>
      <c r="D2167" s="1066">
        <v>46310</v>
      </c>
      <c r="E2167" s="1005" t="s">
        <v>1466</v>
      </c>
      <c r="I2167" s="572" t="s">
        <v>861</v>
      </c>
      <c r="J2167" s="1007" t="s">
        <v>23</v>
      </c>
      <c r="K2167" s="1065" t="s">
        <v>82</v>
      </c>
      <c r="L2167" s="1007" t="s">
        <v>18</v>
      </c>
      <c r="M2167" s="1243">
        <v>6</v>
      </c>
      <c r="N2167" s="1223">
        <v>1185185.19</v>
      </c>
      <c r="O2167" s="1223">
        <f t="shared" ref="O2167:O2169" si="394">M2167*N2167</f>
        <v>7111111.1399999997</v>
      </c>
      <c r="P2167" s="1081">
        <f t="shared" si="390"/>
        <v>568888.89119999995</v>
      </c>
      <c r="Q2167" s="1082">
        <f t="shared" si="391"/>
        <v>7680000.0311999992</v>
      </c>
      <c r="V2167" s="1107">
        <f t="shared" si="389"/>
        <v>7680000.0311999992</v>
      </c>
    </row>
    <row r="2168" spans="1:22" ht="31.5" hidden="1">
      <c r="A2168" s="1007" t="s">
        <v>943</v>
      </c>
      <c r="B2168" s="1001" t="s">
        <v>860</v>
      </c>
      <c r="C2168" s="1066">
        <v>46309</v>
      </c>
      <c r="D2168" s="1066">
        <v>46310</v>
      </c>
      <c r="E2168" s="1005" t="s">
        <v>1466</v>
      </c>
      <c r="I2168" s="572" t="s">
        <v>861</v>
      </c>
      <c r="J2168" s="1007" t="s">
        <v>243</v>
      </c>
      <c r="K2168" s="1065" t="s">
        <v>249</v>
      </c>
      <c r="L2168" s="1007" t="s">
        <v>18</v>
      </c>
      <c r="M2168" s="1243">
        <v>10</v>
      </c>
      <c r="N2168" s="1223">
        <v>298148.15000000002</v>
      </c>
      <c r="O2168" s="1223">
        <f t="shared" si="394"/>
        <v>2981481.5</v>
      </c>
      <c r="P2168" s="1081">
        <f t="shared" si="390"/>
        <v>238518.52000000002</v>
      </c>
      <c r="Q2168" s="1082">
        <f t="shared" si="391"/>
        <v>3220000.02</v>
      </c>
      <c r="V2168" s="1107">
        <f t="shared" si="389"/>
        <v>3220000.02</v>
      </c>
    </row>
    <row r="2169" spans="1:22" ht="31.5" hidden="1">
      <c r="A2169" s="1007" t="s">
        <v>943</v>
      </c>
      <c r="B2169" s="1001" t="s">
        <v>860</v>
      </c>
      <c r="C2169" s="1066">
        <v>46309</v>
      </c>
      <c r="D2169" s="1066">
        <v>46310</v>
      </c>
      <c r="E2169" s="1005" t="s">
        <v>1466</v>
      </c>
      <c r="I2169" s="572" t="s">
        <v>861</v>
      </c>
      <c r="J2169" s="1007" t="s">
        <v>34</v>
      </c>
      <c r="K2169" s="1065" t="s">
        <v>35</v>
      </c>
      <c r="L2169" s="1007" t="s">
        <v>18</v>
      </c>
      <c r="M2169" s="1243">
        <v>10</v>
      </c>
      <c r="N2169" s="1223">
        <v>240740.74</v>
      </c>
      <c r="O2169" s="1223">
        <f t="shared" si="394"/>
        <v>2407407.4</v>
      </c>
      <c r="P2169" s="1081">
        <f t="shared" si="390"/>
        <v>192592.592</v>
      </c>
      <c r="Q2169" s="1082">
        <f t="shared" si="391"/>
        <v>2599999.9920000001</v>
      </c>
      <c r="V2169" s="1107">
        <f t="shared" si="389"/>
        <v>2599999.9920000001</v>
      </c>
    </row>
    <row r="2170" spans="1:22" ht="31.5" hidden="1">
      <c r="A2170" s="1007" t="s">
        <v>943</v>
      </c>
      <c r="B2170" s="1001" t="s">
        <v>860</v>
      </c>
      <c r="C2170" s="1066">
        <v>46309</v>
      </c>
      <c r="D2170" s="1066">
        <v>46310</v>
      </c>
      <c r="E2170" s="1005" t="s">
        <v>1466</v>
      </c>
      <c r="I2170" s="572" t="s">
        <v>861</v>
      </c>
      <c r="J2170" s="1007" t="s">
        <v>36</v>
      </c>
      <c r="K2170" s="1065" t="s">
        <v>37</v>
      </c>
      <c r="L2170" s="1007" t="s">
        <v>18</v>
      </c>
      <c r="M2170" s="1243">
        <v>10</v>
      </c>
      <c r="N2170" s="1223">
        <v>259259.26</v>
      </c>
      <c r="O2170" s="1223">
        <f>M2170*N2170</f>
        <v>2592592.6</v>
      </c>
      <c r="P2170" s="1081">
        <f t="shared" si="390"/>
        <v>207407.40800000002</v>
      </c>
      <c r="Q2170" s="1082">
        <f t="shared" si="391"/>
        <v>2800000.0079999999</v>
      </c>
      <c r="V2170" s="1107">
        <f t="shared" si="389"/>
        <v>2800000.0079999999</v>
      </c>
    </row>
    <row r="2171" spans="1:22" ht="31.5" hidden="1">
      <c r="A2171" s="1007" t="s">
        <v>943</v>
      </c>
      <c r="B2171" s="1001" t="s">
        <v>860</v>
      </c>
      <c r="C2171" s="1066">
        <v>46309</v>
      </c>
      <c r="D2171" s="1066">
        <v>46310</v>
      </c>
      <c r="E2171" s="1005" t="s">
        <v>1466</v>
      </c>
      <c r="I2171" s="572" t="s">
        <v>861</v>
      </c>
      <c r="J2171" s="1007" t="s">
        <v>40</v>
      </c>
      <c r="K2171" s="1065" t="s">
        <v>41</v>
      </c>
      <c r="L2171" s="1007" t="s">
        <v>18</v>
      </c>
      <c r="M2171" s="1243">
        <v>4</v>
      </c>
      <c r="N2171" s="1223">
        <v>844444.44</v>
      </c>
      <c r="O2171" s="1223">
        <f>M2171*N2171</f>
        <v>3377777.76</v>
      </c>
      <c r="P2171" s="1081">
        <f t="shared" si="390"/>
        <v>270222.22080000001</v>
      </c>
      <c r="Q2171" s="1082">
        <f t="shared" si="391"/>
        <v>3647999.9808</v>
      </c>
      <c r="V2171" s="1107">
        <f t="shared" si="389"/>
        <v>3647999.9808</v>
      </c>
    </row>
    <row r="2172" spans="1:22" ht="31.5" hidden="1">
      <c r="A2172" s="1007" t="s">
        <v>943</v>
      </c>
      <c r="B2172" s="1001" t="s">
        <v>860</v>
      </c>
      <c r="C2172" s="1066">
        <v>46309</v>
      </c>
      <c r="D2172" s="1066">
        <v>46310</v>
      </c>
      <c r="E2172" s="1005" t="s">
        <v>1466</v>
      </c>
      <c r="I2172" s="572" t="s">
        <v>861</v>
      </c>
      <c r="J2172" s="1007" t="s">
        <v>103</v>
      </c>
      <c r="K2172" s="1065" t="s">
        <v>104</v>
      </c>
      <c r="L2172" s="1007" t="s">
        <v>18</v>
      </c>
      <c r="M2172" s="1243">
        <v>12</v>
      </c>
      <c r="N2172" s="1223">
        <v>675925.93</v>
      </c>
      <c r="O2172" s="1223">
        <f t="shared" ref="O2172:O2180" si="395">M2172*N2172</f>
        <v>8111111.1600000001</v>
      </c>
      <c r="P2172" s="1081">
        <f t="shared" si="390"/>
        <v>648888.89280000003</v>
      </c>
      <c r="Q2172" s="1082">
        <f t="shared" si="391"/>
        <v>8760000.0527999997</v>
      </c>
      <c r="V2172" s="1107">
        <f t="shared" si="389"/>
        <v>8760000.0527999997</v>
      </c>
    </row>
    <row r="2173" spans="1:22" ht="31.5" hidden="1">
      <c r="A2173" s="1007" t="s">
        <v>943</v>
      </c>
      <c r="B2173" s="1001" t="s">
        <v>860</v>
      </c>
      <c r="C2173" s="1066">
        <v>46309</v>
      </c>
      <c r="D2173" s="1066">
        <v>46310</v>
      </c>
      <c r="E2173" s="1005" t="s">
        <v>1466</v>
      </c>
      <c r="I2173" s="572" t="s">
        <v>861</v>
      </c>
      <c r="J2173" s="1242" t="s">
        <v>1398</v>
      </c>
      <c r="K2173" s="1065" t="s">
        <v>1399</v>
      </c>
      <c r="L2173" s="1007" t="s">
        <v>18</v>
      </c>
      <c r="M2173" s="1243">
        <v>12</v>
      </c>
      <c r="N2173" s="1223">
        <v>212962.96</v>
      </c>
      <c r="O2173" s="1223">
        <f t="shared" si="395"/>
        <v>2555555.52</v>
      </c>
      <c r="P2173" s="1081">
        <f t="shared" si="390"/>
        <v>204444.44160000002</v>
      </c>
      <c r="Q2173" s="1082">
        <f t="shared" si="391"/>
        <v>2759999.9616</v>
      </c>
      <c r="V2173" s="1107">
        <f t="shared" si="389"/>
        <v>2759999.9616</v>
      </c>
    </row>
    <row r="2174" spans="1:22" ht="31.5" hidden="1">
      <c r="A2174" s="1007" t="s">
        <v>943</v>
      </c>
      <c r="B2174" s="1001" t="s">
        <v>860</v>
      </c>
      <c r="C2174" s="1066">
        <v>46309</v>
      </c>
      <c r="D2174" s="1066">
        <v>46310</v>
      </c>
      <c r="E2174" s="1005" t="s">
        <v>1466</v>
      </c>
      <c r="I2174" s="572" t="s">
        <v>861</v>
      </c>
      <c r="J2174" s="1007" t="s">
        <v>643</v>
      </c>
      <c r="K2174" s="1065" t="s">
        <v>644</v>
      </c>
      <c r="L2174" s="1007" t="s">
        <v>18</v>
      </c>
      <c r="M2174" s="1243">
        <v>15</v>
      </c>
      <c r="N2174" s="1223">
        <v>527777.78</v>
      </c>
      <c r="O2174" s="1223">
        <f t="shared" si="395"/>
        <v>7916666.7000000002</v>
      </c>
      <c r="P2174" s="1081">
        <f t="shared" si="390"/>
        <v>633333.33600000001</v>
      </c>
      <c r="Q2174" s="1082">
        <f t="shared" si="391"/>
        <v>8550000.0360000003</v>
      </c>
      <c r="V2174" s="1107">
        <f t="shared" si="389"/>
        <v>8550000.0360000003</v>
      </c>
    </row>
    <row r="2175" spans="1:22" ht="31.5" hidden="1">
      <c r="A2175" s="1007" t="s">
        <v>943</v>
      </c>
      <c r="B2175" s="1001" t="s">
        <v>860</v>
      </c>
      <c r="C2175" s="1066">
        <v>46309</v>
      </c>
      <c r="D2175" s="1066">
        <v>46310</v>
      </c>
      <c r="E2175" s="1005" t="s">
        <v>1466</v>
      </c>
      <c r="I2175" s="572" t="s">
        <v>861</v>
      </c>
      <c r="J2175" s="1007" t="s">
        <v>653</v>
      </c>
      <c r="K2175" s="1065" t="s">
        <v>654</v>
      </c>
      <c r="L2175" s="1007" t="s">
        <v>18</v>
      </c>
      <c r="M2175" s="1243">
        <v>15</v>
      </c>
      <c r="N2175" s="1223">
        <v>481481.48</v>
      </c>
      <c r="O2175" s="1223">
        <f t="shared" si="395"/>
        <v>7222222.1999999993</v>
      </c>
      <c r="P2175" s="1081">
        <f t="shared" si="390"/>
        <v>577777.77599999995</v>
      </c>
      <c r="Q2175" s="1082">
        <f t="shared" si="391"/>
        <v>7799999.9759999989</v>
      </c>
      <c r="V2175" s="1107">
        <f t="shared" si="389"/>
        <v>7799999.9759999989</v>
      </c>
    </row>
    <row r="2176" spans="1:22" ht="31.5" hidden="1">
      <c r="A2176" s="1007" t="s">
        <v>943</v>
      </c>
      <c r="B2176" s="1001" t="s">
        <v>860</v>
      </c>
      <c r="C2176" s="1066">
        <v>46309</v>
      </c>
      <c r="D2176" s="1066">
        <v>46310</v>
      </c>
      <c r="E2176" s="1005" t="s">
        <v>1466</v>
      </c>
      <c r="I2176" s="572" t="s">
        <v>861</v>
      </c>
      <c r="J2176" s="1007" t="s">
        <v>655</v>
      </c>
      <c r="K2176" s="1065" t="s">
        <v>656</v>
      </c>
      <c r="L2176" s="1007" t="s">
        <v>18</v>
      </c>
      <c r="M2176" s="1243">
        <v>15</v>
      </c>
      <c r="N2176" s="1223">
        <v>574074.06999999995</v>
      </c>
      <c r="O2176" s="1223">
        <f t="shared" si="395"/>
        <v>8611111.0499999989</v>
      </c>
      <c r="P2176" s="1081">
        <f t="shared" si="390"/>
        <v>688888.88399999996</v>
      </c>
      <c r="Q2176" s="1082">
        <f t="shared" si="391"/>
        <v>9299999.9339999985</v>
      </c>
      <c r="V2176" s="1107">
        <f t="shared" si="389"/>
        <v>9299999.9339999985</v>
      </c>
    </row>
    <row r="2177" spans="1:22" ht="31.5" hidden="1">
      <c r="A2177" s="1007" t="s">
        <v>943</v>
      </c>
      <c r="B2177" s="1001" t="s">
        <v>860</v>
      </c>
      <c r="C2177" s="1066">
        <v>46309</v>
      </c>
      <c r="D2177" s="1066">
        <v>46310</v>
      </c>
      <c r="E2177" s="1005" t="s">
        <v>1466</v>
      </c>
      <c r="I2177" s="572" t="s">
        <v>862</v>
      </c>
      <c r="J2177" s="1007" t="s">
        <v>959</v>
      </c>
      <c r="K2177" s="1065" t="s">
        <v>960</v>
      </c>
      <c r="L2177" s="1007" t="s">
        <v>18</v>
      </c>
      <c r="M2177" s="1246">
        <v>12</v>
      </c>
      <c r="N2177" s="1223">
        <v>0</v>
      </c>
      <c r="O2177" s="1223">
        <f t="shared" si="395"/>
        <v>0</v>
      </c>
      <c r="P2177" s="1081">
        <f t="shared" si="390"/>
        <v>0</v>
      </c>
      <c r="Q2177" s="1082">
        <f t="shared" si="391"/>
        <v>0</v>
      </c>
      <c r="V2177" s="1107">
        <f t="shared" si="389"/>
        <v>0</v>
      </c>
    </row>
    <row r="2178" spans="1:22" hidden="1">
      <c r="A2178" s="1007" t="s">
        <v>943</v>
      </c>
      <c r="B2178" s="1001" t="s">
        <v>860</v>
      </c>
      <c r="C2178" s="1066">
        <v>46309</v>
      </c>
      <c r="D2178" s="1066">
        <v>46310</v>
      </c>
      <c r="E2178" s="1005" t="s">
        <v>1466</v>
      </c>
      <c r="I2178" s="1008" t="s">
        <v>892</v>
      </c>
      <c r="J2178" s="1007" t="s">
        <v>643</v>
      </c>
      <c r="K2178" s="1065" t="s">
        <v>644</v>
      </c>
      <c r="L2178" s="1007" t="s">
        <v>18</v>
      </c>
      <c r="M2178" s="1243">
        <v>1</v>
      </c>
      <c r="N2178" s="1223">
        <v>0</v>
      </c>
      <c r="O2178" s="1223">
        <f t="shared" si="395"/>
        <v>0</v>
      </c>
      <c r="P2178" s="1081">
        <f t="shared" si="390"/>
        <v>0</v>
      </c>
      <c r="Q2178" s="1082">
        <f t="shared" si="391"/>
        <v>0</v>
      </c>
      <c r="V2178" s="1107">
        <f t="shared" si="389"/>
        <v>0</v>
      </c>
    </row>
    <row r="2179" spans="1:22" hidden="1">
      <c r="A2179" s="1007" t="s">
        <v>943</v>
      </c>
      <c r="B2179" s="1001" t="s">
        <v>860</v>
      </c>
      <c r="C2179" s="1066">
        <v>46309</v>
      </c>
      <c r="D2179" s="1066">
        <v>46310</v>
      </c>
      <c r="E2179" s="1005" t="s">
        <v>1466</v>
      </c>
      <c r="I2179" s="1008" t="s">
        <v>892</v>
      </c>
      <c r="J2179" s="1007" t="s">
        <v>653</v>
      </c>
      <c r="K2179" s="1065" t="s">
        <v>654</v>
      </c>
      <c r="L2179" s="1007" t="s">
        <v>18</v>
      </c>
      <c r="M2179" s="1243">
        <v>1</v>
      </c>
      <c r="N2179" s="1223">
        <v>0</v>
      </c>
      <c r="O2179" s="1223">
        <f t="shared" si="395"/>
        <v>0</v>
      </c>
      <c r="P2179" s="1081">
        <f t="shared" si="390"/>
        <v>0</v>
      </c>
      <c r="Q2179" s="1082">
        <f t="shared" si="391"/>
        <v>0</v>
      </c>
      <c r="V2179" s="1107">
        <f t="shared" si="389"/>
        <v>0</v>
      </c>
    </row>
    <row r="2180" spans="1:22" hidden="1">
      <c r="A2180" s="1007" t="s">
        <v>943</v>
      </c>
      <c r="B2180" s="1001" t="s">
        <v>860</v>
      </c>
      <c r="C2180" s="1066">
        <v>46309</v>
      </c>
      <c r="D2180" s="1066">
        <v>46310</v>
      </c>
      <c r="E2180" s="1005" t="s">
        <v>1466</v>
      </c>
      <c r="I2180" s="1008" t="s">
        <v>892</v>
      </c>
      <c r="J2180" s="1007" t="s">
        <v>655</v>
      </c>
      <c r="K2180" s="1065" t="s">
        <v>656</v>
      </c>
      <c r="L2180" s="1007" t="s">
        <v>18</v>
      </c>
      <c r="M2180" s="1243">
        <v>1</v>
      </c>
      <c r="N2180" s="1223">
        <v>0</v>
      </c>
      <c r="O2180" s="1223">
        <f t="shared" si="395"/>
        <v>0</v>
      </c>
      <c r="P2180" s="1081">
        <f t="shared" si="390"/>
        <v>0</v>
      </c>
      <c r="Q2180" s="1082">
        <f t="shared" si="391"/>
        <v>0</v>
      </c>
      <c r="V2180" s="1107">
        <f t="shared" si="389"/>
        <v>0</v>
      </c>
    </row>
    <row r="2181" spans="1:22" hidden="1">
      <c r="B2181" s="1040" t="s">
        <v>907</v>
      </c>
      <c r="C2181" s="1066">
        <v>46310</v>
      </c>
      <c r="D2181" s="1066">
        <v>46310</v>
      </c>
      <c r="E2181" s="1005" t="s">
        <v>1467</v>
      </c>
      <c r="I2181" s="1002" t="s">
        <v>1390</v>
      </c>
      <c r="J2181" s="1007" t="s">
        <v>1331</v>
      </c>
      <c r="K2181" s="1064" t="s">
        <v>1332</v>
      </c>
      <c r="L2181" s="1007" t="s">
        <v>18</v>
      </c>
      <c r="M2181" s="1243">
        <v>1</v>
      </c>
      <c r="N2181" s="1223">
        <v>0</v>
      </c>
      <c r="O2181" s="1223">
        <v>0</v>
      </c>
      <c r="P2181" s="1081">
        <f t="shared" si="390"/>
        <v>0</v>
      </c>
      <c r="Q2181" s="1082">
        <f t="shared" si="391"/>
        <v>0</v>
      </c>
      <c r="V2181" s="1107">
        <f t="shared" si="389"/>
        <v>0</v>
      </c>
    </row>
    <row r="2182" spans="1:22" hidden="1">
      <c r="B2182" s="1040" t="s">
        <v>907</v>
      </c>
      <c r="C2182" s="1066">
        <v>46310</v>
      </c>
      <c r="D2182" s="1066">
        <v>46310</v>
      </c>
      <c r="E2182" s="1005" t="s">
        <v>1467</v>
      </c>
      <c r="I2182" s="1002" t="s">
        <v>1390</v>
      </c>
      <c r="J2182" s="1007" t="s">
        <v>1333</v>
      </c>
      <c r="K2182" s="1064" t="s">
        <v>1334</v>
      </c>
      <c r="L2182" s="1007" t="s">
        <v>18</v>
      </c>
      <c r="M2182" s="1243">
        <v>1</v>
      </c>
      <c r="N2182" s="1223">
        <v>0</v>
      </c>
      <c r="O2182" s="1223">
        <f>M2182*N2182</f>
        <v>0</v>
      </c>
      <c r="P2182" s="1081">
        <f t="shared" si="390"/>
        <v>0</v>
      </c>
      <c r="Q2182" s="1082">
        <f t="shared" si="391"/>
        <v>0</v>
      </c>
      <c r="V2182" s="1107">
        <f t="shared" si="389"/>
        <v>0</v>
      </c>
    </row>
    <row r="2183" spans="1:22" hidden="1">
      <c r="B2183" s="1040" t="s">
        <v>907</v>
      </c>
      <c r="C2183" s="1066">
        <v>46310</v>
      </c>
      <c r="D2183" s="1066">
        <v>46310</v>
      </c>
      <c r="E2183" s="1005" t="s">
        <v>1467</v>
      </c>
      <c r="I2183" s="1002" t="s">
        <v>1390</v>
      </c>
      <c r="J2183" s="1007" t="s">
        <v>1335</v>
      </c>
      <c r="K2183" s="1064" t="s">
        <v>1336</v>
      </c>
      <c r="L2183" s="1007" t="s">
        <v>18</v>
      </c>
      <c r="M2183" s="1243">
        <v>1</v>
      </c>
      <c r="N2183" s="1223">
        <v>0</v>
      </c>
      <c r="O2183" s="1223">
        <f>M2183*N2183</f>
        <v>0</v>
      </c>
      <c r="P2183" s="1081">
        <f t="shared" si="390"/>
        <v>0</v>
      </c>
      <c r="Q2183" s="1082">
        <f t="shared" si="391"/>
        <v>0</v>
      </c>
      <c r="V2183" s="1107">
        <f t="shared" si="389"/>
        <v>0</v>
      </c>
    </row>
    <row r="2184" spans="1:22" hidden="1">
      <c r="B2184" s="1040" t="s">
        <v>907</v>
      </c>
      <c r="C2184" s="1066">
        <v>46310</v>
      </c>
      <c r="D2184" s="1066">
        <v>46310</v>
      </c>
      <c r="E2184" s="1005" t="s">
        <v>1467</v>
      </c>
      <c r="I2184" s="1002" t="s">
        <v>1390</v>
      </c>
      <c r="J2184" s="1007" t="s">
        <v>1337</v>
      </c>
      <c r="K2184" s="1064" t="s">
        <v>1338</v>
      </c>
      <c r="L2184" s="1007" t="s">
        <v>18</v>
      </c>
      <c r="M2184" s="1243">
        <v>1</v>
      </c>
      <c r="N2184" s="1223">
        <v>0</v>
      </c>
      <c r="O2184" s="1223">
        <f>M2184*N2184</f>
        <v>0</v>
      </c>
      <c r="P2184" s="1081">
        <f t="shared" si="390"/>
        <v>0</v>
      </c>
      <c r="Q2184" s="1082">
        <f t="shared" si="391"/>
        <v>0</v>
      </c>
      <c r="V2184" s="1107">
        <f t="shared" si="389"/>
        <v>0</v>
      </c>
    </row>
    <row r="2185" spans="1:22" hidden="1">
      <c r="A2185" s="1000" t="s">
        <v>965</v>
      </c>
      <c r="B2185" s="1029" t="s">
        <v>1117</v>
      </c>
      <c r="C2185" s="1066">
        <v>46309</v>
      </c>
      <c r="D2185" s="1066">
        <v>46311</v>
      </c>
      <c r="E2185" s="1005" t="s">
        <v>1468</v>
      </c>
      <c r="F2185" s="1066">
        <v>46311</v>
      </c>
      <c r="G2185" s="1005" t="s">
        <v>1489</v>
      </c>
      <c r="H2185" s="1138" t="s">
        <v>1488</v>
      </c>
      <c r="I2185" s="1008" t="s">
        <v>1118</v>
      </c>
      <c r="J2185" s="1007" t="s">
        <v>639</v>
      </c>
      <c r="K2185" s="1064" t="s">
        <v>640</v>
      </c>
      <c r="L2185" s="1007" t="s">
        <v>18</v>
      </c>
      <c r="M2185" s="1243">
        <v>4</v>
      </c>
      <c r="N2185" s="1223">
        <v>583333.32999999996</v>
      </c>
      <c r="O2185" s="1223">
        <f>M2185*N2185</f>
        <v>2333333.3199999998</v>
      </c>
      <c r="P2185" s="1081">
        <f t="shared" si="390"/>
        <v>186666.66559999998</v>
      </c>
      <c r="Q2185" s="1082">
        <f t="shared" si="391"/>
        <v>2519999.9855999998</v>
      </c>
      <c r="V2185" s="1107">
        <f t="shared" si="389"/>
        <v>2519999.9855999998</v>
      </c>
    </row>
    <row r="2186" spans="1:22" hidden="1">
      <c r="A2186" s="1000" t="s">
        <v>965</v>
      </c>
      <c r="B2186" s="1029" t="s">
        <v>1117</v>
      </c>
      <c r="C2186" s="1066">
        <v>46309</v>
      </c>
      <c r="D2186" s="1066">
        <v>46311</v>
      </c>
      <c r="E2186" s="1005" t="s">
        <v>1468</v>
      </c>
      <c r="F2186" s="1066">
        <v>46311</v>
      </c>
      <c r="G2186" s="1005" t="s">
        <v>1489</v>
      </c>
      <c r="H2186" s="1138" t="s">
        <v>1488</v>
      </c>
      <c r="I2186" s="1008" t="s">
        <v>1118</v>
      </c>
      <c r="J2186" s="1007" t="s">
        <v>641</v>
      </c>
      <c r="K2186" s="1064" t="s">
        <v>657</v>
      </c>
      <c r="L2186" s="1007" t="s">
        <v>18</v>
      </c>
      <c r="M2186" s="1243">
        <v>4</v>
      </c>
      <c r="N2186" s="1223">
        <v>690740.74</v>
      </c>
      <c r="O2186" s="1223">
        <f t="shared" ref="O2186:O2188" si="396">M2186*N2186</f>
        <v>2762962.96</v>
      </c>
      <c r="P2186" s="1081">
        <f t="shared" si="390"/>
        <v>221037.0368</v>
      </c>
      <c r="Q2186" s="1082">
        <f t="shared" si="391"/>
        <v>2983999.9967999998</v>
      </c>
      <c r="V2186" s="1107">
        <f t="shared" si="389"/>
        <v>2983999.9967999998</v>
      </c>
    </row>
    <row r="2187" spans="1:22" hidden="1">
      <c r="A2187" s="1000" t="s">
        <v>965</v>
      </c>
      <c r="B2187" s="1029" t="s">
        <v>1117</v>
      </c>
      <c r="C2187" s="1066">
        <v>46309</v>
      </c>
      <c r="D2187" s="1066">
        <v>46311</v>
      </c>
      <c r="E2187" s="1005" t="s">
        <v>1468</v>
      </c>
      <c r="F2187" s="1066">
        <v>46311</v>
      </c>
      <c r="G2187" s="1005" t="s">
        <v>1489</v>
      </c>
      <c r="H2187" s="1138" t="s">
        <v>1488</v>
      </c>
      <c r="I2187" s="1008" t="s">
        <v>1118</v>
      </c>
      <c r="J2187" s="1007" t="s">
        <v>643</v>
      </c>
      <c r="K2187" s="1064" t="s">
        <v>644</v>
      </c>
      <c r="L2187" s="1007" t="s">
        <v>18</v>
      </c>
      <c r="M2187" s="1243">
        <v>4</v>
      </c>
      <c r="N2187" s="1223">
        <v>583333.32999999996</v>
      </c>
      <c r="O2187" s="1223">
        <f t="shared" si="396"/>
        <v>2333333.3199999998</v>
      </c>
      <c r="P2187" s="1081">
        <f t="shared" si="390"/>
        <v>186666.66559999998</v>
      </c>
      <c r="Q2187" s="1082">
        <f t="shared" si="391"/>
        <v>2519999.9855999998</v>
      </c>
      <c r="V2187" s="1107">
        <f t="shared" si="389"/>
        <v>2519999.9855999998</v>
      </c>
    </row>
    <row r="2188" spans="1:22" hidden="1">
      <c r="A2188" s="1000" t="s">
        <v>965</v>
      </c>
      <c r="B2188" s="1029" t="s">
        <v>1117</v>
      </c>
      <c r="C2188" s="1066">
        <v>46309</v>
      </c>
      <c r="D2188" s="1066">
        <v>46311</v>
      </c>
      <c r="E2188" s="1005" t="s">
        <v>1468</v>
      </c>
      <c r="H2188" s="1138"/>
      <c r="I2188" s="1008" t="s">
        <v>1118</v>
      </c>
      <c r="J2188" s="1007" t="s">
        <v>645</v>
      </c>
      <c r="K2188" s="1064" t="s">
        <v>646</v>
      </c>
      <c r="L2188" s="1007" t="s">
        <v>18</v>
      </c>
      <c r="M2188" s="1243">
        <v>4</v>
      </c>
      <c r="N2188" s="1223">
        <v>675925.93</v>
      </c>
      <c r="O2188" s="1223">
        <f t="shared" si="396"/>
        <v>2703703.72</v>
      </c>
      <c r="P2188" s="1081">
        <f t="shared" si="390"/>
        <v>216296.29760000002</v>
      </c>
      <c r="Q2188" s="1082">
        <f t="shared" si="391"/>
        <v>2920000.0176000004</v>
      </c>
      <c r="V2188" s="1107">
        <f t="shared" si="389"/>
        <v>2920000.0176000004</v>
      </c>
    </row>
    <row r="2189" spans="1:22" hidden="1">
      <c r="A2189" s="1000" t="s">
        <v>965</v>
      </c>
      <c r="B2189" s="1029" t="s">
        <v>1117</v>
      </c>
      <c r="C2189" s="1066">
        <v>46309</v>
      </c>
      <c r="D2189" s="1066">
        <v>46311</v>
      </c>
      <c r="E2189" s="1005" t="s">
        <v>1468</v>
      </c>
      <c r="F2189" s="1066">
        <v>46311</v>
      </c>
      <c r="G2189" s="1005" t="s">
        <v>1489</v>
      </c>
      <c r="H2189" s="1138" t="s">
        <v>1488</v>
      </c>
      <c r="I2189" s="1008" t="s">
        <v>1118</v>
      </c>
      <c r="J2189" s="1007" t="s">
        <v>649</v>
      </c>
      <c r="K2189" s="1064" t="s">
        <v>650</v>
      </c>
      <c r="L2189" s="1007" t="s">
        <v>18</v>
      </c>
      <c r="M2189" s="1243">
        <v>4</v>
      </c>
      <c r="N2189" s="1223">
        <v>620370.37</v>
      </c>
      <c r="O2189" s="1223">
        <f>M2189*N2189</f>
        <v>2481481.48</v>
      </c>
      <c r="P2189" s="1081">
        <f t="shared" si="390"/>
        <v>198518.5184</v>
      </c>
      <c r="Q2189" s="1082">
        <f t="shared" si="391"/>
        <v>2679999.9983999999</v>
      </c>
      <c r="V2189" s="1107">
        <f t="shared" si="389"/>
        <v>2679999.9983999999</v>
      </c>
    </row>
    <row r="2190" spans="1:22" hidden="1">
      <c r="A2190" s="1000" t="s">
        <v>965</v>
      </c>
      <c r="B2190" s="1029" t="s">
        <v>1117</v>
      </c>
      <c r="C2190" s="1066">
        <v>46309</v>
      </c>
      <c r="D2190" s="1066">
        <v>46311</v>
      </c>
      <c r="E2190" s="1005" t="s">
        <v>1468</v>
      </c>
      <c r="F2190" s="1066">
        <v>46311</v>
      </c>
      <c r="G2190" s="1005" t="s">
        <v>1489</v>
      </c>
      <c r="H2190" s="1138" t="s">
        <v>1488</v>
      </c>
      <c r="I2190" s="1008" t="s">
        <v>1118</v>
      </c>
      <c r="J2190" s="1007" t="s">
        <v>651</v>
      </c>
      <c r="K2190" s="1064" t="s">
        <v>652</v>
      </c>
      <c r="L2190" s="1007" t="s">
        <v>18</v>
      </c>
      <c r="M2190" s="1243">
        <v>4</v>
      </c>
      <c r="N2190" s="1223">
        <v>740740.74</v>
      </c>
      <c r="O2190" s="1223">
        <f t="shared" ref="O2190" si="397">M2190*N2190</f>
        <v>2962962.96</v>
      </c>
      <c r="P2190" s="1081">
        <f t="shared" si="390"/>
        <v>237037.0368</v>
      </c>
      <c r="Q2190" s="1082">
        <f t="shared" si="391"/>
        <v>3199999.9967999998</v>
      </c>
      <c r="V2190" s="1107">
        <f t="shared" si="389"/>
        <v>3199999.9967999998</v>
      </c>
    </row>
    <row r="2191" spans="1:22" hidden="1">
      <c r="A2191" s="1000" t="s">
        <v>802</v>
      </c>
      <c r="B2191" s="1028" t="s">
        <v>806</v>
      </c>
      <c r="C2191" s="1066">
        <v>46310</v>
      </c>
      <c r="D2191" s="1066">
        <v>46311</v>
      </c>
      <c r="E2191" s="1005" t="s">
        <v>1519</v>
      </c>
      <c r="F2191" s="1066">
        <v>46311</v>
      </c>
      <c r="G2191" s="1005" t="s">
        <v>1491</v>
      </c>
      <c r="H2191" s="1138" t="s">
        <v>1490</v>
      </c>
      <c r="I2191" s="1002" t="s">
        <v>807</v>
      </c>
      <c r="J2191" s="1007" t="s">
        <v>98</v>
      </c>
      <c r="K2191" s="1064" t="s">
        <v>251</v>
      </c>
      <c r="L2191" s="1007" t="s">
        <v>18</v>
      </c>
      <c r="M2191" s="1243">
        <v>3</v>
      </c>
      <c r="N2191" s="1223">
        <v>740740.74</v>
      </c>
      <c r="O2191" s="1223">
        <f>M2191*N2191</f>
        <v>2222222.2199999997</v>
      </c>
      <c r="P2191" s="1081">
        <f t="shared" si="390"/>
        <v>177777.77759999997</v>
      </c>
      <c r="Q2191" s="1082">
        <f t="shared" si="391"/>
        <v>2399999.9975999999</v>
      </c>
      <c r="V2191" s="1107">
        <f t="shared" si="389"/>
        <v>2399999.9975999999</v>
      </c>
    </row>
    <row r="2192" spans="1:22" hidden="1">
      <c r="A2192" s="1039" t="s">
        <v>1150</v>
      </c>
      <c r="B2192" s="1040" t="s">
        <v>1271</v>
      </c>
      <c r="C2192" s="1066">
        <v>46311</v>
      </c>
      <c r="D2192" s="1066">
        <v>46311</v>
      </c>
      <c r="E2192" s="1005" t="s">
        <v>1470</v>
      </c>
      <c r="I2192" s="1059" t="s">
        <v>1100</v>
      </c>
      <c r="J2192" s="1061" t="s">
        <v>649</v>
      </c>
      <c r="K2192" s="1061" t="s">
        <v>1469</v>
      </c>
      <c r="L2192" s="1061" t="s">
        <v>18</v>
      </c>
      <c r="M2192" s="1093">
        <v>-1</v>
      </c>
      <c r="N2192" s="1223">
        <v>0</v>
      </c>
      <c r="O2192" s="1223">
        <f t="shared" ref="O2192:O2202" si="398">M2192*N2192</f>
        <v>0</v>
      </c>
      <c r="P2192" s="1081">
        <f t="shared" si="390"/>
        <v>0</v>
      </c>
      <c r="Q2192" s="1082">
        <f t="shared" si="391"/>
        <v>0</v>
      </c>
      <c r="V2192" s="1107">
        <f t="shared" si="389"/>
        <v>0</v>
      </c>
    </row>
    <row r="2193" spans="1:22" hidden="1">
      <c r="A2193" s="1039" t="s">
        <v>1150</v>
      </c>
      <c r="B2193" s="1040" t="s">
        <v>1271</v>
      </c>
      <c r="C2193" s="1066">
        <v>46311</v>
      </c>
      <c r="D2193" s="1066">
        <v>46311</v>
      </c>
      <c r="E2193" s="1005" t="s">
        <v>1470</v>
      </c>
      <c r="I2193" s="1059" t="s">
        <v>1100</v>
      </c>
      <c r="J2193" s="1061" t="s">
        <v>643</v>
      </c>
      <c r="K2193" s="1061" t="s">
        <v>1193</v>
      </c>
      <c r="L2193" s="1061" t="s">
        <v>18</v>
      </c>
      <c r="M2193" s="1093">
        <v>-1</v>
      </c>
      <c r="N2193" s="1223">
        <v>0</v>
      </c>
      <c r="O2193" s="1223">
        <f t="shared" si="398"/>
        <v>0</v>
      </c>
      <c r="P2193" s="1081">
        <f t="shared" si="390"/>
        <v>0</v>
      </c>
      <c r="Q2193" s="1082">
        <f t="shared" si="391"/>
        <v>0</v>
      </c>
      <c r="V2193" s="1107">
        <f t="shared" si="389"/>
        <v>0</v>
      </c>
    </row>
    <row r="2194" spans="1:22" hidden="1">
      <c r="A2194" s="1039" t="s">
        <v>1150</v>
      </c>
      <c r="B2194" s="1040" t="s">
        <v>1271</v>
      </c>
      <c r="C2194" s="1066">
        <v>46311</v>
      </c>
      <c r="D2194" s="1066">
        <v>46311</v>
      </c>
      <c r="E2194" s="1005" t="s">
        <v>1470</v>
      </c>
      <c r="I2194" s="1059" t="s">
        <v>1100</v>
      </c>
      <c r="J2194" s="1061" t="s">
        <v>655</v>
      </c>
      <c r="K2194" s="1061" t="s">
        <v>1197</v>
      </c>
      <c r="L2194" s="1061" t="s">
        <v>18</v>
      </c>
      <c r="M2194" s="1093">
        <v>-1</v>
      </c>
      <c r="N2194" s="1223">
        <v>0</v>
      </c>
      <c r="O2194" s="1223">
        <f t="shared" si="398"/>
        <v>0</v>
      </c>
      <c r="P2194" s="1081">
        <f t="shared" si="390"/>
        <v>0</v>
      </c>
      <c r="Q2194" s="1082">
        <f t="shared" si="391"/>
        <v>0</v>
      </c>
      <c r="V2194" s="1107">
        <f t="shared" si="389"/>
        <v>0</v>
      </c>
    </row>
    <row r="2195" spans="1:22" hidden="1">
      <c r="A2195" s="1039" t="s">
        <v>1150</v>
      </c>
      <c r="B2195" s="1040" t="s">
        <v>1271</v>
      </c>
      <c r="C2195" s="1066">
        <v>46311</v>
      </c>
      <c r="D2195" s="1066">
        <v>46311</v>
      </c>
      <c r="E2195" s="1005" t="s">
        <v>1470</v>
      </c>
      <c r="I2195" s="1059" t="s">
        <v>1100</v>
      </c>
      <c r="J2195" s="1061" t="s">
        <v>1331</v>
      </c>
      <c r="K2195" s="1067" t="s">
        <v>1332</v>
      </c>
      <c r="L2195" s="1061" t="s">
        <v>18</v>
      </c>
      <c r="M2195" s="1093">
        <v>-1</v>
      </c>
      <c r="N2195" s="1223">
        <v>0</v>
      </c>
      <c r="O2195" s="1223">
        <f t="shared" si="398"/>
        <v>0</v>
      </c>
      <c r="P2195" s="1081">
        <f t="shared" si="390"/>
        <v>0</v>
      </c>
      <c r="Q2195" s="1082">
        <f t="shared" si="391"/>
        <v>0</v>
      </c>
      <c r="V2195" s="1107">
        <f t="shared" si="389"/>
        <v>0</v>
      </c>
    </row>
    <row r="2196" spans="1:22" hidden="1">
      <c r="A2196" s="1039" t="s">
        <v>1150</v>
      </c>
      <c r="B2196" s="1040" t="s">
        <v>1271</v>
      </c>
      <c r="C2196" s="1066">
        <v>46311</v>
      </c>
      <c r="D2196" s="1066">
        <v>46311</v>
      </c>
      <c r="E2196" s="1005" t="s">
        <v>1470</v>
      </c>
      <c r="I2196" s="1059" t="s">
        <v>1100</v>
      </c>
      <c r="J2196" s="1061" t="s">
        <v>1333</v>
      </c>
      <c r="K2196" s="1067" t="s">
        <v>1334</v>
      </c>
      <c r="L2196" s="1061" t="s">
        <v>18</v>
      </c>
      <c r="M2196" s="1093">
        <v>-1</v>
      </c>
      <c r="N2196" s="1223">
        <v>0</v>
      </c>
      <c r="O2196" s="1223">
        <f t="shared" si="398"/>
        <v>0</v>
      </c>
      <c r="P2196" s="1081">
        <f t="shared" si="390"/>
        <v>0</v>
      </c>
      <c r="Q2196" s="1082">
        <f t="shared" si="391"/>
        <v>0</v>
      </c>
      <c r="V2196" s="1107">
        <f t="shared" ref="V2196:V2210" si="399">Q2196-R2196-S2196-T2196-U2196</f>
        <v>0</v>
      </c>
    </row>
    <row r="2197" spans="1:22" hidden="1">
      <c r="A2197" s="1039" t="s">
        <v>1150</v>
      </c>
      <c r="B2197" s="1040" t="s">
        <v>1271</v>
      </c>
      <c r="C2197" s="1066">
        <v>46311</v>
      </c>
      <c r="D2197" s="1066">
        <v>46311</v>
      </c>
      <c r="E2197" s="1005" t="s">
        <v>1470</v>
      </c>
      <c r="I2197" s="1059" t="s">
        <v>1100</v>
      </c>
      <c r="J2197" s="1061" t="s">
        <v>1335</v>
      </c>
      <c r="K2197" s="1067" t="s">
        <v>1336</v>
      </c>
      <c r="L2197" s="1061" t="s">
        <v>18</v>
      </c>
      <c r="M2197" s="1093">
        <v>-1</v>
      </c>
      <c r="N2197" s="1223">
        <v>0</v>
      </c>
      <c r="O2197" s="1223">
        <f t="shared" si="398"/>
        <v>0</v>
      </c>
      <c r="P2197" s="1081">
        <f t="shared" ref="P2197:P2202" si="400">O2197*8%</f>
        <v>0</v>
      </c>
      <c r="Q2197" s="1082">
        <f t="shared" ref="Q2197:Q2203" si="401">O2197+P2197</f>
        <v>0</v>
      </c>
      <c r="V2197" s="1107">
        <f t="shared" si="399"/>
        <v>0</v>
      </c>
    </row>
    <row r="2198" spans="1:22" hidden="1">
      <c r="A2198" s="1039" t="s">
        <v>1150</v>
      </c>
      <c r="B2198" s="1040" t="s">
        <v>1271</v>
      </c>
      <c r="C2198" s="1066">
        <v>46311</v>
      </c>
      <c r="D2198" s="1066">
        <v>46311</v>
      </c>
      <c r="E2198" s="1005" t="s">
        <v>1470</v>
      </c>
      <c r="I2198" s="1059" t="s">
        <v>1100</v>
      </c>
      <c r="J2198" s="1061" t="s">
        <v>1337</v>
      </c>
      <c r="K2198" s="1067" t="s">
        <v>1338</v>
      </c>
      <c r="L2198" s="1061" t="s">
        <v>18</v>
      </c>
      <c r="M2198" s="1093">
        <v>-1</v>
      </c>
      <c r="N2198" s="1223">
        <v>0</v>
      </c>
      <c r="O2198" s="1223">
        <f t="shared" si="398"/>
        <v>0</v>
      </c>
      <c r="P2198" s="1081">
        <f t="shared" si="400"/>
        <v>0</v>
      </c>
      <c r="Q2198" s="1082">
        <f t="shared" si="401"/>
        <v>0</v>
      </c>
      <c r="V2198" s="1107">
        <f t="shared" si="399"/>
        <v>0</v>
      </c>
    </row>
    <row r="2199" spans="1:22" hidden="1">
      <c r="A2199" s="1039" t="s">
        <v>1150</v>
      </c>
      <c r="B2199" s="1040" t="s">
        <v>1271</v>
      </c>
      <c r="C2199" s="1066">
        <v>46311</v>
      </c>
      <c r="D2199" s="1066">
        <v>46311</v>
      </c>
      <c r="E2199" s="1005" t="s">
        <v>1470</v>
      </c>
      <c r="I2199" s="1059" t="s">
        <v>1100</v>
      </c>
      <c r="J2199" s="1061" t="s">
        <v>1400</v>
      </c>
      <c r="K2199" s="1067" t="s">
        <v>1401</v>
      </c>
      <c r="L2199" s="1061" t="s">
        <v>18</v>
      </c>
      <c r="M2199" s="1093">
        <v>-1</v>
      </c>
      <c r="N2199" s="1223">
        <v>0</v>
      </c>
      <c r="O2199" s="1223">
        <f t="shared" si="398"/>
        <v>0</v>
      </c>
      <c r="P2199" s="1081">
        <f t="shared" si="400"/>
        <v>0</v>
      </c>
      <c r="Q2199" s="1082">
        <f t="shared" si="401"/>
        <v>0</v>
      </c>
      <c r="V2199" s="1107">
        <f t="shared" si="399"/>
        <v>0</v>
      </c>
    </row>
    <row r="2200" spans="1:22" hidden="1">
      <c r="A2200" s="1039" t="s">
        <v>1150</v>
      </c>
      <c r="B2200" s="1040" t="s">
        <v>1271</v>
      </c>
      <c r="C2200" s="1066">
        <v>46311</v>
      </c>
      <c r="D2200" s="1066">
        <v>46311</v>
      </c>
      <c r="E2200" s="1005" t="s">
        <v>1470</v>
      </c>
      <c r="I2200" s="1059" t="s">
        <v>1100</v>
      </c>
      <c r="J2200" s="1061" t="s">
        <v>1340</v>
      </c>
      <c r="K2200" s="1067" t="s">
        <v>1341</v>
      </c>
      <c r="L2200" s="1061" t="s">
        <v>18</v>
      </c>
      <c r="M2200" s="1093">
        <v>-1</v>
      </c>
      <c r="N2200" s="1223">
        <v>0</v>
      </c>
      <c r="O2200" s="1223">
        <f t="shared" si="398"/>
        <v>0</v>
      </c>
      <c r="P2200" s="1081">
        <f t="shared" si="400"/>
        <v>0</v>
      </c>
      <c r="Q2200" s="1082">
        <f t="shared" si="401"/>
        <v>0</v>
      </c>
      <c r="V2200" s="1107">
        <f t="shared" si="399"/>
        <v>0</v>
      </c>
    </row>
    <row r="2201" spans="1:22" hidden="1">
      <c r="A2201" s="1039" t="s">
        <v>1150</v>
      </c>
      <c r="B2201" s="1040" t="s">
        <v>1271</v>
      </c>
      <c r="C2201" s="1066">
        <v>46311</v>
      </c>
      <c r="D2201" s="1066">
        <v>46311</v>
      </c>
      <c r="E2201" s="1005" t="s">
        <v>1470</v>
      </c>
      <c r="I2201" s="1059" t="s">
        <v>1100</v>
      </c>
      <c r="J2201" s="1061" t="s">
        <v>1342</v>
      </c>
      <c r="K2201" s="1067" t="s">
        <v>1343</v>
      </c>
      <c r="L2201" s="1061" t="s">
        <v>18</v>
      </c>
      <c r="M2201" s="1093">
        <v>-1</v>
      </c>
      <c r="N2201" s="1223">
        <v>0</v>
      </c>
      <c r="O2201" s="1223">
        <f t="shared" si="398"/>
        <v>0</v>
      </c>
      <c r="P2201" s="1081">
        <f t="shared" si="400"/>
        <v>0</v>
      </c>
      <c r="Q2201" s="1082">
        <f t="shared" si="401"/>
        <v>0</v>
      </c>
      <c r="V2201" s="1107">
        <f t="shared" si="399"/>
        <v>0</v>
      </c>
    </row>
    <row r="2202" spans="1:22" hidden="1">
      <c r="A2202" s="1039" t="s">
        <v>1150</v>
      </c>
      <c r="B2202" s="1040" t="s">
        <v>1271</v>
      </c>
      <c r="C2202" s="1066">
        <v>46311</v>
      </c>
      <c r="D2202" s="1066">
        <v>46311</v>
      </c>
      <c r="E2202" s="1005" t="s">
        <v>1470</v>
      </c>
      <c r="I2202" s="1059" t="s">
        <v>1100</v>
      </c>
      <c r="J2202" s="1061" t="s">
        <v>641</v>
      </c>
      <c r="K2202" s="1061" t="s">
        <v>642</v>
      </c>
      <c r="L2202" s="1061" t="s">
        <v>18</v>
      </c>
      <c r="M2202" s="1093">
        <v>-1</v>
      </c>
      <c r="N2202" s="1223">
        <v>0</v>
      </c>
      <c r="O2202" s="1223">
        <f t="shared" si="398"/>
        <v>0</v>
      </c>
      <c r="P2202" s="1081">
        <f t="shared" si="400"/>
        <v>0</v>
      </c>
      <c r="Q2202" s="1082">
        <f t="shared" si="401"/>
        <v>0</v>
      </c>
      <c r="V2202" s="1107">
        <f t="shared" si="399"/>
        <v>0</v>
      </c>
    </row>
    <row r="2203" spans="1:22" hidden="1">
      <c r="A2203" s="1040" t="s">
        <v>1138</v>
      </c>
      <c r="B2203" s="1040" t="s">
        <v>1134</v>
      </c>
      <c r="C2203" s="1066">
        <v>46311</v>
      </c>
      <c r="D2203" s="1066">
        <v>46311</v>
      </c>
      <c r="E2203" s="1005" t="s">
        <v>1473</v>
      </c>
      <c r="I2203" s="1002" t="s">
        <v>1472</v>
      </c>
      <c r="J2203" s="1061" t="s">
        <v>641</v>
      </c>
      <c r="K2203" s="1061" t="s">
        <v>1471</v>
      </c>
      <c r="L2203" s="1061" t="s">
        <v>18</v>
      </c>
      <c r="M2203" s="1245">
        <v>-1</v>
      </c>
      <c r="N2203" s="1223">
        <v>0</v>
      </c>
      <c r="O2203" s="1238">
        <f>M2203*N2203</f>
        <v>0</v>
      </c>
      <c r="P2203" s="1081">
        <f t="shared" ref="P2203:P2209" si="402">O2203*8%</f>
        <v>0</v>
      </c>
      <c r="Q2203" s="1082">
        <f t="shared" si="401"/>
        <v>0</v>
      </c>
      <c r="V2203" s="1107">
        <f t="shared" si="399"/>
        <v>0</v>
      </c>
    </row>
    <row r="2204" spans="1:22" hidden="1">
      <c r="A2204" s="1040" t="s">
        <v>1138</v>
      </c>
      <c r="B2204" s="1040" t="s">
        <v>1134</v>
      </c>
      <c r="C2204" s="1066">
        <v>46311</v>
      </c>
      <c r="D2204" s="1066">
        <v>46311</v>
      </c>
      <c r="E2204" s="1005" t="s">
        <v>1476</v>
      </c>
      <c r="I2204" s="1002" t="s">
        <v>1465</v>
      </c>
      <c r="J2204" s="1061" t="s">
        <v>90</v>
      </c>
      <c r="K2204" s="1061" t="s">
        <v>1140</v>
      </c>
      <c r="L2204" s="1061" t="s">
        <v>18</v>
      </c>
      <c r="M2204" s="1245">
        <v>-3</v>
      </c>
      <c r="N2204" s="1223">
        <v>814814.81</v>
      </c>
      <c r="O2204" s="1238">
        <f>M2204*N2204</f>
        <v>-2444444.4300000002</v>
      </c>
      <c r="P2204" s="1081">
        <f t="shared" si="402"/>
        <v>-195555.55440000002</v>
      </c>
      <c r="Q2204" s="1081">
        <f t="shared" ref="Q2203:Q2209" si="403">O2204+P2204</f>
        <v>-2639999.9844000004</v>
      </c>
      <c r="V2204" s="1107">
        <f t="shared" si="399"/>
        <v>-2639999.9844000004</v>
      </c>
    </row>
    <row r="2205" spans="1:22" hidden="1">
      <c r="A2205" s="1040" t="s">
        <v>1138</v>
      </c>
      <c r="B2205" s="1040" t="s">
        <v>1134</v>
      </c>
      <c r="C2205" s="1066">
        <v>46311</v>
      </c>
      <c r="D2205" s="1066">
        <v>46311</v>
      </c>
      <c r="E2205" s="1005" t="s">
        <v>1476</v>
      </c>
      <c r="I2205" s="1002" t="s">
        <v>1465</v>
      </c>
      <c r="J2205" s="1061" t="s">
        <v>171</v>
      </c>
      <c r="K2205" s="1061" t="s">
        <v>1474</v>
      </c>
      <c r="L2205" s="1061" t="s">
        <v>18</v>
      </c>
      <c r="M2205" s="1245">
        <v>-40</v>
      </c>
      <c r="N2205" s="1081">
        <v>69444.44</v>
      </c>
      <c r="O2205" s="1238">
        <f t="shared" ref="O2205:O2209" si="404">M2205*N2205</f>
        <v>-2777777.6</v>
      </c>
      <c r="P2205" s="1081">
        <f t="shared" si="402"/>
        <v>-222222.20800000001</v>
      </c>
      <c r="Q2205" s="1081">
        <f t="shared" si="403"/>
        <v>-2999999.8080000002</v>
      </c>
      <c r="V2205" s="1107">
        <f t="shared" si="399"/>
        <v>-2999999.8080000002</v>
      </c>
    </row>
    <row r="2206" spans="1:22" hidden="1">
      <c r="A2206" s="1040" t="s">
        <v>1138</v>
      </c>
      <c r="B2206" s="1040" t="s">
        <v>1134</v>
      </c>
      <c r="C2206" s="1066">
        <v>46311</v>
      </c>
      <c r="D2206" s="1066">
        <v>46311</v>
      </c>
      <c r="E2206" s="1005" t="s">
        <v>1476</v>
      </c>
      <c r="I2206" s="1002" t="s">
        <v>1465</v>
      </c>
      <c r="J2206" s="1061" t="s">
        <v>173</v>
      </c>
      <c r="K2206" s="1061" t="s">
        <v>1475</v>
      </c>
      <c r="L2206" s="1061" t="s">
        <v>18</v>
      </c>
      <c r="M2206" s="1245">
        <v>-40</v>
      </c>
      <c r="N2206" s="1081">
        <v>97222.22</v>
      </c>
      <c r="O2206" s="1238">
        <f t="shared" si="404"/>
        <v>-3888888.8</v>
      </c>
      <c r="P2206" s="1081">
        <f t="shared" si="402"/>
        <v>-311111.10399999999</v>
      </c>
      <c r="Q2206" s="1081">
        <f t="shared" si="403"/>
        <v>-4199999.9040000001</v>
      </c>
      <c r="V2206" s="1107">
        <f t="shared" si="399"/>
        <v>-4199999.9040000001</v>
      </c>
    </row>
    <row r="2207" spans="1:22" hidden="1">
      <c r="A2207" s="1040" t="s">
        <v>1138</v>
      </c>
      <c r="B2207" s="1040" t="s">
        <v>1134</v>
      </c>
      <c r="C2207" s="1066">
        <v>46311</v>
      </c>
      <c r="D2207" s="1066">
        <v>46311</v>
      </c>
      <c r="E2207" s="1005" t="s">
        <v>1476</v>
      </c>
      <c r="I2207" s="1002" t="s">
        <v>1465</v>
      </c>
      <c r="J2207" s="1061" t="s">
        <v>77</v>
      </c>
      <c r="K2207" s="1067" t="s">
        <v>428</v>
      </c>
      <c r="L2207" s="1061" t="s">
        <v>18</v>
      </c>
      <c r="M2207" s="1245">
        <v>-12</v>
      </c>
      <c r="N2207" s="1081">
        <v>333333.33</v>
      </c>
      <c r="O2207" s="1238">
        <f t="shared" si="404"/>
        <v>-3999999.96</v>
      </c>
      <c r="P2207" s="1081">
        <f t="shared" si="402"/>
        <v>-319999.99680000002</v>
      </c>
      <c r="Q2207" s="1081">
        <f t="shared" si="403"/>
        <v>-4319999.9567999998</v>
      </c>
      <c r="V2207" s="1107">
        <f t="shared" si="399"/>
        <v>-4319999.9567999998</v>
      </c>
    </row>
    <row r="2208" spans="1:22" hidden="1">
      <c r="A2208" s="1001" t="s">
        <v>792</v>
      </c>
      <c r="B2208" s="1001" t="s">
        <v>714</v>
      </c>
      <c r="C2208" s="1066">
        <v>46311</v>
      </c>
      <c r="D2208" s="1066">
        <v>46311</v>
      </c>
      <c r="E2208" s="1005" t="s">
        <v>1477</v>
      </c>
      <c r="F2208" s="1066">
        <v>46311</v>
      </c>
      <c r="G2208" s="1005" t="s">
        <v>1487</v>
      </c>
      <c r="H2208" s="1138" t="s">
        <v>1486</v>
      </c>
      <c r="I2208" s="1002" t="s">
        <v>810</v>
      </c>
      <c r="J2208" s="1007" t="s">
        <v>77</v>
      </c>
      <c r="K2208" s="1064" t="s">
        <v>320</v>
      </c>
      <c r="L2208" s="1007" t="s">
        <v>18</v>
      </c>
      <c r="M2208" s="1243">
        <v>12</v>
      </c>
      <c r="N2208" s="1223">
        <v>333333.33</v>
      </c>
      <c r="O2208" s="1223">
        <f t="shared" si="404"/>
        <v>3999999.96</v>
      </c>
      <c r="P2208" s="1081">
        <f t="shared" si="402"/>
        <v>319999.99680000002</v>
      </c>
      <c r="Q2208" s="1081">
        <f t="shared" si="403"/>
        <v>4319999.9567999998</v>
      </c>
      <c r="V2208" s="1107">
        <f t="shared" si="399"/>
        <v>4319999.9567999998</v>
      </c>
    </row>
    <row r="2209" spans="1:22" hidden="1">
      <c r="A2209" s="1040" t="s">
        <v>1138</v>
      </c>
      <c r="B2209" s="1040" t="s">
        <v>1134</v>
      </c>
      <c r="C2209" s="1066">
        <v>46311</v>
      </c>
      <c r="D2209" s="1066">
        <v>46311</v>
      </c>
      <c r="E2209" s="1005" t="s">
        <v>1478</v>
      </c>
      <c r="I2209" s="1002" t="s">
        <v>1479</v>
      </c>
      <c r="J2209" s="1007" t="s">
        <v>641</v>
      </c>
      <c r="K2209" s="1064" t="s">
        <v>657</v>
      </c>
      <c r="L2209" s="1007" t="s">
        <v>18</v>
      </c>
      <c r="M2209" s="1243">
        <v>1</v>
      </c>
      <c r="N2209" s="1223">
        <v>0</v>
      </c>
      <c r="O2209" s="1223">
        <f t="shared" si="404"/>
        <v>0</v>
      </c>
      <c r="P2209" s="1081">
        <f t="shared" si="402"/>
        <v>0</v>
      </c>
      <c r="Q2209" s="1081">
        <f t="shared" si="403"/>
        <v>0</v>
      </c>
      <c r="V2209" s="1107">
        <f t="shared" si="399"/>
        <v>0</v>
      </c>
    </row>
    <row r="2210" spans="1:22" hidden="1">
      <c r="A2210" s="1000" t="s">
        <v>802</v>
      </c>
      <c r="B2210" s="1028" t="s">
        <v>806</v>
      </c>
      <c r="C2210" s="1066">
        <v>46311</v>
      </c>
      <c r="I2210" s="1002" t="s">
        <v>844</v>
      </c>
      <c r="R2210" s="1107">
        <v>2400000</v>
      </c>
      <c r="V2210" s="1107">
        <f t="shared" si="399"/>
        <v>-2400000</v>
      </c>
    </row>
  </sheetData>
  <autoFilter ref="A1:Y2210" xr:uid="{E62349FE-EE46-4A72-A05D-6CF39F9DAA34}">
    <filterColumn colId="1">
      <filters>
        <filter val="Vương Tuyết Mai 王雪梅"/>
      </filters>
    </filterColumn>
  </autoFilter>
  <mergeCells count="8">
    <mergeCell ref="W1638:W1640"/>
    <mergeCell ref="W1615:W1616"/>
    <mergeCell ref="X1082:AB1098"/>
    <mergeCell ref="X1040:AC1057"/>
    <mergeCell ref="AC1082:AI1098"/>
    <mergeCell ref="W933:W934"/>
    <mergeCell ref="W1414:W1416"/>
    <mergeCell ref="W1145:W1148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D4A6-B689-419B-8C83-DD4D7D176D2C}">
  <sheetPr>
    <tabColor rgb="FF00B050"/>
  </sheetPr>
  <dimension ref="A1:S185"/>
  <sheetViews>
    <sheetView topLeftCell="B1" workbookViewId="0">
      <pane ySplit="1" topLeftCell="A153" activePane="bottomLeft" state="frozen"/>
      <selection activeCell="B79" sqref="B79"/>
      <selection pane="bottomLeft" activeCell="E174" sqref="E174"/>
    </sheetView>
  </sheetViews>
  <sheetFormatPr defaultRowHeight="15"/>
  <cols>
    <col min="1" max="1" width="8.85546875" style="731" customWidth="1"/>
    <col min="2" max="2" width="47.7109375" customWidth="1"/>
    <col min="3" max="3" width="20.140625" bestFit="1" customWidth="1"/>
    <col min="4" max="4" width="15.42578125" bestFit="1" customWidth="1"/>
    <col min="5" max="5" width="19" bestFit="1" customWidth="1"/>
    <col min="6" max="6" width="21.140625" bestFit="1" customWidth="1"/>
    <col min="7" max="7" width="15.85546875" bestFit="1" customWidth="1"/>
    <col min="8" max="8" width="25.28515625" customWidth="1"/>
    <col min="9" max="9" width="14.7109375" bestFit="1" customWidth="1"/>
    <col min="10" max="10" width="29.5703125" customWidth="1"/>
    <col min="11" max="11" width="16.7109375" bestFit="1" customWidth="1"/>
    <col min="12" max="12" width="13.85546875" bestFit="1" customWidth="1"/>
    <col min="13" max="13" width="13.7109375" bestFit="1" customWidth="1"/>
    <col min="14" max="14" width="21.140625" bestFit="1" customWidth="1"/>
    <col min="15" max="15" width="17.28515625" bestFit="1" customWidth="1"/>
    <col min="16" max="16" width="16.7109375" bestFit="1" customWidth="1"/>
    <col min="17" max="17" width="19.7109375" bestFit="1" customWidth="1"/>
    <col min="18" max="18" width="14.85546875" bestFit="1" customWidth="1"/>
  </cols>
  <sheetData>
    <row r="1" spans="1:18" ht="78.75">
      <c r="A1" s="588" t="s">
        <v>666</v>
      </c>
      <c r="B1" s="482" t="s">
        <v>866</v>
      </c>
      <c r="C1" s="482" t="s">
        <v>624</v>
      </c>
      <c r="D1" s="483" t="s">
        <v>636</v>
      </c>
      <c r="E1" s="482" t="s">
        <v>635</v>
      </c>
      <c r="F1" s="484" t="s">
        <v>637</v>
      </c>
      <c r="G1" s="484" t="s">
        <v>634</v>
      </c>
      <c r="H1" s="485" t="s">
        <v>625</v>
      </c>
      <c r="I1" s="484" t="s">
        <v>626</v>
      </c>
      <c r="J1" s="484" t="s">
        <v>627</v>
      </c>
      <c r="K1" s="484" t="s">
        <v>628</v>
      </c>
      <c r="L1" s="486" t="s">
        <v>629</v>
      </c>
      <c r="M1" s="487" t="s">
        <v>630</v>
      </c>
      <c r="N1" s="487" t="s">
        <v>631</v>
      </c>
      <c r="O1" s="487" t="s">
        <v>632</v>
      </c>
      <c r="P1" s="487" t="s">
        <v>633</v>
      </c>
      <c r="Q1" s="487" t="s">
        <v>1250</v>
      </c>
      <c r="R1" s="488" t="s">
        <v>622</v>
      </c>
    </row>
    <row r="2" spans="1:18" s="686" customFormat="1" ht="15.75">
      <c r="A2" s="820" t="s">
        <v>753</v>
      </c>
      <c r="B2" s="307" t="s">
        <v>754</v>
      </c>
      <c r="C2" s="821">
        <v>46327</v>
      </c>
      <c r="D2" s="302"/>
      <c r="E2" s="355"/>
      <c r="F2" s="626"/>
      <c r="G2" s="355"/>
      <c r="H2" s="359" t="s">
        <v>365</v>
      </c>
      <c r="I2" s="359"/>
      <c r="J2" s="359"/>
      <c r="K2" s="359"/>
      <c r="L2" s="359"/>
      <c r="M2" s="359"/>
      <c r="N2" s="309"/>
      <c r="O2" s="822"/>
      <c r="P2" s="309"/>
      <c r="Q2" s="626"/>
      <c r="R2" s="367">
        <v>1950000</v>
      </c>
    </row>
    <row r="3" spans="1:18" ht="15.75">
      <c r="A3" s="732" t="s">
        <v>753</v>
      </c>
      <c r="B3" s="307" t="s">
        <v>754</v>
      </c>
      <c r="C3" s="354" t="s">
        <v>132</v>
      </c>
      <c r="D3" s="299"/>
      <c r="E3" s="354" t="s">
        <v>132</v>
      </c>
      <c r="F3" s="298"/>
      <c r="G3" s="361" t="s">
        <v>366</v>
      </c>
      <c r="H3" s="299" t="s">
        <v>811</v>
      </c>
      <c r="I3" s="364" t="s">
        <v>204</v>
      </c>
      <c r="J3" s="364" t="s">
        <v>269</v>
      </c>
      <c r="K3" s="358" t="s">
        <v>113</v>
      </c>
      <c r="L3" s="365">
        <v>10</v>
      </c>
      <c r="M3" s="309">
        <v>480555.6</v>
      </c>
      <c r="N3" s="309">
        <v>4805556</v>
      </c>
      <c r="O3" s="366">
        <v>384444.48</v>
      </c>
      <c r="P3" s="309">
        <v>5190000.4800000004</v>
      </c>
      <c r="Q3" s="367"/>
      <c r="R3" s="310"/>
    </row>
    <row r="4" spans="1:18" ht="31.5">
      <c r="A4" s="732" t="s">
        <v>753</v>
      </c>
      <c r="B4" s="307" t="s">
        <v>754</v>
      </c>
      <c r="C4" s="354" t="s">
        <v>132</v>
      </c>
      <c r="D4" s="299"/>
      <c r="E4" s="354" t="s">
        <v>132</v>
      </c>
      <c r="F4" s="298"/>
      <c r="G4" s="361" t="s">
        <v>366</v>
      </c>
      <c r="H4" s="299" t="s">
        <v>811</v>
      </c>
      <c r="I4" s="364" t="s">
        <v>208</v>
      </c>
      <c r="J4" s="364" t="s">
        <v>368</v>
      </c>
      <c r="K4" s="358" t="s">
        <v>113</v>
      </c>
      <c r="L4" s="368">
        <v>10</v>
      </c>
      <c r="M4" s="309">
        <v>647222.22</v>
      </c>
      <c r="N4" s="309">
        <v>6472222.2000000002</v>
      </c>
      <c r="O4" s="366">
        <v>517777.77599999995</v>
      </c>
      <c r="P4" s="309">
        <v>6989999.9759999989</v>
      </c>
      <c r="Q4" s="367"/>
      <c r="R4" s="310"/>
    </row>
    <row r="5" spans="1:18" ht="15.75">
      <c r="A5" s="732" t="s">
        <v>753</v>
      </c>
      <c r="B5" s="307" t="s">
        <v>754</v>
      </c>
      <c r="C5" s="354" t="s">
        <v>132</v>
      </c>
      <c r="D5" s="299"/>
      <c r="E5" s="354" t="s">
        <v>132</v>
      </c>
      <c r="F5" s="298"/>
      <c r="G5" s="361" t="s">
        <v>366</v>
      </c>
      <c r="H5" s="299" t="s">
        <v>811</v>
      </c>
      <c r="I5" s="364" t="s">
        <v>77</v>
      </c>
      <c r="J5" s="364" t="s">
        <v>78</v>
      </c>
      <c r="K5" s="358" t="s">
        <v>113</v>
      </c>
      <c r="L5" s="368">
        <v>20</v>
      </c>
      <c r="M5" s="309">
        <v>314815</v>
      </c>
      <c r="N5" s="309">
        <f>L5*M5</f>
        <v>6296300</v>
      </c>
      <c r="O5" s="366">
        <f>N5*8%</f>
        <v>503704</v>
      </c>
      <c r="P5" s="309">
        <f>N5+O5</f>
        <v>6800004</v>
      </c>
      <c r="Q5" s="367"/>
      <c r="R5" s="310"/>
    </row>
    <row r="6" spans="1:18" ht="15.75">
      <c r="A6" s="732" t="s">
        <v>753</v>
      </c>
      <c r="B6" s="307" t="s">
        <v>754</v>
      </c>
      <c r="C6" s="354" t="s">
        <v>132</v>
      </c>
      <c r="D6" s="299"/>
      <c r="E6" s="354" t="s">
        <v>132</v>
      </c>
      <c r="F6" s="298"/>
      <c r="G6" s="361" t="s">
        <v>366</v>
      </c>
      <c r="H6" s="299" t="s">
        <v>811</v>
      </c>
      <c r="I6" s="364" t="s">
        <v>206</v>
      </c>
      <c r="J6" s="364" t="s">
        <v>369</v>
      </c>
      <c r="K6" s="358" t="s">
        <v>113</v>
      </c>
      <c r="L6" s="368">
        <v>10</v>
      </c>
      <c r="M6" s="309">
        <v>483333.33</v>
      </c>
      <c r="N6" s="309">
        <v>4833333.3</v>
      </c>
      <c r="O6" s="366">
        <v>386666.66399999999</v>
      </c>
      <c r="P6" s="309">
        <v>5219999.9639999997</v>
      </c>
      <c r="Q6" s="367"/>
      <c r="R6" s="310"/>
    </row>
    <row r="7" spans="1:18" ht="15.75">
      <c r="A7" s="732" t="s">
        <v>753</v>
      </c>
      <c r="B7" s="307" t="s">
        <v>754</v>
      </c>
      <c r="C7" s="354" t="s">
        <v>132</v>
      </c>
      <c r="D7" s="299"/>
      <c r="E7" s="354" t="s">
        <v>370</v>
      </c>
      <c r="F7" s="298"/>
      <c r="G7" s="361" t="s">
        <v>366</v>
      </c>
      <c r="H7" s="299" t="s">
        <v>811</v>
      </c>
      <c r="I7" s="364" t="s">
        <v>80</v>
      </c>
      <c r="J7" s="364" t="s">
        <v>81</v>
      </c>
      <c r="K7" s="358" t="s">
        <v>113</v>
      </c>
      <c r="L7" s="368">
        <v>10</v>
      </c>
      <c r="M7" s="309">
        <v>824074.07</v>
      </c>
      <c r="N7" s="309">
        <v>8240740.6999999993</v>
      </c>
      <c r="O7" s="366">
        <v>659259.25599999994</v>
      </c>
      <c r="P7" s="309">
        <v>8899999.9559999984</v>
      </c>
      <c r="Q7" s="367"/>
      <c r="R7" s="310"/>
    </row>
    <row r="8" spans="1:18" ht="15.75">
      <c r="A8" s="732" t="s">
        <v>753</v>
      </c>
      <c r="B8" s="307" t="s">
        <v>754</v>
      </c>
      <c r="C8" s="354" t="s">
        <v>132</v>
      </c>
      <c r="D8" s="299"/>
      <c r="E8" s="354" t="s">
        <v>370</v>
      </c>
      <c r="F8" s="298"/>
      <c r="G8" s="361" t="s">
        <v>366</v>
      </c>
      <c r="H8" s="299" t="s">
        <v>811</v>
      </c>
      <c r="I8" s="364" t="s">
        <v>21</v>
      </c>
      <c r="J8" s="364" t="s">
        <v>22</v>
      </c>
      <c r="K8" s="358" t="s">
        <v>113</v>
      </c>
      <c r="L8" s="368">
        <v>10</v>
      </c>
      <c r="M8" s="309">
        <v>937963</v>
      </c>
      <c r="N8" s="309">
        <v>9379630</v>
      </c>
      <c r="O8" s="366">
        <v>750370.4</v>
      </c>
      <c r="P8" s="309">
        <v>10130000.4</v>
      </c>
      <c r="Q8" s="367"/>
      <c r="R8" s="310"/>
    </row>
    <row r="9" spans="1:18" ht="31.5">
      <c r="A9" s="732" t="s">
        <v>753</v>
      </c>
      <c r="B9" s="307" t="s">
        <v>754</v>
      </c>
      <c r="C9" s="354" t="s">
        <v>132</v>
      </c>
      <c r="D9" s="299"/>
      <c r="E9" s="354" t="s">
        <v>132</v>
      </c>
      <c r="F9" s="298"/>
      <c r="G9" s="361" t="s">
        <v>366</v>
      </c>
      <c r="H9" s="299" t="s">
        <v>811</v>
      </c>
      <c r="I9" s="364" t="s">
        <v>23</v>
      </c>
      <c r="J9" s="364" t="s">
        <v>371</v>
      </c>
      <c r="K9" s="358" t="s">
        <v>113</v>
      </c>
      <c r="L9" s="368">
        <v>10</v>
      </c>
      <c r="M9" s="309">
        <v>1185185.2</v>
      </c>
      <c r="N9" s="309">
        <v>11851852</v>
      </c>
      <c r="O9" s="366">
        <v>948148.16</v>
      </c>
      <c r="P9" s="309">
        <v>12800000.16</v>
      </c>
      <c r="Q9" s="367"/>
      <c r="R9" s="310"/>
    </row>
    <row r="10" spans="1:18" ht="31.5">
      <c r="A10" s="732" t="s">
        <v>753</v>
      </c>
      <c r="B10" s="307" t="s">
        <v>754</v>
      </c>
      <c r="C10" s="354" t="s">
        <v>132</v>
      </c>
      <c r="D10" s="299"/>
      <c r="E10" s="354" t="s">
        <v>132</v>
      </c>
      <c r="F10" s="298"/>
      <c r="G10" s="361" t="s">
        <v>366</v>
      </c>
      <c r="H10" s="299" t="s">
        <v>811</v>
      </c>
      <c r="I10" s="364" t="s">
        <v>180</v>
      </c>
      <c r="J10" s="364" t="s">
        <v>181</v>
      </c>
      <c r="K10" s="358" t="s">
        <v>113</v>
      </c>
      <c r="L10" s="368">
        <v>20</v>
      </c>
      <c r="M10" s="309">
        <v>234259.1</v>
      </c>
      <c r="N10" s="309">
        <v>4685182</v>
      </c>
      <c r="O10" s="366">
        <v>374814.56</v>
      </c>
      <c r="P10" s="309">
        <v>5059996.5599999996</v>
      </c>
      <c r="Q10" s="367"/>
      <c r="R10" s="310"/>
    </row>
    <row r="11" spans="1:18" ht="31.5">
      <c r="A11" s="732" t="s">
        <v>753</v>
      </c>
      <c r="B11" s="307" t="s">
        <v>754</v>
      </c>
      <c r="C11" s="354" t="s">
        <v>132</v>
      </c>
      <c r="D11" s="299"/>
      <c r="E11" s="354" t="s">
        <v>132</v>
      </c>
      <c r="F11" s="298"/>
      <c r="G11" s="361" t="s">
        <v>366</v>
      </c>
      <c r="H11" s="299" t="s">
        <v>811</v>
      </c>
      <c r="I11" s="364" t="s">
        <v>26</v>
      </c>
      <c r="J11" s="364" t="s">
        <v>27</v>
      </c>
      <c r="K11" s="358" t="s">
        <v>113</v>
      </c>
      <c r="L11" s="368">
        <v>20</v>
      </c>
      <c r="M11" s="309">
        <v>256481.5</v>
      </c>
      <c r="N11" s="309">
        <v>5129630</v>
      </c>
      <c r="O11" s="366">
        <v>410370.4</v>
      </c>
      <c r="P11" s="309">
        <v>5540000.4000000004</v>
      </c>
      <c r="Q11" s="367"/>
      <c r="R11" s="310"/>
    </row>
    <row r="12" spans="1:18" ht="31.5">
      <c r="A12" s="732" t="s">
        <v>753</v>
      </c>
      <c r="B12" s="307" t="s">
        <v>754</v>
      </c>
      <c r="C12" s="354" t="s">
        <v>132</v>
      </c>
      <c r="D12" s="299"/>
      <c r="E12" s="354" t="s">
        <v>132</v>
      </c>
      <c r="F12" s="298"/>
      <c r="G12" s="361" t="s">
        <v>366</v>
      </c>
      <c r="H12" s="299" t="s">
        <v>811</v>
      </c>
      <c r="I12" s="364" t="s">
        <v>28</v>
      </c>
      <c r="J12" s="364" t="s">
        <v>29</v>
      </c>
      <c r="K12" s="358" t="s">
        <v>113</v>
      </c>
      <c r="L12" s="368">
        <v>20</v>
      </c>
      <c r="M12" s="309">
        <v>281481.5</v>
      </c>
      <c r="N12" s="309">
        <v>5629630</v>
      </c>
      <c r="O12" s="366">
        <v>450370.4</v>
      </c>
      <c r="P12" s="309">
        <v>6080000.4000000004</v>
      </c>
      <c r="Q12" s="367"/>
      <c r="R12" s="310"/>
    </row>
    <row r="13" spans="1:18" ht="31.5">
      <c r="A13" s="732" t="s">
        <v>753</v>
      </c>
      <c r="B13" s="307" t="s">
        <v>754</v>
      </c>
      <c r="C13" s="354" t="s">
        <v>132</v>
      </c>
      <c r="D13" s="299"/>
      <c r="E13" s="354" t="s">
        <v>132</v>
      </c>
      <c r="F13" s="298"/>
      <c r="G13" s="361" t="s">
        <v>366</v>
      </c>
      <c r="H13" s="299" t="s">
        <v>811</v>
      </c>
      <c r="I13" s="364" t="s">
        <v>184</v>
      </c>
      <c r="J13" s="364" t="s">
        <v>272</v>
      </c>
      <c r="K13" s="358" t="s">
        <v>113</v>
      </c>
      <c r="L13" s="368">
        <v>20</v>
      </c>
      <c r="M13" s="309">
        <v>227777.8</v>
      </c>
      <c r="N13" s="309">
        <v>4555556</v>
      </c>
      <c r="O13" s="366">
        <v>364444.48</v>
      </c>
      <c r="P13" s="309">
        <v>4920000.4800000004</v>
      </c>
      <c r="Q13" s="367"/>
      <c r="R13" s="310"/>
    </row>
    <row r="14" spans="1:18" ht="31.5">
      <c r="A14" s="732" t="s">
        <v>753</v>
      </c>
      <c r="B14" s="307" t="s">
        <v>754</v>
      </c>
      <c r="C14" s="354" t="s">
        <v>132</v>
      </c>
      <c r="D14" s="299"/>
      <c r="E14" s="354" t="s">
        <v>132</v>
      </c>
      <c r="F14" s="298"/>
      <c r="G14" s="361" t="s">
        <v>366</v>
      </c>
      <c r="H14" s="299" t="s">
        <v>811</v>
      </c>
      <c r="I14" s="364" t="s">
        <v>30</v>
      </c>
      <c r="J14" s="364" t="s">
        <v>31</v>
      </c>
      <c r="K14" s="358" t="s">
        <v>113</v>
      </c>
      <c r="L14" s="368">
        <v>20</v>
      </c>
      <c r="M14" s="309">
        <v>252777.8</v>
      </c>
      <c r="N14" s="309">
        <v>5055556</v>
      </c>
      <c r="O14" s="366">
        <v>404444.48</v>
      </c>
      <c r="P14" s="309">
        <v>5460000.4800000004</v>
      </c>
      <c r="Q14" s="367"/>
      <c r="R14" s="310"/>
    </row>
    <row r="15" spans="1:18" ht="31.5">
      <c r="A15" s="732" t="s">
        <v>753</v>
      </c>
      <c r="B15" s="307" t="s">
        <v>754</v>
      </c>
      <c r="C15" s="354" t="s">
        <v>132</v>
      </c>
      <c r="D15" s="299"/>
      <c r="E15" s="354" t="s">
        <v>132</v>
      </c>
      <c r="F15" s="298"/>
      <c r="G15" s="361" t="s">
        <v>366</v>
      </c>
      <c r="H15" s="299" t="s">
        <v>811</v>
      </c>
      <c r="I15" s="364" t="s">
        <v>32</v>
      </c>
      <c r="J15" s="364" t="s">
        <v>33</v>
      </c>
      <c r="K15" s="358" t="s">
        <v>113</v>
      </c>
      <c r="L15" s="368">
        <v>20</v>
      </c>
      <c r="M15" s="309">
        <v>256481.5</v>
      </c>
      <c r="N15" s="309">
        <v>5129630</v>
      </c>
      <c r="O15" s="366">
        <v>410370.4</v>
      </c>
      <c r="P15" s="309">
        <v>5540000.4000000004</v>
      </c>
      <c r="Q15" s="367"/>
      <c r="R15" s="310"/>
    </row>
    <row r="16" spans="1:18" ht="31.5">
      <c r="A16" s="732" t="s">
        <v>753</v>
      </c>
      <c r="B16" s="307" t="s">
        <v>754</v>
      </c>
      <c r="C16" s="354" t="s">
        <v>132</v>
      </c>
      <c r="D16" s="299"/>
      <c r="E16" s="354" t="s">
        <v>132</v>
      </c>
      <c r="F16" s="298"/>
      <c r="G16" s="361" t="s">
        <v>366</v>
      </c>
      <c r="H16" s="299" t="s">
        <v>811</v>
      </c>
      <c r="I16" s="364" t="s">
        <v>34</v>
      </c>
      <c r="J16" s="364" t="s">
        <v>35</v>
      </c>
      <c r="K16" s="358" t="s">
        <v>113</v>
      </c>
      <c r="L16" s="368">
        <v>20</v>
      </c>
      <c r="M16" s="309">
        <v>227777.8</v>
      </c>
      <c r="N16" s="309">
        <v>4555556</v>
      </c>
      <c r="O16" s="366">
        <v>364444.48</v>
      </c>
      <c r="P16" s="309">
        <v>4920000.4800000004</v>
      </c>
      <c r="Q16" s="367"/>
      <c r="R16" s="310"/>
    </row>
    <row r="17" spans="1:18" ht="31.5">
      <c r="A17" s="732" t="s">
        <v>753</v>
      </c>
      <c r="B17" s="307" t="s">
        <v>754</v>
      </c>
      <c r="C17" s="354" t="s">
        <v>132</v>
      </c>
      <c r="D17" s="299"/>
      <c r="E17" s="354" t="s">
        <v>132</v>
      </c>
      <c r="F17" s="298"/>
      <c r="G17" s="361" t="s">
        <v>366</v>
      </c>
      <c r="H17" s="299" t="s">
        <v>811</v>
      </c>
      <c r="I17" s="364" t="s">
        <v>36</v>
      </c>
      <c r="J17" s="364" t="s">
        <v>37</v>
      </c>
      <c r="K17" s="358" t="s">
        <v>113</v>
      </c>
      <c r="L17" s="368">
        <v>20</v>
      </c>
      <c r="M17" s="309">
        <v>252777.8</v>
      </c>
      <c r="N17" s="309">
        <v>5055556</v>
      </c>
      <c r="O17" s="366">
        <v>404444.48</v>
      </c>
      <c r="P17" s="309">
        <v>5460000.4800000004</v>
      </c>
      <c r="Q17" s="367"/>
      <c r="R17" s="310"/>
    </row>
    <row r="18" spans="1:18" ht="31.5">
      <c r="A18" s="732" t="s">
        <v>753</v>
      </c>
      <c r="B18" s="307" t="s">
        <v>754</v>
      </c>
      <c r="C18" s="354" t="s">
        <v>132</v>
      </c>
      <c r="D18" s="299"/>
      <c r="E18" s="354" t="s">
        <v>132</v>
      </c>
      <c r="F18" s="298"/>
      <c r="G18" s="361" t="s">
        <v>366</v>
      </c>
      <c r="H18" s="299" t="s">
        <v>811</v>
      </c>
      <c r="I18" s="364" t="s">
        <v>38</v>
      </c>
      <c r="J18" s="364" t="s">
        <v>39</v>
      </c>
      <c r="K18" s="358" t="s">
        <v>113</v>
      </c>
      <c r="L18" s="368">
        <v>20</v>
      </c>
      <c r="M18" s="309">
        <v>277777.8</v>
      </c>
      <c r="N18" s="309">
        <v>5555556</v>
      </c>
      <c r="O18" s="366">
        <v>444444.48</v>
      </c>
      <c r="P18" s="309">
        <v>6000000.4800000004</v>
      </c>
      <c r="Q18" s="367"/>
      <c r="R18" s="310"/>
    </row>
    <row r="19" spans="1:18" ht="31.5">
      <c r="A19" s="732" t="s">
        <v>753</v>
      </c>
      <c r="B19" s="307" t="s">
        <v>754</v>
      </c>
      <c r="C19" s="354" t="s">
        <v>132</v>
      </c>
      <c r="D19" s="299"/>
      <c r="E19" s="354" t="s">
        <v>132</v>
      </c>
      <c r="F19" s="298"/>
      <c r="G19" s="361" t="s">
        <v>366</v>
      </c>
      <c r="H19" s="299" t="s">
        <v>811</v>
      </c>
      <c r="I19" s="364" t="s">
        <v>40</v>
      </c>
      <c r="J19" s="364" t="s">
        <v>41</v>
      </c>
      <c r="K19" s="358" t="s">
        <v>113</v>
      </c>
      <c r="L19" s="368">
        <v>10</v>
      </c>
      <c r="M19" s="309">
        <v>844444.4</v>
      </c>
      <c r="N19" s="309">
        <v>8444444</v>
      </c>
      <c r="O19" s="366">
        <v>675555.52</v>
      </c>
      <c r="P19" s="309">
        <v>9119999.5199999996</v>
      </c>
      <c r="Q19" s="367"/>
      <c r="R19" s="310"/>
    </row>
    <row r="20" spans="1:18" ht="15.75">
      <c r="A20" s="732" t="s">
        <v>753</v>
      </c>
      <c r="B20" s="307" t="s">
        <v>754</v>
      </c>
      <c r="C20" s="354" t="s">
        <v>132</v>
      </c>
      <c r="D20" s="299"/>
      <c r="E20" s="354" t="s">
        <v>132</v>
      </c>
      <c r="F20" s="298"/>
      <c r="G20" s="361" t="s">
        <v>366</v>
      </c>
      <c r="H20" s="299" t="s">
        <v>811</v>
      </c>
      <c r="I20" s="364" t="s">
        <v>119</v>
      </c>
      <c r="J20" s="364" t="s">
        <v>191</v>
      </c>
      <c r="K20" s="358" t="s">
        <v>113</v>
      </c>
      <c r="L20" s="368">
        <v>10</v>
      </c>
      <c r="M20" s="309">
        <v>659259.30000000005</v>
      </c>
      <c r="N20" s="309">
        <v>6592593</v>
      </c>
      <c r="O20" s="366">
        <v>527407.44000000006</v>
      </c>
      <c r="P20" s="309">
        <v>7120000.4400000004</v>
      </c>
      <c r="Q20" s="367"/>
      <c r="R20" s="310"/>
    </row>
    <row r="21" spans="1:18" ht="15.75">
      <c r="A21" s="732" t="s">
        <v>753</v>
      </c>
      <c r="B21" s="307" t="s">
        <v>754</v>
      </c>
      <c r="C21" s="354" t="s">
        <v>132</v>
      </c>
      <c r="D21" s="299"/>
      <c r="E21" s="354" t="s">
        <v>132</v>
      </c>
      <c r="F21" s="298"/>
      <c r="G21" s="361" t="s">
        <v>366</v>
      </c>
      <c r="H21" s="299" t="s">
        <v>811</v>
      </c>
      <c r="I21" s="364" t="s">
        <v>42</v>
      </c>
      <c r="J21" s="364" t="s">
        <v>43</v>
      </c>
      <c r="K21" s="358" t="s">
        <v>113</v>
      </c>
      <c r="L21" s="368">
        <v>10</v>
      </c>
      <c r="M21" s="309">
        <v>569444.4</v>
      </c>
      <c r="N21" s="309">
        <v>5694444</v>
      </c>
      <c r="O21" s="366">
        <v>455555.52</v>
      </c>
      <c r="P21" s="309">
        <v>6149999.5199999996</v>
      </c>
      <c r="Q21" s="367"/>
      <c r="R21" s="310"/>
    </row>
    <row r="22" spans="1:18" ht="15.75">
      <c r="A22" s="732" t="s">
        <v>753</v>
      </c>
      <c r="B22" s="307" t="s">
        <v>754</v>
      </c>
      <c r="C22" s="354" t="s">
        <v>132</v>
      </c>
      <c r="D22" s="299"/>
      <c r="E22" s="354" t="s">
        <v>132</v>
      </c>
      <c r="F22" s="298"/>
      <c r="G22" s="361" t="s">
        <v>366</v>
      </c>
      <c r="H22" s="299" t="s">
        <v>811</v>
      </c>
      <c r="I22" s="364" t="s">
        <v>44</v>
      </c>
      <c r="J22" s="364" t="s">
        <v>45</v>
      </c>
      <c r="K22" s="358" t="s">
        <v>113</v>
      </c>
      <c r="L22" s="368">
        <v>12</v>
      </c>
      <c r="M22" s="309">
        <v>564814.82999999996</v>
      </c>
      <c r="N22" s="309">
        <v>6777777.959999999</v>
      </c>
      <c r="O22" s="366">
        <v>542222.23679999996</v>
      </c>
      <c r="P22" s="309">
        <v>7320000.1967999991</v>
      </c>
      <c r="Q22" s="367"/>
      <c r="R22" s="310"/>
    </row>
    <row r="23" spans="1:18" ht="15.75">
      <c r="A23" s="732" t="s">
        <v>753</v>
      </c>
      <c r="B23" s="307" t="s">
        <v>754</v>
      </c>
      <c r="C23" s="354" t="s">
        <v>132</v>
      </c>
      <c r="D23" s="299"/>
      <c r="E23" s="354" t="s">
        <v>132</v>
      </c>
      <c r="F23" s="298"/>
      <c r="G23" s="361" t="s">
        <v>366</v>
      </c>
      <c r="H23" s="299" t="s">
        <v>811</v>
      </c>
      <c r="I23" s="364" t="s">
        <v>148</v>
      </c>
      <c r="J23" s="364" t="s">
        <v>149</v>
      </c>
      <c r="K23" s="358" t="s">
        <v>113</v>
      </c>
      <c r="L23" s="368">
        <v>12</v>
      </c>
      <c r="M23" s="309">
        <v>358333.33</v>
      </c>
      <c r="N23" s="309">
        <v>4299999.96</v>
      </c>
      <c r="O23" s="366">
        <v>343999.99680000002</v>
      </c>
      <c r="P23" s="309">
        <v>4643999.9567999998</v>
      </c>
      <c r="Q23" s="367"/>
      <c r="R23" s="310"/>
    </row>
    <row r="24" spans="1:18" ht="15.75">
      <c r="A24" s="732" t="s">
        <v>753</v>
      </c>
      <c r="B24" s="307" t="s">
        <v>754</v>
      </c>
      <c r="C24" s="354" t="s">
        <v>132</v>
      </c>
      <c r="D24" s="299"/>
      <c r="E24" s="354" t="s">
        <v>132</v>
      </c>
      <c r="F24" s="298"/>
      <c r="G24" s="361" t="s">
        <v>366</v>
      </c>
      <c r="H24" s="299" t="s">
        <v>811</v>
      </c>
      <c r="I24" s="364" t="s">
        <v>192</v>
      </c>
      <c r="J24" s="364" t="s">
        <v>193</v>
      </c>
      <c r="K24" s="358" t="s">
        <v>113</v>
      </c>
      <c r="L24" s="368">
        <v>12</v>
      </c>
      <c r="M24" s="309">
        <v>398148.17</v>
      </c>
      <c r="N24" s="309">
        <v>4777778.04</v>
      </c>
      <c r="O24" s="366">
        <v>382222.24320000003</v>
      </c>
      <c r="P24" s="309">
        <v>5160000.2832000004</v>
      </c>
      <c r="Q24" s="367"/>
      <c r="R24" s="310"/>
    </row>
    <row r="25" spans="1:18" ht="15.75">
      <c r="A25" s="732" t="s">
        <v>753</v>
      </c>
      <c r="B25" s="307" t="s">
        <v>754</v>
      </c>
      <c r="C25" s="354" t="s">
        <v>132</v>
      </c>
      <c r="D25" s="299"/>
      <c r="E25" s="354" t="s">
        <v>67</v>
      </c>
      <c r="F25" s="298"/>
      <c r="G25" s="361" t="s">
        <v>372</v>
      </c>
      <c r="H25" s="299" t="s">
        <v>811</v>
      </c>
      <c r="I25" s="364" t="s">
        <v>68</v>
      </c>
      <c r="J25" s="364" t="s">
        <v>69</v>
      </c>
      <c r="K25" s="358" t="s">
        <v>18</v>
      </c>
      <c r="L25" s="368">
        <v>12</v>
      </c>
      <c r="M25" s="309">
        <v>111111.08</v>
      </c>
      <c r="N25" s="309">
        <v>1333332.96</v>
      </c>
      <c r="O25" s="366">
        <v>106666.63679999999</v>
      </c>
      <c r="P25" s="309">
        <v>1439999.5967999999</v>
      </c>
      <c r="Q25" s="367"/>
      <c r="R25" s="310"/>
    </row>
    <row r="26" spans="1:18" ht="15.75">
      <c r="A26" s="732" t="s">
        <v>753</v>
      </c>
      <c r="B26" s="307" t="s">
        <v>754</v>
      </c>
      <c r="C26" s="354" t="s">
        <v>132</v>
      </c>
      <c r="D26" s="299"/>
      <c r="E26" s="354" t="s">
        <v>67</v>
      </c>
      <c r="F26" s="298"/>
      <c r="G26" s="361" t="s">
        <v>372</v>
      </c>
      <c r="H26" s="299" t="s">
        <v>811</v>
      </c>
      <c r="I26" s="364" t="s">
        <v>70</v>
      </c>
      <c r="J26" s="364" t="s">
        <v>71</v>
      </c>
      <c r="K26" s="358" t="s">
        <v>18</v>
      </c>
      <c r="L26" s="368">
        <v>12</v>
      </c>
      <c r="M26" s="309">
        <v>120370.33</v>
      </c>
      <c r="N26" s="309">
        <v>1444443.96</v>
      </c>
      <c r="O26" s="366">
        <v>115555.5168</v>
      </c>
      <c r="P26" s="309">
        <v>1559999.4768000001</v>
      </c>
      <c r="Q26" s="367"/>
      <c r="R26" s="310"/>
    </row>
    <row r="27" spans="1:18" ht="15.75">
      <c r="A27" s="732" t="s">
        <v>753</v>
      </c>
      <c r="B27" s="307" t="s">
        <v>754</v>
      </c>
      <c r="C27" s="354" t="s">
        <v>132</v>
      </c>
      <c r="D27" s="299"/>
      <c r="E27" s="354" t="s">
        <v>67</v>
      </c>
      <c r="F27" s="298"/>
      <c r="G27" s="361" t="s">
        <v>372</v>
      </c>
      <c r="H27" s="299" t="s">
        <v>811</v>
      </c>
      <c r="I27" s="364" t="s">
        <v>72</v>
      </c>
      <c r="J27" s="364" t="s">
        <v>73</v>
      </c>
      <c r="K27" s="358" t="s">
        <v>18</v>
      </c>
      <c r="L27" s="368">
        <v>12</v>
      </c>
      <c r="M27" s="309">
        <v>129629.67</v>
      </c>
      <c r="N27" s="309">
        <v>1555556.04</v>
      </c>
      <c r="O27" s="366">
        <v>124444.4832</v>
      </c>
      <c r="P27" s="309">
        <v>1680000.5231999999</v>
      </c>
      <c r="Q27" s="367"/>
      <c r="R27" s="310"/>
    </row>
    <row r="28" spans="1:18" ht="15.75">
      <c r="A28" s="732" t="s">
        <v>753</v>
      </c>
      <c r="B28" s="307" t="s">
        <v>754</v>
      </c>
      <c r="C28" s="354" t="s">
        <v>132</v>
      </c>
      <c r="D28" s="299"/>
      <c r="E28" s="354" t="s">
        <v>67</v>
      </c>
      <c r="F28" s="298"/>
      <c r="G28" s="361" t="s">
        <v>372</v>
      </c>
      <c r="H28" s="299" t="s">
        <v>811</v>
      </c>
      <c r="I28" s="364" t="s">
        <v>194</v>
      </c>
      <c r="J28" s="364" t="s">
        <v>276</v>
      </c>
      <c r="K28" s="358" t="s">
        <v>18</v>
      </c>
      <c r="L28" s="368">
        <v>10</v>
      </c>
      <c r="M28" s="309">
        <v>1203703.7</v>
      </c>
      <c r="N28" s="309">
        <v>12037037</v>
      </c>
      <c r="O28" s="366">
        <v>962962.96</v>
      </c>
      <c r="P28" s="309">
        <v>12999999.960000001</v>
      </c>
      <c r="Q28" s="367"/>
      <c r="R28" s="310"/>
    </row>
    <row r="29" spans="1:18" ht="15.75">
      <c r="A29" s="732" t="s">
        <v>753</v>
      </c>
      <c r="B29" s="307" t="s">
        <v>754</v>
      </c>
      <c r="C29" s="354" t="s">
        <v>132</v>
      </c>
      <c r="D29" s="299"/>
      <c r="E29" s="354" t="s">
        <v>67</v>
      </c>
      <c r="F29" s="298"/>
      <c r="G29" s="361" t="s">
        <v>372</v>
      </c>
      <c r="H29" s="299" t="s">
        <v>811</v>
      </c>
      <c r="I29" s="364" t="s">
        <v>58</v>
      </c>
      <c r="J29" s="364" t="s">
        <v>59</v>
      </c>
      <c r="K29" s="358" t="s">
        <v>18</v>
      </c>
      <c r="L29" s="368">
        <v>10</v>
      </c>
      <c r="M29" s="309">
        <v>1361111.1</v>
      </c>
      <c r="N29" s="309">
        <v>13611111</v>
      </c>
      <c r="O29" s="366">
        <v>1088888.8800000001</v>
      </c>
      <c r="P29" s="309">
        <v>14699999.880000001</v>
      </c>
      <c r="Q29" s="367"/>
      <c r="R29" s="310"/>
    </row>
    <row r="30" spans="1:18" ht="31.5">
      <c r="A30" s="732" t="s">
        <v>753</v>
      </c>
      <c r="B30" s="307" t="s">
        <v>754</v>
      </c>
      <c r="C30" s="355" t="s">
        <v>132</v>
      </c>
      <c r="D30" s="299"/>
      <c r="E30" s="357">
        <v>46114</v>
      </c>
      <c r="F30" s="298"/>
      <c r="G30" s="362" t="s">
        <v>373</v>
      </c>
      <c r="H30" s="299" t="s">
        <v>811</v>
      </c>
      <c r="I30" s="369" t="s">
        <v>60</v>
      </c>
      <c r="J30" s="369" t="s">
        <v>374</v>
      </c>
      <c r="K30" s="359" t="s">
        <v>18</v>
      </c>
      <c r="L30" s="370">
        <v>8</v>
      </c>
      <c r="M30" s="309">
        <v>1138888.8799999999</v>
      </c>
      <c r="N30" s="309">
        <v>9111111.0399999991</v>
      </c>
      <c r="O30" s="366">
        <v>728888.88319999992</v>
      </c>
      <c r="P30" s="309">
        <v>9839999.9231999982</v>
      </c>
      <c r="Q30" s="367"/>
      <c r="R30" s="310"/>
    </row>
    <row r="31" spans="1:18" ht="31.5">
      <c r="A31" s="732" t="s">
        <v>753</v>
      </c>
      <c r="B31" s="307" t="s">
        <v>754</v>
      </c>
      <c r="C31" s="355" t="s">
        <v>132</v>
      </c>
      <c r="D31" s="299"/>
      <c r="E31" s="357">
        <v>46114</v>
      </c>
      <c r="F31" s="298"/>
      <c r="G31" s="362" t="s">
        <v>373</v>
      </c>
      <c r="H31" s="299" t="s">
        <v>811</v>
      </c>
      <c r="I31" s="369" t="s">
        <v>16</v>
      </c>
      <c r="J31" s="369" t="s">
        <v>375</v>
      </c>
      <c r="K31" s="359" t="s">
        <v>18</v>
      </c>
      <c r="L31" s="370">
        <v>8</v>
      </c>
      <c r="M31" s="309">
        <v>851851.88</v>
      </c>
      <c r="N31" s="309">
        <v>6814815.04</v>
      </c>
      <c r="O31" s="366">
        <v>545185.20319999999</v>
      </c>
      <c r="P31" s="309">
        <v>7360000.2432000004</v>
      </c>
      <c r="Q31" s="367"/>
      <c r="R31" s="310"/>
    </row>
    <row r="32" spans="1:18" ht="31.5">
      <c r="A32" s="732" t="s">
        <v>753</v>
      </c>
      <c r="B32" s="307" t="s">
        <v>754</v>
      </c>
      <c r="C32" s="356" t="s">
        <v>132</v>
      </c>
      <c r="D32" s="299"/>
      <c r="E32" s="357">
        <v>46114</v>
      </c>
      <c r="F32" s="298"/>
      <c r="G32" s="362" t="s">
        <v>373</v>
      </c>
      <c r="H32" s="299" t="s">
        <v>811</v>
      </c>
      <c r="I32" s="369" t="s">
        <v>48</v>
      </c>
      <c r="J32" s="369" t="s">
        <v>376</v>
      </c>
      <c r="K32" s="359" t="s">
        <v>18</v>
      </c>
      <c r="L32" s="371">
        <v>12</v>
      </c>
      <c r="M32" s="309">
        <v>601851.85</v>
      </c>
      <c r="N32" s="309">
        <v>7222222.1999999993</v>
      </c>
      <c r="O32" s="366">
        <v>577777.77599999995</v>
      </c>
      <c r="P32" s="309">
        <v>7799999.9759999989</v>
      </c>
      <c r="Q32" s="367"/>
      <c r="R32" s="310"/>
    </row>
    <row r="33" spans="1:18" ht="31.5">
      <c r="A33" s="732" t="s">
        <v>753</v>
      </c>
      <c r="B33" s="307" t="s">
        <v>754</v>
      </c>
      <c r="C33" s="356" t="s">
        <v>132</v>
      </c>
      <c r="D33" s="299"/>
      <c r="E33" s="357">
        <v>46114</v>
      </c>
      <c r="F33" s="298"/>
      <c r="G33" s="362" t="s">
        <v>373</v>
      </c>
      <c r="H33" s="299" t="s">
        <v>811</v>
      </c>
      <c r="I33" s="369" t="s">
        <v>50</v>
      </c>
      <c r="J33" s="369" t="s">
        <v>377</v>
      </c>
      <c r="K33" s="359" t="s">
        <v>18</v>
      </c>
      <c r="L33" s="371">
        <v>6</v>
      </c>
      <c r="M33" s="309">
        <v>937962</v>
      </c>
      <c r="N33" s="309">
        <v>5627772</v>
      </c>
      <c r="O33" s="366">
        <v>450221.76</v>
      </c>
      <c r="P33" s="309">
        <v>6077993.7599999998</v>
      </c>
      <c r="Q33" s="367"/>
      <c r="R33" s="310"/>
    </row>
    <row r="34" spans="1:18" ht="15.75">
      <c r="A34" s="732" t="s">
        <v>753</v>
      </c>
      <c r="B34" s="307" t="s">
        <v>754</v>
      </c>
      <c r="C34" s="356" t="s">
        <v>132</v>
      </c>
      <c r="D34" s="299"/>
      <c r="E34" s="357">
        <v>46114</v>
      </c>
      <c r="F34" s="298"/>
      <c r="G34" s="362" t="s">
        <v>373</v>
      </c>
      <c r="H34" s="299" t="s">
        <v>811</v>
      </c>
      <c r="I34" s="369" t="s">
        <v>226</v>
      </c>
      <c r="J34" s="369" t="s">
        <v>227</v>
      </c>
      <c r="K34" s="359" t="s">
        <v>18</v>
      </c>
      <c r="L34" s="371">
        <v>6</v>
      </c>
      <c r="M34" s="309">
        <v>799074</v>
      </c>
      <c r="N34" s="309">
        <v>4794444</v>
      </c>
      <c r="O34" s="366">
        <v>383555.52</v>
      </c>
      <c r="P34" s="309">
        <v>5177999.5199999996</v>
      </c>
      <c r="Q34" s="367"/>
      <c r="R34" s="310"/>
    </row>
    <row r="35" spans="1:18" ht="15.75">
      <c r="A35" s="732" t="s">
        <v>753</v>
      </c>
      <c r="B35" s="307" t="s">
        <v>754</v>
      </c>
      <c r="C35" s="356" t="s">
        <v>132</v>
      </c>
      <c r="D35" s="299"/>
      <c r="E35" s="357">
        <v>46114</v>
      </c>
      <c r="F35" s="298"/>
      <c r="G35" s="362" t="s">
        <v>373</v>
      </c>
      <c r="H35" s="299" t="s">
        <v>811</v>
      </c>
      <c r="I35" s="369" t="s">
        <v>52</v>
      </c>
      <c r="J35" s="369" t="s">
        <v>378</v>
      </c>
      <c r="K35" s="359" t="s">
        <v>18</v>
      </c>
      <c r="L35" s="371">
        <v>6</v>
      </c>
      <c r="M35" s="309">
        <v>1007407.4</v>
      </c>
      <c r="N35" s="309">
        <v>6044444.4000000004</v>
      </c>
      <c r="O35" s="366">
        <v>483555.55200000003</v>
      </c>
      <c r="P35" s="309">
        <v>6527999.9520000005</v>
      </c>
      <c r="Q35" s="367"/>
      <c r="R35" s="310"/>
    </row>
    <row r="36" spans="1:18" ht="31.5">
      <c r="A36" s="732" t="s">
        <v>753</v>
      </c>
      <c r="B36" s="307" t="s">
        <v>754</v>
      </c>
      <c r="C36" s="355" t="s">
        <v>132</v>
      </c>
      <c r="D36" s="299"/>
      <c r="E36" s="357" t="s">
        <v>152</v>
      </c>
      <c r="F36" s="298"/>
      <c r="G36" s="362" t="s">
        <v>379</v>
      </c>
      <c r="H36" s="299" t="s">
        <v>811</v>
      </c>
      <c r="I36" s="369" t="s">
        <v>54</v>
      </c>
      <c r="J36" s="369" t="s">
        <v>380</v>
      </c>
      <c r="K36" s="359" t="s">
        <v>18</v>
      </c>
      <c r="L36" s="370">
        <v>12</v>
      </c>
      <c r="M36" s="309">
        <v>324074.08</v>
      </c>
      <c r="N36" s="309">
        <v>3888888.96</v>
      </c>
      <c r="O36" s="366">
        <v>311111.11680000002</v>
      </c>
      <c r="P36" s="309">
        <v>4200000.0767999999</v>
      </c>
      <c r="Q36" s="367"/>
      <c r="R36" s="310"/>
    </row>
    <row r="37" spans="1:18" ht="31.5">
      <c r="A37" s="732" t="s">
        <v>753</v>
      </c>
      <c r="B37" s="307" t="s">
        <v>754</v>
      </c>
      <c r="C37" s="355" t="s">
        <v>132</v>
      </c>
      <c r="D37" s="299"/>
      <c r="E37" s="357" t="s">
        <v>152</v>
      </c>
      <c r="F37" s="298"/>
      <c r="G37" s="362" t="s">
        <v>379</v>
      </c>
      <c r="H37" s="299" t="s">
        <v>811</v>
      </c>
      <c r="I37" s="369" t="s">
        <v>56</v>
      </c>
      <c r="J37" s="369" t="s">
        <v>381</v>
      </c>
      <c r="K37" s="359" t="s">
        <v>18</v>
      </c>
      <c r="L37" s="370">
        <v>12</v>
      </c>
      <c r="M37" s="309">
        <v>325925.92</v>
      </c>
      <c r="N37" s="309">
        <v>3911111.04</v>
      </c>
      <c r="O37" s="366">
        <v>312888.88319999998</v>
      </c>
      <c r="P37" s="309">
        <v>4223999.9232000001</v>
      </c>
      <c r="Q37" s="367"/>
      <c r="R37" s="310"/>
    </row>
    <row r="38" spans="1:18" ht="15.75">
      <c r="A38" s="732" t="s">
        <v>753</v>
      </c>
      <c r="B38" s="307" t="s">
        <v>754</v>
      </c>
      <c r="C38" s="355" t="s">
        <v>132</v>
      </c>
      <c r="D38" s="299"/>
      <c r="E38" s="357" t="s">
        <v>152</v>
      </c>
      <c r="F38" s="298"/>
      <c r="G38" s="362" t="s">
        <v>379</v>
      </c>
      <c r="H38" s="299" t="s">
        <v>811</v>
      </c>
      <c r="I38" s="369" t="s">
        <v>107</v>
      </c>
      <c r="J38" s="369" t="s">
        <v>382</v>
      </c>
      <c r="K38" s="359" t="s">
        <v>18</v>
      </c>
      <c r="L38" s="370">
        <v>12</v>
      </c>
      <c r="M38" s="309">
        <v>349074.08</v>
      </c>
      <c r="N38" s="309">
        <v>4188888.96</v>
      </c>
      <c r="O38" s="366">
        <v>335111.11680000002</v>
      </c>
      <c r="P38" s="309">
        <v>4524000.0767999999</v>
      </c>
      <c r="Q38" s="367"/>
      <c r="R38" s="310"/>
    </row>
    <row r="39" spans="1:18" ht="15.75">
      <c r="A39" s="732" t="s">
        <v>753</v>
      </c>
      <c r="B39" s="307" t="s">
        <v>754</v>
      </c>
      <c r="C39" s="355" t="s">
        <v>132</v>
      </c>
      <c r="D39" s="299"/>
      <c r="E39" s="357" t="s">
        <v>152</v>
      </c>
      <c r="F39" s="298"/>
      <c r="G39" s="362" t="s">
        <v>379</v>
      </c>
      <c r="H39" s="299" t="s">
        <v>811</v>
      </c>
      <c r="I39" s="369" t="s">
        <v>127</v>
      </c>
      <c r="J39" s="369" t="s">
        <v>383</v>
      </c>
      <c r="K39" s="359" t="s">
        <v>18</v>
      </c>
      <c r="L39" s="370">
        <v>12</v>
      </c>
      <c r="M39" s="309">
        <v>284259.25</v>
      </c>
      <c r="N39" s="309">
        <v>3411111</v>
      </c>
      <c r="O39" s="366">
        <v>272888.88</v>
      </c>
      <c r="P39" s="309">
        <v>3683999.88</v>
      </c>
      <c r="Q39" s="367"/>
      <c r="R39" s="310"/>
    </row>
    <row r="40" spans="1:18" ht="15.75">
      <c r="A40" s="732" t="s">
        <v>753</v>
      </c>
      <c r="B40" s="307" t="s">
        <v>754</v>
      </c>
      <c r="C40" s="355" t="s">
        <v>132</v>
      </c>
      <c r="D40" s="299"/>
      <c r="E40" s="357" t="s">
        <v>152</v>
      </c>
      <c r="F40" s="298"/>
      <c r="G40" s="362" t="s">
        <v>379</v>
      </c>
      <c r="H40" s="299" t="s">
        <v>811</v>
      </c>
      <c r="I40" s="369" t="s">
        <v>130</v>
      </c>
      <c r="J40" s="369" t="s">
        <v>384</v>
      </c>
      <c r="K40" s="359" t="s">
        <v>18</v>
      </c>
      <c r="L40" s="370">
        <v>12</v>
      </c>
      <c r="M40" s="309">
        <v>280555.58</v>
      </c>
      <c r="N40" s="309">
        <v>3366666.96</v>
      </c>
      <c r="O40" s="366">
        <v>269333.35680000001</v>
      </c>
      <c r="P40" s="309">
        <v>3636000.3168000001</v>
      </c>
      <c r="Q40" s="367"/>
      <c r="R40" s="310"/>
    </row>
    <row r="41" spans="1:18" ht="15.75">
      <c r="A41" s="732" t="s">
        <v>753</v>
      </c>
      <c r="B41" s="307" t="s">
        <v>754</v>
      </c>
      <c r="C41" s="355" t="s">
        <v>132</v>
      </c>
      <c r="D41" s="299"/>
      <c r="E41" s="357" t="s">
        <v>152</v>
      </c>
      <c r="F41" s="298"/>
      <c r="G41" s="362" t="s">
        <v>379</v>
      </c>
      <c r="H41" s="299" t="s">
        <v>811</v>
      </c>
      <c r="I41" s="369" t="s">
        <v>219</v>
      </c>
      <c r="J41" s="369" t="s">
        <v>385</v>
      </c>
      <c r="K41" s="359" t="s">
        <v>18</v>
      </c>
      <c r="L41" s="370">
        <v>12</v>
      </c>
      <c r="M41" s="309">
        <v>263888.92</v>
      </c>
      <c r="N41" s="309">
        <v>3166667.04</v>
      </c>
      <c r="O41" s="366">
        <v>253333.36320000002</v>
      </c>
      <c r="P41" s="309">
        <v>3420000.4032000001</v>
      </c>
      <c r="Q41" s="367"/>
      <c r="R41" s="310"/>
    </row>
    <row r="42" spans="1:18" s="686" customFormat="1" ht="31.5">
      <c r="A42" s="820" t="s">
        <v>753</v>
      </c>
      <c r="B42" s="307" t="s">
        <v>754</v>
      </c>
      <c r="C42" s="355" t="s">
        <v>132</v>
      </c>
      <c r="D42" s="302"/>
      <c r="E42" s="357"/>
      <c r="F42" s="626"/>
      <c r="G42" s="355"/>
      <c r="H42" s="302" t="s">
        <v>811</v>
      </c>
      <c r="I42" s="369" t="s">
        <v>386</v>
      </c>
      <c r="J42" s="369" t="s">
        <v>387</v>
      </c>
      <c r="K42" s="359" t="s">
        <v>18</v>
      </c>
      <c r="L42" s="370">
        <v>12</v>
      </c>
      <c r="M42" s="309">
        <v>847222.25</v>
      </c>
      <c r="N42" s="309">
        <v>10166667</v>
      </c>
      <c r="O42" s="822">
        <v>813333.36</v>
      </c>
      <c r="P42" s="309">
        <v>10980000.359999999</v>
      </c>
      <c r="Q42" s="367"/>
      <c r="R42" s="309"/>
    </row>
    <row r="43" spans="1:18" ht="31.5">
      <c r="A43" s="732" t="s">
        <v>753</v>
      </c>
      <c r="B43" s="307" t="s">
        <v>754</v>
      </c>
      <c r="C43" s="355" t="s">
        <v>132</v>
      </c>
      <c r="D43" s="299"/>
      <c r="E43" s="357" t="s">
        <v>282</v>
      </c>
      <c r="F43" s="298"/>
      <c r="G43" s="363" t="s">
        <v>388</v>
      </c>
      <c r="H43" s="299" t="s">
        <v>811</v>
      </c>
      <c r="I43" s="369" t="s">
        <v>48</v>
      </c>
      <c r="J43" s="369" t="s">
        <v>376</v>
      </c>
      <c r="K43" s="359" t="s">
        <v>18</v>
      </c>
      <c r="L43" s="370">
        <v>12</v>
      </c>
      <c r="M43" s="309">
        <v>601851.85</v>
      </c>
      <c r="N43" s="309">
        <v>7222222.1999999993</v>
      </c>
      <c r="O43" s="366">
        <v>577777.77599999995</v>
      </c>
      <c r="P43" s="309">
        <v>7799999.9759999989</v>
      </c>
      <c r="Q43" s="367"/>
      <c r="R43" s="310"/>
    </row>
    <row r="44" spans="1:18" ht="31.5">
      <c r="A44" s="732" t="s">
        <v>753</v>
      </c>
      <c r="B44" s="307" t="s">
        <v>754</v>
      </c>
      <c r="C44" s="355" t="s">
        <v>132</v>
      </c>
      <c r="D44" s="299"/>
      <c r="E44" s="357" t="s">
        <v>282</v>
      </c>
      <c r="F44" s="298"/>
      <c r="G44" s="363" t="s">
        <v>388</v>
      </c>
      <c r="H44" s="299" t="s">
        <v>811</v>
      </c>
      <c r="I44" s="369" t="s">
        <v>50</v>
      </c>
      <c r="J44" s="369" t="s">
        <v>377</v>
      </c>
      <c r="K44" s="359" t="s">
        <v>18</v>
      </c>
      <c r="L44" s="370">
        <v>6</v>
      </c>
      <c r="M44" s="309">
        <v>937962</v>
      </c>
      <c r="N44" s="309">
        <v>5627772</v>
      </c>
      <c r="O44" s="366">
        <v>450221.76</v>
      </c>
      <c r="P44" s="309">
        <v>6077993.7599999998</v>
      </c>
      <c r="Q44" s="367"/>
      <c r="R44" s="310"/>
    </row>
    <row r="45" spans="1:18" ht="15.75">
      <c r="A45" s="732" t="s">
        <v>753</v>
      </c>
      <c r="B45" s="307" t="s">
        <v>754</v>
      </c>
      <c r="C45" s="355" t="s">
        <v>132</v>
      </c>
      <c r="D45" s="299"/>
      <c r="E45" s="357" t="s">
        <v>282</v>
      </c>
      <c r="F45" s="298"/>
      <c r="G45" s="363" t="s">
        <v>388</v>
      </c>
      <c r="H45" s="299" t="s">
        <v>811</v>
      </c>
      <c r="I45" s="369" t="s">
        <v>226</v>
      </c>
      <c r="J45" s="369" t="s">
        <v>227</v>
      </c>
      <c r="K45" s="359" t="s">
        <v>18</v>
      </c>
      <c r="L45" s="370">
        <v>6</v>
      </c>
      <c r="M45" s="309">
        <v>799074</v>
      </c>
      <c r="N45" s="309">
        <v>4794444</v>
      </c>
      <c r="O45" s="366">
        <v>383555.52</v>
      </c>
      <c r="P45" s="309">
        <v>5177999.5199999996</v>
      </c>
      <c r="Q45" s="367"/>
      <c r="R45" s="310"/>
    </row>
    <row r="46" spans="1:18" ht="15.75">
      <c r="A46" s="732" t="s">
        <v>753</v>
      </c>
      <c r="B46" s="307" t="s">
        <v>754</v>
      </c>
      <c r="C46" s="355" t="s">
        <v>132</v>
      </c>
      <c r="D46" s="299"/>
      <c r="E46" s="357" t="s">
        <v>282</v>
      </c>
      <c r="F46" s="298"/>
      <c r="G46" s="363" t="s">
        <v>388</v>
      </c>
      <c r="H46" s="299" t="s">
        <v>811</v>
      </c>
      <c r="I46" s="369" t="s">
        <v>52</v>
      </c>
      <c r="J46" s="369" t="s">
        <v>378</v>
      </c>
      <c r="K46" s="359" t="s">
        <v>18</v>
      </c>
      <c r="L46" s="370">
        <v>6</v>
      </c>
      <c r="M46" s="309">
        <v>1007407.4</v>
      </c>
      <c r="N46" s="309">
        <v>6044444.4000000004</v>
      </c>
      <c r="O46" s="366">
        <v>483555.55200000003</v>
      </c>
      <c r="P46" s="309">
        <v>6527999.9520000005</v>
      </c>
      <c r="Q46" s="367"/>
      <c r="R46" s="310"/>
    </row>
    <row r="47" spans="1:18" ht="15.75">
      <c r="A47" s="732" t="s">
        <v>753</v>
      </c>
      <c r="B47" s="307" t="s">
        <v>754</v>
      </c>
      <c r="C47" s="357" t="s">
        <v>132</v>
      </c>
      <c r="D47" s="299"/>
      <c r="E47" s="357" t="s">
        <v>282</v>
      </c>
      <c r="F47" s="298"/>
      <c r="G47" s="363" t="s">
        <v>388</v>
      </c>
      <c r="H47" s="299" t="s">
        <v>862</v>
      </c>
      <c r="I47" s="369" t="s">
        <v>62</v>
      </c>
      <c r="J47" s="369" t="s">
        <v>390</v>
      </c>
      <c r="K47" s="359" t="s">
        <v>18</v>
      </c>
      <c r="L47" s="370">
        <v>30</v>
      </c>
      <c r="M47" s="309"/>
      <c r="N47" s="309"/>
      <c r="O47" s="366"/>
      <c r="P47" s="309"/>
      <c r="Q47" s="367"/>
      <c r="R47" s="310"/>
    </row>
    <row r="48" spans="1:18" ht="15.75">
      <c r="A48" s="732" t="s">
        <v>753</v>
      </c>
      <c r="B48" s="307" t="s">
        <v>754</v>
      </c>
      <c r="C48" s="354" t="s">
        <v>370</v>
      </c>
      <c r="D48" s="299"/>
      <c r="E48" s="354" t="s">
        <v>370</v>
      </c>
      <c r="F48" s="298"/>
      <c r="G48" s="361" t="s">
        <v>391</v>
      </c>
      <c r="H48" s="299" t="s">
        <v>811</v>
      </c>
      <c r="I48" s="364" t="s">
        <v>80</v>
      </c>
      <c r="J48" s="364" t="s">
        <v>81</v>
      </c>
      <c r="K48" s="358" t="s">
        <v>18</v>
      </c>
      <c r="L48" s="368">
        <v>30</v>
      </c>
      <c r="M48" s="309">
        <v>824074.07</v>
      </c>
      <c r="N48" s="309">
        <v>24722222.099999998</v>
      </c>
      <c r="O48" s="366">
        <v>1977777.7679999999</v>
      </c>
      <c r="P48" s="309">
        <v>26699999.867999997</v>
      </c>
      <c r="Q48" s="367"/>
      <c r="R48" s="310"/>
    </row>
    <row r="49" spans="1:18" ht="15.75">
      <c r="A49" s="732" t="s">
        <v>753</v>
      </c>
      <c r="B49" s="307" t="s">
        <v>754</v>
      </c>
      <c r="C49" s="354" t="s">
        <v>370</v>
      </c>
      <c r="D49" s="299"/>
      <c r="E49" s="354" t="s">
        <v>370</v>
      </c>
      <c r="F49" s="298"/>
      <c r="G49" s="361" t="s">
        <v>391</v>
      </c>
      <c r="H49" s="299" t="s">
        <v>811</v>
      </c>
      <c r="I49" s="364" t="s">
        <v>21</v>
      </c>
      <c r="J49" s="364" t="s">
        <v>22</v>
      </c>
      <c r="K49" s="358" t="s">
        <v>18</v>
      </c>
      <c r="L49" s="368">
        <v>30</v>
      </c>
      <c r="M49" s="309">
        <v>937962.97</v>
      </c>
      <c r="N49" s="309">
        <v>28138889.099999998</v>
      </c>
      <c r="O49" s="366">
        <v>2251111.128</v>
      </c>
      <c r="P49" s="309">
        <v>30390000.227999996</v>
      </c>
      <c r="Q49" s="367"/>
      <c r="R49" s="310"/>
    </row>
    <row r="50" spans="1:18" s="686" customFormat="1" ht="15.75">
      <c r="A50" s="820" t="s">
        <v>753</v>
      </c>
      <c r="B50" s="307" t="s">
        <v>754</v>
      </c>
      <c r="C50" s="357" t="s">
        <v>64</v>
      </c>
      <c r="D50" s="302"/>
      <c r="E50" s="357"/>
      <c r="F50" s="626"/>
      <c r="G50" s="362"/>
      <c r="H50" s="359" t="s">
        <v>392</v>
      </c>
      <c r="I50" s="369"/>
      <c r="J50" s="369"/>
      <c r="K50" s="359"/>
      <c r="L50" s="370"/>
      <c r="M50" s="309"/>
      <c r="N50" s="309"/>
      <c r="O50" s="822"/>
      <c r="P50" s="309"/>
      <c r="Q50" s="626"/>
      <c r="R50" s="367">
        <v>300000</v>
      </c>
    </row>
    <row r="51" spans="1:18" ht="47.25">
      <c r="A51" s="732" t="s">
        <v>753</v>
      </c>
      <c r="B51" s="307" t="s">
        <v>754</v>
      </c>
      <c r="C51" s="357" t="s">
        <v>393</v>
      </c>
      <c r="D51" s="299"/>
      <c r="E51" s="354">
        <v>46297</v>
      </c>
      <c r="F51" s="298"/>
      <c r="G51" s="362" t="s">
        <v>394</v>
      </c>
      <c r="H51" s="299" t="s">
        <v>811</v>
      </c>
      <c r="I51" s="369" t="s">
        <v>60</v>
      </c>
      <c r="J51" s="372" t="s">
        <v>395</v>
      </c>
      <c r="K51" s="359" t="s">
        <v>18</v>
      </c>
      <c r="L51" s="370">
        <v>20</v>
      </c>
      <c r="M51" s="309">
        <v>1138888.8799999999</v>
      </c>
      <c r="N51" s="309">
        <v>22777777.599999998</v>
      </c>
      <c r="O51" s="366">
        <v>1822222.2079999999</v>
      </c>
      <c r="P51" s="309">
        <v>24599999.807999998</v>
      </c>
      <c r="Q51" s="367"/>
      <c r="R51" s="310"/>
    </row>
    <row r="52" spans="1:18" ht="15.75">
      <c r="A52" s="732" t="s">
        <v>753</v>
      </c>
      <c r="B52" s="307" t="s">
        <v>754</v>
      </c>
      <c r="C52" s="357" t="s">
        <v>393</v>
      </c>
      <c r="D52" s="299"/>
      <c r="E52" s="354">
        <v>46297</v>
      </c>
      <c r="F52" s="298"/>
      <c r="G52" s="362" t="s">
        <v>394</v>
      </c>
      <c r="H52" s="299" t="s">
        <v>811</v>
      </c>
      <c r="I52" s="373" t="s">
        <v>274</v>
      </c>
      <c r="J52" s="373" t="s">
        <v>297</v>
      </c>
      <c r="K52" s="359" t="s">
        <v>25</v>
      </c>
      <c r="L52" s="370">
        <v>20</v>
      </c>
      <c r="M52" s="309">
        <v>416666.66</v>
      </c>
      <c r="N52" s="309">
        <v>8333333.1999999993</v>
      </c>
      <c r="O52" s="366">
        <v>666666.65599999996</v>
      </c>
      <c r="P52" s="309">
        <v>8999999.8559999987</v>
      </c>
      <c r="Q52" s="367"/>
      <c r="R52" s="310"/>
    </row>
    <row r="53" spans="1:18" ht="15.75">
      <c r="A53" s="732" t="s">
        <v>753</v>
      </c>
      <c r="B53" s="307" t="s">
        <v>754</v>
      </c>
      <c r="C53" s="357" t="s">
        <v>393</v>
      </c>
      <c r="D53" s="299"/>
      <c r="E53" s="357" t="s">
        <v>140</v>
      </c>
      <c r="F53" s="298"/>
      <c r="G53" s="362" t="s">
        <v>396</v>
      </c>
      <c r="H53" s="299" t="s">
        <v>811</v>
      </c>
      <c r="I53" s="373" t="s">
        <v>74</v>
      </c>
      <c r="J53" s="373" t="s">
        <v>141</v>
      </c>
      <c r="K53" s="359" t="s">
        <v>18</v>
      </c>
      <c r="L53" s="370">
        <v>24</v>
      </c>
      <c r="M53" s="309">
        <v>361111.11</v>
      </c>
      <c r="N53" s="309">
        <v>8666666.6400000006</v>
      </c>
      <c r="O53" s="366">
        <v>693333.33120000002</v>
      </c>
      <c r="P53" s="309">
        <v>9359999.9712000005</v>
      </c>
      <c r="Q53" s="367"/>
      <c r="R53" s="310"/>
    </row>
    <row r="54" spans="1:18" ht="31.5">
      <c r="A54" s="732" t="s">
        <v>753</v>
      </c>
      <c r="B54" s="307" t="s">
        <v>754</v>
      </c>
      <c r="C54" s="357" t="s">
        <v>393</v>
      </c>
      <c r="D54" s="299"/>
      <c r="E54" s="357" t="s">
        <v>282</v>
      </c>
      <c r="F54" s="298"/>
      <c r="G54" s="363" t="s">
        <v>388</v>
      </c>
      <c r="H54" s="299" t="s">
        <v>811</v>
      </c>
      <c r="I54" s="373" t="s">
        <v>83</v>
      </c>
      <c r="J54" s="372" t="s">
        <v>84</v>
      </c>
      <c r="K54" s="359" t="s">
        <v>18</v>
      </c>
      <c r="L54" s="370">
        <v>20</v>
      </c>
      <c r="M54" s="309">
        <v>1097222.22</v>
      </c>
      <c r="N54" s="309">
        <v>21944444.399999999</v>
      </c>
      <c r="O54" s="366">
        <v>1755555.5519999999</v>
      </c>
      <c r="P54" s="309">
        <v>23699999.952</v>
      </c>
      <c r="Q54" s="367"/>
      <c r="R54" s="310"/>
    </row>
    <row r="55" spans="1:18" ht="15.75">
      <c r="A55" s="732" t="s">
        <v>753</v>
      </c>
      <c r="B55" s="307" t="s">
        <v>754</v>
      </c>
      <c r="C55" s="357" t="s">
        <v>393</v>
      </c>
      <c r="D55" s="299"/>
      <c r="E55" s="357" t="s">
        <v>282</v>
      </c>
      <c r="F55" s="298"/>
      <c r="G55" s="363" t="s">
        <v>388</v>
      </c>
      <c r="H55" s="299" t="s">
        <v>811</v>
      </c>
      <c r="I55" s="373" t="s">
        <v>279</v>
      </c>
      <c r="J55" s="373" t="s">
        <v>280</v>
      </c>
      <c r="K55" s="359" t="s">
        <v>92</v>
      </c>
      <c r="L55" s="370">
        <v>12</v>
      </c>
      <c r="M55" s="309">
        <v>387962.96</v>
      </c>
      <c r="N55" s="309">
        <v>4655555.5200000005</v>
      </c>
      <c r="O55" s="366">
        <v>372444.44160000002</v>
      </c>
      <c r="P55" s="309">
        <v>5027999.9616</v>
      </c>
      <c r="Q55" s="367"/>
      <c r="R55" s="310"/>
    </row>
    <row r="56" spans="1:18" ht="15.75">
      <c r="A56" s="732" t="s">
        <v>753</v>
      </c>
      <c r="B56" s="307" t="s">
        <v>754</v>
      </c>
      <c r="C56" s="357" t="s">
        <v>393</v>
      </c>
      <c r="D56" s="299"/>
      <c r="E56" s="357" t="s">
        <v>282</v>
      </c>
      <c r="F56" s="298"/>
      <c r="G56" s="363" t="s">
        <v>388</v>
      </c>
      <c r="H56" s="299" t="s">
        <v>811</v>
      </c>
      <c r="I56" s="373" t="s">
        <v>258</v>
      </c>
      <c r="J56" s="373" t="s">
        <v>259</v>
      </c>
      <c r="K56" s="359" t="s">
        <v>92</v>
      </c>
      <c r="L56" s="370">
        <v>12</v>
      </c>
      <c r="M56" s="309">
        <v>472222.22</v>
      </c>
      <c r="N56" s="309">
        <v>5666666.6399999997</v>
      </c>
      <c r="O56" s="366">
        <v>453333.33119999996</v>
      </c>
      <c r="P56" s="309">
        <v>6119999.9711999996</v>
      </c>
      <c r="Q56" s="367"/>
      <c r="R56" s="310"/>
    </row>
    <row r="57" spans="1:18" ht="15.75">
      <c r="A57" s="732" t="s">
        <v>753</v>
      </c>
      <c r="B57" s="307" t="s">
        <v>754</v>
      </c>
      <c r="C57" s="357" t="s">
        <v>393</v>
      </c>
      <c r="D57" s="299"/>
      <c r="E57" s="357" t="s">
        <v>282</v>
      </c>
      <c r="F57" s="298"/>
      <c r="G57" s="363" t="s">
        <v>388</v>
      </c>
      <c r="H57" s="299" t="s">
        <v>811</v>
      </c>
      <c r="I57" s="373" t="s">
        <v>260</v>
      </c>
      <c r="J57" s="373" t="s">
        <v>261</v>
      </c>
      <c r="K57" s="359" t="s">
        <v>92</v>
      </c>
      <c r="L57" s="370">
        <v>12</v>
      </c>
      <c r="M57" s="309">
        <v>492592.59</v>
      </c>
      <c r="N57" s="309">
        <v>5911111.0800000001</v>
      </c>
      <c r="O57" s="366">
        <v>472888.88640000002</v>
      </c>
      <c r="P57" s="309">
        <v>6383999.9664000003</v>
      </c>
      <c r="Q57" s="367"/>
      <c r="R57" s="310"/>
    </row>
    <row r="58" spans="1:18" s="686" customFormat="1" ht="15.75">
      <c r="A58" s="820" t="s">
        <v>753</v>
      </c>
      <c r="B58" s="307" t="s">
        <v>754</v>
      </c>
      <c r="C58" s="357">
        <v>46055</v>
      </c>
      <c r="D58" s="302"/>
      <c r="E58" s="357"/>
      <c r="F58" s="626"/>
      <c r="G58" s="355"/>
      <c r="H58" s="359" t="s">
        <v>397</v>
      </c>
      <c r="I58" s="373"/>
      <c r="J58" s="373"/>
      <c r="K58" s="359"/>
      <c r="L58" s="370"/>
      <c r="M58" s="309"/>
      <c r="N58" s="309">
        <v>0</v>
      </c>
      <c r="O58" s="822">
        <v>0</v>
      </c>
      <c r="P58" s="309">
        <v>0</v>
      </c>
      <c r="Q58" s="626"/>
      <c r="R58" s="367">
        <v>800000</v>
      </c>
    </row>
    <row r="59" spans="1:18" ht="31.5">
      <c r="A59" s="732" t="s">
        <v>753</v>
      </c>
      <c r="B59" s="307" t="s">
        <v>754</v>
      </c>
      <c r="C59" s="357">
        <v>46297</v>
      </c>
      <c r="D59" s="299"/>
      <c r="E59" s="357"/>
      <c r="F59" s="298"/>
      <c r="G59" s="362" t="s">
        <v>398</v>
      </c>
      <c r="H59" s="360" t="s">
        <v>399</v>
      </c>
      <c r="I59" s="369" t="s">
        <v>48</v>
      </c>
      <c r="J59" s="369" t="s">
        <v>376</v>
      </c>
      <c r="K59" s="359" t="s">
        <v>18</v>
      </c>
      <c r="L59" s="374">
        <v>-12</v>
      </c>
      <c r="M59" s="309">
        <v>601851.85</v>
      </c>
      <c r="N59" s="309">
        <v>-7222222.1999999993</v>
      </c>
      <c r="O59" s="366">
        <v>-577777.77599999995</v>
      </c>
      <c r="P59" s="309">
        <v>-7799999.9759999989</v>
      </c>
      <c r="Q59" s="367"/>
      <c r="R59" s="310"/>
    </row>
    <row r="60" spans="1:18" ht="31.5">
      <c r="A60" s="732" t="s">
        <v>753</v>
      </c>
      <c r="B60" s="307" t="s">
        <v>754</v>
      </c>
      <c r="C60" s="357">
        <v>46297</v>
      </c>
      <c r="D60" s="299"/>
      <c r="E60" s="357"/>
      <c r="F60" s="298"/>
      <c r="G60" s="362" t="s">
        <v>398</v>
      </c>
      <c r="H60" s="360" t="s">
        <v>399</v>
      </c>
      <c r="I60" s="369" t="s">
        <v>50</v>
      </c>
      <c r="J60" s="369" t="s">
        <v>377</v>
      </c>
      <c r="K60" s="359" t="s">
        <v>18</v>
      </c>
      <c r="L60" s="374">
        <v>-6</v>
      </c>
      <c r="M60" s="309">
        <v>937962</v>
      </c>
      <c r="N60" s="309">
        <v>-5627772</v>
      </c>
      <c r="O60" s="366">
        <v>-450221.76</v>
      </c>
      <c r="P60" s="309">
        <v>-6077993.7599999998</v>
      </c>
      <c r="Q60" s="367"/>
      <c r="R60" s="310"/>
    </row>
    <row r="61" spans="1:18" ht="15.75">
      <c r="A61" s="732" t="s">
        <v>753</v>
      </c>
      <c r="B61" s="307" t="s">
        <v>754</v>
      </c>
      <c r="C61" s="357">
        <v>46297</v>
      </c>
      <c r="D61" s="299"/>
      <c r="E61" s="357"/>
      <c r="F61" s="298"/>
      <c r="G61" s="362" t="s">
        <v>398</v>
      </c>
      <c r="H61" s="360" t="s">
        <v>399</v>
      </c>
      <c r="I61" s="369" t="s">
        <v>226</v>
      </c>
      <c r="J61" s="369" t="s">
        <v>227</v>
      </c>
      <c r="K61" s="359" t="s">
        <v>18</v>
      </c>
      <c r="L61" s="374">
        <v>-6</v>
      </c>
      <c r="M61" s="309">
        <v>799074</v>
      </c>
      <c r="N61" s="309">
        <v>-4794444</v>
      </c>
      <c r="O61" s="366">
        <v>-383555.52</v>
      </c>
      <c r="P61" s="309">
        <v>-5177999.5199999996</v>
      </c>
      <c r="Q61" s="367"/>
      <c r="R61" s="310"/>
    </row>
    <row r="62" spans="1:18" ht="15.75">
      <c r="A62" s="732" t="s">
        <v>753</v>
      </c>
      <c r="B62" s="307" t="s">
        <v>754</v>
      </c>
      <c r="C62" s="357">
        <v>46297</v>
      </c>
      <c r="D62" s="299"/>
      <c r="E62" s="357"/>
      <c r="F62" s="298"/>
      <c r="G62" s="362" t="s">
        <v>398</v>
      </c>
      <c r="H62" s="360" t="s">
        <v>399</v>
      </c>
      <c r="I62" s="369" t="s">
        <v>52</v>
      </c>
      <c r="J62" s="369" t="s">
        <v>378</v>
      </c>
      <c r="K62" s="359" t="s">
        <v>18</v>
      </c>
      <c r="L62" s="374">
        <v>-6</v>
      </c>
      <c r="M62" s="309">
        <v>1007407.4</v>
      </c>
      <c r="N62" s="309">
        <v>-6044444.4000000004</v>
      </c>
      <c r="O62" s="366">
        <v>-483555.55200000003</v>
      </c>
      <c r="P62" s="309">
        <v>-6527999.9520000005</v>
      </c>
      <c r="Q62" s="367"/>
      <c r="R62" s="310"/>
    </row>
    <row r="63" spans="1:18" s="686" customFormat="1" ht="15.75">
      <c r="A63" s="820" t="s">
        <v>753</v>
      </c>
      <c r="B63" s="307" t="s">
        <v>754</v>
      </c>
      <c r="C63" s="357">
        <v>46328</v>
      </c>
      <c r="D63" s="302"/>
      <c r="E63" s="357"/>
      <c r="F63" s="626"/>
      <c r="G63" s="355"/>
      <c r="H63" s="359" t="s">
        <v>844</v>
      </c>
      <c r="I63" s="373"/>
      <c r="J63" s="373"/>
      <c r="K63" s="359"/>
      <c r="L63" s="370"/>
      <c r="M63" s="309"/>
      <c r="N63" s="309">
        <v>0</v>
      </c>
      <c r="O63" s="822">
        <v>0</v>
      </c>
      <c r="P63" s="309">
        <v>0</v>
      </c>
      <c r="Q63" s="367">
        <v>120000000</v>
      </c>
      <c r="R63" s="309"/>
    </row>
    <row r="64" spans="1:18" ht="15.75">
      <c r="A64" s="732" t="s">
        <v>753</v>
      </c>
      <c r="B64" s="307" t="s">
        <v>754</v>
      </c>
      <c r="C64" s="357">
        <v>46328</v>
      </c>
      <c r="D64" s="299"/>
      <c r="E64" s="357">
        <v>46358</v>
      </c>
      <c r="F64" s="298"/>
      <c r="G64" s="362" t="s">
        <v>401</v>
      </c>
      <c r="H64" s="299" t="s">
        <v>811</v>
      </c>
      <c r="I64" s="373" t="s">
        <v>204</v>
      </c>
      <c r="J64" s="372" t="s">
        <v>269</v>
      </c>
      <c r="K64" s="359" t="s">
        <v>25</v>
      </c>
      <c r="L64" s="370">
        <v>20</v>
      </c>
      <c r="M64" s="309">
        <v>480555.6</v>
      </c>
      <c r="N64" s="309">
        <v>9611112</v>
      </c>
      <c r="O64" s="366">
        <v>768888.96</v>
      </c>
      <c r="P64" s="309">
        <v>10380000.960000001</v>
      </c>
      <c r="Q64" s="367"/>
      <c r="R64" s="310"/>
    </row>
    <row r="65" spans="1:18" s="686" customFormat="1" ht="15.75">
      <c r="A65" s="820" t="s">
        <v>753</v>
      </c>
      <c r="B65" s="307" t="s">
        <v>754</v>
      </c>
      <c r="C65" s="357">
        <v>46328</v>
      </c>
      <c r="D65" s="302"/>
      <c r="E65" s="357">
        <v>46358</v>
      </c>
      <c r="F65" s="626"/>
      <c r="G65" s="362" t="s">
        <v>401</v>
      </c>
      <c r="H65" s="302" t="s">
        <v>811</v>
      </c>
      <c r="I65" s="373" t="s">
        <v>77</v>
      </c>
      <c r="J65" s="373" t="s">
        <v>78</v>
      </c>
      <c r="K65" s="359" t="s">
        <v>25</v>
      </c>
      <c r="L65" s="370">
        <v>20</v>
      </c>
      <c r="M65" s="309">
        <v>324074.07</v>
      </c>
      <c r="N65" s="309">
        <v>6481481.4000000004</v>
      </c>
      <c r="O65" s="822">
        <v>518518.51200000005</v>
      </c>
      <c r="P65" s="309">
        <v>6999999.9120000005</v>
      </c>
      <c r="Q65" s="367"/>
      <c r="R65" s="309"/>
    </row>
    <row r="66" spans="1:18" s="686" customFormat="1" ht="15.75">
      <c r="A66" s="820" t="s">
        <v>753</v>
      </c>
      <c r="B66" s="307" t="s">
        <v>754</v>
      </c>
      <c r="C66" s="357">
        <v>46328</v>
      </c>
      <c r="D66" s="302"/>
      <c r="E66" s="357"/>
      <c r="F66" s="626"/>
      <c r="G66" s="355"/>
      <c r="H66" s="359" t="s">
        <v>402</v>
      </c>
      <c r="I66" s="373"/>
      <c r="J66" s="373"/>
      <c r="K66" s="359"/>
      <c r="L66" s="370"/>
      <c r="M66" s="309"/>
      <c r="N66" s="309">
        <v>0</v>
      </c>
      <c r="O66" s="822">
        <v>0</v>
      </c>
      <c r="P66" s="309">
        <v>0</v>
      </c>
      <c r="Q66" s="626"/>
      <c r="R66" s="367">
        <v>320000</v>
      </c>
    </row>
    <row r="67" spans="1:18" s="686" customFormat="1" ht="15.75">
      <c r="A67" s="820" t="s">
        <v>753</v>
      </c>
      <c r="B67" s="307" t="s">
        <v>754</v>
      </c>
      <c r="C67" s="357"/>
      <c r="D67" s="302"/>
      <c r="E67" s="357"/>
      <c r="F67" s="626"/>
      <c r="G67" s="355"/>
      <c r="H67" s="359" t="s">
        <v>844</v>
      </c>
      <c r="I67" s="373"/>
      <c r="J67" s="373"/>
      <c r="K67" s="359"/>
      <c r="L67" s="370"/>
      <c r="M67" s="309"/>
      <c r="N67" s="309">
        <v>0</v>
      </c>
      <c r="O67" s="822">
        <v>0</v>
      </c>
      <c r="P67" s="309">
        <v>0</v>
      </c>
      <c r="Q67" s="367">
        <v>80000000</v>
      </c>
      <c r="R67" s="309"/>
    </row>
    <row r="68" spans="1:18" ht="15.75">
      <c r="A68" s="732" t="s">
        <v>753</v>
      </c>
      <c r="B68" s="307" t="s">
        <v>754</v>
      </c>
      <c r="C68" s="357" t="s">
        <v>403</v>
      </c>
      <c r="D68" s="299"/>
      <c r="E68" s="357" t="s">
        <v>140</v>
      </c>
      <c r="F68" s="298"/>
      <c r="G68" s="362" t="s">
        <v>396</v>
      </c>
      <c r="H68" s="299" t="s">
        <v>811</v>
      </c>
      <c r="I68" s="373" t="s">
        <v>74</v>
      </c>
      <c r="J68" s="373" t="s">
        <v>141</v>
      </c>
      <c r="K68" s="359" t="s">
        <v>18</v>
      </c>
      <c r="L68" s="370">
        <v>56</v>
      </c>
      <c r="M68" s="309">
        <v>361111.11</v>
      </c>
      <c r="N68" s="309">
        <v>20222222.16</v>
      </c>
      <c r="O68" s="366">
        <v>1617777.7728000002</v>
      </c>
      <c r="P68" s="309">
        <v>21839999.932799999</v>
      </c>
      <c r="Q68" s="367"/>
      <c r="R68" s="310"/>
    </row>
    <row r="69" spans="1:18" s="686" customFormat="1" ht="15.75">
      <c r="A69" s="820" t="s">
        <v>753</v>
      </c>
      <c r="B69" s="307" t="s">
        <v>754</v>
      </c>
      <c r="C69" s="357" t="s">
        <v>403</v>
      </c>
      <c r="D69" s="302"/>
      <c r="E69" s="357"/>
      <c r="F69" s="626"/>
      <c r="G69" s="355"/>
      <c r="H69" s="359" t="s">
        <v>404</v>
      </c>
      <c r="I69" s="373"/>
      <c r="J69" s="373"/>
      <c r="K69" s="359"/>
      <c r="L69" s="370"/>
      <c r="M69" s="309"/>
      <c r="N69" s="309">
        <v>0</v>
      </c>
      <c r="O69" s="822">
        <v>0</v>
      </c>
      <c r="P69" s="309">
        <v>0</v>
      </c>
      <c r="Q69" s="626"/>
      <c r="R69" s="367">
        <v>360000</v>
      </c>
    </row>
    <row r="70" spans="1:18" ht="15.75">
      <c r="A70" s="732" t="s">
        <v>753</v>
      </c>
      <c r="B70" s="307" t="s">
        <v>754</v>
      </c>
      <c r="C70" s="323" t="s">
        <v>405</v>
      </c>
      <c r="D70" s="299"/>
      <c r="E70" s="333"/>
      <c r="F70" s="626"/>
      <c r="G70" s="355"/>
      <c r="H70" s="299" t="s">
        <v>811</v>
      </c>
      <c r="I70" s="373" t="s">
        <v>90</v>
      </c>
      <c r="J70" s="373" t="s">
        <v>91</v>
      </c>
      <c r="K70" s="359" t="s">
        <v>18</v>
      </c>
      <c r="L70" s="370">
        <v>40</v>
      </c>
      <c r="M70" s="309">
        <v>814814.81</v>
      </c>
      <c r="N70" s="309">
        <v>32592592.400000002</v>
      </c>
      <c r="O70" s="366">
        <v>2607407.3920000005</v>
      </c>
      <c r="P70" s="309">
        <v>35199999.792000003</v>
      </c>
      <c r="Q70" s="328"/>
      <c r="R70" s="310"/>
    </row>
    <row r="71" spans="1:18" ht="15.75">
      <c r="A71" s="732" t="s">
        <v>753</v>
      </c>
      <c r="B71" s="307" t="s">
        <v>754</v>
      </c>
      <c r="C71" s="323" t="s">
        <v>405</v>
      </c>
      <c r="D71" s="299"/>
      <c r="E71" s="333"/>
      <c r="F71" s="626"/>
      <c r="G71" s="355"/>
      <c r="H71" s="299" t="s">
        <v>811</v>
      </c>
      <c r="I71" s="373" t="s">
        <v>93</v>
      </c>
      <c r="J71" s="373" t="s">
        <v>94</v>
      </c>
      <c r="K71" s="359" t="s">
        <v>18</v>
      </c>
      <c r="L71" s="370">
        <v>20</v>
      </c>
      <c r="M71" s="309">
        <v>907407.41</v>
      </c>
      <c r="N71" s="309">
        <v>18148148.199999999</v>
      </c>
      <c r="O71" s="366">
        <v>1451851.8559999999</v>
      </c>
      <c r="P71" s="309">
        <v>19600000.055999998</v>
      </c>
      <c r="Q71" s="328"/>
      <c r="R71" s="310"/>
    </row>
    <row r="72" spans="1:18" s="686" customFormat="1" ht="15.75">
      <c r="A72" s="820" t="s">
        <v>753</v>
      </c>
      <c r="B72" s="307" t="s">
        <v>754</v>
      </c>
      <c r="C72" s="357" t="s">
        <v>406</v>
      </c>
      <c r="D72" s="302"/>
      <c r="E72" s="357"/>
      <c r="F72" s="626"/>
      <c r="G72" s="355"/>
      <c r="H72" s="359" t="s">
        <v>402</v>
      </c>
      <c r="I72" s="373"/>
      <c r="J72" s="373"/>
      <c r="K72" s="359"/>
      <c r="L72" s="370"/>
      <c r="M72" s="309"/>
      <c r="N72" s="309">
        <v>0</v>
      </c>
      <c r="O72" s="822">
        <v>0</v>
      </c>
      <c r="P72" s="309">
        <v>0</v>
      </c>
      <c r="Q72" s="626"/>
      <c r="R72" s="367">
        <v>600000</v>
      </c>
    </row>
    <row r="73" spans="1:18" s="686" customFormat="1" ht="15.75">
      <c r="A73" s="820" t="s">
        <v>753</v>
      </c>
      <c r="B73" s="307" t="s">
        <v>754</v>
      </c>
      <c r="C73" s="357" t="s">
        <v>175</v>
      </c>
      <c r="D73" s="302"/>
      <c r="E73" s="357"/>
      <c r="F73" s="626"/>
      <c r="G73" s="355"/>
      <c r="H73" s="359" t="s">
        <v>844</v>
      </c>
      <c r="I73" s="373"/>
      <c r="J73" s="373"/>
      <c r="K73" s="359"/>
      <c r="L73" s="370"/>
      <c r="M73" s="309"/>
      <c r="N73" s="309">
        <v>0</v>
      </c>
      <c r="O73" s="822">
        <v>0</v>
      </c>
      <c r="P73" s="309">
        <v>0</v>
      </c>
      <c r="Q73" s="367">
        <v>50000000</v>
      </c>
      <c r="R73" s="309"/>
    </row>
    <row r="74" spans="1:18" ht="15.75">
      <c r="A74" s="732" t="s">
        <v>753</v>
      </c>
      <c r="B74" s="307" t="s">
        <v>754</v>
      </c>
      <c r="C74" s="323" t="s">
        <v>407</v>
      </c>
      <c r="D74" s="299"/>
      <c r="E74" s="323">
        <v>46333</v>
      </c>
      <c r="F74" s="298"/>
      <c r="G74" s="362" t="s">
        <v>408</v>
      </c>
      <c r="H74" s="299" t="s">
        <v>811</v>
      </c>
      <c r="I74" s="339" t="s">
        <v>161</v>
      </c>
      <c r="J74" s="340" t="s">
        <v>162</v>
      </c>
      <c r="K74" s="489" t="s">
        <v>18</v>
      </c>
      <c r="L74" s="341">
        <v>36</v>
      </c>
      <c r="M74" s="309">
        <v>231481.48</v>
      </c>
      <c r="N74" s="309">
        <v>8333333.2800000003</v>
      </c>
      <c r="O74" s="366">
        <v>666666.66240000003</v>
      </c>
      <c r="P74" s="309">
        <v>8999999.942400001</v>
      </c>
      <c r="Q74" s="328"/>
      <c r="R74" s="310"/>
    </row>
    <row r="75" spans="1:18" ht="15.75">
      <c r="A75" s="732" t="s">
        <v>753</v>
      </c>
      <c r="B75" s="307" t="s">
        <v>754</v>
      </c>
      <c r="C75" s="323" t="s">
        <v>407</v>
      </c>
      <c r="D75" s="299"/>
      <c r="E75" s="323">
        <v>46333</v>
      </c>
      <c r="F75" s="298"/>
      <c r="G75" s="362" t="s">
        <v>408</v>
      </c>
      <c r="H75" s="299" t="s">
        <v>811</v>
      </c>
      <c r="I75" s="339" t="s">
        <v>163</v>
      </c>
      <c r="J75" s="339" t="s">
        <v>164</v>
      </c>
      <c r="K75" s="489" t="s">
        <v>18</v>
      </c>
      <c r="L75" s="341">
        <v>40</v>
      </c>
      <c r="M75" s="309">
        <v>185185.19</v>
      </c>
      <c r="N75" s="309">
        <v>7407407.5999999996</v>
      </c>
      <c r="O75" s="366">
        <v>592592.60800000001</v>
      </c>
      <c r="P75" s="309">
        <v>8000000.2079999996</v>
      </c>
      <c r="Q75" s="328"/>
      <c r="R75" s="310"/>
    </row>
    <row r="76" spans="1:18" ht="30">
      <c r="A76" s="732" t="s">
        <v>753</v>
      </c>
      <c r="B76" s="307" t="s">
        <v>754</v>
      </c>
      <c r="C76" s="323" t="s">
        <v>407</v>
      </c>
      <c r="D76" s="299"/>
      <c r="E76" s="323">
        <v>46333</v>
      </c>
      <c r="F76" s="298"/>
      <c r="G76" s="362" t="s">
        <v>408</v>
      </c>
      <c r="H76" s="299" t="s">
        <v>811</v>
      </c>
      <c r="I76" s="339" t="s">
        <v>165</v>
      </c>
      <c r="J76" s="340" t="s">
        <v>409</v>
      </c>
      <c r="K76" s="489" t="s">
        <v>18</v>
      </c>
      <c r="L76" s="341">
        <v>60</v>
      </c>
      <c r="M76" s="309">
        <v>203703.7</v>
      </c>
      <c r="N76" s="309">
        <v>12222222</v>
      </c>
      <c r="O76" s="366">
        <v>977777.76</v>
      </c>
      <c r="P76" s="309">
        <v>13199999.76</v>
      </c>
      <c r="Q76" s="328"/>
      <c r="R76" s="310"/>
    </row>
    <row r="77" spans="1:18" ht="30">
      <c r="A77" s="732" t="s">
        <v>753</v>
      </c>
      <c r="B77" s="307" t="s">
        <v>754</v>
      </c>
      <c r="C77" s="323" t="s">
        <v>407</v>
      </c>
      <c r="D77" s="299"/>
      <c r="E77" s="323">
        <v>46333</v>
      </c>
      <c r="F77" s="298"/>
      <c r="G77" s="362" t="s">
        <v>408</v>
      </c>
      <c r="H77" s="299" t="s">
        <v>811</v>
      </c>
      <c r="I77" s="339" t="s">
        <v>167</v>
      </c>
      <c r="J77" s="340" t="s">
        <v>410</v>
      </c>
      <c r="K77" s="489" t="s">
        <v>18</v>
      </c>
      <c r="L77" s="341">
        <v>60</v>
      </c>
      <c r="M77" s="309">
        <v>231481.48</v>
      </c>
      <c r="N77" s="309">
        <v>13888888.800000001</v>
      </c>
      <c r="O77" s="366">
        <v>1111111.1040000001</v>
      </c>
      <c r="P77" s="309">
        <v>14999999.904000001</v>
      </c>
      <c r="Q77" s="328"/>
      <c r="R77" s="310"/>
    </row>
    <row r="78" spans="1:18" ht="15.75">
      <c r="A78" s="732" t="s">
        <v>753</v>
      </c>
      <c r="B78" s="307" t="s">
        <v>754</v>
      </c>
      <c r="C78" s="323" t="s">
        <v>407</v>
      </c>
      <c r="D78" s="299"/>
      <c r="E78" s="323">
        <v>46333</v>
      </c>
      <c r="F78" s="298"/>
      <c r="G78" s="362" t="s">
        <v>408</v>
      </c>
      <c r="H78" s="299" t="s">
        <v>811</v>
      </c>
      <c r="I78" s="339" t="s">
        <v>169</v>
      </c>
      <c r="J78" s="340" t="s">
        <v>170</v>
      </c>
      <c r="K78" s="489" t="s">
        <v>18</v>
      </c>
      <c r="L78" s="341">
        <v>40</v>
      </c>
      <c r="M78" s="309">
        <v>425925.93</v>
      </c>
      <c r="N78" s="309">
        <v>17037037.199999999</v>
      </c>
      <c r="O78" s="366">
        <v>1362962.976</v>
      </c>
      <c r="P78" s="309">
        <v>18400000.175999999</v>
      </c>
      <c r="Q78" s="328"/>
      <c r="R78" s="310"/>
    </row>
    <row r="79" spans="1:18" s="686" customFormat="1" ht="15.75">
      <c r="A79" s="820" t="s">
        <v>753</v>
      </c>
      <c r="B79" s="307" t="s">
        <v>754</v>
      </c>
      <c r="C79" s="357" t="s">
        <v>411</v>
      </c>
      <c r="D79" s="302"/>
      <c r="E79" s="357"/>
      <c r="F79" s="626"/>
      <c r="G79" s="355"/>
      <c r="H79" s="359" t="s">
        <v>402</v>
      </c>
      <c r="I79" s="373"/>
      <c r="J79" s="373"/>
      <c r="K79" s="359"/>
      <c r="L79" s="370"/>
      <c r="M79" s="309"/>
      <c r="N79" s="309">
        <v>0</v>
      </c>
      <c r="O79" s="822">
        <v>0</v>
      </c>
      <c r="P79" s="309">
        <v>0</v>
      </c>
      <c r="Q79" s="626"/>
      <c r="R79" s="367">
        <v>360000</v>
      </c>
    </row>
    <row r="80" spans="1:18" ht="15.75">
      <c r="A80" s="732" t="s">
        <v>753</v>
      </c>
      <c r="B80" s="307" t="s">
        <v>754</v>
      </c>
      <c r="C80" s="323">
        <v>46302</v>
      </c>
      <c r="D80" s="299"/>
      <c r="E80" s="333" t="s">
        <v>829</v>
      </c>
      <c r="F80" s="298"/>
      <c r="G80" s="362" t="s">
        <v>830</v>
      </c>
      <c r="H80" s="299" t="s">
        <v>811</v>
      </c>
      <c r="I80" s="373" t="s">
        <v>90</v>
      </c>
      <c r="J80" s="373" t="s">
        <v>91</v>
      </c>
      <c r="K80" s="359" t="s">
        <v>18</v>
      </c>
      <c r="L80" s="370">
        <v>30</v>
      </c>
      <c r="M80" s="309">
        <v>814814.81</v>
      </c>
      <c r="N80" s="309">
        <v>24444444.300000001</v>
      </c>
      <c r="O80" s="366">
        <v>1955555.544</v>
      </c>
      <c r="P80" s="309">
        <v>26399999.844000001</v>
      </c>
      <c r="Q80" s="328"/>
      <c r="R80" s="310"/>
    </row>
    <row r="81" spans="1:18" ht="47.25">
      <c r="A81" s="732" t="s">
        <v>753</v>
      </c>
      <c r="B81" s="307" t="s">
        <v>754</v>
      </c>
      <c r="C81" s="323">
        <v>46302</v>
      </c>
      <c r="D81" s="299"/>
      <c r="E81" s="323">
        <v>46333</v>
      </c>
      <c r="F81" s="298"/>
      <c r="G81" s="362" t="s">
        <v>408</v>
      </c>
      <c r="H81" s="299" t="s">
        <v>811</v>
      </c>
      <c r="I81" s="369" t="s">
        <v>60</v>
      </c>
      <c r="J81" s="372" t="s">
        <v>395</v>
      </c>
      <c r="K81" s="359" t="s">
        <v>18</v>
      </c>
      <c r="L81" s="370">
        <v>20</v>
      </c>
      <c r="M81" s="309">
        <v>1138888.8799999999</v>
      </c>
      <c r="N81" s="309">
        <v>22777777.599999998</v>
      </c>
      <c r="O81" s="366">
        <v>1822222.2079999999</v>
      </c>
      <c r="P81" s="309">
        <v>24599999.807999998</v>
      </c>
      <c r="Q81" s="367"/>
      <c r="R81" s="310"/>
    </row>
    <row r="82" spans="1:18" s="686" customFormat="1" ht="15.75">
      <c r="A82" s="820" t="s">
        <v>753</v>
      </c>
      <c r="B82" s="307" t="s">
        <v>754</v>
      </c>
      <c r="C82" s="323">
        <v>46302</v>
      </c>
      <c r="D82" s="302"/>
      <c r="E82" s="323"/>
      <c r="F82" s="626"/>
      <c r="G82" s="362"/>
      <c r="H82" s="359" t="s">
        <v>402</v>
      </c>
      <c r="I82" s="369"/>
      <c r="J82" s="372"/>
      <c r="K82" s="359"/>
      <c r="L82" s="370"/>
      <c r="M82" s="309"/>
      <c r="N82" s="309"/>
      <c r="O82" s="822"/>
      <c r="P82" s="309"/>
      <c r="Q82" s="367"/>
      <c r="R82" s="309">
        <v>600000</v>
      </c>
    </row>
    <row r="83" spans="1:18" ht="15.75">
      <c r="A83" s="732" t="s">
        <v>753</v>
      </c>
      <c r="B83" s="307" t="s">
        <v>754</v>
      </c>
      <c r="C83" s="323" t="s">
        <v>256</v>
      </c>
      <c r="D83" s="299"/>
      <c r="E83" s="333"/>
      <c r="F83" s="626"/>
      <c r="G83" s="355"/>
      <c r="H83" s="299" t="s">
        <v>811</v>
      </c>
      <c r="I83" s="369" t="s">
        <v>101</v>
      </c>
      <c r="J83" s="372" t="s">
        <v>102</v>
      </c>
      <c r="K83" s="359" t="s">
        <v>18</v>
      </c>
      <c r="L83" s="370">
        <v>20</v>
      </c>
      <c r="M83" s="309">
        <v>861111.11</v>
      </c>
      <c r="N83" s="309">
        <v>17222222.199999999</v>
      </c>
      <c r="O83" s="366">
        <v>1377777.7760000001</v>
      </c>
      <c r="P83" s="309">
        <v>18599999.976</v>
      </c>
      <c r="Q83" s="367"/>
      <c r="R83" s="310"/>
    </row>
    <row r="84" spans="1:18" ht="15.75">
      <c r="A84" s="732" t="s">
        <v>753</v>
      </c>
      <c r="B84" s="307" t="s">
        <v>754</v>
      </c>
      <c r="C84" s="323" t="s">
        <v>256</v>
      </c>
      <c r="D84" s="299"/>
      <c r="E84" s="333"/>
      <c r="F84" s="626"/>
      <c r="G84" s="355"/>
      <c r="H84" s="299" t="s">
        <v>811</v>
      </c>
      <c r="I84" s="369" t="s">
        <v>103</v>
      </c>
      <c r="J84" s="372" t="s">
        <v>104</v>
      </c>
      <c r="K84" s="359" t="s">
        <v>18</v>
      </c>
      <c r="L84" s="370">
        <v>18</v>
      </c>
      <c r="M84" s="309">
        <v>675925.93</v>
      </c>
      <c r="N84" s="309">
        <v>12166666.74</v>
      </c>
      <c r="O84" s="366">
        <v>973333.33920000005</v>
      </c>
      <c r="P84" s="309">
        <v>13140000.0792</v>
      </c>
      <c r="Q84" s="367"/>
      <c r="R84" s="310"/>
    </row>
    <row r="85" spans="1:18" ht="15.75">
      <c r="A85" s="732" t="s">
        <v>753</v>
      </c>
      <c r="B85" s="307" t="s">
        <v>754</v>
      </c>
      <c r="C85" s="323" t="s">
        <v>256</v>
      </c>
      <c r="D85" s="299"/>
      <c r="E85" s="333"/>
      <c r="F85" s="626"/>
      <c r="G85" s="355"/>
      <c r="H85" s="299" t="s">
        <v>862</v>
      </c>
      <c r="I85" s="369" t="s">
        <v>62</v>
      </c>
      <c r="J85" s="372" t="s">
        <v>63</v>
      </c>
      <c r="K85" s="359" t="s">
        <v>18</v>
      </c>
      <c r="L85" s="370">
        <v>18</v>
      </c>
      <c r="M85" s="309">
        <v>0</v>
      </c>
      <c r="N85" s="309">
        <v>0</v>
      </c>
      <c r="O85" s="366">
        <v>0</v>
      </c>
      <c r="P85" s="309">
        <v>0</v>
      </c>
      <c r="Q85" s="367"/>
      <c r="R85" s="310"/>
    </row>
    <row r="86" spans="1:18" s="686" customFormat="1" ht="15.75">
      <c r="A86" s="820" t="s">
        <v>753</v>
      </c>
      <c r="B86" s="307" t="s">
        <v>754</v>
      </c>
      <c r="C86" s="710">
        <v>46238</v>
      </c>
      <c r="D86" s="302" t="s">
        <v>668</v>
      </c>
      <c r="E86" s="710"/>
      <c r="F86" s="626"/>
      <c r="G86" s="626"/>
      <c r="H86" s="359" t="s">
        <v>844</v>
      </c>
      <c r="I86" s="626"/>
      <c r="J86" s="626"/>
      <c r="K86" s="626"/>
      <c r="L86" s="626"/>
      <c r="M86" s="309"/>
      <c r="N86" s="309">
        <v>0</v>
      </c>
      <c r="O86" s="822">
        <v>0</v>
      </c>
      <c r="P86" s="309">
        <v>0</v>
      </c>
      <c r="Q86" s="309">
        <v>100000000</v>
      </c>
      <c r="R86" s="309"/>
    </row>
    <row r="87" spans="1:18" ht="15.75">
      <c r="A87" s="732" t="s">
        <v>753</v>
      </c>
      <c r="B87" s="307" t="s">
        <v>754</v>
      </c>
      <c r="C87" s="297">
        <v>46239</v>
      </c>
      <c r="D87" s="299" t="s">
        <v>679</v>
      </c>
      <c r="E87" s="297">
        <v>46240</v>
      </c>
      <c r="F87" s="298" t="s">
        <v>705</v>
      </c>
      <c r="G87" s="313" t="s">
        <v>706</v>
      </c>
      <c r="H87" s="299" t="s">
        <v>811</v>
      </c>
      <c r="I87" s="303" t="s">
        <v>90</v>
      </c>
      <c r="J87" s="303" t="s">
        <v>91</v>
      </c>
      <c r="K87" s="298" t="s">
        <v>113</v>
      </c>
      <c r="L87" s="298">
        <v>30</v>
      </c>
      <c r="M87" s="309">
        <v>814814.81</v>
      </c>
      <c r="N87" s="309">
        <v>24444444.300000001</v>
      </c>
      <c r="O87" s="366">
        <v>1955555.544</v>
      </c>
      <c r="P87" s="309">
        <v>26399999.844000001</v>
      </c>
      <c r="Q87" s="310"/>
      <c r="R87" s="310"/>
    </row>
    <row r="88" spans="1:18" ht="15.75">
      <c r="A88" s="732" t="s">
        <v>753</v>
      </c>
      <c r="B88" s="307" t="s">
        <v>754</v>
      </c>
      <c r="C88" s="297">
        <v>46239</v>
      </c>
      <c r="D88" s="299" t="s">
        <v>679</v>
      </c>
      <c r="E88" s="297"/>
      <c r="F88" s="298"/>
      <c r="G88" s="298"/>
      <c r="H88" s="299" t="s">
        <v>811</v>
      </c>
      <c r="I88" s="303" t="s">
        <v>639</v>
      </c>
      <c r="J88" s="303" t="s">
        <v>640</v>
      </c>
      <c r="K88" s="298" t="s">
        <v>113</v>
      </c>
      <c r="L88" s="298">
        <v>15</v>
      </c>
      <c r="M88" s="309">
        <v>537037.04</v>
      </c>
      <c r="N88" s="309">
        <v>8055555.6000000006</v>
      </c>
      <c r="O88" s="366">
        <v>644444.44800000009</v>
      </c>
      <c r="P88" s="309">
        <v>8700000.0480000004</v>
      </c>
      <c r="Q88" s="310"/>
      <c r="R88" s="310"/>
    </row>
    <row r="89" spans="1:18" ht="15.75">
      <c r="A89" s="732" t="s">
        <v>753</v>
      </c>
      <c r="B89" s="307" t="s">
        <v>754</v>
      </c>
      <c r="C89" s="297">
        <v>46239</v>
      </c>
      <c r="D89" s="299" t="s">
        <v>679</v>
      </c>
      <c r="E89" s="297"/>
      <c r="F89" s="298"/>
      <c r="G89" s="298"/>
      <c r="H89" s="299" t="s">
        <v>811</v>
      </c>
      <c r="I89" s="303" t="s">
        <v>641</v>
      </c>
      <c r="J89" s="303" t="s">
        <v>657</v>
      </c>
      <c r="K89" s="298" t="s">
        <v>113</v>
      </c>
      <c r="L89" s="298">
        <v>15</v>
      </c>
      <c r="M89" s="309">
        <v>638888.89</v>
      </c>
      <c r="N89" s="309">
        <v>9583333.3499999996</v>
      </c>
      <c r="O89" s="366">
        <v>766666.66799999995</v>
      </c>
      <c r="P89" s="309">
        <v>10350000.017999999</v>
      </c>
      <c r="Q89" s="310"/>
      <c r="R89" s="310"/>
    </row>
    <row r="90" spans="1:18" ht="15.75">
      <c r="A90" s="732" t="s">
        <v>753</v>
      </c>
      <c r="B90" s="307" t="s">
        <v>754</v>
      </c>
      <c r="C90" s="297">
        <v>46239</v>
      </c>
      <c r="D90" s="299" t="s">
        <v>679</v>
      </c>
      <c r="E90" s="297"/>
      <c r="F90" s="298"/>
      <c r="G90" s="298"/>
      <c r="H90" s="299" t="s">
        <v>811</v>
      </c>
      <c r="I90" s="303" t="s">
        <v>643</v>
      </c>
      <c r="J90" s="303" t="s">
        <v>644</v>
      </c>
      <c r="K90" s="298" t="s">
        <v>113</v>
      </c>
      <c r="L90" s="298">
        <v>15</v>
      </c>
      <c r="M90" s="309">
        <v>527777.78</v>
      </c>
      <c r="N90" s="309">
        <v>7916666.7000000002</v>
      </c>
      <c r="O90" s="366">
        <v>633333.33600000001</v>
      </c>
      <c r="P90" s="309">
        <v>8550000.0360000003</v>
      </c>
      <c r="Q90" s="310"/>
      <c r="R90" s="310"/>
    </row>
    <row r="91" spans="1:18" ht="15.75">
      <c r="A91" s="732" t="s">
        <v>753</v>
      </c>
      <c r="B91" s="307" t="s">
        <v>754</v>
      </c>
      <c r="C91" s="297">
        <v>46239</v>
      </c>
      <c r="D91" s="299" t="s">
        <v>679</v>
      </c>
      <c r="E91" s="297"/>
      <c r="F91" s="298"/>
      <c r="G91" s="298"/>
      <c r="H91" s="299" t="s">
        <v>811</v>
      </c>
      <c r="I91" s="303" t="s">
        <v>645</v>
      </c>
      <c r="J91" s="303" t="s">
        <v>646</v>
      </c>
      <c r="K91" s="298" t="s">
        <v>113</v>
      </c>
      <c r="L91" s="298">
        <v>15</v>
      </c>
      <c r="M91" s="309">
        <v>629629.63</v>
      </c>
      <c r="N91" s="309">
        <v>9444444.4499999993</v>
      </c>
      <c r="O91" s="366">
        <v>755555.55599999998</v>
      </c>
      <c r="P91" s="309">
        <v>10200000.005999999</v>
      </c>
      <c r="Q91" s="310"/>
      <c r="R91" s="310"/>
    </row>
    <row r="92" spans="1:18" ht="15.75">
      <c r="A92" s="732" t="s">
        <v>753</v>
      </c>
      <c r="B92" s="307" t="s">
        <v>754</v>
      </c>
      <c r="C92" s="297">
        <v>46239</v>
      </c>
      <c r="D92" s="299" t="s">
        <v>679</v>
      </c>
      <c r="E92" s="297"/>
      <c r="F92" s="298"/>
      <c r="G92" s="298"/>
      <c r="H92" s="299" t="s">
        <v>811</v>
      </c>
      <c r="I92" s="303" t="s">
        <v>649</v>
      </c>
      <c r="J92" s="303" t="s">
        <v>650</v>
      </c>
      <c r="K92" s="298" t="s">
        <v>113</v>
      </c>
      <c r="L92" s="298">
        <v>15</v>
      </c>
      <c r="M92" s="309">
        <v>574074.06999999995</v>
      </c>
      <c r="N92" s="309">
        <v>8611111.0499999989</v>
      </c>
      <c r="O92" s="366">
        <v>688888.88399999996</v>
      </c>
      <c r="P92" s="309">
        <v>9299999.9339999985</v>
      </c>
      <c r="Q92" s="310"/>
      <c r="R92" s="310"/>
    </row>
    <row r="93" spans="1:18" ht="15.75">
      <c r="A93" s="732" t="s">
        <v>753</v>
      </c>
      <c r="B93" s="307" t="s">
        <v>754</v>
      </c>
      <c r="C93" s="297">
        <v>46239</v>
      </c>
      <c r="D93" s="299" t="s">
        <v>679</v>
      </c>
      <c r="E93" s="297"/>
      <c r="F93" s="298"/>
      <c r="G93" s="298"/>
      <c r="H93" s="299" t="s">
        <v>811</v>
      </c>
      <c r="I93" s="303" t="s">
        <v>651</v>
      </c>
      <c r="J93" s="303" t="s">
        <v>652</v>
      </c>
      <c r="K93" s="298" t="s">
        <v>113</v>
      </c>
      <c r="L93" s="298">
        <v>15</v>
      </c>
      <c r="M93" s="309">
        <v>694444.44</v>
      </c>
      <c r="N93" s="309">
        <v>10416666.6</v>
      </c>
      <c r="O93" s="366">
        <v>833333.32799999998</v>
      </c>
      <c r="P93" s="309">
        <v>11249999.927999999</v>
      </c>
      <c r="Q93" s="310"/>
      <c r="R93" s="310"/>
    </row>
    <row r="94" spans="1:18" ht="15.75">
      <c r="A94" s="732" t="s">
        <v>753</v>
      </c>
      <c r="B94" s="307" t="s">
        <v>754</v>
      </c>
      <c r="C94" s="297">
        <v>46239</v>
      </c>
      <c r="D94" s="299" t="s">
        <v>679</v>
      </c>
      <c r="E94" s="297"/>
      <c r="F94" s="298"/>
      <c r="G94" s="298"/>
      <c r="H94" s="299" t="s">
        <v>811</v>
      </c>
      <c r="I94" s="303" t="s">
        <v>653</v>
      </c>
      <c r="J94" s="303" t="s">
        <v>654</v>
      </c>
      <c r="K94" s="298" t="s">
        <v>113</v>
      </c>
      <c r="L94" s="298">
        <v>15</v>
      </c>
      <c r="M94" s="309">
        <v>481481.48</v>
      </c>
      <c r="N94" s="309">
        <v>7222222.1999999993</v>
      </c>
      <c r="O94" s="366">
        <v>577777.77599999995</v>
      </c>
      <c r="P94" s="309">
        <v>7799999.9759999989</v>
      </c>
      <c r="Q94" s="310"/>
      <c r="R94" s="310"/>
    </row>
    <row r="95" spans="1:18" ht="15.75">
      <c r="A95" s="732" t="s">
        <v>753</v>
      </c>
      <c r="B95" s="307" t="s">
        <v>754</v>
      </c>
      <c r="C95" s="297">
        <v>46239</v>
      </c>
      <c r="D95" s="299" t="s">
        <v>679</v>
      </c>
      <c r="E95" s="297"/>
      <c r="F95" s="298"/>
      <c r="G95" s="298"/>
      <c r="H95" s="299" t="s">
        <v>811</v>
      </c>
      <c r="I95" s="303" t="s">
        <v>655</v>
      </c>
      <c r="J95" s="303" t="s">
        <v>656</v>
      </c>
      <c r="K95" s="298" t="s">
        <v>113</v>
      </c>
      <c r="L95" s="298">
        <v>15</v>
      </c>
      <c r="M95" s="309">
        <v>574074.06999999995</v>
      </c>
      <c r="N95" s="309">
        <v>8611111.0499999989</v>
      </c>
      <c r="O95" s="366">
        <v>688888.88399999996</v>
      </c>
      <c r="P95" s="309">
        <v>9299999.9339999985</v>
      </c>
      <c r="Q95" s="310"/>
      <c r="R95" s="310"/>
    </row>
    <row r="96" spans="1:18" ht="15.75">
      <c r="A96" s="732" t="s">
        <v>753</v>
      </c>
      <c r="B96" s="307" t="s">
        <v>754</v>
      </c>
      <c r="C96" s="297">
        <v>46239</v>
      </c>
      <c r="D96" s="299" t="s">
        <v>679</v>
      </c>
      <c r="E96" s="297"/>
      <c r="F96" s="298"/>
      <c r="G96" s="298"/>
      <c r="H96" s="302" t="s">
        <v>691</v>
      </c>
      <c r="I96" s="303" t="s">
        <v>639</v>
      </c>
      <c r="J96" s="303" t="s">
        <v>640</v>
      </c>
      <c r="K96" s="298" t="s">
        <v>113</v>
      </c>
      <c r="L96" s="298">
        <v>1</v>
      </c>
      <c r="M96" s="309">
        <v>0</v>
      </c>
      <c r="N96" s="309">
        <v>0</v>
      </c>
      <c r="O96" s="366">
        <v>0</v>
      </c>
      <c r="P96" s="309">
        <v>0</v>
      </c>
      <c r="Q96" s="310"/>
      <c r="R96" s="310"/>
    </row>
    <row r="97" spans="1:18" ht="15.75">
      <c r="A97" s="732" t="s">
        <v>753</v>
      </c>
      <c r="B97" s="307" t="s">
        <v>754</v>
      </c>
      <c r="C97" s="297">
        <v>46239</v>
      </c>
      <c r="D97" s="299" t="s">
        <v>679</v>
      </c>
      <c r="E97" s="297"/>
      <c r="F97" s="298"/>
      <c r="G97" s="298"/>
      <c r="H97" s="302" t="s">
        <v>691</v>
      </c>
      <c r="I97" s="303" t="s">
        <v>641</v>
      </c>
      <c r="J97" s="303" t="s">
        <v>657</v>
      </c>
      <c r="K97" s="298" t="s">
        <v>113</v>
      </c>
      <c r="L97" s="298">
        <v>1</v>
      </c>
      <c r="M97" s="309">
        <v>0</v>
      </c>
      <c r="N97" s="309">
        <v>0</v>
      </c>
      <c r="O97" s="366">
        <v>0</v>
      </c>
      <c r="P97" s="309">
        <v>0</v>
      </c>
      <c r="Q97" s="310"/>
      <c r="R97" s="310"/>
    </row>
    <row r="98" spans="1:18" ht="15.75">
      <c r="A98" s="732" t="s">
        <v>753</v>
      </c>
      <c r="B98" s="307" t="s">
        <v>754</v>
      </c>
      <c r="C98" s="297">
        <v>46239</v>
      </c>
      <c r="D98" s="299" t="s">
        <v>679</v>
      </c>
      <c r="E98" s="297"/>
      <c r="F98" s="298"/>
      <c r="G98" s="298"/>
      <c r="H98" s="302" t="s">
        <v>691</v>
      </c>
      <c r="I98" s="303" t="s">
        <v>643</v>
      </c>
      <c r="J98" s="303" t="s">
        <v>644</v>
      </c>
      <c r="K98" s="298" t="s">
        <v>113</v>
      </c>
      <c r="L98" s="298">
        <v>1</v>
      </c>
      <c r="M98" s="309">
        <v>0</v>
      </c>
      <c r="N98" s="309">
        <v>0</v>
      </c>
      <c r="O98" s="366">
        <v>0</v>
      </c>
      <c r="P98" s="309">
        <v>0</v>
      </c>
      <c r="Q98" s="310"/>
      <c r="R98" s="310"/>
    </row>
    <row r="99" spans="1:18" ht="15.75">
      <c r="A99" s="732" t="s">
        <v>753</v>
      </c>
      <c r="B99" s="307" t="s">
        <v>754</v>
      </c>
      <c r="C99" s="297">
        <v>46239</v>
      </c>
      <c r="D99" s="299" t="s">
        <v>679</v>
      </c>
      <c r="E99" s="297"/>
      <c r="F99" s="298"/>
      <c r="G99" s="298"/>
      <c r="H99" s="302" t="s">
        <v>691</v>
      </c>
      <c r="I99" s="303" t="s">
        <v>645</v>
      </c>
      <c r="J99" s="303" t="s">
        <v>646</v>
      </c>
      <c r="K99" s="298" t="s">
        <v>113</v>
      </c>
      <c r="L99" s="298">
        <v>1</v>
      </c>
      <c r="M99" s="309">
        <v>0</v>
      </c>
      <c r="N99" s="309">
        <v>0</v>
      </c>
      <c r="O99" s="366">
        <v>0</v>
      </c>
      <c r="P99" s="309">
        <v>0</v>
      </c>
      <c r="Q99" s="310"/>
      <c r="R99" s="310"/>
    </row>
    <row r="100" spans="1:18" ht="15.75">
      <c r="A100" s="732" t="s">
        <v>753</v>
      </c>
      <c r="B100" s="307" t="s">
        <v>754</v>
      </c>
      <c r="C100" s="297">
        <v>46239</v>
      </c>
      <c r="D100" s="299" t="s">
        <v>679</v>
      </c>
      <c r="E100" s="297"/>
      <c r="F100" s="298"/>
      <c r="G100" s="298"/>
      <c r="H100" s="302" t="s">
        <v>691</v>
      </c>
      <c r="I100" s="303" t="s">
        <v>649</v>
      </c>
      <c r="J100" s="303" t="s">
        <v>650</v>
      </c>
      <c r="K100" s="298" t="s">
        <v>113</v>
      </c>
      <c r="L100" s="298">
        <v>1</v>
      </c>
      <c r="M100" s="309">
        <v>0</v>
      </c>
      <c r="N100" s="309">
        <v>0</v>
      </c>
      <c r="O100" s="366">
        <v>0</v>
      </c>
      <c r="P100" s="309">
        <v>0</v>
      </c>
      <c r="Q100" s="310"/>
      <c r="R100" s="310"/>
    </row>
    <row r="101" spans="1:18" ht="15.75">
      <c r="A101" s="732" t="s">
        <v>753</v>
      </c>
      <c r="B101" s="307" t="s">
        <v>754</v>
      </c>
      <c r="C101" s="297">
        <v>46239</v>
      </c>
      <c r="D101" s="299" t="s">
        <v>679</v>
      </c>
      <c r="E101" s="297"/>
      <c r="F101" s="298"/>
      <c r="G101" s="298"/>
      <c r="H101" s="302" t="s">
        <v>691</v>
      </c>
      <c r="I101" s="303" t="s">
        <v>651</v>
      </c>
      <c r="J101" s="303" t="s">
        <v>652</v>
      </c>
      <c r="K101" s="298" t="s">
        <v>113</v>
      </c>
      <c r="L101" s="298">
        <v>1</v>
      </c>
      <c r="M101" s="309">
        <v>0</v>
      </c>
      <c r="N101" s="309">
        <v>0</v>
      </c>
      <c r="O101" s="366">
        <v>0</v>
      </c>
      <c r="P101" s="309">
        <v>0</v>
      </c>
      <c r="Q101" s="310"/>
      <c r="R101" s="310"/>
    </row>
    <row r="102" spans="1:18" ht="15.75">
      <c r="A102" s="732" t="s">
        <v>753</v>
      </c>
      <c r="B102" s="307" t="s">
        <v>754</v>
      </c>
      <c r="C102" s="297">
        <v>46239</v>
      </c>
      <c r="D102" s="299" t="s">
        <v>679</v>
      </c>
      <c r="E102" s="297"/>
      <c r="F102" s="298"/>
      <c r="G102" s="298"/>
      <c r="H102" s="302" t="s">
        <v>691</v>
      </c>
      <c r="I102" s="303" t="s">
        <v>653</v>
      </c>
      <c r="J102" s="303" t="s">
        <v>654</v>
      </c>
      <c r="K102" s="298" t="s">
        <v>113</v>
      </c>
      <c r="L102" s="298">
        <v>1</v>
      </c>
      <c r="M102" s="309">
        <v>0</v>
      </c>
      <c r="N102" s="309">
        <v>0</v>
      </c>
      <c r="O102" s="366">
        <v>0</v>
      </c>
      <c r="P102" s="309">
        <v>0</v>
      </c>
      <c r="Q102" s="310"/>
      <c r="R102" s="310"/>
    </row>
    <row r="103" spans="1:18" ht="15.75">
      <c r="A103" s="732" t="s">
        <v>753</v>
      </c>
      <c r="B103" s="307" t="s">
        <v>754</v>
      </c>
      <c r="C103" s="297">
        <v>46239</v>
      </c>
      <c r="D103" s="299" t="s">
        <v>679</v>
      </c>
      <c r="E103" s="297"/>
      <c r="F103" s="298"/>
      <c r="G103" s="298"/>
      <c r="H103" s="302" t="s">
        <v>691</v>
      </c>
      <c r="I103" s="303" t="s">
        <v>655</v>
      </c>
      <c r="J103" s="303" t="s">
        <v>656</v>
      </c>
      <c r="K103" s="298" t="s">
        <v>113</v>
      </c>
      <c r="L103" s="298">
        <v>1</v>
      </c>
      <c r="M103" s="309">
        <v>0</v>
      </c>
      <c r="N103" s="309">
        <v>0</v>
      </c>
      <c r="O103" s="366">
        <v>0</v>
      </c>
      <c r="P103" s="309">
        <v>0</v>
      </c>
      <c r="Q103" s="310"/>
      <c r="R103" s="310"/>
    </row>
    <row r="104" spans="1:18" ht="15.75">
      <c r="A104" s="732" t="s">
        <v>753</v>
      </c>
      <c r="B104" s="307" t="s">
        <v>754</v>
      </c>
      <c r="C104" s="297">
        <v>46240</v>
      </c>
      <c r="D104" s="299"/>
      <c r="E104" s="297"/>
      <c r="F104" s="298"/>
      <c r="G104" s="298"/>
      <c r="H104" s="299" t="s">
        <v>760</v>
      </c>
      <c r="I104" s="298"/>
      <c r="J104" s="298"/>
      <c r="K104" s="298"/>
      <c r="L104" s="298"/>
      <c r="M104" s="309"/>
      <c r="N104" s="309"/>
      <c r="O104" s="366"/>
      <c r="P104" s="309"/>
      <c r="Q104" s="310"/>
      <c r="R104" s="310">
        <v>1385000</v>
      </c>
    </row>
    <row r="105" spans="1:18" ht="15.75">
      <c r="A105" s="732" t="s">
        <v>753</v>
      </c>
      <c r="B105" s="307" t="s">
        <v>754</v>
      </c>
      <c r="C105" s="297">
        <v>46248</v>
      </c>
      <c r="D105" s="299" t="s">
        <v>789</v>
      </c>
      <c r="E105" s="297"/>
      <c r="F105" s="298"/>
      <c r="G105" s="298"/>
      <c r="H105" s="299" t="s">
        <v>811</v>
      </c>
      <c r="I105" s="298" t="s">
        <v>639</v>
      </c>
      <c r="J105" s="298" t="s">
        <v>640</v>
      </c>
      <c r="K105" s="317" t="s">
        <v>18</v>
      </c>
      <c r="L105" s="315">
        <v>30</v>
      </c>
      <c r="M105" s="309">
        <v>537037.04</v>
      </c>
      <c r="N105" s="309">
        <v>16111111.200000001</v>
      </c>
      <c r="O105" s="366">
        <v>1288888.8960000002</v>
      </c>
      <c r="P105" s="309">
        <v>17400000.096000001</v>
      </c>
      <c r="Q105" s="310"/>
      <c r="R105" s="310"/>
    </row>
    <row r="106" spans="1:18" ht="15.75">
      <c r="A106" s="732" t="s">
        <v>753</v>
      </c>
      <c r="B106" s="307" t="s">
        <v>754</v>
      </c>
      <c r="C106" s="297">
        <v>46248</v>
      </c>
      <c r="D106" s="299" t="s">
        <v>789</v>
      </c>
      <c r="E106" s="297"/>
      <c r="F106" s="298"/>
      <c r="G106" s="298"/>
      <c r="H106" s="299" t="s">
        <v>811</v>
      </c>
      <c r="I106" s="298" t="s">
        <v>641</v>
      </c>
      <c r="J106" s="298" t="s">
        <v>657</v>
      </c>
      <c r="K106" s="317" t="s">
        <v>18</v>
      </c>
      <c r="L106" s="315">
        <v>30</v>
      </c>
      <c r="M106" s="309">
        <v>638888.89</v>
      </c>
      <c r="N106" s="309">
        <v>19166666.699999999</v>
      </c>
      <c r="O106" s="366">
        <v>1533333.3359999999</v>
      </c>
      <c r="P106" s="309">
        <v>20700000.035999998</v>
      </c>
      <c r="Q106" s="310"/>
      <c r="R106" s="310"/>
    </row>
    <row r="107" spans="1:18" ht="15.75">
      <c r="A107" s="732" t="s">
        <v>753</v>
      </c>
      <c r="B107" s="307" t="s">
        <v>754</v>
      </c>
      <c r="C107" s="297">
        <v>46248</v>
      </c>
      <c r="D107" s="299" t="s">
        <v>789</v>
      </c>
      <c r="E107" s="297"/>
      <c r="F107" s="298"/>
      <c r="G107" s="298"/>
      <c r="H107" s="299" t="s">
        <v>811</v>
      </c>
      <c r="I107" s="298" t="s">
        <v>643</v>
      </c>
      <c r="J107" s="298" t="s">
        <v>644</v>
      </c>
      <c r="K107" s="317" t="s">
        <v>18</v>
      </c>
      <c r="L107" s="315">
        <v>30</v>
      </c>
      <c r="M107" s="309">
        <v>527777.78</v>
      </c>
      <c r="N107" s="309">
        <v>15833333.4</v>
      </c>
      <c r="O107" s="366">
        <v>1266666.672</v>
      </c>
      <c r="P107" s="309">
        <v>17100000.072000001</v>
      </c>
      <c r="Q107" s="310"/>
      <c r="R107" s="310"/>
    </row>
    <row r="108" spans="1:18" ht="15.75">
      <c r="A108" s="732" t="s">
        <v>753</v>
      </c>
      <c r="B108" s="307" t="s">
        <v>754</v>
      </c>
      <c r="C108" s="297">
        <v>46248</v>
      </c>
      <c r="D108" s="299" t="s">
        <v>789</v>
      </c>
      <c r="E108" s="297"/>
      <c r="F108" s="298"/>
      <c r="G108" s="298"/>
      <c r="H108" s="299" t="s">
        <v>811</v>
      </c>
      <c r="I108" s="298" t="s">
        <v>645</v>
      </c>
      <c r="J108" s="298" t="s">
        <v>646</v>
      </c>
      <c r="K108" s="317" t="s">
        <v>18</v>
      </c>
      <c r="L108" s="315">
        <v>30</v>
      </c>
      <c r="M108" s="309">
        <v>629629.63</v>
      </c>
      <c r="N108" s="309">
        <f>L108*M108</f>
        <v>18888888.899999999</v>
      </c>
      <c r="O108" s="366">
        <f>N108*8%</f>
        <v>1511111.112</v>
      </c>
      <c r="P108" s="309">
        <f>N108+O108</f>
        <v>20400000.011999998</v>
      </c>
      <c r="Q108" s="310"/>
      <c r="R108" s="310"/>
    </row>
    <row r="109" spans="1:18" ht="15.75">
      <c r="A109" s="732" t="s">
        <v>753</v>
      </c>
      <c r="B109" s="307" t="s">
        <v>754</v>
      </c>
      <c r="C109" s="297">
        <v>46248</v>
      </c>
      <c r="D109" s="299" t="s">
        <v>789</v>
      </c>
      <c r="E109" s="297"/>
      <c r="F109" s="298"/>
      <c r="G109" s="298"/>
      <c r="H109" s="299" t="s">
        <v>811</v>
      </c>
      <c r="I109" s="298" t="s">
        <v>653</v>
      </c>
      <c r="J109" s="298" t="s">
        <v>654</v>
      </c>
      <c r="K109" s="317" t="s">
        <v>18</v>
      </c>
      <c r="L109" s="315">
        <v>30</v>
      </c>
      <c r="M109" s="309">
        <v>481481.48</v>
      </c>
      <c r="N109" s="309">
        <v>14444444.399999999</v>
      </c>
      <c r="O109" s="366">
        <v>1155555.5519999999</v>
      </c>
      <c r="P109" s="309">
        <v>15599999.951999998</v>
      </c>
      <c r="Q109" s="310"/>
      <c r="R109" s="310"/>
    </row>
    <row r="110" spans="1:18" ht="15.75">
      <c r="A110" s="732" t="s">
        <v>753</v>
      </c>
      <c r="B110" s="307" t="s">
        <v>754</v>
      </c>
      <c r="C110" s="297">
        <v>46248</v>
      </c>
      <c r="D110" s="299" t="s">
        <v>789</v>
      </c>
      <c r="E110" s="297"/>
      <c r="F110" s="298"/>
      <c r="G110" s="298"/>
      <c r="H110" s="299" t="s">
        <v>811</v>
      </c>
      <c r="I110" s="298" t="s">
        <v>655</v>
      </c>
      <c r="J110" s="298" t="s">
        <v>656</v>
      </c>
      <c r="K110" s="317" t="s">
        <v>18</v>
      </c>
      <c r="L110" s="315">
        <v>30</v>
      </c>
      <c r="M110" s="309">
        <v>574074.06999999995</v>
      </c>
      <c r="N110" s="309">
        <v>17222222.099999998</v>
      </c>
      <c r="O110" s="366">
        <v>1377777.7679999999</v>
      </c>
      <c r="P110" s="309">
        <v>18599999.867999997</v>
      </c>
      <c r="Q110" s="310"/>
      <c r="R110" s="310"/>
    </row>
    <row r="111" spans="1:18" ht="15.75">
      <c r="A111" s="732" t="s">
        <v>753</v>
      </c>
      <c r="B111" s="307" t="s">
        <v>754</v>
      </c>
      <c r="C111" s="297">
        <v>46248</v>
      </c>
      <c r="D111" s="299" t="s">
        <v>789</v>
      </c>
      <c r="E111" s="297"/>
      <c r="F111" s="298"/>
      <c r="G111" s="298"/>
      <c r="H111" s="299" t="s">
        <v>811</v>
      </c>
      <c r="I111" s="298" t="s">
        <v>647</v>
      </c>
      <c r="J111" s="298" t="s">
        <v>648</v>
      </c>
      <c r="K111" s="317" t="s">
        <v>18</v>
      </c>
      <c r="L111" s="315">
        <v>4</v>
      </c>
      <c r="M111" s="309">
        <v>601851.85</v>
      </c>
      <c r="N111" s="309">
        <v>2407407.4</v>
      </c>
      <c r="O111" s="366">
        <v>192592.592</v>
      </c>
      <c r="P111" s="309">
        <v>2599999.9920000001</v>
      </c>
      <c r="Q111" s="310"/>
      <c r="R111" s="310"/>
    </row>
    <row r="112" spans="1:18" ht="15.75">
      <c r="A112" s="732" t="s">
        <v>753</v>
      </c>
      <c r="B112" s="307" t="s">
        <v>754</v>
      </c>
      <c r="C112" s="297">
        <v>46248</v>
      </c>
      <c r="D112" s="299" t="s">
        <v>789</v>
      </c>
      <c r="E112" s="297">
        <v>46252</v>
      </c>
      <c r="F112" s="298" t="s">
        <v>884</v>
      </c>
      <c r="G112" s="313" t="s">
        <v>883</v>
      </c>
      <c r="H112" s="299" t="s">
        <v>811</v>
      </c>
      <c r="I112" s="298" t="s">
        <v>74</v>
      </c>
      <c r="J112" s="298" t="s">
        <v>141</v>
      </c>
      <c r="K112" s="317" t="s">
        <v>18</v>
      </c>
      <c r="L112" s="315">
        <v>40</v>
      </c>
      <c r="M112" s="309">
        <v>382407.41</v>
      </c>
      <c r="N112" s="309">
        <v>15296296.399999999</v>
      </c>
      <c r="O112" s="366">
        <v>1223703.7119999998</v>
      </c>
      <c r="P112" s="309">
        <v>16520000.111999998</v>
      </c>
      <c r="Q112" s="310"/>
      <c r="R112" s="310"/>
    </row>
    <row r="113" spans="1:18" ht="15.75">
      <c r="A113" s="732" t="s">
        <v>753</v>
      </c>
      <c r="B113" s="307" t="s">
        <v>754</v>
      </c>
      <c r="C113" s="297">
        <v>46248</v>
      </c>
      <c r="D113" s="299" t="s">
        <v>789</v>
      </c>
      <c r="E113" s="297">
        <v>46252</v>
      </c>
      <c r="F113" s="298" t="s">
        <v>884</v>
      </c>
      <c r="G113" s="313" t="s">
        <v>883</v>
      </c>
      <c r="H113" s="299" t="s">
        <v>811</v>
      </c>
      <c r="I113" s="298" t="s">
        <v>56</v>
      </c>
      <c r="J113" s="298" t="s">
        <v>57</v>
      </c>
      <c r="K113" s="317" t="s">
        <v>18</v>
      </c>
      <c r="L113" s="315">
        <v>36</v>
      </c>
      <c r="M113" s="309">
        <v>325925.93</v>
      </c>
      <c r="N113" s="309">
        <v>11733333.48</v>
      </c>
      <c r="O113" s="366">
        <v>938666.67840000009</v>
      </c>
      <c r="P113" s="309">
        <v>12672000.158400001</v>
      </c>
      <c r="Q113" s="310"/>
      <c r="R113" s="310"/>
    </row>
    <row r="114" spans="1:18" ht="15.75">
      <c r="A114" s="732" t="s">
        <v>753</v>
      </c>
      <c r="B114" s="307" t="s">
        <v>754</v>
      </c>
      <c r="C114" s="297">
        <v>46248</v>
      </c>
      <c r="D114" s="299" t="s">
        <v>789</v>
      </c>
      <c r="E114" s="297">
        <v>46252</v>
      </c>
      <c r="F114" s="298" t="s">
        <v>884</v>
      </c>
      <c r="G114" s="313" t="s">
        <v>883</v>
      </c>
      <c r="H114" s="299" t="s">
        <v>811</v>
      </c>
      <c r="I114" s="298" t="s">
        <v>127</v>
      </c>
      <c r="J114" s="298" t="s">
        <v>128</v>
      </c>
      <c r="K114" s="317" t="s">
        <v>18</v>
      </c>
      <c r="L114" s="315">
        <v>24</v>
      </c>
      <c r="M114" s="309">
        <v>284259.26</v>
      </c>
      <c r="N114" s="309">
        <v>6822222.2400000002</v>
      </c>
      <c r="O114" s="366">
        <v>545777.77919999999</v>
      </c>
      <c r="P114" s="309">
        <v>7368000.0192</v>
      </c>
      <c r="Q114" s="310"/>
      <c r="R114" s="310"/>
    </row>
    <row r="115" spans="1:18" ht="15.75">
      <c r="A115" s="732" t="s">
        <v>753</v>
      </c>
      <c r="B115" s="307" t="s">
        <v>754</v>
      </c>
      <c r="C115" s="297">
        <v>46248</v>
      </c>
      <c r="D115" s="299" t="s">
        <v>789</v>
      </c>
      <c r="E115" s="297">
        <v>46252</v>
      </c>
      <c r="F115" s="298" t="s">
        <v>884</v>
      </c>
      <c r="G115" s="313" t="s">
        <v>883</v>
      </c>
      <c r="H115" s="299" t="s">
        <v>811</v>
      </c>
      <c r="I115" s="298" t="s">
        <v>219</v>
      </c>
      <c r="J115" s="298" t="s">
        <v>220</v>
      </c>
      <c r="K115" s="317" t="s">
        <v>18</v>
      </c>
      <c r="L115" s="315">
        <v>12</v>
      </c>
      <c r="M115" s="309">
        <v>263888.89</v>
      </c>
      <c r="N115" s="309">
        <v>3166666.68</v>
      </c>
      <c r="O115" s="366">
        <v>253333.33440000002</v>
      </c>
      <c r="P115" s="309">
        <v>3420000.0144000002</v>
      </c>
      <c r="Q115" s="310"/>
      <c r="R115" s="310"/>
    </row>
    <row r="116" spans="1:18" ht="15.75">
      <c r="A116" s="732" t="s">
        <v>753</v>
      </c>
      <c r="B116" s="307" t="s">
        <v>754</v>
      </c>
      <c r="C116" s="297">
        <v>46248</v>
      </c>
      <c r="D116" s="299" t="s">
        <v>789</v>
      </c>
      <c r="E116" s="297"/>
      <c r="F116" s="298"/>
      <c r="G116" s="298"/>
      <c r="H116" s="302" t="s">
        <v>691</v>
      </c>
      <c r="I116" s="298" t="s">
        <v>639</v>
      </c>
      <c r="J116" s="298" t="s">
        <v>640</v>
      </c>
      <c r="K116" s="317" t="s">
        <v>18</v>
      </c>
      <c r="L116" s="315">
        <v>2</v>
      </c>
      <c r="M116" s="309">
        <v>0</v>
      </c>
      <c r="N116" s="309">
        <v>0</v>
      </c>
      <c r="O116" s="366">
        <v>0</v>
      </c>
      <c r="P116" s="309">
        <v>0</v>
      </c>
      <c r="Q116" s="310"/>
      <c r="R116" s="310"/>
    </row>
    <row r="117" spans="1:18" ht="15.75">
      <c r="A117" s="732" t="s">
        <v>753</v>
      </c>
      <c r="B117" s="307" t="s">
        <v>754</v>
      </c>
      <c r="C117" s="297">
        <v>46248</v>
      </c>
      <c r="D117" s="299" t="s">
        <v>789</v>
      </c>
      <c r="E117" s="297"/>
      <c r="F117" s="298"/>
      <c r="G117" s="298"/>
      <c r="H117" s="302" t="s">
        <v>691</v>
      </c>
      <c r="I117" s="298" t="s">
        <v>641</v>
      </c>
      <c r="J117" s="298" t="s">
        <v>657</v>
      </c>
      <c r="K117" s="317" t="s">
        <v>18</v>
      </c>
      <c r="L117" s="315">
        <v>2</v>
      </c>
      <c r="M117" s="309">
        <v>0</v>
      </c>
      <c r="N117" s="309">
        <v>0</v>
      </c>
      <c r="O117" s="366">
        <v>0</v>
      </c>
      <c r="P117" s="309">
        <v>0</v>
      </c>
      <c r="Q117" s="310"/>
      <c r="R117" s="310"/>
    </row>
    <row r="118" spans="1:18" ht="15.75">
      <c r="A118" s="732" t="s">
        <v>753</v>
      </c>
      <c r="B118" s="307" t="s">
        <v>754</v>
      </c>
      <c r="C118" s="297">
        <v>46248</v>
      </c>
      <c r="D118" s="299" t="s">
        <v>789</v>
      </c>
      <c r="E118" s="297"/>
      <c r="F118" s="298"/>
      <c r="G118" s="298"/>
      <c r="H118" s="302" t="s">
        <v>691</v>
      </c>
      <c r="I118" s="298" t="s">
        <v>643</v>
      </c>
      <c r="J118" s="298" t="s">
        <v>644</v>
      </c>
      <c r="K118" s="317" t="s">
        <v>18</v>
      </c>
      <c r="L118" s="315">
        <v>2</v>
      </c>
      <c r="M118" s="309">
        <v>0</v>
      </c>
      <c r="N118" s="309">
        <v>0</v>
      </c>
      <c r="O118" s="366">
        <v>0</v>
      </c>
      <c r="P118" s="309">
        <v>0</v>
      </c>
      <c r="Q118" s="310"/>
      <c r="R118" s="310"/>
    </row>
    <row r="119" spans="1:18" ht="15.75">
      <c r="A119" s="732" t="s">
        <v>753</v>
      </c>
      <c r="B119" s="307" t="s">
        <v>754</v>
      </c>
      <c r="C119" s="297">
        <v>46248</v>
      </c>
      <c r="D119" s="299" t="s">
        <v>789</v>
      </c>
      <c r="E119" s="297"/>
      <c r="F119" s="298"/>
      <c r="G119" s="298"/>
      <c r="H119" s="302" t="s">
        <v>691</v>
      </c>
      <c r="I119" s="298" t="s">
        <v>645</v>
      </c>
      <c r="J119" s="298" t="s">
        <v>646</v>
      </c>
      <c r="K119" s="317" t="s">
        <v>18</v>
      </c>
      <c r="L119" s="315">
        <v>2</v>
      </c>
      <c r="M119" s="309">
        <v>0</v>
      </c>
      <c r="N119" s="309">
        <v>0</v>
      </c>
      <c r="O119" s="366">
        <v>0</v>
      </c>
      <c r="P119" s="309">
        <v>0</v>
      </c>
      <c r="Q119" s="310"/>
      <c r="R119" s="310"/>
    </row>
    <row r="120" spans="1:18" ht="15.75">
      <c r="A120" s="732" t="s">
        <v>753</v>
      </c>
      <c r="B120" s="307" t="s">
        <v>754</v>
      </c>
      <c r="C120" s="297">
        <v>46248</v>
      </c>
      <c r="D120" s="299" t="s">
        <v>789</v>
      </c>
      <c r="E120" s="297"/>
      <c r="F120" s="298"/>
      <c r="G120" s="298"/>
      <c r="H120" s="302" t="s">
        <v>691</v>
      </c>
      <c r="I120" s="298" t="s">
        <v>653</v>
      </c>
      <c r="J120" s="298" t="s">
        <v>654</v>
      </c>
      <c r="K120" s="317" t="s">
        <v>18</v>
      </c>
      <c r="L120" s="315">
        <v>2</v>
      </c>
      <c r="M120" s="309">
        <v>0</v>
      </c>
      <c r="N120" s="309">
        <v>0</v>
      </c>
      <c r="O120" s="366">
        <v>0</v>
      </c>
      <c r="P120" s="309">
        <v>0</v>
      </c>
      <c r="Q120" s="310"/>
      <c r="R120" s="310"/>
    </row>
    <row r="121" spans="1:18" ht="15.75">
      <c r="A121" s="732" t="s">
        <v>753</v>
      </c>
      <c r="B121" s="307" t="s">
        <v>754</v>
      </c>
      <c r="C121" s="297">
        <v>46249</v>
      </c>
      <c r="D121" s="299"/>
      <c r="E121" s="297"/>
      <c r="F121" s="298"/>
      <c r="G121" s="298"/>
      <c r="H121" s="299" t="s">
        <v>760</v>
      </c>
      <c r="I121" s="298"/>
      <c r="J121" s="298"/>
      <c r="K121" s="298"/>
      <c r="L121" s="298"/>
      <c r="M121" s="309"/>
      <c r="N121" s="309"/>
      <c r="O121" s="366"/>
      <c r="P121" s="309"/>
      <c r="Q121" s="310"/>
      <c r="R121" s="310">
        <v>1800000</v>
      </c>
    </row>
    <row r="122" spans="1:18" ht="15.75">
      <c r="A122" s="732" t="s">
        <v>753</v>
      </c>
      <c r="B122" s="307" t="s">
        <v>754</v>
      </c>
      <c r="C122" s="297">
        <v>46251</v>
      </c>
      <c r="D122" s="299" t="s">
        <v>790</v>
      </c>
      <c r="E122" s="297"/>
      <c r="F122" s="298"/>
      <c r="G122" s="298"/>
      <c r="H122" s="299" t="s">
        <v>811</v>
      </c>
      <c r="I122" s="298" t="s">
        <v>647</v>
      </c>
      <c r="J122" s="298" t="s">
        <v>648</v>
      </c>
      <c r="K122" s="298" t="s">
        <v>18</v>
      </c>
      <c r="L122" s="315">
        <v>26</v>
      </c>
      <c r="M122" s="309">
        <v>601851.85</v>
      </c>
      <c r="N122" s="309">
        <v>15648148.1</v>
      </c>
      <c r="O122" s="366">
        <v>1251851.848</v>
      </c>
      <c r="P122" s="309">
        <v>16899999.947999999</v>
      </c>
      <c r="Q122" s="310"/>
      <c r="R122" s="310"/>
    </row>
    <row r="123" spans="1:18" ht="15.75">
      <c r="A123" s="732" t="s">
        <v>753</v>
      </c>
      <c r="B123" s="307" t="s">
        <v>754</v>
      </c>
      <c r="C123" s="297">
        <v>46251</v>
      </c>
      <c r="D123" s="299" t="s">
        <v>790</v>
      </c>
      <c r="E123" s="297"/>
      <c r="F123" s="298"/>
      <c r="G123" s="298"/>
      <c r="H123" s="302" t="s">
        <v>691</v>
      </c>
      <c r="I123" s="298" t="s">
        <v>655</v>
      </c>
      <c r="J123" s="298" t="s">
        <v>656</v>
      </c>
      <c r="K123" s="298" t="s">
        <v>18</v>
      </c>
      <c r="L123" s="315">
        <v>1</v>
      </c>
      <c r="M123" s="309">
        <v>0</v>
      </c>
      <c r="N123" s="309">
        <v>0</v>
      </c>
      <c r="O123" s="366">
        <v>0</v>
      </c>
      <c r="P123" s="309">
        <v>0</v>
      </c>
      <c r="Q123" s="310"/>
      <c r="R123" s="310"/>
    </row>
    <row r="124" spans="1:18" ht="15.75">
      <c r="A124" s="732" t="s">
        <v>753</v>
      </c>
      <c r="B124" s="307" t="s">
        <v>754</v>
      </c>
      <c r="C124" s="297">
        <v>46251</v>
      </c>
      <c r="D124" s="299" t="s">
        <v>790</v>
      </c>
      <c r="E124" s="297"/>
      <c r="F124" s="298"/>
      <c r="G124" s="298"/>
      <c r="H124" s="302" t="s">
        <v>691</v>
      </c>
      <c r="I124" s="298" t="s">
        <v>647</v>
      </c>
      <c r="J124" s="298" t="s">
        <v>648</v>
      </c>
      <c r="K124" s="298" t="s">
        <v>18</v>
      </c>
      <c r="L124" s="315">
        <v>2</v>
      </c>
      <c r="M124" s="309">
        <v>0</v>
      </c>
      <c r="N124" s="309">
        <v>0</v>
      </c>
      <c r="O124" s="366">
        <v>0</v>
      </c>
      <c r="P124" s="309">
        <v>0</v>
      </c>
      <c r="Q124" s="310"/>
      <c r="R124" s="310"/>
    </row>
    <row r="125" spans="1:18" ht="15.75">
      <c r="A125" s="732" t="s">
        <v>753</v>
      </c>
      <c r="B125" s="307" t="s">
        <v>754</v>
      </c>
      <c r="C125" s="297">
        <v>46253</v>
      </c>
      <c r="D125" s="490"/>
      <c r="E125" s="490"/>
      <c r="F125" s="490"/>
      <c r="G125" s="490"/>
      <c r="H125" s="299" t="s">
        <v>760</v>
      </c>
      <c r="I125" s="490"/>
      <c r="J125" s="490"/>
      <c r="K125" s="490"/>
      <c r="L125" s="490"/>
      <c r="M125" s="309"/>
      <c r="N125" s="309"/>
      <c r="O125" s="366"/>
      <c r="P125" s="309"/>
      <c r="Q125" s="490"/>
      <c r="R125" s="310">
        <v>220000</v>
      </c>
    </row>
    <row r="126" spans="1:18">
      <c r="A126" s="732" t="s">
        <v>753</v>
      </c>
      <c r="B126" s="307" t="s">
        <v>754</v>
      </c>
      <c r="C126" s="446">
        <v>46276</v>
      </c>
      <c r="D126" s="490" t="s">
        <v>1130</v>
      </c>
      <c r="E126" s="446"/>
      <c r="F126" s="447"/>
      <c r="G126" s="447"/>
      <c r="H126" s="299" t="s">
        <v>811</v>
      </c>
      <c r="I126" s="643" t="s">
        <v>653</v>
      </c>
      <c r="J126" s="716" t="s">
        <v>654</v>
      </c>
      <c r="K126" s="643" t="s">
        <v>18</v>
      </c>
      <c r="L126" s="721">
        <v>15</v>
      </c>
      <c r="M126" s="722">
        <v>481481.48</v>
      </c>
      <c r="N126" s="613">
        <v>7222222.1999999993</v>
      </c>
      <c r="O126" s="613">
        <v>577777.77599999995</v>
      </c>
      <c r="P126" s="301">
        <v>7799999.9759999989</v>
      </c>
      <c r="Q126" s="652"/>
      <c r="R126" s="652"/>
    </row>
    <row r="127" spans="1:18">
      <c r="A127" s="732" t="s">
        <v>753</v>
      </c>
      <c r="B127" s="307" t="s">
        <v>754</v>
      </c>
      <c r="C127" s="446">
        <v>46276</v>
      </c>
      <c r="D127" s="490" t="s">
        <v>1130</v>
      </c>
      <c r="E127" s="446"/>
      <c r="F127" s="447"/>
      <c r="G127" s="447"/>
      <c r="H127" s="299" t="s">
        <v>811</v>
      </c>
      <c r="I127" s="643" t="s">
        <v>655</v>
      </c>
      <c r="J127" s="716" t="s">
        <v>656</v>
      </c>
      <c r="K127" s="643" t="s">
        <v>18</v>
      </c>
      <c r="L127" s="721">
        <v>15</v>
      </c>
      <c r="M127" s="722">
        <v>574074.06999999995</v>
      </c>
      <c r="N127" s="613">
        <v>8611111.0499999989</v>
      </c>
      <c r="O127" s="613">
        <v>688888.88399999996</v>
      </c>
      <c r="P127" s="301">
        <v>9299999.9339999985</v>
      </c>
      <c r="Q127" s="652"/>
      <c r="R127" s="652"/>
    </row>
    <row r="128" spans="1:18">
      <c r="A128" s="732" t="s">
        <v>753</v>
      </c>
      <c r="B128" s="307" t="s">
        <v>754</v>
      </c>
      <c r="C128" s="446">
        <v>46276</v>
      </c>
      <c r="D128" s="490" t="s">
        <v>1130</v>
      </c>
      <c r="E128" s="446">
        <v>46284</v>
      </c>
      <c r="F128" s="447"/>
      <c r="G128" s="757" t="s">
        <v>1246</v>
      </c>
      <c r="H128" s="299" t="s">
        <v>811</v>
      </c>
      <c r="I128" s="643" t="s">
        <v>90</v>
      </c>
      <c r="J128" s="716" t="s">
        <v>91</v>
      </c>
      <c r="K128" s="643" t="s">
        <v>18</v>
      </c>
      <c r="L128" s="721">
        <v>20</v>
      </c>
      <c r="M128" s="722">
        <v>814814.81</v>
      </c>
      <c r="N128" s="613">
        <v>16296296.200000001</v>
      </c>
      <c r="O128" s="613">
        <v>1303703.6960000002</v>
      </c>
      <c r="P128" s="301">
        <v>17599999.896000002</v>
      </c>
      <c r="Q128" s="652"/>
      <c r="R128" s="652"/>
    </row>
    <row r="129" spans="1:19">
      <c r="A129" s="732" t="s">
        <v>753</v>
      </c>
      <c r="B129" s="307" t="s">
        <v>754</v>
      </c>
      <c r="C129" s="446">
        <v>46276</v>
      </c>
      <c r="D129" s="490" t="s">
        <v>1130</v>
      </c>
      <c r="E129" s="446"/>
      <c r="F129" s="447"/>
      <c r="G129" s="447"/>
      <c r="H129" s="299" t="s">
        <v>811</v>
      </c>
      <c r="I129" s="643" t="s">
        <v>103</v>
      </c>
      <c r="J129" s="716" t="s">
        <v>104</v>
      </c>
      <c r="K129" s="643" t="s">
        <v>18</v>
      </c>
      <c r="L129" s="721">
        <v>30</v>
      </c>
      <c r="M129" s="722">
        <v>675925.93</v>
      </c>
      <c r="N129" s="613">
        <v>20277777.900000002</v>
      </c>
      <c r="O129" s="613">
        <v>1622222.2320000003</v>
      </c>
      <c r="P129" s="301">
        <v>21900000.132000003</v>
      </c>
      <c r="Q129" s="652"/>
      <c r="R129" s="652"/>
    </row>
    <row r="130" spans="1:19">
      <c r="A130" s="732" t="s">
        <v>753</v>
      </c>
      <c r="B130" s="307" t="s">
        <v>754</v>
      </c>
      <c r="C130" s="446">
        <v>46276</v>
      </c>
      <c r="D130" s="490" t="s">
        <v>1130</v>
      </c>
      <c r="E130" s="446"/>
      <c r="F130" s="447"/>
      <c r="G130" s="447"/>
      <c r="H130" s="299" t="s">
        <v>811</v>
      </c>
      <c r="I130" s="643" t="s">
        <v>873</v>
      </c>
      <c r="J130" s="716" t="s">
        <v>874</v>
      </c>
      <c r="K130" s="643" t="s">
        <v>18</v>
      </c>
      <c r="L130" s="721">
        <v>60</v>
      </c>
      <c r="M130" s="722">
        <v>388888.89</v>
      </c>
      <c r="N130" s="613">
        <v>23333333.400000002</v>
      </c>
      <c r="O130" s="613">
        <v>1866666.6720000003</v>
      </c>
      <c r="P130" s="301">
        <v>25200000.072000004</v>
      </c>
      <c r="Q130" s="652"/>
      <c r="R130" s="652"/>
    </row>
    <row r="131" spans="1:19">
      <c r="A131" s="732" t="s">
        <v>753</v>
      </c>
      <c r="B131" s="307" t="s">
        <v>754</v>
      </c>
      <c r="C131" s="446">
        <v>46276</v>
      </c>
      <c r="D131" s="490" t="s">
        <v>1130</v>
      </c>
      <c r="E131" s="446"/>
      <c r="F131" s="447"/>
      <c r="G131" s="447"/>
      <c r="H131" s="299" t="s">
        <v>811</v>
      </c>
      <c r="I131" s="643" t="s">
        <v>796</v>
      </c>
      <c r="J131" s="716" t="s">
        <v>797</v>
      </c>
      <c r="K131" s="643" t="s">
        <v>18</v>
      </c>
      <c r="L131" s="721">
        <v>100</v>
      </c>
      <c r="M131" s="722">
        <v>292592.59000000003</v>
      </c>
      <c r="N131" s="613">
        <v>29259259.000000004</v>
      </c>
      <c r="O131" s="613">
        <v>2340740.7200000002</v>
      </c>
      <c r="P131" s="301">
        <v>31599999.720000003</v>
      </c>
      <c r="Q131" s="652"/>
      <c r="R131" s="652"/>
    </row>
    <row r="132" spans="1:19">
      <c r="A132" s="732" t="s">
        <v>753</v>
      </c>
      <c r="B132" s="307" t="s">
        <v>754</v>
      </c>
      <c r="C132" s="446">
        <v>46276</v>
      </c>
      <c r="D132" s="490" t="s">
        <v>1130</v>
      </c>
      <c r="E132" s="446"/>
      <c r="F132" s="447"/>
      <c r="G132" s="447"/>
      <c r="H132" s="299" t="s">
        <v>811</v>
      </c>
      <c r="I132" s="643" t="s">
        <v>798</v>
      </c>
      <c r="J132" s="716" t="s">
        <v>799</v>
      </c>
      <c r="K132" s="643" t="s">
        <v>18</v>
      </c>
      <c r="L132" s="721">
        <v>100</v>
      </c>
      <c r="M132" s="722">
        <v>231481.48</v>
      </c>
      <c r="N132" s="613">
        <v>23148148</v>
      </c>
      <c r="O132" s="613">
        <v>1851851.84</v>
      </c>
      <c r="P132" s="301">
        <v>24999999.84</v>
      </c>
      <c r="Q132" s="652"/>
      <c r="R132" s="652"/>
    </row>
    <row r="133" spans="1:19">
      <c r="A133" s="732" t="s">
        <v>753</v>
      </c>
      <c r="B133" s="307" t="s">
        <v>754</v>
      </c>
      <c r="C133" s="446">
        <v>46276</v>
      </c>
      <c r="D133" s="490" t="s">
        <v>1130</v>
      </c>
      <c r="E133" s="446"/>
      <c r="F133" s="447"/>
      <c r="G133" s="447"/>
      <c r="H133" s="295" t="s">
        <v>862</v>
      </c>
      <c r="I133" s="643" t="s">
        <v>959</v>
      </c>
      <c r="J133" s="643" t="s">
        <v>960</v>
      </c>
      <c r="K133" s="643" t="s">
        <v>18</v>
      </c>
      <c r="L133" s="721">
        <v>30</v>
      </c>
      <c r="M133" s="722">
        <v>0</v>
      </c>
      <c r="N133" s="613">
        <v>0</v>
      </c>
      <c r="O133" s="613">
        <v>0</v>
      </c>
      <c r="P133" s="301">
        <v>0</v>
      </c>
      <c r="Q133" s="652"/>
      <c r="R133" s="652"/>
    </row>
    <row r="134" spans="1:19">
      <c r="A134" s="732" t="s">
        <v>753</v>
      </c>
      <c r="B134" s="307" t="s">
        <v>754</v>
      </c>
      <c r="C134" s="446">
        <v>46276</v>
      </c>
      <c r="D134" s="490" t="s">
        <v>1130</v>
      </c>
      <c r="E134" s="446"/>
      <c r="F134" s="447"/>
      <c r="G134" s="447"/>
      <c r="H134" s="302" t="s">
        <v>691</v>
      </c>
      <c r="I134" s="643" t="s">
        <v>653</v>
      </c>
      <c r="J134" s="716" t="s">
        <v>654</v>
      </c>
      <c r="K134" s="643" t="s">
        <v>18</v>
      </c>
      <c r="L134" s="721">
        <v>1</v>
      </c>
      <c r="M134" s="722">
        <v>0</v>
      </c>
      <c r="N134" s="613">
        <v>0</v>
      </c>
      <c r="O134" s="613">
        <v>0</v>
      </c>
      <c r="P134" s="301">
        <v>0</v>
      </c>
      <c r="Q134" s="652"/>
      <c r="R134" s="652"/>
    </row>
    <row r="135" spans="1:19">
      <c r="A135" s="732" t="s">
        <v>753</v>
      </c>
      <c r="B135" s="307" t="s">
        <v>754</v>
      </c>
      <c r="C135" s="446">
        <v>46276</v>
      </c>
      <c r="D135" s="490" t="s">
        <v>1130</v>
      </c>
      <c r="E135" s="446"/>
      <c r="F135" s="447"/>
      <c r="G135" s="447"/>
      <c r="H135" s="302" t="s">
        <v>691</v>
      </c>
      <c r="I135" s="643" t="s">
        <v>655</v>
      </c>
      <c r="J135" s="716" t="s">
        <v>656</v>
      </c>
      <c r="K135" s="643" t="s">
        <v>18</v>
      </c>
      <c r="L135" s="721">
        <v>1</v>
      </c>
      <c r="M135" s="722">
        <v>0</v>
      </c>
      <c r="N135" s="613">
        <v>0</v>
      </c>
      <c r="O135" s="613">
        <v>0</v>
      </c>
      <c r="P135" s="301">
        <v>0</v>
      </c>
      <c r="Q135" s="652"/>
      <c r="R135" s="652"/>
    </row>
    <row r="136" spans="1:19">
      <c r="A136" s="732" t="s">
        <v>753</v>
      </c>
      <c r="B136" s="307" t="s">
        <v>754</v>
      </c>
      <c r="C136" s="446">
        <v>46281</v>
      </c>
      <c r="D136" s="490"/>
      <c r="E136" s="450"/>
      <c r="F136" s="443"/>
      <c r="G136" s="443"/>
      <c r="H136" s="295" t="s">
        <v>760</v>
      </c>
      <c r="I136" s="447"/>
      <c r="J136" s="312"/>
      <c r="K136" s="298"/>
      <c r="L136" s="635"/>
      <c r="M136" s="612"/>
      <c r="N136" s="613"/>
      <c r="O136" s="613"/>
      <c r="P136" s="613"/>
      <c r="Q136" s="652"/>
      <c r="R136" s="652">
        <v>820000</v>
      </c>
    </row>
    <row r="137" spans="1:19">
      <c r="A137" s="711" t="s">
        <v>753</v>
      </c>
      <c r="B137" s="307" t="s">
        <v>754</v>
      </c>
      <c r="C137" s="446">
        <v>46304</v>
      </c>
      <c r="D137" s="444"/>
      <c r="E137" s="446"/>
      <c r="F137" s="447"/>
      <c r="G137" s="447"/>
      <c r="H137" s="299" t="s">
        <v>672</v>
      </c>
      <c r="I137" s="447"/>
      <c r="J137" s="322"/>
      <c r="K137" s="298"/>
      <c r="L137" s="635"/>
      <c r="M137" s="612"/>
      <c r="N137" s="613"/>
      <c r="O137" s="613"/>
      <c r="P137" s="613"/>
      <c r="Q137" s="652">
        <v>100000000</v>
      </c>
      <c r="R137" s="652"/>
    </row>
    <row r="138" spans="1:19">
      <c r="A138" s="711" t="s">
        <v>753</v>
      </c>
      <c r="B138" s="307" t="s">
        <v>754</v>
      </c>
      <c r="C138" s="446">
        <v>46310</v>
      </c>
      <c r="D138" s="444" t="s">
        <v>1439</v>
      </c>
      <c r="E138" s="446"/>
      <c r="F138" s="447"/>
      <c r="G138" s="447"/>
      <c r="H138" s="299" t="s">
        <v>1465</v>
      </c>
      <c r="I138" s="687" t="s">
        <v>77</v>
      </c>
      <c r="J138" s="981" t="s">
        <v>428</v>
      </c>
      <c r="K138" s="687" t="s">
        <v>25</v>
      </c>
      <c r="L138" s="637">
        <v>-1</v>
      </c>
      <c r="M138" s="637">
        <v>324074.07</v>
      </c>
      <c r="N138" s="637">
        <f>L138*M138</f>
        <v>-324074.07</v>
      </c>
      <c r="O138" s="895">
        <f t="shared" ref="O138:O171" si="0">N138*8%</f>
        <v>-25925.925600000002</v>
      </c>
      <c r="P138" s="894">
        <f t="shared" ref="P138:P171" si="1">N138+O138</f>
        <v>-349999.99560000002</v>
      </c>
      <c r="Q138" s="652"/>
      <c r="R138" s="652"/>
      <c r="S138" s="299" t="s">
        <v>1457</v>
      </c>
    </row>
    <row r="139" spans="1:19">
      <c r="A139" s="711" t="s">
        <v>753</v>
      </c>
      <c r="B139" s="307" t="s">
        <v>754</v>
      </c>
      <c r="C139" s="446">
        <v>46310</v>
      </c>
      <c r="D139" s="444" t="s">
        <v>1439</v>
      </c>
      <c r="E139" s="446"/>
      <c r="F139" s="447"/>
      <c r="G139" s="447"/>
      <c r="H139" s="299" t="s">
        <v>1465</v>
      </c>
      <c r="I139" s="687" t="s">
        <v>80</v>
      </c>
      <c r="J139" s="981" t="s">
        <v>1437</v>
      </c>
      <c r="K139" s="687" t="s">
        <v>18</v>
      </c>
      <c r="L139" s="637">
        <v>-1</v>
      </c>
      <c r="M139" s="637">
        <v>824074.07</v>
      </c>
      <c r="N139" s="637">
        <f t="shared" ref="N139:N144" si="2">L139*M139</f>
        <v>-824074.07</v>
      </c>
      <c r="O139" s="895">
        <f t="shared" si="0"/>
        <v>-65925.925600000002</v>
      </c>
      <c r="P139" s="894">
        <f t="shared" si="1"/>
        <v>-889999.99559999991</v>
      </c>
      <c r="Q139" s="652"/>
      <c r="R139" s="652"/>
      <c r="S139" s="299" t="s">
        <v>1458</v>
      </c>
    </row>
    <row r="140" spans="1:19">
      <c r="A140" s="711" t="s">
        <v>753</v>
      </c>
      <c r="B140" s="307" t="s">
        <v>754</v>
      </c>
      <c r="C140" s="446">
        <v>46310</v>
      </c>
      <c r="D140" s="444" t="s">
        <v>1439</v>
      </c>
      <c r="E140" s="446"/>
      <c r="F140" s="447"/>
      <c r="G140" s="447"/>
      <c r="H140" s="299" t="s">
        <v>1465</v>
      </c>
      <c r="I140" s="687" t="s">
        <v>83</v>
      </c>
      <c r="J140" s="982" t="s">
        <v>1438</v>
      </c>
      <c r="K140" s="687" t="s">
        <v>18</v>
      </c>
      <c r="L140" s="637">
        <v>-1</v>
      </c>
      <c r="M140" s="637">
        <v>1097222.22</v>
      </c>
      <c r="N140" s="637">
        <f t="shared" si="2"/>
        <v>-1097222.22</v>
      </c>
      <c r="O140" s="895">
        <f t="shared" si="0"/>
        <v>-87777.777600000001</v>
      </c>
      <c r="P140" s="894">
        <f t="shared" si="1"/>
        <v>-1184999.9975999999</v>
      </c>
      <c r="Q140" s="652"/>
      <c r="R140" s="652"/>
      <c r="S140" s="299" t="s">
        <v>1459</v>
      </c>
    </row>
    <row r="141" spans="1:19">
      <c r="A141" s="711" t="s">
        <v>753</v>
      </c>
      <c r="B141" s="307" t="s">
        <v>754</v>
      </c>
      <c r="C141" s="446">
        <v>46310</v>
      </c>
      <c r="D141" s="444" t="s">
        <v>1439</v>
      </c>
      <c r="E141" s="446"/>
      <c r="F141" s="447"/>
      <c r="G141" s="447"/>
      <c r="H141" s="299" t="s">
        <v>1465</v>
      </c>
      <c r="I141" s="687" t="s">
        <v>90</v>
      </c>
      <c r="J141" s="982" t="s">
        <v>1140</v>
      </c>
      <c r="K141" s="687" t="s">
        <v>18</v>
      </c>
      <c r="L141" s="637">
        <v>-2</v>
      </c>
      <c r="M141" s="891">
        <v>814814.81</v>
      </c>
      <c r="N141" s="637">
        <f t="shared" si="2"/>
        <v>-1629629.62</v>
      </c>
      <c r="O141" s="895">
        <f t="shared" si="0"/>
        <v>-130370.36960000001</v>
      </c>
      <c r="P141" s="894">
        <f t="shared" si="1"/>
        <v>-1759999.9896000002</v>
      </c>
      <c r="Q141" s="652"/>
      <c r="R141" s="652"/>
      <c r="S141" s="299" t="s">
        <v>1460</v>
      </c>
    </row>
    <row r="142" spans="1:19">
      <c r="A142" s="711" t="s">
        <v>753</v>
      </c>
      <c r="B142" s="307" t="s">
        <v>754</v>
      </c>
      <c r="C142" s="446">
        <v>46310</v>
      </c>
      <c r="D142" s="444" t="s">
        <v>1439</v>
      </c>
      <c r="E142" s="446"/>
      <c r="F142" s="447"/>
      <c r="G142" s="447"/>
      <c r="H142" s="299" t="s">
        <v>1465</v>
      </c>
      <c r="I142" s="687" t="s">
        <v>74</v>
      </c>
      <c r="J142" s="982" t="s">
        <v>141</v>
      </c>
      <c r="K142" s="687" t="s">
        <v>18</v>
      </c>
      <c r="L142" s="637">
        <v>-2</v>
      </c>
      <c r="M142" s="891">
        <v>382407.41</v>
      </c>
      <c r="N142" s="637">
        <f t="shared" si="2"/>
        <v>-764814.82</v>
      </c>
      <c r="O142" s="895">
        <f t="shared" si="0"/>
        <v>-61185.185599999997</v>
      </c>
      <c r="P142" s="894">
        <f t="shared" si="1"/>
        <v>-826000.00559999992</v>
      </c>
      <c r="Q142" s="652"/>
      <c r="R142" s="652"/>
      <c r="S142" s="299" t="s">
        <v>1461</v>
      </c>
    </row>
    <row r="143" spans="1:19">
      <c r="A143" s="711" t="s">
        <v>753</v>
      </c>
      <c r="B143" s="307" t="s">
        <v>754</v>
      </c>
      <c r="C143" s="446">
        <v>46310</v>
      </c>
      <c r="D143" s="444" t="s">
        <v>1439</v>
      </c>
      <c r="E143" s="446"/>
      <c r="F143" s="447"/>
      <c r="G143" s="447"/>
      <c r="H143" s="299" t="s">
        <v>1465</v>
      </c>
      <c r="I143" s="687" t="s">
        <v>655</v>
      </c>
      <c r="J143" s="982" t="s">
        <v>1197</v>
      </c>
      <c r="K143" s="687" t="s">
        <v>18</v>
      </c>
      <c r="L143" s="637">
        <v>-1</v>
      </c>
      <c r="M143" s="637">
        <v>574074.06999999995</v>
      </c>
      <c r="N143" s="637">
        <f t="shared" si="2"/>
        <v>-574074.06999999995</v>
      </c>
      <c r="O143" s="895">
        <f t="shared" si="0"/>
        <v>-45925.925599999995</v>
      </c>
      <c r="P143" s="894">
        <f t="shared" si="1"/>
        <v>-619999.99559999991</v>
      </c>
      <c r="Q143" s="652"/>
      <c r="R143" s="652"/>
      <c r="S143" s="299" t="s">
        <v>1462</v>
      </c>
    </row>
    <row r="144" spans="1:19">
      <c r="A144" s="711" t="s">
        <v>753</v>
      </c>
      <c r="B144" s="307" t="s">
        <v>754</v>
      </c>
      <c r="C144" s="446">
        <v>46310</v>
      </c>
      <c r="D144" s="444" t="s">
        <v>1439</v>
      </c>
      <c r="E144" s="446"/>
      <c r="F144" s="447"/>
      <c r="G144" s="447"/>
      <c r="H144" s="299" t="s">
        <v>1465</v>
      </c>
      <c r="I144" s="687" t="s">
        <v>653</v>
      </c>
      <c r="J144" s="981" t="s">
        <v>1196</v>
      </c>
      <c r="K144" s="687" t="s">
        <v>18</v>
      </c>
      <c r="L144" s="637">
        <v>-2</v>
      </c>
      <c r="M144" s="637">
        <v>481481.48</v>
      </c>
      <c r="N144" s="637">
        <f t="shared" si="2"/>
        <v>-962962.96</v>
      </c>
      <c r="O144" s="895">
        <f t="shared" si="0"/>
        <v>-77037.036800000002</v>
      </c>
      <c r="P144" s="894">
        <f t="shared" si="1"/>
        <v>-1039999.9968</v>
      </c>
      <c r="Q144" s="652"/>
      <c r="R144" s="652"/>
      <c r="S144" s="299" t="s">
        <v>1463</v>
      </c>
    </row>
    <row r="145" spans="1:18">
      <c r="A145" s="711" t="s">
        <v>753</v>
      </c>
      <c r="B145" s="307" t="s">
        <v>754</v>
      </c>
      <c r="C145" s="446">
        <v>46310</v>
      </c>
      <c r="D145" s="444" t="s">
        <v>1456</v>
      </c>
      <c r="E145" s="446"/>
      <c r="F145" s="447"/>
      <c r="G145" s="447"/>
      <c r="H145" s="299" t="s">
        <v>1465</v>
      </c>
      <c r="I145" s="687" t="s">
        <v>279</v>
      </c>
      <c r="J145" s="981" t="s">
        <v>1464</v>
      </c>
      <c r="K145" s="687" t="s">
        <v>18</v>
      </c>
      <c r="L145" s="637">
        <v>-12</v>
      </c>
      <c r="M145" s="637">
        <v>387962.96</v>
      </c>
      <c r="N145" s="637">
        <f>L145*M145</f>
        <v>-4655555.5200000005</v>
      </c>
      <c r="O145" s="895">
        <f t="shared" si="0"/>
        <v>-372444.44160000002</v>
      </c>
      <c r="P145" s="894">
        <f t="shared" si="1"/>
        <v>-5027999.9616</v>
      </c>
      <c r="Q145" s="652"/>
      <c r="R145" s="652"/>
    </row>
    <row r="146" spans="1:18">
      <c r="A146" s="711" t="s">
        <v>753</v>
      </c>
      <c r="B146" s="307" t="s">
        <v>754</v>
      </c>
      <c r="C146" s="446">
        <v>46310</v>
      </c>
      <c r="D146" s="444" t="s">
        <v>1456</v>
      </c>
      <c r="E146" s="446"/>
      <c r="F146" s="447"/>
      <c r="G146" s="447"/>
      <c r="H146" s="299" t="s">
        <v>1465</v>
      </c>
      <c r="I146" s="687" t="s">
        <v>258</v>
      </c>
      <c r="J146" s="981" t="s">
        <v>1464</v>
      </c>
      <c r="K146" s="687" t="s">
        <v>18</v>
      </c>
      <c r="L146" s="637">
        <v>-12</v>
      </c>
      <c r="M146" s="637">
        <v>472222.22</v>
      </c>
      <c r="N146" s="637">
        <f t="shared" ref="N146:N171" si="3">L146*M146</f>
        <v>-5666666.6399999997</v>
      </c>
      <c r="O146" s="895">
        <f t="shared" si="0"/>
        <v>-453333.33119999996</v>
      </c>
      <c r="P146" s="894">
        <f t="shared" si="1"/>
        <v>-6119999.9711999996</v>
      </c>
      <c r="Q146" s="652"/>
      <c r="R146" s="652"/>
    </row>
    <row r="147" spans="1:18">
      <c r="A147" s="711" t="s">
        <v>753</v>
      </c>
      <c r="B147" s="307" t="s">
        <v>754</v>
      </c>
      <c r="C147" s="446">
        <v>46310</v>
      </c>
      <c r="D147" s="444" t="s">
        <v>1456</v>
      </c>
      <c r="E147" s="446"/>
      <c r="F147" s="447"/>
      <c r="G147" s="447"/>
      <c r="H147" s="299" t="s">
        <v>1465</v>
      </c>
      <c r="I147" s="687" t="s">
        <v>260</v>
      </c>
      <c r="J147" s="981" t="s">
        <v>1464</v>
      </c>
      <c r="K147" s="687" t="s">
        <v>18</v>
      </c>
      <c r="L147" s="637">
        <v>-8</v>
      </c>
      <c r="M147" s="637">
        <v>492592.59</v>
      </c>
      <c r="N147" s="637">
        <f t="shared" si="3"/>
        <v>-3940740.72</v>
      </c>
      <c r="O147" s="895">
        <f t="shared" si="0"/>
        <v>-315259.25760000001</v>
      </c>
      <c r="P147" s="894">
        <f t="shared" si="1"/>
        <v>-4255999.9775999999</v>
      </c>
      <c r="Q147" s="652"/>
      <c r="R147" s="652"/>
    </row>
    <row r="148" spans="1:18">
      <c r="A148" s="711" t="s">
        <v>753</v>
      </c>
      <c r="B148" s="307" t="s">
        <v>754</v>
      </c>
      <c r="C148" s="446">
        <v>46310</v>
      </c>
      <c r="D148" s="444" t="s">
        <v>1456</v>
      </c>
      <c r="E148" s="446"/>
      <c r="F148" s="447"/>
      <c r="G148" s="447"/>
      <c r="H148" s="299" t="s">
        <v>1465</v>
      </c>
      <c r="I148" s="687" t="s">
        <v>40</v>
      </c>
      <c r="J148" s="981" t="s">
        <v>1440</v>
      </c>
      <c r="K148" s="687" t="s">
        <v>18</v>
      </c>
      <c r="L148" s="637">
        <v>-8</v>
      </c>
      <c r="M148" s="637">
        <v>844444.4</v>
      </c>
      <c r="N148" s="637">
        <f t="shared" si="3"/>
        <v>-6755555.2000000002</v>
      </c>
      <c r="O148" s="895">
        <f t="shared" si="0"/>
        <v>-540444.41599999997</v>
      </c>
      <c r="P148" s="894">
        <f t="shared" si="1"/>
        <v>-7295999.6160000004</v>
      </c>
      <c r="Q148" s="652"/>
      <c r="R148" s="652"/>
    </row>
    <row r="149" spans="1:18">
      <c r="A149" s="711" t="s">
        <v>753</v>
      </c>
      <c r="B149" s="307" t="s">
        <v>754</v>
      </c>
      <c r="C149" s="446">
        <v>46310</v>
      </c>
      <c r="D149" s="444" t="s">
        <v>1456</v>
      </c>
      <c r="E149" s="446"/>
      <c r="F149" s="447"/>
      <c r="G149" s="447"/>
      <c r="H149" s="299" t="s">
        <v>1465</v>
      </c>
      <c r="I149" s="687" t="s">
        <v>274</v>
      </c>
      <c r="J149" s="982" t="s">
        <v>297</v>
      </c>
      <c r="K149" s="687" t="s">
        <v>18</v>
      </c>
      <c r="L149" s="637">
        <v>-14</v>
      </c>
      <c r="M149" s="637">
        <v>416666.66</v>
      </c>
      <c r="N149" s="637">
        <f t="shared" si="3"/>
        <v>-5833333.2399999993</v>
      </c>
      <c r="O149" s="895">
        <f t="shared" si="0"/>
        <v>-466666.65919999994</v>
      </c>
      <c r="P149" s="894">
        <f t="shared" si="1"/>
        <v>-6299999.8991999989</v>
      </c>
      <c r="Q149" s="652"/>
      <c r="R149" s="652"/>
    </row>
    <row r="150" spans="1:18">
      <c r="A150" s="711" t="s">
        <v>753</v>
      </c>
      <c r="B150" s="307" t="s">
        <v>754</v>
      </c>
      <c r="C150" s="446">
        <v>46310</v>
      </c>
      <c r="D150" s="444" t="s">
        <v>1456</v>
      </c>
      <c r="E150" s="446"/>
      <c r="F150" s="447"/>
      <c r="G150" s="447"/>
      <c r="H150" s="299" t="s">
        <v>1465</v>
      </c>
      <c r="I150" s="687" t="s">
        <v>206</v>
      </c>
      <c r="J150" s="982" t="s">
        <v>1441</v>
      </c>
      <c r="K150" s="687" t="s">
        <v>18</v>
      </c>
      <c r="L150" s="637">
        <v>-2</v>
      </c>
      <c r="M150" s="637">
        <v>483333.33</v>
      </c>
      <c r="N150" s="637">
        <f t="shared" si="3"/>
        <v>-966666.66</v>
      </c>
      <c r="O150" s="895">
        <f t="shared" si="0"/>
        <v>-77333.332800000004</v>
      </c>
      <c r="P150" s="894">
        <f t="shared" si="1"/>
        <v>-1043999.9928</v>
      </c>
      <c r="Q150" s="652"/>
      <c r="R150" s="652"/>
    </row>
    <row r="151" spans="1:18">
      <c r="A151" s="711" t="s">
        <v>753</v>
      </c>
      <c r="B151" s="307" t="s">
        <v>754</v>
      </c>
      <c r="C151" s="446">
        <v>46310</v>
      </c>
      <c r="D151" s="444" t="s">
        <v>1456</v>
      </c>
      <c r="E151" s="446"/>
      <c r="F151" s="447"/>
      <c r="G151" s="447"/>
      <c r="H151" s="299" t="s">
        <v>1465</v>
      </c>
      <c r="I151" s="687" t="s">
        <v>80</v>
      </c>
      <c r="J151" s="982" t="s">
        <v>1437</v>
      </c>
      <c r="K151" s="687" t="s">
        <v>18</v>
      </c>
      <c r="L151" s="637">
        <v>-12</v>
      </c>
      <c r="M151" s="637">
        <v>824074.07</v>
      </c>
      <c r="N151" s="637">
        <f t="shared" si="3"/>
        <v>-9888888.8399999999</v>
      </c>
      <c r="O151" s="895">
        <f t="shared" si="0"/>
        <v>-791111.10719999997</v>
      </c>
      <c r="P151" s="894">
        <f t="shared" si="1"/>
        <v>-10679999.9472</v>
      </c>
      <c r="Q151" s="652"/>
      <c r="R151" s="652"/>
    </row>
    <row r="152" spans="1:18">
      <c r="A152" s="711" t="s">
        <v>753</v>
      </c>
      <c r="B152" s="307" t="s">
        <v>754</v>
      </c>
      <c r="C152" s="446">
        <v>46310</v>
      </c>
      <c r="D152" s="444" t="s">
        <v>1456</v>
      </c>
      <c r="E152" s="446"/>
      <c r="F152" s="447"/>
      <c r="G152" s="447"/>
      <c r="H152" s="299" t="s">
        <v>1465</v>
      </c>
      <c r="I152" s="687" t="s">
        <v>21</v>
      </c>
      <c r="J152" s="982" t="s">
        <v>1442</v>
      </c>
      <c r="K152" s="687" t="s">
        <v>18</v>
      </c>
      <c r="L152" s="637">
        <v>-14</v>
      </c>
      <c r="M152" s="637">
        <v>937962.97</v>
      </c>
      <c r="N152" s="637">
        <f t="shared" si="3"/>
        <v>-13131481.58</v>
      </c>
      <c r="O152" s="895">
        <f t="shared" si="0"/>
        <v>-1050518.5264000001</v>
      </c>
      <c r="P152" s="894">
        <f t="shared" si="1"/>
        <v>-14182000.1064</v>
      </c>
      <c r="Q152" s="652"/>
      <c r="R152" s="652"/>
    </row>
    <row r="153" spans="1:18">
      <c r="A153" s="711" t="s">
        <v>753</v>
      </c>
      <c r="B153" s="307" t="s">
        <v>754</v>
      </c>
      <c r="C153" s="446">
        <v>46310</v>
      </c>
      <c r="D153" s="444" t="s">
        <v>1456</v>
      </c>
      <c r="E153" s="446"/>
      <c r="F153" s="447"/>
      <c r="G153" s="447"/>
      <c r="H153" s="299" t="s">
        <v>1465</v>
      </c>
      <c r="I153" s="687" t="s">
        <v>23</v>
      </c>
      <c r="J153" s="982" t="s">
        <v>1443</v>
      </c>
      <c r="K153" s="687" t="s">
        <v>18</v>
      </c>
      <c r="L153" s="637">
        <v>-5</v>
      </c>
      <c r="M153" s="637">
        <v>1185185.2</v>
      </c>
      <c r="N153" s="637">
        <f t="shared" si="3"/>
        <v>-5925926</v>
      </c>
      <c r="O153" s="895">
        <f t="shared" si="0"/>
        <v>-474074.08</v>
      </c>
      <c r="P153" s="894">
        <f t="shared" si="1"/>
        <v>-6400000.0800000001</v>
      </c>
      <c r="Q153" s="652"/>
      <c r="R153" s="652"/>
    </row>
    <row r="154" spans="1:18">
      <c r="A154" s="711" t="s">
        <v>753</v>
      </c>
      <c r="B154" s="307" t="s">
        <v>754</v>
      </c>
      <c r="C154" s="446">
        <v>46310</v>
      </c>
      <c r="D154" s="444" t="s">
        <v>1456</v>
      </c>
      <c r="E154" s="446"/>
      <c r="F154" s="447"/>
      <c r="G154" s="447"/>
      <c r="H154" s="299" t="s">
        <v>1465</v>
      </c>
      <c r="I154" s="687" t="s">
        <v>184</v>
      </c>
      <c r="J154" s="982" t="s">
        <v>1444</v>
      </c>
      <c r="K154" s="687" t="s">
        <v>18</v>
      </c>
      <c r="L154" s="637">
        <v>-16</v>
      </c>
      <c r="M154" s="637">
        <v>227777.8</v>
      </c>
      <c r="N154" s="637">
        <f t="shared" si="3"/>
        <v>-3644444.8</v>
      </c>
      <c r="O154" s="895">
        <f t="shared" si="0"/>
        <v>-291555.58399999997</v>
      </c>
      <c r="P154" s="894">
        <f t="shared" si="1"/>
        <v>-3936000.3839999996</v>
      </c>
      <c r="Q154" s="652"/>
      <c r="R154" s="652"/>
    </row>
    <row r="155" spans="1:18">
      <c r="A155" s="711" t="s">
        <v>753</v>
      </c>
      <c r="B155" s="307" t="s">
        <v>754</v>
      </c>
      <c r="C155" s="446">
        <v>46310</v>
      </c>
      <c r="D155" s="444" t="s">
        <v>1456</v>
      </c>
      <c r="E155" s="446"/>
      <c r="F155" s="447"/>
      <c r="G155" s="447"/>
      <c r="H155" s="299" t="s">
        <v>1465</v>
      </c>
      <c r="I155" s="687" t="s">
        <v>30</v>
      </c>
      <c r="J155" s="982" t="s">
        <v>1445</v>
      </c>
      <c r="K155" s="687" t="s">
        <v>18</v>
      </c>
      <c r="L155" s="637">
        <v>-16</v>
      </c>
      <c r="M155" s="637">
        <v>252777.8</v>
      </c>
      <c r="N155" s="637">
        <f t="shared" si="3"/>
        <v>-4044444.8</v>
      </c>
      <c r="O155" s="895">
        <f t="shared" si="0"/>
        <v>-323555.58399999997</v>
      </c>
      <c r="P155" s="894">
        <f t="shared" si="1"/>
        <v>-4368000.3839999996</v>
      </c>
      <c r="Q155" s="652"/>
      <c r="R155" s="652"/>
    </row>
    <row r="156" spans="1:18">
      <c r="A156" s="711" t="s">
        <v>753</v>
      </c>
      <c r="B156" s="307" t="s">
        <v>754</v>
      </c>
      <c r="C156" s="446">
        <v>46310</v>
      </c>
      <c r="D156" s="444" t="s">
        <v>1456</v>
      </c>
      <c r="E156" s="446"/>
      <c r="F156" s="447"/>
      <c r="G156" s="447"/>
      <c r="H156" s="299" t="s">
        <v>1465</v>
      </c>
      <c r="I156" s="687" t="s">
        <v>32</v>
      </c>
      <c r="J156" s="982" t="s">
        <v>1446</v>
      </c>
      <c r="K156" s="687" t="s">
        <v>18</v>
      </c>
      <c r="L156" s="637">
        <v>-10</v>
      </c>
      <c r="M156" s="637">
        <v>256481.5</v>
      </c>
      <c r="N156" s="637">
        <f t="shared" si="3"/>
        <v>-2564815</v>
      </c>
      <c r="O156" s="895">
        <f t="shared" si="0"/>
        <v>-205185.2</v>
      </c>
      <c r="P156" s="894">
        <f t="shared" si="1"/>
        <v>-2770000.2</v>
      </c>
      <c r="Q156" s="652"/>
      <c r="R156" s="652"/>
    </row>
    <row r="157" spans="1:18">
      <c r="A157" s="711" t="s">
        <v>753</v>
      </c>
      <c r="B157" s="307" t="s">
        <v>754</v>
      </c>
      <c r="C157" s="446">
        <v>46310</v>
      </c>
      <c r="D157" s="444" t="s">
        <v>1456</v>
      </c>
      <c r="E157" s="446"/>
      <c r="F157" s="447"/>
      <c r="G157" s="447"/>
      <c r="H157" s="299" t="s">
        <v>1465</v>
      </c>
      <c r="I157" s="687" t="s">
        <v>34</v>
      </c>
      <c r="J157" s="982" t="s">
        <v>1447</v>
      </c>
      <c r="K157" s="687" t="s">
        <v>18</v>
      </c>
      <c r="L157" s="637">
        <v>-13</v>
      </c>
      <c r="M157" s="637">
        <v>227777.8</v>
      </c>
      <c r="N157" s="637">
        <f t="shared" si="3"/>
        <v>-2961111.4</v>
      </c>
      <c r="O157" s="895">
        <f t="shared" si="0"/>
        <v>-236888.91200000001</v>
      </c>
      <c r="P157" s="894">
        <f t="shared" si="1"/>
        <v>-3198000.3119999999</v>
      </c>
      <c r="Q157" s="652"/>
      <c r="R157" s="652"/>
    </row>
    <row r="158" spans="1:18">
      <c r="A158" s="711" t="s">
        <v>753</v>
      </c>
      <c r="B158" s="307" t="s">
        <v>754</v>
      </c>
      <c r="C158" s="446">
        <v>46310</v>
      </c>
      <c r="D158" s="444" t="s">
        <v>1456</v>
      </c>
      <c r="E158" s="446"/>
      <c r="F158" s="447"/>
      <c r="G158" s="447"/>
      <c r="H158" s="299" t="s">
        <v>1465</v>
      </c>
      <c r="I158" s="687" t="s">
        <v>36</v>
      </c>
      <c r="J158" s="982" t="s">
        <v>1448</v>
      </c>
      <c r="K158" s="687" t="s">
        <v>18</v>
      </c>
      <c r="L158" s="637">
        <v>-13</v>
      </c>
      <c r="M158" s="637">
        <v>252777.8</v>
      </c>
      <c r="N158" s="637">
        <f t="shared" si="3"/>
        <v>-3286111.4</v>
      </c>
      <c r="O158" s="895">
        <f t="shared" si="0"/>
        <v>-262888.91200000001</v>
      </c>
      <c r="P158" s="894">
        <f t="shared" si="1"/>
        <v>-3549000.3119999999</v>
      </c>
      <c r="Q158" s="652"/>
      <c r="R158" s="652"/>
    </row>
    <row r="159" spans="1:18">
      <c r="A159" s="711" t="s">
        <v>753</v>
      </c>
      <c r="B159" s="307" t="s">
        <v>754</v>
      </c>
      <c r="C159" s="446">
        <v>46310</v>
      </c>
      <c r="D159" s="444" t="s">
        <v>1456</v>
      </c>
      <c r="E159" s="446"/>
      <c r="F159" s="447"/>
      <c r="G159" s="447"/>
      <c r="H159" s="299" t="s">
        <v>1465</v>
      </c>
      <c r="I159" s="687" t="s">
        <v>38</v>
      </c>
      <c r="J159" s="982" t="s">
        <v>1449</v>
      </c>
      <c r="K159" s="687" t="s">
        <v>18</v>
      </c>
      <c r="L159" s="637">
        <v>-13</v>
      </c>
      <c r="M159" s="637">
        <v>277777.8</v>
      </c>
      <c r="N159" s="637">
        <f t="shared" si="3"/>
        <v>-3611111.4</v>
      </c>
      <c r="O159" s="895">
        <f t="shared" si="0"/>
        <v>-288888.91200000001</v>
      </c>
      <c r="P159" s="894">
        <f t="shared" si="1"/>
        <v>-3900000.3119999999</v>
      </c>
      <c r="Q159" s="652"/>
      <c r="R159" s="652"/>
    </row>
    <row r="160" spans="1:18">
      <c r="A160" s="711" t="s">
        <v>753</v>
      </c>
      <c r="B160" s="307" t="s">
        <v>754</v>
      </c>
      <c r="C160" s="446">
        <v>46310</v>
      </c>
      <c r="D160" s="444" t="s">
        <v>1456</v>
      </c>
      <c r="E160" s="446"/>
      <c r="F160" s="447"/>
      <c r="G160" s="447"/>
      <c r="H160" s="299" t="s">
        <v>1465</v>
      </c>
      <c r="I160" s="687" t="s">
        <v>119</v>
      </c>
      <c r="J160" s="982" t="s">
        <v>1450</v>
      </c>
      <c r="K160" s="687" t="s">
        <v>18</v>
      </c>
      <c r="L160" s="637">
        <v>-10</v>
      </c>
      <c r="M160" s="637">
        <v>659259.30000000005</v>
      </c>
      <c r="N160" s="637">
        <f t="shared" si="3"/>
        <v>-6592593</v>
      </c>
      <c r="O160" s="895">
        <f t="shared" si="0"/>
        <v>-527407.44000000006</v>
      </c>
      <c r="P160" s="894">
        <f t="shared" si="1"/>
        <v>-7120000.4400000004</v>
      </c>
      <c r="Q160" s="652"/>
      <c r="R160" s="652"/>
    </row>
    <row r="161" spans="1:18">
      <c r="A161" s="711" t="s">
        <v>753</v>
      </c>
      <c r="B161" s="307" t="s">
        <v>754</v>
      </c>
      <c r="C161" s="446">
        <v>46310</v>
      </c>
      <c r="D161" s="444" t="s">
        <v>1456</v>
      </c>
      <c r="E161" s="446"/>
      <c r="F161" s="447"/>
      <c r="G161" s="447"/>
      <c r="H161" s="299" t="s">
        <v>1465</v>
      </c>
      <c r="I161" s="687" t="s">
        <v>42</v>
      </c>
      <c r="J161" s="982" t="s">
        <v>1451</v>
      </c>
      <c r="K161" s="687" t="s">
        <v>18</v>
      </c>
      <c r="L161" s="637">
        <v>-10</v>
      </c>
      <c r="M161" s="637">
        <v>569444.4</v>
      </c>
      <c r="N161" s="637">
        <f t="shared" si="3"/>
        <v>-5694444</v>
      </c>
      <c r="O161" s="895">
        <f t="shared" si="0"/>
        <v>-455555.52</v>
      </c>
      <c r="P161" s="894">
        <f t="shared" si="1"/>
        <v>-6149999.5199999996</v>
      </c>
      <c r="Q161" s="652"/>
      <c r="R161" s="652"/>
    </row>
    <row r="162" spans="1:18">
      <c r="A162" s="711" t="s">
        <v>753</v>
      </c>
      <c r="B162" s="307" t="s">
        <v>754</v>
      </c>
      <c r="C162" s="446">
        <v>46310</v>
      </c>
      <c r="D162" s="444" t="s">
        <v>1456</v>
      </c>
      <c r="E162" s="446"/>
      <c r="F162" s="447"/>
      <c r="G162" s="447"/>
      <c r="H162" s="299" t="s">
        <v>1465</v>
      </c>
      <c r="I162" s="687" t="s">
        <v>44</v>
      </c>
      <c r="J162" s="982" t="s">
        <v>1452</v>
      </c>
      <c r="K162" s="687" t="s">
        <v>18</v>
      </c>
      <c r="L162" s="637">
        <v>-12</v>
      </c>
      <c r="M162" s="637">
        <v>564814.82999999996</v>
      </c>
      <c r="N162" s="637">
        <f t="shared" si="3"/>
        <v>-6777777.959999999</v>
      </c>
      <c r="O162" s="895">
        <f t="shared" si="0"/>
        <v>-542222.23679999996</v>
      </c>
      <c r="P162" s="894">
        <f t="shared" si="1"/>
        <v>-7320000.1967999991</v>
      </c>
      <c r="Q162" s="652"/>
      <c r="R162" s="652"/>
    </row>
    <row r="163" spans="1:18">
      <c r="A163" s="711" t="s">
        <v>753</v>
      </c>
      <c r="B163" s="307" t="s">
        <v>754</v>
      </c>
      <c r="C163" s="446">
        <v>46310</v>
      </c>
      <c r="D163" s="444" t="s">
        <v>1456</v>
      </c>
      <c r="E163" s="446"/>
      <c r="F163" s="447"/>
      <c r="G163" s="447"/>
      <c r="H163" s="299" t="s">
        <v>1465</v>
      </c>
      <c r="I163" s="687" t="s">
        <v>148</v>
      </c>
      <c r="J163" s="982" t="s">
        <v>1453</v>
      </c>
      <c r="K163" s="687" t="s">
        <v>18</v>
      </c>
      <c r="L163" s="637">
        <v>-12</v>
      </c>
      <c r="M163" s="637">
        <v>358333.33</v>
      </c>
      <c r="N163" s="637">
        <f t="shared" si="3"/>
        <v>-4299999.96</v>
      </c>
      <c r="O163" s="895">
        <f t="shared" si="0"/>
        <v>-343999.99680000002</v>
      </c>
      <c r="P163" s="894">
        <f t="shared" si="1"/>
        <v>-4643999.9567999998</v>
      </c>
      <c r="Q163" s="652"/>
      <c r="R163" s="652"/>
    </row>
    <row r="164" spans="1:18">
      <c r="A164" s="711" t="s">
        <v>753</v>
      </c>
      <c r="B164" s="307" t="s">
        <v>754</v>
      </c>
      <c r="C164" s="446">
        <v>46310</v>
      </c>
      <c r="D164" s="444" t="s">
        <v>1456</v>
      </c>
      <c r="E164" s="446"/>
      <c r="F164" s="447"/>
      <c r="G164" s="447"/>
      <c r="H164" s="299" t="s">
        <v>1465</v>
      </c>
      <c r="I164" s="687" t="s">
        <v>192</v>
      </c>
      <c r="J164" s="982" t="s">
        <v>1454</v>
      </c>
      <c r="K164" s="687" t="s">
        <v>18</v>
      </c>
      <c r="L164" s="637">
        <v>-12</v>
      </c>
      <c r="M164" s="637">
        <v>398148.17</v>
      </c>
      <c r="N164" s="637">
        <f t="shared" si="3"/>
        <v>-4777778.04</v>
      </c>
      <c r="O164" s="895">
        <f t="shared" si="0"/>
        <v>-382222.24320000003</v>
      </c>
      <c r="P164" s="894">
        <f t="shared" si="1"/>
        <v>-5160000.2832000004</v>
      </c>
      <c r="Q164" s="652"/>
      <c r="R164" s="652"/>
    </row>
    <row r="165" spans="1:18">
      <c r="A165" s="711" t="s">
        <v>753</v>
      </c>
      <c r="B165" s="307" t="s">
        <v>754</v>
      </c>
      <c r="C165" s="446">
        <v>46310</v>
      </c>
      <c r="D165" s="444" t="s">
        <v>1456</v>
      </c>
      <c r="E165" s="446"/>
      <c r="F165" s="447"/>
      <c r="G165" s="447"/>
      <c r="H165" s="299" t="s">
        <v>1465</v>
      </c>
      <c r="I165" s="687" t="s">
        <v>60</v>
      </c>
      <c r="J165" s="982" t="s">
        <v>1455</v>
      </c>
      <c r="K165" s="687" t="s">
        <v>18</v>
      </c>
      <c r="L165" s="637">
        <v>-8</v>
      </c>
      <c r="M165" s="637">
        <v>1138888.8799999999</v>
      </c>
      <c r="N165" s="637">
        <f t="shared" si="3"/>
        <v>-9111111.0399999991</v>
      </c>
      <c r="O165" s="895">
        <f t="shared" si="0"/>
        <v>-728888.88319999992</v>
      </c>
      <c r="P165" s="894">
        <f t="shared" si="1"/>
        <v>-9839999.9231999982</v>
      </c>
      <c r="Q165" s="652"/>
      <c r="R165" s="652"/>
    </row>
    <row r="166" spans="1:18">
      <c r="A166" s="711" t="s">
        <v>753</v>
      </c>
      <c r="B166" s="307" t="s">
        <v>754</v>
      </c>
      <c r="C166" s="446">
        <v>46310</v>
      </c>
      <c r="D166" s="444" t="s">
        <v>1456</v>
      </c>
      <c r="E166" s="446"/>
      <c r="F166" s="447"/>
      <c r="G166" s="447"/>
      <c r="H166" s="299" t="s">
        <v>1465</v>
      </c>
      <c r="I166" s="687" t="s">
        <v>83</v>
      </c>
      <c r="J166" s="982" t="s">
        <v>1438</v>
      </c>
      <c r="K166" s="687" t="s">
        <v>18</v>
      </c>
      <c r="L166" s="637">
        <v>-12</v>
      </c>
      <c r="M166" s="637">
        <v>1097222.22</v>
      </c>
      <c r="N166" s="637">
        <f t="shared" si="3"/>
        <v>-13166666.640000001</v>
      </c>
      <c r="O166" s="895">
        <f t="shared" si="0"/>
        <v>-1053333.3312000001</v>
      </c>
      <c r="P166" s="894">
        <f t="shared" si="1"/>
        <v>-14219999.9712</v>
      </c>
      <c r="Q166" s="652"/>
      <c r="R166" s="652"/>
    </row>
    <row r="167" spans="1:18">
      <c r="A167" s="711" t="s">
        <v>753</v>
      </c>
      <c r="B167" s="307" t="s">
        <v>754</v>
      </c>
      <c r="C167" s="446">
        <v>46310</v>
      </c>
      <c r="D167" s="444" t="s">
        <v>1456</v>
      </c>
      <c r="E167" s="446"/>
      <c r="F167" s="447"/>
      <c r="G167" s="447"/>
      <c r="H167" s="299" t="s">
        <v>1465</v>
      </c>
      <c r="I167" s="687" t="s">
        <v>386</v>
      </c>
      <c r="J167" s="982" t="s">
        <v>387</v>
      </c>
      <c r="K167" s="687" t="s">
        <v>18</v>
      </c>
      <c r="L167" s="637">
        <v>-12</v>
      </c>
      <c r="M167" s="637">
        <v>847222.25</v>
      </c>
      <c r="N167" s="637">
        <f t="shared" si="3"/>
        <v>-10166667</v>
      </c>
      <c r="O167" s="895">
        <f t="shared" si="0"/>
        <v>-813333.36</v>
      </c>
      <c r="P167" s="894">
        <f t="shared" si="1"/>
        <v>-10980000.359999999</v>
      </c>
      <c r="Q167" s="652"/>
      <c r="R167" s="652"/>
    </row>
    <row r="168" spans="1:18">
      <c r="A168" s="711" t="s">
        <v>753</v>
      </c>
      <c r="B168" s="307" t="s">
        <v>754</v>
      </c>
      <c r="C168" s="446">
        <v>46310</v>
      </c>
      <c r="D168" s="444" t="s">
        <v>1456</v>
      </c>
      <c r="E168" s="446"/>
      <c r="F168" s="447"/>
      <c r="G168" s="447"/>
      <c r="H168" s="299" t="s">
        <v>1465</v>
      </c>
      <c r="I168" s="687" t="s">
        <v>194</v>
      </c>
      <c r="J168" s="982" t="s">
        <v>720</v>
      </c>
      <c r="K168" s="687" t="s">
        <v>18</v>
      </c>
      <c r="L168" s="637">
        <v>-8</v>
      </c>
      <c r="M168" s="637">
        <v>1203703.7</v>
      </c>
      <c r="N168" s="637">
        <f t="shared" si="3"/>
        <v>-9629629.5999999996</v>
      </c>
      <c r="O168" s="895">
        <f t="shared" si="0"/>
        <v>-770370.36800000002</v>
      </c>
      <c r="P168" s="894">
        <f t="shared" si="1"/>
        <v>-10399999.968</v>
      </c>
      <c r="Q168" s="652"/>
      <c r="R168" s="652"/>
    </row>
    <row r="169" spans="1:18">
      <c r="A169" s="711" t="s">
        <v>753</v>
      </c>
      <c r="B169" s="307" t="s">
        <v>754</v>
      </c>
      <c r="C169" s="446">
        <v>46310</v>
      </c>
      <c r="D169" s="444" t="s">
        <v>1456</v>
      </c>
      <c r="E169" s="446"/>
      <c r="F169" s="447"/>
      <c r="G169" s="447"/>
      <c r="H169" s="299" t="s">
        <v>1465</v>
      </c>
      <c r="I169" s="687" t="s">
        <v>58</v>
      </c>
      <c r="J169" s="982" t="s">
        <v>59</v>
      </c>
      <c r="K169" s="687" t="s">
        <v>18</v>
      </c>
      <c r="L169" s="637">
        <v>-4</v>
      </c>
      <c r="M169" s="637">
        <v>1361111.1</v>
      </c>
      <c r="N169" s="637">
        <f t="shared" si="3"/>
        <v>-5444444.4000000004</v>
      </c>
      <c r="O169" s="895">
        <f t="shared" si="0"/>
        <v>-435555.55200000003</v>
      </c>
      <c r="P169" s="894">
        <f t="shared" si="1"/>
        <v>-5879999.9520000005</v>
      </c>
      <c r="Q169" s="652"/>
      <c r="R169" s="652"/>
    </row>
    <row r="170" spans="1:18">
      <c r="A170" s="711" t="s">
        <v>753</v>
      </c>
      <c r="B170" s="307" t="s">
        <v>754</v>
      </c>
      <c r="C170" s="446">
        <v>46310</v>
      </c>
      <c r="D170" s="444" t="s">
        <v>1456</v>
      </c>
      <c r="E170" s="446"/>
      <c r="F170" s="447"/>
      <c r="G170" s="447"/>
      <c r="H170" s="299" t="s">
        <v>1465</v>
      </c>
      <c r="I170" s="687" t="s">
        <v>873</v>
      </c>
      <c r="J170" s="982" t="s">
        <v>874</v>
      </c>
      <c r="K170" s="687" t="s">
        <v>18</v>
      </c>
      <c r="L170" s="637">
        <v>-51</v>
      </c>
      <c r="M170" s="637">
        <v>388888.89</v>
      </c>
      <c r="N170" s="637">
        <f t="shared" si="3"/>
        <v>-19833333.390000001</v>
      </c>
      <c r="O170" s="895">
        <f t="shared" si="0"/>
        <v>-1586666.6712</v>
      </c>
      <c r="P170" s="894">
        <f t="shared" si="1"/>
        <v>-21420000.0612</v>
      </c>
      <c r="Q170" s="652"/>
      <c r="R170" s="652"/>
    </row>
    <row r="171" spans="1:18">
      <c r="A171" s="711" t="s">
        <v>753</v>
      </c>
      <c r="B171" s="307" t="s">
        <v>754</v>
      </c>
      <c r="C171" s="446">
        <v>46310</v>
      </c>
      <c r="D171" s="444" t="s">
        <v>1456</v>
      </c>
      <c r="E171" s="446"/>
      <c r="F171" s="447"/>
      <c r="G171" s="447"/>
      <c r="H171" s="299" t="s">
        <v>1465</v>
      </c>
      <c r="I171" s="687" t="s">
        <v>796</v>
      </c>
      <c r="J171" s="982" t="s">
        <v>797</v>
      </c>
      <c r="K171" s="687" t="s">
        <v>18</v>
      </c>
      <c r="L171" s="637">
        <v>-90</v>
      </c>
      <c r="M171" s="637">
        <v>292592.59000000003</v>
      </c>
      <c r="N171" s="637">
        <f t="shared" si="3"/>
        <v>-26333333.100000001</v>
      </c>
      <c r="O171" s="895">
        <f t="shared" si="0"/>
        <v>-2106666.648</v>
      </c>
      <c r="P171" s="894">
        <f t="shared" si="1"/>
        <v>-28439999.748000003</v>
      </c>
      <c r="Q171" s="652"/>
      <c r="R171" s="652"/>
    </row>
    <row r="172" spans="1:18">
      <c r="M172" s="309"/>
      <c r="N172" s="506">
        <f>SUM(N2:N171)</f>
        <v>763199996.80999982</v>
      </c>
      <c r="O172" s="506">
        <f>SUM(O2:O171)</f>
        <v>61055999.744799979</v>
      </c>
      <c r="P172" s="506">
        <f>N172+O172</f>
        <v>824255996.5547998</v>
      </c>
      <c r="Q172" s="506">
        <f>SUM(Q2:Q171)</f>
        <v>450000000</v>
      </c>
      <c r="R172" s="506">
        <f>SUM(R2:R171)</f>
        <v>9515000</v>
      </c>
    </row>
    <row r="173" spans="1:18" ht="15.75" thickBot="1"/>
    <row r="174" spans="1:18">
      <c r="J174" s="477" t="s">
        <v>894</v>
      </c>
      <c r="K174" s="491">
        <f>P172</f>
        <v>824255996.5547998</v>
      </c>
      <c r="L174" s="452"/>
      <c r="M174" s="993" t="s">
        <v>900</v>
      </c>
      <c r="N174" s="994"/>
      <c r="O174" s="994"/>
      <c r="P174" s="994"/>
      <c r="Q174" s="994"/>
    </row>
    <row r="175" spans="1:18">
      <c r="J175" s="478" t="s">
        <v>895</v>
      </c>
      <c r="K175" s="492">
        <f>Q172</f>
        <v>450000000</v>
      </c>
      <c r="L175" s="452"/>
      <c r="M175" s="994"/>
      <c r="N175" s="994"/>
      <c r="O175" s="994"/>
      <c r="P175" s="994"/>
      <c r="Q175" s="994"/>
    </row>
    <row r="176" spans="1:18">
      <c r="J176" s="478" t="s">
        <v>896</v>
      </c>
      <c r="K176" s="492">
        <f>R172</f>
        <v>9515000</v>
      </c>
      <c r="L176" s="452"/>
      <c r="M176" s="994"/>
      <c r="N176" s="994"/>
      <c r="O176" s="994"/>
      <c r="P176" s="994"/>
      <c r="Q176" s="994"/>
    </row>
    <row r="177" spans="10:17">
      <c r="J177" s="478" t="s">
        <v>901</v>
      </c>
      <c r="K177" s="492">
        <f>SUM(P74:P78)</f>
        <v>63599999.990400001</v>
      </c>
      <c r="L177" s="452"/>
      <c r="M177" s="994"/>
      <c r="N177" s="994"/>
      <c r="O177" s="994"/>
      <c r="P177" s="994"/>
      <c r="Q177" s="994"/>
    </row>
    <row r="178" spans="10:17">
      <c r="J178" s="478" t="s">
        <v>898</v>
      </c>
      <c r="K178" s="492">
        <f>K174-K175-K176</f>
        <v>364740996.5547998</v>
      </c>
      <c r="L178" s="452"/>
      <c r="M178" s="994"/>
      <c r="N178" s="994"/>
      <c r="O178" s="994"/>
      <c r="P178" s="994"/>
      <c r="Q178" s="994"/>
    </row>
    <row r="179" spans="10:17" ht="15.75" thickBot="1">
      <c r="J179" s="480" t="s">
        <v>902</v>
      </c>
      <c r="K179" s="493">
        <f>K178-K177</f>
        <v>301140996.56439978</v>
      </c>
      <c r="L179" s="452"/>
      <c r="M179" s="994"/>
      <c r="N179" s="994"/>
      <c r="O179" s="994"/>
      <c r="P179" s="994"/>
      <c r="Q179" s="994"/>
    </row>
    <row r="180" spans="10:17">
      <c r="J180" s="452"/>
      <c r="K180" s="452"/>
      <c r="L180" s="452"/>
      <c r="M180" s="994"/>
      <c r="N180" s="994"/>
      <c r="O180" s="994"/>
      <c r="P180" s="994"/>
      <c r="Q180" s="994"/>
    </row>
    <row r="181" spans="10:17">
      <c r="J181" s="452"/>
      <c r="K181" s="452"/>
      <c r="L181" s="452"/>
      <c r="M181" s="994"/>
      <c r="N181" s="994"/>
      <c r="O181" s="994"/>
      <c r="P181" s="994"/>
      <c r="Q181" s="994"/>
    </row>
    <row r="182" spans="10:17">
      <c r="J182" s="452"/>
      <c r="K182" s="452"/>
      <c r="L182" s="452"/>
      <c r="M182" s="994"/>
      <c r="N182" s="994"/>
      <c r="O182" s="994"/>
      <c r="P182" s="994"/>
      <c r="Q182" s="994"/>
    </row>
    <row r="183" spans="10:17">
      <c r="J183" s="452"/>
      <c r="K183" s="452"/>
      <c r="L183" s="452"/>
      <c r="M183" s="994"/>
      <c r="N183" s="994"/>
      <c r="O183" s="994"/>
      <c r="P183" s="994"/>
      <c r="Q183" s="994"/>
    </row>
    <row r="184" spans="10:17">
      <c r="J184" s="452"/>
      <c r="K184" s="452"/>
      <c r="L184" s="452"/>
      <c r="M184" s="994"/>
      <c r="N184" s="994"/>
      <c r="O184" s="994"/>
      <c r="P184" s="994"/>
      <c r="Q184" s="994"/>
    </row>
    <row r="185" spans="10:17">
      <c r="J185" s="452"/>
      <c r="K185" s="452"/>
      <c r="L185" s="452"/>
      <c r="M185" s="994"/>
      <c r="N185" s="994"/>
      <c r="O185" s="994"/>
      <c r="P185" s="994"/>
      <c r="Q185" s="994"/>
    </row>
  </sheetData>
  <autoFilter ref="A1:R172" xr:uid="{054486EA-B897-44DB-8920-EF2FFB0CAB4A}"/>
  <mergeCells count="1">
    <mergeCell ref="M174:Q18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77A2-852C-4EB9-9387-6C8145AABEC4}">
  <dimension ref="A2:R72"/>
  <sheetViews>
    <sheetView topLeftCell="B1" workbookViewId="0">
      <pane ySplit="2" topLeftCell="A24" activePane="bottomLeft" state="frozen"/>
      <selection activeCell="B1" sqref="B1"/>
      <selection pane="bottomLeft" activeCell="I54" sqref="I54"/>
    </sheetView>
  </sheetViews>
  <sheetFormatPr defaultRowHeight="15"/>
  <cols>
    <col min="1" max="1" width="8.28515625" bestFit="1" customWidth="1"/>
    <col min="2" max="2" width="23.5703125" customWidth="1"/>
    <col min="3" max="3" width="11.5703125" bestFit="1" customWidth="1"/>
    <col min="4" max="4" width="15.42578125" bestFit="1" customWidth="1"/>
    <col min="5" max="5" width="11.5703125" bestFit="1" customWidth="1"/>
    <col min="6" max="6" width="9" bestFit="1" customWidth="1"/>
    <col min="7" max="7" width="10.140625" bestFit="1" customWidth="1"/>
    <col min="8" max="8" width="65.7109375" bestFit="1" customWidth="1"/>
    <col min="9" max="9" width="14.42578125" bestFit="1" customWidth="1"/>
    <col min="10" max="10" width="28.42578125" bestFit="1" customWidth="1"/>
    <col min="11" max="11" width="5.5703125" bestFit="1" customWidth="1"/>
    <col min="12" max="12" width="7.28515625" bestFit="1" customWidth="1"/>
    <col min="13" max="13" width="11.28515625" bestFit="1" customWidth="1"/>
    <col min="14" max="15" width="11.85546875" bestFit="1" customWidth="1"/>
    <col min="16" max="16" width="13.140625" bestFit="1" customWidth="1"/>
    <col min="17" max="17" width="14.7109375" bestFit="1" customWidth="1"/>
    <col min="18" max="18" width="10.85546875" bestFit="1" customWidth="1"/>
  </cols>
  <sheetData>
    <row r="2" spans="1:18" ht="80.25">
      <c r="A2" s="433" t="s">
        <v>666</v>
      </c>
      <c r="B2" s="431" t="s">
        <v>866</v>
      </c>
      <c r="C2" s="640" t="s">
        <v>994</v>
      </c>
      <c r="D2" s="432" t="s">
        <v>636</v>
      </c>
      <c r="E2" s="431" t="s">
        <v>635</v>
      </c>
      <c r="F2" s="433" t="s">
        <v>637</v>
      </c>
      <c r="G2" s="433" t="s">
        <v>634</v>
      </c>
      <c r="H2" s="568" t="s">
        <v>625</v>
      </c>
      <c r="I2" s="645" t="s">
        <v>995</v>
      </c>
      <c r="J2" s="568" t="s">
        <v>627</v>
      </c>
      <c r="K2" s="646" t="s">
        <v>996</v>
      </c>
      <c r="L2" s="649" t="s">
        <v>997</v>
      </c>
      <c r="M2" s="660" t="s">
        <v>998</v>
      </c>
      <c r="N2" s="660" t="s">
        <v>999</v>
      </c>
      <c r="O2" s="660" t="s">
        <v>1000</v>
      </c>
      <c r="P2" s="660" t="s">
        <v>913</v>
      </c>
      <c r="Q2" s="650" t="s">
        <v>1104</v>
      </c>
      <c r="R2" s="650" t="s">
        <v>1002</v>
      </c>
    </row>
    <row r="3" spans="1:18">
      <c r="A3" s="664" t="s">
        <v>1138</v>
      </c>
      <c r="B3" s="449" t="s">
        <v>1134</v>
      </c>
      <c r="C3" s="639">
        <v>46263</v>
      </c>
      <c r="D3" s="302" t="s">
        <v>1306</v>
      </c>
      <c r="E3" s="748"/>
      <c r="F3" s="298"/>
      <c r="G3" s="754"/>
      <c r="H3" s="570" t="s">
        <v>1135</v>
      </c>
      <c r="I3" s="643" t="s">
        <v>77</v>
      </c>
      <c r="J3" s="299" t="s">
        <v>78</v>
      </c>
      <c r="K3" s="668" t="s">
        <v>18</v>
      </c>
      <c r="L3" s="637">
        <v>12</v>
      </c>
      <c r="M3" s="578">
        <v>333333.33</v>
      </c>
      <c r="N3" s="578">
        <v>3999999.96</v>
      </c>
      <c r="O3" s="578">
        <v>319999.99680000002</v>
      </c>
      <c r="P3" s="578">
        <v>4319999.9567999998</v>
      </c>
      <c r="Q3" s="578"/>
      <c r="R3" s="578"/>
    </row>
    <row r="4" spans="1:18" ht="18.75">
      <c r="A4" s="664" t="s">
        <v>1138</v>
      </c>
      <c r="B4" s="449" t="s">
        <v>1134</v>
      </c>
      <c r="C4" s="639">
        <v>46263</v>
      </c>
      <c r="D4" s="302" t="s">
        <v>1306</v>
      </c>
      <c r="E4" s="639">
        <v>46295</v>
      </c>
      <c r="F4" s="298"/>
      <c r="G4" s="886" t="s">
        <v>1307</v>
      </c>
      <c r="H4" s="570" t="s">
        <v>1135</v>
      </c>
      <c r="I4" s="643" t="s">
        <v>639</v>
      </c>
      <c r="J4" s="302" t="s">
        <v>640</v>
      </c>
      <c r="K4" s="668" t="s">
        <v>18</v>
      </c>
      <c r="L4" s="637">
        <v>15</v>
      </c>
      <c r="M4" s="578">
        <v>537037.04</v>
      </c>
      <c r="N4" s="578">
        <v>8055555.6000000006</v>
      </c>
      <c r="O4" s="578">
        <v>644444.44800000009</v>
      </c>
      <c r="P4" s="578">
        <v>8700000.0480000004</v>
      </c>
      <c r="Q4" s="578"/>
      <c r="R4" s="578"/>
    </row>
    <row r="5" spans="1:18" ht="18.75">
      <c r="A5" s="664" t="s">
        <v>1138</v>
      </c>
      <c r="B5" s="449" t="s">
        <v>1134</v>
      </c>
      <c r="C5" s="639">
        <v>46263</v>
      </c>
      <c r="D5" s="302" t="s">
        <v>1306</v>
      </c>
      <c r="E5" s="639">
        <v>46295</v>
      </c>
      <c r="F5" s="298"/>
      <c r="G5" s="886" t="s">
        <v>1307</v>
      </c>
      <c r="H5" s="570" t="s">
        <v>1135</v>
      </c>
      <c r="I5" s="643" t="s">
        <v>641</v>
      </c>
      <c r="J5" s="302" t="s">
        <v>657</v>
      </c>
      <c r="K5" s="668" t="s">
        <v>18</v>
      </c>
      <c r="L5" s="637">
        <v>15</v>
      </c>
      <c r="M5" s="578">
        <v>638888.89</v>
      </c>
      <c r="N5" s="578">
        <v>9583333.3499999996</v>
      </c>
      <c r="O5" s="578">
        <v>766666.66799999995</v>
      </c>
      <c r="P5" s="578">
        <v>10350000.017999999</v>
      </c>
      <c r="Q5" s="578"/>
      <c r="R5" s="578"/>
    </row>
    <row r="6" spans="1:18" ht="18.75">
      <c r="A6" s="664" t="s">
        <v>1138</v>
      </c>
      <c r="B6" s="449" t="s">
        <v>1134</v>
      </c>
      <c r="C6" s="639">
        <v>46263</v>
      </c>
      <c r="D6" s="302" t="s">
        <v>1306</v>
      </c>
      <c r="E6" s="639">
        <v>46295</v>
      </c>
      <c r="F6" s="298"/>
      <c r="G6" s="886" t="s">
        <v>1307</v>
      </c>
      <c r="H6" s="570" t="s">
        <v>1135</v>
      </c>
      <c r="I6" s="643" t="s">
        <v>643</v>
      </c>
      <c r="J6" s="302" t="s">
        <v>644</v>
      </c>
      <c r="K6" s="668" t="s">
        <v>18</v>
      </c>
      <c r="L6" s="637">
        <v>15</v>
      </c>
      <c r="M6" s="578">
        <v>527777.78</v>
      </c>
      <c r="N6" s="578">
        <v>7916666.7000000002</v>
      </c>
      <c r="O6" s="578">
        <v>633333.33600000001</v>
      </c>
      <c r="P6" s="578">
        <v>8550000.0360000003</v>
      </c>
      <c r="Q6" s="578"/>
      <c r="R6" s="578"/>
    </row>
    <row r="7" spans="1:18" ht="18.75">
      <c r="A7" s="664" t="s">
        <v>1138</v>
      </c>
      <c r="B7" s="449" t="s">
        <v>1134</v>
      </c>
      <c r="C7" s="639">
        <v>46263</v>
      </c>
      <c r="D7" s="302" t="s">
        <v>1306</v>
      </c>
      <c r="E7" s="639">
        <v>46295</v>
      </c>
      <c r="F7" s="298"/>
      <c r="G7" s="886" t="s">
        <v>1307</v>
      </c>
      <c r="H7" s="570" t="s">
        <v>1135</v>
      </c>
      <c r="I7" s="643" t="s">
        <v>653</v>
      </c>
      <c r="J7" s="302" t="s">
        <v>654</v>
      </c>
      <c r="K7" s="668" t="s">
        <v>18</v>
      </c>
      <c r="L7" s="637">
        <v>15</v>
      </c>
      <c r="M7" s="578">
        <v>481481.48</v>
      </c>
      <c r="N7" s="578">
        <v>7222222.1999999993</v>
      </c>
      <c r="O7" s="578">
        <v>577777.77599999995</v>
      </c>
      <c r="P7" s="578">
        <v>7799999.9759999989</v>
      </c>
      <c r="Q7" s="578"/>
      <c r="R7" s="578"/>
    </row>
    <row r="8" spans="1:18" ht="18.75">
      <c r="A8" s="664" t="s">
        <v>1138</v>
      </c>
      <c r="B8" s="449" t="s">
        <v>1134</v>
      </c>
      <c r="C8" s="639">
        <v>46263</v>
      </c>
      <c r="D8" s="302" t="s">
        <v>1306</v>
      </c>
      <c r="E8" s="639">
        <v>46295</v>
      </c>
      <c r="F8" s="298"/>
      <c r="G8" s="886" t="s">
        <v>1307</v>
      </c>
      <c r="H8" s="570" t="s">
        <v>1135</v>
      </c>
      <c r="I8" s="643" t="s">
        <v>655</v>
      </c>
      <c r="J8" s="302" t="s">
        <v>656</v>
      </c>
      <c r="K8" s="668" t="s">
        <v>18</v>
      </c>
      <c r="L8" s="637">
        <v>15</v>
      </c>
      <c r="M8" s="578">
        <v>574074.06999999995</v>
      </c>
      <c r="N8" s="578">
        <v>8611111.0499999989</v>
      </c>
      <c r="O8" s="578">
        <v>688888.88399999996</v>
      </c>
      <c r="P8" s="578">
        <v>9299999.9339999985</v>
      </c>
      <c r="Q8" s="578"/>
      <c r="R8" s="578"/>
    </row>
    <row r="9" spans="1:18">
      <c r="A9" s="664" t="s">
        <v>1138</v>
      </c>
      <c r="B9" s="449" t="s">
        <v>1134</v>
      </c>
      <c r="C9" s="639">
        <v>46263</v>
      </c>
      <c r="D9" s="302" t="s">
        <v>1306</v>
      </c>
      <c r="E9" s="639">
        <v>46268</v>
      </c>
      <c r="F9" s="298" t="s">
        <v>1083</v>
      </c>
      <c r="G9" s="759" t="s">
        <v>1082</v>
      </c>
      <c r="H9" s="570" t="s">
        <v>1135</v>
      </c>
      <c r="I9" s="643" t="s">
        <v>74</v>
      </c>
      <c r="J9" s="302" t="s">
        <v>141</v>
      </c>
      <c r="K9" s="668" t="s">
        <v>18</v>
      </c>
      <c r="L9" s="637">
        <v>16</v>
      </c>
      <c r="M9" s="578">
        <v>382407.41</v>
      </c>
      <c r="N9" s="578">
        <v>6118518.5599999996</v>
      </c>
      <c r="O9" s="578">
        <v>489481.48479999998</v>
      </c>
      <c r="P9" s="578">
        <v>6608000.0447999993</v>
      </c>
      <c r="Q9" s="578"/>
      <c r="R9" s="578"/>
    </row>
    <row r="10" spans="1:18">
      <c r="A10" s="664" t="s">
        <v>1138</v>
      </c>
      <c r="B10" s="449" t="s">
        <v>1134</v>
      </c>
      <c r="C10" s="639">
        <v>46263</v>
      </c>
      <c r="D10" s="302" t="s">
        <v>1306</v>
      </c>
      <c r="E10" s="639"/>
      <c r="F10" s="298"/>
      <c r="G10" s="759"/>
      <c r="H10" s="570" t="s">
        <v>1135</v>
      </c>
      <c r="I10" s="643" t="s">
        <v>171</v>
      </c>
      <c r="J10" s="302" t="s">
        <v>172</v>
      </c>
      <c r="K10" s="668" t="s">
        <v>18</v>
      </c>
      <c r="L10" s="637">
        <v>40</v>
      </c>
      <c r="M10" s="578">
        <v>69444.44</v>
      </c>
      <c r="N10" s="578">
        <v>2777777.6</v>
      </c>
      <c r="O10" s="578">
        <v>222222.20800000001</v>
      </c>
      <c r="P10" s="578">
        <v>2999999.8080000002</v>
      </c>
      <c r="Q10" s="578"/>
      <c r="R10" s="578"/>
    </row>
    <row r="11" spans="1:18">
      <c r="A11" s="664" t="s">
        <v>1138</v>
      </c>
      <c r="B11" s="449" t="s">
        <v>1134</v>
      </c>
      <c r="C11" s="639">
        <v>46263</v>
      </c>
      <c r="D11" s="302" t="s">
        <v>1306</v>
      </c>
      <c r="E11" s="639"/>
      <c r="F11" s="298"/>
      <c r="G11" s="759"/>
      <c r="H11" s="570" t="s">
        <v>1135</v>
      </c>
      <c r="I11" s="643" t="s">
        <v>173</v>
      </c>
      <c r="J11" s="302" t="s">
        <v>174</v>
      </c>
      <c r="K11" s="668" t="s">
        <v>18</v>
      </c>
      <c r="L11" s="637">
        <v>40</v>
      </c>
      <c r="M11" s="578">
        <v>97222.22</v>
      </c>
      <c r="N11" s="578">
        <v>3888888.8</v>
      </c>
      <c r="O11" s="578">
        <v>311111.10399999999</v>
      </c>
      <c r="P11" s="578">
        <v>4199999.9040000001</v>
      </c>
      <c r="Q11" s="578"/>
      <c r="R11" s="578"/>
    </row>
    <row r="12" spans="1:18" ht="18.75">
      <c r="A12" s="664" t="s">
        <v>1138</v>
      </c>
      <c r="B12" s="449" t="s">
        <v>1134</v>
      </c>
      <c r="C12" s="639">
        <v>46263</v>
      </c>
      <c r="D12" s="302" t="s">
        <v>1306</v>
      </c>
      <c r="E12" s="639">
        <v>46295</v>
      </c>
      <c r="F12" s="298"/>
      <c r="G12" s="886" t="s">
        <v>1307</v>
      </c>
      <c r="H12" s="570" t="s">
        <v>1135</v>
      </c>
      <c r="I12" s="643" t="s">
        <v>639</v>
      </c>
      <c r="J12" s="302" t="s">
        <v>640</v>
      </c>
      <c r="K12" s="668" t="s">
        <v>18</v>
      </c>
      <c r="L12" s="637">
        <v>1</v>
      </c>
      <c r="M12" s="578">
        <v>0</v>
      </c>
      <c r="N12" s="578">
        <v>0</v>
      </c>
      <c r="O12" s="578">
        <v>0</v>
      </c>
      <c r="P12" s="578">
        <v>0</v>
      </c>
      <c r="Q12" s="578"/>
      <c r="R12" s="578"/>
    </row>
    <row r="13" spans="1:18" ht="18.75">
      <c r="A13" s="664" t="s">
        <v>1138</v>
      </c>
      <c r="B13" s="449" t="s">
        <v>1134</v>
      </c>
      <c r="C13" s="639">
        <v>46263</v>
      </c>
      <c r="D13" s="302" t="s">
        <v>1306</v>
      </c>
      <c r="E13" s="639">
        <v>46295</v>
      </c>
      <c r="F13" s="298"/>
      <c r="G13" s="886" t="s">
        <v>1307</v>
      </c>
      <c r="H13" s="570" t="s">
        <v>1135</v>
      </c>
      <c r="I13" s="643" t="s">
        <v>641</v>
      </c>
      <c r="J13" s="302" t="s">
        <v>657</v>
      </c>
      <c r="K13" s="668" t="s">
        <v>18</v>
      </c>
      <c r="L13" s="637">
        <v>1</v>
      </c>
      <c r="M13" s="578">
        <v>0</v>
      </c>
      <c r="N13" s="578">
        <v>0</v>
      </c>
      <c r="O13" s="578">
        <v>0</v>
      </c>
      <c r="P13" s="578">
        <v>0</v>
      </c>
      <c r="Q13" s="578"/>
      <c r="R13" s="578"/>
    </row>
    <row r="14" spans="1:18" ht="18.75">
      <c r="A14" s="664" t="s">
        <v>1138</v>
      </c>
      <c r="B14" s="449" t="s">
        <v>1134</v>
      </c>
      <c r="C14" s="639">
        <v>46263</v>
      </c>
      <c r="D14" s="302" t="s">
        <v>1306</v>
      </c>
      <c r="E14" s="639">
        <v>46295</v>
      </c>
      <c r="F14" s="298"/>
      <c r="G14" s="886" t="s">
        <v>1307</v>
      </c>
      <c r="H14" s="570" t="s">
        <v>1135</v>
      </c>
      <c r="I14" s="643" t="s">
        <v>643</v>
      </c>
      <c r="J14" s="302" t="s">
        <v>644</v>
      </c>
      <c r="K14" s="668" t="s">
        <v>18</v>
      </c>
      <c r="L14" s="637">
        <v>1</v>
      </c>
      <c r="M14" s="578">
        <v>0</v>
      </c>
      <c r="N14" s="578">
        <v>0</v>
      </c>
      <c r="O14" s="578">
        <v>0</v>
      </c>
      <c r="P14" s="578">
        <v>0</v>
      </c>
      <c r="Q14" s="578"/>
      <c r="R14" s="578"/>
    </row>
    <row r="15" spans="1:18" ht="18.75">
      <c r="A15" s="664" t="s">
        <v>1138</v>
      </c>
      <c r="B15" s="449" t="s">
        <v>1134</v>
      </c>
      <c r="C15" s="639">
        <v>46263</v>
      </c>
      <c r="D15" s="302" t="s">
        <v>1306</v>
      </c>
      <c r="E15" s="639">
        <v>46295</v>
      </c>
      <c r="F15" s="298"/>
      <c r="G15" s="886" t="s">
        <v>1307</v>
      </c>
      <c r="H15" s="570" t="s">
        <v>1135</v>
      </c>
      <c r="I15" s="643" t="s">
        <v>653</v>
      </c>
      <c r="J15" s="302" t="s">
        <v>654</v>
      </c>
      <c r="K15" s="668" t="s">
        <v>18</v>
      </c>
      <c r="L15" s="637">
        <v>1</v>
      </c>
      <c r="M15" s="578">
        <v>0</v>
      </c>
      <c r="N15" s="578">
        <v>0</v>
      </c>
      <c r="O15" s="578">
        <v>0</v>
      </c>
      <c r="P15" s="578">
        <v>0</v>
      </c>
      <c r="Q15" s="578"/>
      <c r="R15" s="578"/>
    </row>
    <row r="16" spans="1:18" ht="18.75">
      <c r="A16" s="664" t="s">
        <v>1138</v>
      </c>
      <c r="B16" s="449" t="s">
        <v>1134</v>
      </c>
      <c r="C16" s="639">
        <v>46263</v>
      </c>
      <c r="D16" s="302" t="s">
        <v>1306</v>
      </c>
      <c r="E16" s="639">
        <v>46295</v>
      </c>
      <c r="F16" s="298"/>
      <c r="G16" s="886" t="s">
        <v>1307</v>
      </c>
      <c r="H16" s="570" t="s">
        <v>1135</v>
      </c>
      <c r="I16" s="643" t="s">
        <v>655</v>
      </c>
      <c r="J16" s="302" t="s">
        <v>656</v>
      </c>
      <c r="K16" s="668" t="s">
        <v>18</v>
      </c>
      <c r="L16" s="637">
        <v>1</v>
      </c>
      <c r="M16" s="578">
        <v>0</v>
      </c>
      <c r="N16" s="578">
        <v>0</v>
      </c>
      <c r="O16" s="578">
        <v>0</v>
      </c>
      <c r="P16" s="578">
        <v>0</v>
      </c>
      <c r="Q16" s="578"/>
      <c r="R16" s="578"/>
    </row>
    <row r="17" spans="1:18" ht="18.75">
      <c r="A17" s="664" t="s">
        <v>1138</v>
      </c>
      <c r="B17" s="449" t="s">
        <v>1134</v>
      </c>
      <c r="C17" s="446">
        <v>46276</v>
      </c>
      <c r="D17" s="442" t="s">
        <v>1125</v>
      </c>
      <c r="E17" s="639">
        <v>46295</v>
      </c>
      <c r="F17" s="447"/>
      <c r="G17" s="886" t="s">
        <v>1307</v>
      </c>
      <c r="H17" s="570" t="s">
        <v>1135</v>
      </c>
      <c r="I17" s="317" t="s">
        <v>641</v>
      </c>
      <c r="J17" s="320" t="s">
        <v>657</v>
      </c>
      <c r="K17" s="317" t="s">
        <v>18</v>
      </c>
      <c r="L17" s="315">
        <v>15</v>
      </c>
      <c r="M17" s="578">
        <v>638888.89</v>
      </c>
      <c r="N17" s="578">
        <v>9583333.3499999996</v>
      </c>
      <c r="O17" s="578">
        <v>766666.66799999995</v>
      </c>
      <c r="P17" s="578">
        <v>10350000.017999999</v>
      </c>
      <c r="Q17" s="578"/>
      <c r="R17" s="578"/>
    </row>
    <row r="18" spans="1:18" ht="18.75">
      <c r="A18" s="664" t="s">
        <v>1138</v>
      </c>
      <c r="B18" s="449" t="s">
        <v>1134</v>
      </c>
      <c r="C18" s="446">
        <v>46276</v>
      </c>
      <c r="D18" s="442" t="s">
        <v>1125</v>
      </c>
      <c r="E18" s="639">
        <v>46295</v>
      </c>
      <c r="F18" s="447"/>
      <c r="G18" s="886" t="s">
        <v>1307</v>
      </c>
      <c r="H18" s="570" t="s">
        <v>1135</v>
      </c>
      <c r="I18" s="317" t="s">
        <v>643</v>
      </c>
      <c r="J18" s="320" t="s">
        <v>644</v>
      </c>
      <c r="K18" s="317" t="s">
        <v>18</v>
      </c>
      <c r="L18" s="315">
        <v>15</v>
      </c>
      <c r="M18" s="578">
        <v>527777.78</v>
      </c>
      <c r="N18" s="578">
        <v>7916666.7000000002</v>
      </c>
      <c r="O18" s="578">
        <v>633333.33600000001</v>
      </c>
      <c r="P18" s="578">
        <v>8550000.0360000003</v>
      </c>
      <c r="Q18" s="578"/>
      <c r="R18" s="578"/>
    </row>
    <row r="19" spans="1:18" ht="18.75">
      <c r="A19" s="664" t="s">
        <v>1138</v>
      </c>
      <c r="B19" s="449" t="s">
        <v>1134</v>
      </c>
      <c r="C19" s="446">
        <v>46276</v>
      </c>
      <c r="D19" s="442" t="s">
        <v>1125</v>
      </c>
      <c r="E19" s="639">
        <v>46295</v>
      </c>
      <c r="F19" s="447"/>
      <c r="G19" s="886" t="s">
        <v>1307</v>
      </c>
      <c r="H19" s="302" t="s">
        <v>691</v>
      </c>
      <c r="I19" s="317" t="s">
        <v>641</v>
      </c>
      <c r="J19" s="320" t="s">
        <v>657</v>
      </c>
      <c r="K19" s="317" t="s">
        <v>18</v>
      </c>
      <c r="L19" s="315">
        <v>1</v>
      </c>
      <c r="M19" s="578">
        <v>0</v>
      </c>
      <c r="N19" s="578">
        <v>0</v>
      </c>
      <c r="O19" s="578">
        <v>0</v>
      </c>
      <c r="P19" s="578">
        <v>0</v>
      </c>
      <c r="Q19" s="578"/>
      <c r="R19" s="578"/>
    </row>
    <row r="20" spans="1:18" ht="18.75">
      <c r="A20" s="664" t="s">
        <v>1138</v>
      </c>
      <c r="B20" s="449" t="s">
        <v>1134</v>
      </c>
      <c r="C20" s="446">
        <v>46276</v>
      </c>
      <c r="D20" s="442" t="s">
        <v>1125</v>
      </c>
      <c r="E20" s="639">
        <v>46295</v>
      </c>
      <c r="F20" s="447"/>
      <c r="G20" s="886" t="s">
        <v>1307</v>
      </c>
      <c r="H20" s="302" t="s">
        <v>691</v>
      </c>
      <c r="I20" s="317" t="s">
        <v>643</v>
      </c>
      <c r="J20" s="320" t="s">
        <v>644</v>
      </c>
      <c r="K20" s="317" t="s">
        <v>18</v>
      </c>
      <c r="L20" s="315">
        <v>1</v>
      </c>
      <c r="M20" s="578">
        <v>0</v>
      </c>
      <c r="N20" s="578">
        <v>0</v>
      </c>
      <c r="O20" s="578">
        <v>0</v>
      </c>
      <c r="P20" s="578">
        <v>0</v>
      </c>
      <c r="Q20" s="578"/>
      <c r="R20" s="578"/>
    </row>
    <row r="21" spans="1:18">
      <c r="A21" s="664" t="s">
        <v>1138</v>
      </c>
      <c r="B21" s="449" t="s">
        <v>1134</v>
      </c>
      <c r="C21" s="446">
        <v>46277</v>
      </c>
      <c r="D21" s="442"/>
      <c r="E21" s="446"/>
      <c r="F21" s="447"/>
      <c r="G21" s="447"/>
      <c r="H21" s="295" t="s">
        <v>760</v>
      </c>
      <c r="I21" s="447"/>
      <c r="J21" s="312"/>
      <c r="K21" s="298"/>
      <c r="L21" s="635"/>
      <c r="M21" s="578"/>
      <c r="N21" s="578"/>
      <c r="O21" s="578"/>
      <c r="P21" s="578"/>
      <c r="Q21" s="578"/>
      <c r="R21" s="578">
        <v>280000</v>
      </c>
    </row>
    <row r="22" spans="1:18">
      <c r="A22" s="664" t="s">
        <v>1138</v>
      </c>
      <c r="B22" s="449" t="s">
        <v>1134</v>
      </c>
      <c r="C22" s="446">
        <v>46273</v>
      </c>
      <c r="D22" s="442"/>
      <c r="E22" s="446"/>
      <c r="F22" s="447"/>
      <c r="G22" s="447"/>
      <c r="H22" s="295" t="s">
        <v>760</v>
      </c>
      <c r="I22" s="447"/>
      <c r="J22" s="312"/>
      <c r="K22" s="298"/>
      <c r="L22" s="635"/>
      <c r="M22" s="578"/>
      <c r="N22" s="578"/>
      <c r="O22" s="578"/>
      <c r="P22" s="578"/>
      <c r="Q22" s="578"/>
      <c r="R22" s="578">
        <v>700000</v>
      </c>
    </row>
    <row r="23" spans="1:18">
      <c r="A23" s="664" t="s">
        <v>1138</v>
      </c>
      <c r="B23" s="449" t="s">
        <v>1235</v>
      </c>
      <c r="C23" s="446">
        <v>46282</v>
      </c>
      <c r="D23" s="752" t="s">
        <v>1206</v>
      </c>
      <c r="E23" s="446"/>
      <c r="F23" s="447"/>
      <c r="G23" s="447"/>
      <c r="H23" s="302" t="s">
        <v>1236</v>
      </c>
      <c r="I23" s="643" t="s">
        <v>645</v>
      </c>
      <c r="J23" s="771" t="s">
        <v>646</v>
      </c>
      <c r="K23" s="298" t="s">
        <v>18</v>
      </c>
      <c r="L23" s="721">
        <v>15</v>
      </c>
      <c r="M23" s="722">
        <v>629629.63</v>
      </c>
      <c r="N23" s="723">
        <f t="shared" ref="N23:N24" si="0">L23*M23</f>
        <v>9444444.4499999993</v>
      </c>
      <c r="O23" s="613">
        <f t="shared" ref="O23:O24" si="1">N23*8%</f>
        <v>755555.55599999998</v>
      </c>
      <c r="P23" s="301">
        <f t="shared" ref="P23:P24" si="2">N23+O23</f>
        <v>10200000.005999999</v>
      </c>
      <c r="Q23" s="652"/>
      <c r="R23" s="652"/>
    </row>
    <row r="24" spans="1:18">
      <c r="A24" s="664" t="s">
        <v>1138</v>
      </c>
      <c r="B24" s="449" t="s">
        <v>1235</v>
      </c>
      <c r="C24" s="446">
        <v>46282</v>
      </c>
      <c r="D24" s="752" t="s">
        <v>1206</v>
      </c>
      <c r="E24" s="446"/>
      <c r="F24" s="447"/>
      <c r="G24" s="447"/>
      <c r="H24" s="302" t="s">
        <v>691</v>
      </c>
      <c r="I24" s="643" t="s">
        <v>645</v>
      </c>
      <c r="J24" s="771" t="s">
        <v>646</v>
      </c>
      <c r="K24" s="298" t="s">
        <v>18</v>
      </c>
      <c r="L24" s="721">
        <v>1</v>
      </c>
      <c r="M24" s="722">
        <v>0</v>
      </c>
      <c r="N24" s="723">
        <f t="shared" si="0"/>
        <v>0</v>
      </c>
      <c r="O24" s="613">
        <f t="shared" si="1"/>
        <v>0</v>
      </c>
      <c r="P24" s="301">
        <f t="shared" si="2"/>
        <v>0</v>
      </c>
      <c r="Q24" s="652"/>
      <c r="R24" s="652"/>
    </row>
    <row r="25" spans="1:18">
      <c r="A25" s="664" t="s">
        <v>1138</v>
      </c>
      <c r="B25" s="449" t="s">
        <v>1235</v>
      </c>
      <c r="C25" s="446">
        <v>46286</v>
      </c>
      <c r="D25" s="752"/>
      <c r="E25" s="446"/>
      <c r="F25" s="447"/>
      <c r="G25" s="447"/>
      <c r="H25" s="299" t="s">
        <v>1234</v>
      </c>
      <c r="I25" s="447"/>
      <c r="J25" s="322"/>
      <c r="K25" s="298"/>
      <c r="L25" s="635"/>
      <c r="M25" s="612"/>
      <c r="N25" s="613"/>
      <c r="O25" s="613"/>
      <c r="P25" s="613"/>
      <c r="Q25" s="652"/>
      <c r="R25" s="652">
        <v>150000</v>
      </c>
    </row>
    <row r="26" spans="1:18">
      <c r="A26" s="441" t="s">
        <v>1138</v>
      </c>
      <c r="B26" s="441" t="s">
        <v>1235</v>
      </c>
      <c r="C26" s="446">
        <v>46295</v>
      </c>
      <c r="D26" s="752"/>
      <c r="E26" s="446"/>
      <c r="F26" s="447"/>
      <c r="G26" s="447"/>
      <c r="H26" s="299" t="s">
        <v>844</v>
      </c>
      <c r="I26" s="447"/>
      <c r="J26" s="322"/>
      <c r="K26" s="298"/>
      <c r="L26" s="635"/>
      <c r="M26" s="612"/>
      <c r="N26" s="613"/>
      <c r="O26" s="613"/>
      <c r="P26" s="613"/>
      <c r="Q26" s="652">
        <v>50000000</v>
      </c>
      <c r="R26" s="652"/>
    </row>
    <row r="27" spans="1:18">
      <c r="A27" s="441" t="s">
        <v>1138</v>
      </c>
      <c r="B27" s="441" t="s">
        <v>1235</v>
      </c>
      <c r="C27" s="446">
        <v>46307</v>
      </c>
      <c r="D27" s="444" t="s">
        <v>1426</v>
      </c>
      <c r="E27" s="446">
        <v>46309</v>
      </c>
      <c r="F27" s="757" t="s">
        <v>1436</v>
      </c>
      <c r="G27" s="757" t="s">
        <v>1435</v>
      </c>
      <c r="H27" s="302" t="s">
        <v>1236</v>
      </c>
      <c r="I27" s="717" t="s">
        <v>80</v>
      </c>
      <c r="J27" s="897" t="s">
        <v>81</v>
      </c>
      <c r="K27" s="317" t="s">
        <v>18</v>
      </c>
      <c r="L27" s="451">
        <v>6</v>
      </c>
      <c r="M27" s="316">
        <v>824074.07</v>
      </c>
      <c r="N27" s="319">
        <v>4944444.42</v>
      </c>
      <c r="O27" s="895">
        <v>395555.55359999998</v>
      </c>
      <c r="P27" s="898">
        <v>5339999.9736000001</v>
      </c>
      <c r="Q27" s="652"/>
      <c r="R27" s="652"/>
    </row>
    <row r="28" spans="1:18">
      <c r="A28" s="441" t="s">
        <v>1138</v>
      </c>
      <c r="B28" s="441" t="s">
        <v>1235</v>
      </c>
      <c r="C28" s="446">
        <v>46307</v>
      </c>
      <c r="D28" s="444" t="s">
        <v>1426</v>
      </c>
      <c r="E28" s="446">
        <v>46309</v>
      </c>
      <c r="F28" s="757" t="s">
        <v>1436</v>
      </c>
      <c r="G28" s="757" t="s">
        <v>1435</v>
      </c>
      <c r="H28" s="302" t="s">
        <v>1236</v>
      </c>
      <c r="I28" s="717" t="s">
        <v>21</v>
      </c>
      <c r="J28" s="897" t="s">
        <v>22</v>
      </c>
      <c r="K28" s="317" t="s">
        <v>18</v>
      </c>
      <c r="L28" s="451">
        <v>6</v>
      </c>
      <c r="M28" s="316">
        <v>937962.96</v>
      </c>
      <c r="N28" s="319">
        <v>5627777.7599999998</v>
      </c>
      <c r="O28" s="895">
        <v>450222.22080000001</v>
      </c>
      <c r="P28" s="898">
        <v>6077999.9808</v>
      </c>
      <c r="Q28" s="652"/>
      <c r="R28" s="652"/>
    </row>
    <row r="29" spans="1:18" ht="29.25">
      <c r="A29" s="441" t="s">
        <v>1138</v>
      </c>
      <c r="B29" s="441" t="s">
        <v>1235</v>
      </c>
      <c r="C29" s="446">
        <v>46307</v>
      </c>
      <c r="D29" s="444" t="s">
        <v>1426</v>
      </c>
      <c r="E29" s="446">
        <v>46309</v>
      </c>
      <c r="F29" s="757" t="s">
        <v>1436</v>
      </c>
      <c r="G29" s="757" t="s">
        <v>1435</v>
      </c>
      <c r="H29" s="302" t="s">
        <v>1236</v>
      </c>
      <c r="I29" s="717" t="s">
        <v>262</v>
      </c>
      <c r="J29" s="897" t="s">
        <v>976</v>
      </c>
      <c r="K29" s="317" t="s">
        <v>18</v>
      </c>
      <c r="L29" s="451">
        <v>15</v>
      </c>
      <c r="M29" s="316">
        <v>851851.85</v>
      </c>
      <c r="N29" s="319">
        <v>12777777.75</v>
      </c>
      <c r="O29" s="895">
        <v>1022222.22</v>
      </c>
      <c r="P29" s="898">
        <v>13799999.970000001</v>
      </c>
      <c r="Q29" s="652"/>
      <c r="R29" s="652"/>
    </row>
    <row r="30" spans="1:18">
      <c r="A30" s="441" t="s">
        <v>1138</v>
      </c>
      <c r="B30" s="441" t="s">
        <v>1235</v>
      </c>
      <c r="C30" s="446">
        <v>46307</v>
      </c>
      <c r="D30" s="444" t="s">
        <v>1426</v>
      </c>
      <c r="E30" s="446">
        <v>46309</v>
      </c>
      <c r="F30" s="757" t="s">
        <v>1436</v>
      </c>
      <c r="G30" s="757" t="s">
        <v>1435</v>
      </c>
      <c r="H30" s="302" t="s">
        <v>1236</v>
      </c>
      <c r="I30" s="717" t="s">
        <v>23</v>
      </c>
      <c r="J30" s="897" t="s">
        <v>82</v>
      </c>
      <c r="K30" s="317" t="s">
        <v>18</v>
      </c>
      <c r="L30" s="451">
        <v>2</v>
      </c>
      <c r="M30" s="316">
        <v>1185185.19</v>
      </c>
      <c r="N30" s="319">
        <v>2370370.38</v>
      </c>
      <c r="O30" s="895">
        <v>189629.63039999999</v>
      </c>
      <c r="P30" s="898">
        <v>2560000.0104</v>
      </c>
      <c r="Q30" s="652"/>
      <c r="R30" s="652"/>
    </row>
    <row r="31" spans="1:18">
      <c r="A31" s="441" t="s">
        <v>1138</v>
      </c>
      <c r="B31" s="441" t="s">
        <v>1235</v>
      </c>
      <c r="C31" s="446">
        <v>46307</v>
      </c>
      <c r="D31" s="444" t="s">
        <v>1426</v>
      </c>
      <c r="E31" s="446"/>
      <c r="F31" s="447"/>
      <c r="G31" s="447"/>
      <c r="H31" s="302" t="s">
        <v>1236</v>
      </c>
      <c r="I31" s="717" t="s">
        <v>1333</v>
      </c>
      <c r="J31" s="897" t="s">
        <v>1334</v>
      </c>
      <c r="K31" s="317" t="s">
        <v>18</v>
      </c>
      <c r="L31" s="451">
        <v>18</v>
      </c>
      <c r="M31" s="316">
        <v>500000</v>
      </c>
      <c r="N31" s="319">
        <v>9000000</v>
      </c>
      <c r="O31" s="895">
        <v>720000</v>
      </c>
      <c r="P31" s="898">
        <v>9720000</v>
      </c>
      <c r="Q31" s="652"/>
      <c r="R31" s="652"/>
    </row>
    <row r="32" spans="1:18">
      <c r="A32" s="441" t="s">
        <v>1138</v>
      </c>
      <c r="B32" s="441" t="s">
        <v>1235</v>
      </c>
      <c r="C32" s="446">
        <v>46307</v>
      </c>
      <c r="D32" s="444" t="s">
        <v>1426</v>
      </c>
      <c r="E32" s="446"/>
      <c r="F32" s="447"/>
      <c r="G32" s="447"/>
      <c r="H32" s="302" t="s">
        <v>1236</v>
      </c>
      <c r="I32" s="717" t="s">
        <v>1337</v>
      </c>
      <c r="J32" s="897" t="s">
        <v>1338</v>
      </c>
      <c r="K32" s="317" t="s">
        <v>18</v>
      </c>
      <c r="L32" s="451">
        <v>18</v>
      </c>
      <c r="M32" s="316">
        <v>564814.81000000006</v>
      </c>
      <c r="N32" s="319">
        <v>10166666.580000002</v>
      </c>
      <c r="O32" s="895">
        <v>813333.32640000014</v>
      </c>
      <c r="P32" s="898">
        <v>10979999.906400003</v>
      </c>
      <c r="Q32" s="652"/>
      <c r="R32" s="652"/>
    </row>
    <row r="33" spans="1:18">
      <c r="A33" s="441" t="s">
        <v>1138</v>
      </c>
      <c r="B33" s="441" t="s">
        <v>1235</v>
      </c>
      <c r="C33" s="446">
        <v>46307</v>
      </c>
      <c r="D33" s="444" t="s">
        <v>1426</v>
      </c>
      <c r="E33" s="446"/>
      <c r="F33" s="447"/>
      <c r="G33" s="447"/>
      <c r="H33" s="302" t="s">
        <v>1236</v>
      </c>
      <c r="I33" s="717" t="s">
        <v>1340</v>
      </c>
      <c r="J33" s="897" t="s">
        <v>1341</v>
      </c>
      <c r="K33" s="317" t="s">
        <v>18</v>
      </c>
      <c r="L33" s="451">
        <v>12</v>
      </c>
      <c r="M33" s="316">
        <v>203703.7</v>
      </c>
      <c r="N33" s="319">
        <v>2444444.4000000004</v>
      </c>
      <c r="O33" s="895">
        <v>195555.55200000003</v>
      </c>
      <c r="P33" s="898">
        <v>2639999.9520000005</v>
      </c>
      <c r="Q33" s="652"/>
      <c r="R33" s="652"/>
    </row>
    <row r="34" spans="1:18">
      <c r="A34" s="441" t="s">
        <v>1138</v>
      </c>
      <c r="B34" s="441" t="s">
        <v>1235</v>
      </c>
      <c r="C34" s="446">
        <v>46307</v>
      </c>
      <c r="D34" s="444" t="s">
        <v>1426</v>
      </c>
      <c r="E34" s="446"/>
      <c r="F34" s="447"/>
      <c r="G34" s="447"/>
      <c r="H34" s="302" t="s">
        <v>1236</v>
      </c>
      <c r="I34" s="717" t="s">
        <v>1342</v>
      </c>
      <c r="J34" s="897" t="s">
        <v>1343</v>
      </c>
      <c r="K34" s="317" t="s">
        <v>18</v>
      </c>
      <c r="L34" s="451">
        <v>12</v>
      </c>
      <c r="M34" s="316">
        <v>203703.7</v>
      </c>
      <c r="N34" s="319">
        <v>2444444.4000000004</v>
      </c>
      <c r="O34" s="895">
        <v>195555.55200000003</v>
      </c>
      <c r="P34" s="898">
        <v>2639999.9520000005</v>
      </c>
      <c r="Q34" s="652"/>
      <c r="R34" s="652"/>
    </row>
    <row r="35" spans="1:18">
      <c r="A35" s="441" t="s">
        <v>1138</v>
      </c>
      <c r="B35" s="441" t="s">
        <v>1235</v>
      </c>
      <c r="C35" s="446">
        <v>46307</v>
      </c>
      <c r="D35" s="444" t="s">
        <v>1426</v>
      </c>
      <c r="E35" s="446"/>
      <c r="F35" s="447"/>
      <c r="G35" s="447"/>
      <c r="H35" s="302" t="s">
        <v>1236</v>
      </c>
      <c r="I35" s="717" t="s">
        <v>1400</v>
      </c>
      <c r="J35" s="897" t="s">
        <v>1401</v>
      </c>
      <c r="K35" s="317" t="s">
        <v>18</v>
      </c>
      <c r="L35" s="451">
        <v>12</v>
      </c>
      <c r="M35" s="316">
        <v>212962.96</v>
      </c>
      <c r="N35" s="319">
        <v>2555555.52</v>
      </c>
      <c r="O35" s="895">
        <v>204444.44160000002</v>
      </c>
      <c r="P35" s="898">
        <v>2759999.9616</v>
      </c>
      <c r="Q35" s="652"/>
      <c r="R35" s="652"/>
    </row>
    <row r="36" spans="1:18" ht="29.25">
      <c r="A36" s="441" t="s">
        <v>1138</v>
      </c>
      <c r="B36" s="441" t="s">
        <v>1235</v>
      </c>
      <c r="C36" s="446">
        <v>46307</v>
      </c>
      <c r="D36" s="444" t="s">
        <v>1426</v>
      </c>
      <c r="E36" s="446">
        <v>46309</v>
      </c>
      <c r="F36" s="757" t="s">
        <v>1436</v>
      </c>
      <c r="G36" s="757" t="s">
        <v>1435</v>
      </c>
      <c r="H36" s="302" t="s">
        <v>689</v>
      </c>
      <c r="I36" s="717" t="s">
        <v>262</v>
      </c>
      <c r="J36" s="897" t="s">
        <v>976</v>
      </c>
      <c r="K36" s="317" t="s">
        <v>18</v>
      </c>
      <c r="L36" s="451">
        <v>1</v>
      </c>
      <c r="M36" s="316">
        <v>0</v>
      </c>
      <c r="N36" s="319">
        <v>0</v>
      </c>
      <c r="O36" s="895">
        <v>0</v>
      </c>
      <c r="P36" s="898">
        <v>0</v>
      </c>
      <c r="Q36" s="652"/>
      <c r="R36" s="652"/>
    </row>
    <row r="37" spans="1:18">
      <c r="A37" s="441" t="s">
        <v>1138</v>
      </c>
      <c r="B37" s="441" t="s">
        <v>1235</v>
      </c>
      <c r="C37" s="446">
        <v>46307</v>
      </c>
      <c r="D37" s="444" t="s">
        <v>1426</v>
      </c>
      <c r="E37" s="446"/>
      <c r="F37" s="447"/>
      <c r="G37" s="447"/>
      <c r="H37" s="299"/>
      <c r="I37" s="717" t="s">
        <v>23</v>
      </c>
      <c r="J37" s="897" t="s">
        <v>82</v>
      </c>
      <c r="K37" s="317" t="s">
        <v>18</v>
      </c>
      <c r="L37" s="451">
        <v>1</v>
      </c>
      <c r="M37" s="316">
        <v>0</v>
      </c>
      <c r="N37" s="319">
        <v>0</v>
      </c>
      <c r="O37" s="895">
        <v>0</v>
      </c>
      <c r="P37" s="898">
        <v>0</v>
      </c>
      <c r="Q37" s="652"/>
      <c r="R37" s="652"/>
    </row>
    <row r="38" spans="1:18" ht="29.25">
      <c r="A38" s="441" t="s">
        <v>1138</v>
      </c>
      <c r="B38" s="441" t="s">
        <v>1235</v>
      </c>
      <c r="C38" s="446">
        <v>46308</v>
      </c>
      <c r="D38" s="446" t="s">
        <v>1432</v>
      </c>
      <c r="E38" s="446"/>
      <c r="F38" s="447"/>
      <c r="G38" s="447"/>
      <c r="H38" s="302" t="s">
        <v>1236</v>
      </c>
      <c r="I38" s="717" t="s">
        <v>48</v>
      </c>
      <c r="J38" s="897" t="s">
        <v>49</v>
      </c>
      <c r="K38" s="317" t="s">
        <v>18</v>
      </c>
      <c r="L38" s="451">
        <v>12</v>
      </c>
      <c r="M38" s="316">
        <v>601851.85</v>
      </c>
      <c r="N38" s="319">
        <v>7222222.1999999993</v>
      </c>
      <c r="O38" s="895">
        <v>577777.77599999995</v>
      </c>
      <c r="P38" s="894">
        <v>7799999.9759999989</v>
      </c>
      <c r="Q38" s="652"/>
      <c r="R38" s="652"/>
    </row>
    <row r="39" spans="1:18">
      <c r="A39" s="441" t="s">
        <v>1138</v>
      </c>
      <c r="B39" s="441" t="s">
        <v>1235</v>
      </c>
      <c r="C39" s="446">
        <v>46308</v>
      </c>
      <c r="D39" s="446" t="s">
        <v>1432</v>
      </c>
      <c r="E39" s="446"/>
      <c r="F39" s="447"/>
      <c r="G39" s="447"/>
      <c r="H39" s="302" t="s">
        <v>1236</v>
      </c>
      <c r="I39" s="717" t="s">
        <v>103</v>
      </c>
      <c r="J39" s="897" t="s">
        <v>104</v>
      </c>
      <c r="K39" s="317" t="s">
        <v>18</v>
      </c>
      <c r="L39" s="451">
        <v>12</v>
      </c>
      <c r="M39" s="316">
        <v>675925.93</v>
      </c>
      <c r="N39" s="319">
        <v>8111111.1600000001</v>
      </c>
      <c r="O39" s="895">
        <v>648888.89280000003</v>
      </c>
      <c r="P39" s="894">
        <v>8760000.0527999997</v>
      </c>
      <c r="Q39" s="652"/>
      <c r="R39" s="652"/>
    </row>
    <row r="40" spans="1:18">
      <c r="A40" s="441" t="s">
        <v>1138</v>
      </c>
      <c r="B40" s="441" t="s">
        <v>1235</v>
      </c>
      <c r="C40" s="446">
        <v>46308</v>
      </c>
      <c r="D40" s="446" t="s">
        <v>1432</v>
      </c>
      <c r="E40" s="446"/>
      <c r="F40" s="447"/>
      <c r="G40" s="447"/>
      <c r="H40" s="302" t="s">
        <v>1236</v>
      </c>
      <c r="I40" s="717" t="s">
        <v>90</v>
      </c>
      <c r="J40" s="897" t="s">
        <v>91</v>
      </c>
      <c r="K40" s="317" t="s">
        <v>18</v>
      </c>
      <c r="L40" s="451">
        <v>12</v>
      </c>
      <c r="M40" s="316">
        <v>814814.81</v>
      </c>
      <c r="N40" s="319">
        <v>9777777.7200000007</v>
      </c>
      <c r="O40" s="895">
        <v>782222.21760000009</v>
      </c>
      <c r="P40" s="894">
        <v>10559999.937600002</v>
      </c>
      <c r="Q40" s="652"/>
      <c r="R40" s="652"/>
    </row>
    <row r="41" spans="1:18">
      <c r="A41" s="441" t="s">
        <v>1138</v>
      </c>
      <c r="B41" s="441" t="s">
        <v>1235</v>
      </c>
      <c r="C41" s="446">
        <v>46308</v>
      </c>
      <c r="D41" s="446" t="s">
        <v>1432</v>
      </c>
      <c r="E41" s="446"/>
      <c r="F41" s="447"/>
      <c r="G41" s="447"/>
      <c r="H41" s="302" t="s">
        <v>1236</v>
      </c>
      <c r="I41" s="717" t="s">
        <v>1340</v>
      </c>
      <c r="J41" s="897" t="s">
        <v>1341</v>
      </c>
      <c r="K41" s="317" t="s">
        <v>18</v>
      </c>
      <c r="L41" s="451">
        <v>24</v>
      </c>
      <c r="M41" s="316">
        <v>203703.7</v>
      </c>
      <c r="N41" s="319">
        <v>4888888.8000000007</v>
      </c>
      <c r="O41" s="895">
        <v>391111.10400000005</v>
      </c>
      <c r="P41" s="894">
        <v>5279999.904000001</v>
      </c>
      <c r="Q41" s="652"/>
      <c r="R41" s="652"/>
    </row>
    <row r="42" spans="1:18">
      <c r="A42" s="441" t="s">
        <v>1138</v>
      </c>
      <c r="B42" s="441" t="s">
        <v>1235</v>
      </c>
      <c r="C42" s="446">
        <v>46308</v>
      </c>
      <c r="D42" s="446" t="s">
        <v>1432</v>
      </c>
      <c r="E42" s="446"/>
      <c r="F42" s="447"/>
      <c r="G42" s="447"/>
      <c r="H42" s="302" t="s">
        <v>1236</v>
      </c>
      <c r="I42" s="717" t="s">
        <v>1342</v>
      </c>
      <c r="J42" s="897" t="s">
        <v>1343</v>
      </c>
      <c r="K42" s="317" t="s">
        <v>18</v>
      </c>
      <c r="L42" s="451">
        <v>24</v>
      </c>
      <c r="M42" s="316">
        <v>203703.7</v>
      </c>
      <c r="N42" s="319">
        <v>4888888.8000000007</v>
      </c>
      <c r="O42" s="895">
        <v>391111.10400000005</v>
      </c>
      <c r="P42" s="894">
        <v>5279999.904000001</v>
      </c>
      <c r="Q42" s="652"/>
      <c r="R42" s="652"/>
    </row>
    <row r="43" spans="1:18">
      <c r="A43" s="441" t="s">
        <v>1138</v>
      </c>
      <c r="B43" s="441" t="s">
        <v>1235</v>
      </c>
      <c r="C43" s="446">
        <v>46308</v>
      </c>
      <c r="D43" s="446" t="s">
        <v>1432</v>
      </c>
      <c r="E43" s="446"/>
      <c r="F43" s="447"/>
      <c r="G43" s="447"/>
      <c r="H43" s="302" t="s">
        <v>1236</v>
      </c>
      <c r="I43" s="717" t="s">
        <v>1400</v>
      </c>
      <c r="J43" s="897" t="s">
        <v>1401</v>
      </c>
      <c r="K43" s="317" t="s">
        <v>18</v>
      </c>
      <c r="L43" s="451">
        <v>24</v>
      </c>
      <c r="M43" s="316">
        <v>212962.96</v>
      </c>
      <c r="N43" s="319">
        <v>5111111.04</v>
      </c>
      <c r="O43" s="895">
        <v>408888.88320000004</v>
      </c>
      <c r="P43" s="894">
        <v>5519999.9232000001</v>
      </c>
      <c r="Q43" s="652"/>
      <c r="R43" s="652"/>
    </row>
    <row r="44" spans="1:18">
      <c r="A44" s="441" t="s">
        <v>1138</v>
      </c>
      <c r="B44" s="441" t="s">
        <v>1235</v>
      </c>
      <c r="C44" s="446">
        <v>46308</v>
      </c>
      <c r="D44" s="446" t="s">
        <v>1432</v>
      </c>
      <c r="E44" s="446"/>
      <c r="F44" s="447"/>
      <c r="G44" s="447"/>
      <c r="H44" s="302" t="s">
        <v>1236</v>
      </c>
      <c r="I44" s="717" t="s">
        <v>23</v>
      </c>
      <c r="J44" s="897" t="s">
        <v>82</v>
      </c>
      <c r="K44" s="317" t="s">
        <v>18</v>
      </c>
      <c r="L44" s="451">
        <v>13</v>
      </c>
      <c r="M44" s="316">
        <v>1185185.19</v>
      </c>
      <c r="N44" s="319">
        <v>15407407.469999999</v>
      </c>
      <c r="O44" s="895">
        <v>1232592.5976</v>
      </c>
      <c r="P44" s="894">
        <v>16640000.067599999</v>
      </c>
      <c r="Q44" s="652"/>
      <c r="R44" s="652"/>
    </row>
    <row r="45" spans="1:18">
      <c r="A45" s="441" t="s">
        <v>1138</v>
      </c>
      <c r="B45" s="441" t="s">
        <v>1235</v>
      </c>
      <c r="C45" s="446">
        <v>46308</v>
      </c>
      <c r="D45" s="446" t="s">
        <v>1432</v>
      </c>
      <c r="E45" s="446"/>
      <c r="F45" s="447"/>
      <c r="G45" s="447"/>
      <c r="H45" s="299" t="s">
        <v>1434</v>
      </c>
      <c r="I45" s="717" t="s">
        <v>107</v>
      </c>
      <c r="J45" s="897" t="s">
        <v>108</v>
      </c>
      <c r="K45" s="317" t="s">
        <v>18</v>
      </c>
      <c r="L45" s="451">
        <v>1</v>
      </c>
      <c r="M45" s="316">
        <v>0</v>
      </c>
      <c r="N45" s="319">
        <v>0</v>
      </c>
      <c r="O45" s="895">
        <v>0</v>
      </c>
      <c r="P45" s="894">
        <v>0</v>
      </c>
      <c r="Q45" s="652"/>
      <c r="R45" s="652"/>
    </row>
    <row r="46" spans="1:18">
      <c r="A46" s="441" t="s">
        <v>1138</v>
      </c>
      <c r="B46" s="441" t="s">
        <v>1235</v>
      </c>
      <c r="C46" s="446">
        <v>46308</v>
      </c>
      <c r="D46" s="446" t="s">
        <v>1432</v>
      </c>
      <c r="E46" s="446"/>
      <c r="F46" s="447"/>
      <c r="G46" s="447"/>
      <c r="H46" s="299" t="s">
        <v>862</v>
      </c>
      <c r="I46" s="717" t="s">
        <v>959</v>
      </c>
      <c r="J46" s="897" t="s">
        <v>960</v>
      </c>
      <c r="K46" s="317" t="s">
        <v>18</v>
      </c>
      <c r="L46" s="451">
        <v>24</v>
      </c>
      <c r="M46" s="316">
        <v>0</v>
      </c>
      <c r="N46" s="319">
        <v>0</v>
      </c>
      <c r="O46" s="895">
        <v>0</v>
      </c>
      <c r="P46" s="894">
        <v>0</v>
      </c>
      <c r="Q46" s="652"/>
      <c r="R46" s="652"/>
    </row>
    <row r="47" spans="1:18">
      <c r="A47" s="441" t="s">
        <v>1138</v>
      </c>
      <c r="B47" s="441" t="s">
        <v>1235</v>
      </c>
      <c r="C47" s="446">
        <v>46308</v>
      </c>
      <c r="D47" s="446"/>
      <c r="E47" s="446"/>
      <c r="F47" s="447"/>
      <c r="G47" s="447"/>
      <c r="H47" s="299" t="s">
        <v>1234</v>
      </c>
      <c r="I47" s="717"/>
      <c r="J47" s="897"/>
      <c r="K47" s="298"/>
      <c r="L47" s="635"/>
      <c r="M47" s="892"/>
      <c r="N47" s="895"/>
      <c r="O47" s="895"/>
      <c r="P47" s="894"/>
      <c r="Q47" s="652"/>
      <c r="R47" s="652">
        <v>600000</v>
      </c>
    </row>
    <row r="48" spans="1:18">
      <c r="A48" s="441" t="s">
        <v>1138</v>
      </c>
      <c r="B48" s="441" t="s">
        <v>1235</v>
      </c>
      <c r="C48" s="446">
        <v>46309</v>
      </c>
      <c r="D48" s="446"/>
      <c r="E48" s="446"/>
      <c r="F48" s="447"/>
      <c r="G48" s="447"/>
      <c r="H48" s="299" t="s">
        <v>1234</v>
      </c>
      <c r="I48" s="717"/>
      <c r="J48" s="299"/>
      <c r="K48" s="298"/>
      <c r="L48" s="635"/>
      <c r="M48" s="892"/>
      <c r="N48" s="895"/>
      <c r="O48" s="895"/>
      <c r="P48" s="895"/>
      <c r="Q48" s="652"/>
      <c r="R48" s="652">
        <v>650000</v>
      </c>
    </row>
    <row r="49" spans="1:18" ht="15.75">
      <c r="A49" s="1040" t="s">
        <v>1138</v>
      </c>
      <c r="B49" s="1040" t="s">
        <v>1134</v>
      </c>
      <c r="C49" s="1066">
        <v>46311</v>
      </c>
      <c r="D49" s="1005" t="s">
        <v>1473</v>
      </c>
      <c r="E49" s="1066"/>
      <c r="F49" s="1005"/>
      <c r="G49" s="1005"/>
      <c r="H49" s="1002" t="s">
        <v>1472</v>
      </c>
      <c r="I49" s="1061" t="s">
        <v>641</v>
      </c>
      <c r="J49" s="1061" t="s">
        <v>1471</v>
      </c>
      <c r="K49" s="1061" t="s">
        <v>18</v>
      </c>
      <c r="L49" s="1245">
        <v>-1</v>
      </c>
      <c r="M49" s="1223">
        <v>0</v>
      </c>
      <c r="N49" s="1238">
        <v>0</v>
      </c>
      <c r="O49" s="1081">
        <v>0</v>
      </c>
      <c r="P49" s="1082">
        <v>0</v>
      </c>
      <c r="Q49" s="652"/>
      <c r="R49" s="652"/>
    </row>
    <row r="50" spans="1:18" ht="15.75">
      <c r="A50" s="1040" t="s">
        <v>1138</v>
      </c>
      <c r="B50" s="1040" t="s">
        <v>1134</v>
      </c>
      <c r="C50" s="1066">
        <v>46311</v>
      </c>
      <c r="D50" s="1005" t="s">
        <v>1476</v>
      </c>
      <c r="E50" s="1066"/>
      <c r="F50" s="1005"/>
      <c r="G50" s="1005"/>
      <c r="H50" s="1002" t="s">
        <v>1465</v>
      </c>
      <c r="I50" s="1061" t="s">
        <v>90</v>
      </c>
      <c r="J50" s="1061" t="s">
        <v>1140</v>
      </c>
      <c r="K50" s="1061" t="s">
        <v>18</v>
      </c>
      <c r="L50" s="1245">
        <v>-3</v>
      </c>
      <c r="M50" s="1223">
        <v>814814.81</v>
      </c>
      <c r="N50" s="1238">
        <v>-2444444.4300000002</v>
      </c>
      <c r="O50" s="1081">
        <v>-195555.55440000002</v>
      </c>
      <c r="P50" s="1081">
        <v>-2639999.9844000004</v>
      </c>
      <c r="Q50" s="652"/>
      <c r="R50" s="652"/>
    </row>
    <row r="51" spans="1:18" ht="15.75">
      <c r="A51" s="1040" t="s">
        <v>1138</v>
      </c>
      <c r="B51" s="1040" t="s">
        <v>1134</v>
      </c>
      <c r="C51" s="1066">
        <v>46311</v>
      </c>
      <c r="D51" s="1005" t="s">
        <v>1476</v>
      </c>
      <c r="E51" s="1066"/>
      <c r="F51" s="1005"/>
      <c r="G51" s="1005"/>
      <c r="H51" s="1002" t="s">
        <v>1465</v>
      </c>
      <c r="I51" s="1061" t="s">
        <v>171</v>
      </c>
      <c r="J51" s="1061" t="s">
        <v>1474</v>
      </c>
      <c r="K51" s="1061" t="s">
        <v>18</v>
      </c>
      <c r="L51" s="1245">
        <v>-40</v>
      </c>
      <c r="M51" s="1081">
        <v>69444.44</v>
      </c>
      <c r="N51" s="1238">
        <v>-2777777.6</v>
      </c>
      <c r="O51" s="1081">
        <v>-222222.20800000001</v>
      </c>
      <c r="P51" s="1081">
        <v>-2999999.8080000002</v>
      </c>
      <c r="Q51" s="652"/>
      <c r="R51" s="652"/>
    </row>
    <row r="52" spans="1:18" ht="15.75">
      <c r="A52" s="1040" t="s">
        <v>1138</v>
      </c>
      <c r="B52" s="1040" t="s">
        <v>1134</v>
      </c>
      <c r="C52" s="1066">
        <v>46311</v>
      </c>
      <c r="D52" s="1005" t="s">
        <v>1476</v>
      </c>
      <c r="E52" s="1066"/>
      <c r="F52" s="1005"/>
      <c r="G52" s="1005"/>
      <c r="H52" s="1002" t="s">
        <v>1465</v>
      </c>
      <c r="I52" s="1061" t="s">
        <v>173</v>
      </c>
      <c r="J52" s="1061" t="s">
        <v>1475</v>
      </c>
      <c r="K52" s="1061" t="s">
        <v>18</v>
      </c>
      <c r="L52" s="1245">
        <v>-40</v>
      </c>
      <c r="M52" s="1081">
        <v>97222.22</v>
      </c>
      <c r="N52" s="1238">
        <v>-3888888.8</v>
      </c>
      <c r="O52" s="1081">
        <v>-311111.10399999999</v>
      </c>
      <c r="P52" s="1081">
        <v>-4199999.9040000001</v>
      </c>
      <c r="Q52" s="652"/>
      <c r="R52" s="652"/>
    </row>
    <row r="53" spans="1:18" ht="15.75">
      <c r="A53" s="1040" t="s">
        <v>1138</v>
      </c>
      <c r="B53" s="1040" t="s">
        <v>1134</v>
      </c>
      <c r="C53" s="1066">
        <v>46311</v>
      </c>
      <c r="D53" s="1005" t="s">
        <v>1476</v>
      </c>
      <c r="E53" s="1066"/>
      <c r="F53" s="1005"/>
      <c r="G53" s="1005"/>
      <c r="H53" s="1002" t="s">
        <v>1465</v>
      </c>
      <c r="I53" s="1061" t="s">
        <v>77</v>
      </c>
      <c r="J53" s="1067" t="s">
        <v>428</v>
      </c>
      <c r="K53" s="1061" t="s">
        <v>18</v>
      </c>
      <c r="L53" s="1245">
        <v>-12</v>
      </c>
      <c r="M53" s="1081">
        <v>333333.33</v>
      </c>
      <c r="N53" s="1238">
        <v>-3999999.96</v>
      </c>
      <c r="O53" s="1081">
        <v>-319999.99680000002</v>
      </c>
      <c r="P53" s="1081">
        <v>-4319999.9567999998</v>
      </c>
      <c r="Q53" s="652"/>
      <c r="R53" s="652"/>
    </row>
    <row r="54" spans="1:18" ht="15.75">
      <c r="A54" s="1040" t="s">
        <v>1138</v>
      </c>
      <c r="B54" s="1040" t="s">
        <v>1134</v>
      </c>
      <c r="C54" s="1066">
        <v>46311</v>
      </c>
      <c r="D54" s="1005" t="s">
        <v>1478</v>
      </c>
      <c r="E54" s="1066"/>
      <c r="F54" s="1005"/>
      <c r="G54" s="1005"/>
      <c r="H54" s="1002" t="s">
        <v>1479</v>
      </c>
      <c r="I54" s="1007" t="s">
        <v>641</v>
      </c>
      <c r="J54" s="1064" t="s">
        <v>657</v>
      </c>
      <c r="K54" s="1007" t="s">
        <v>18</v>
      </c>
      <c r="L54" s="1243">
        <v>1</v>
      </c>
      <c r="M54" s="1223">
        <v>0</v>
      </c>
      <c r="N54" s="1223">
        <v>0</v>
      </c>
      <c r="O54" s="1081">
        <v>0</v>
      </c>
      <c r="P54" s="1081">
        <v>0</v>
      </c>
      <c r="Q54" s="652"/>
      <c r="R54" s="652"/>
    </row>
    <row r="55" spans="1:18">
      <c r="A55" s="490"/>
      <c r="B55" s="490"/>
      <c r="C55" s="490"/>
      <c r="D55" s="490"/>
      <c r="E55" s="490"/>
      <c r="F55" s="490"/>
      <c r="G55" s="490"/>
      <c r="H55" s="490"/>
      <c r="I55" s="490"/>
      <c r="J55" s="490"/>
      <c r="K55" s="490"/>
      <c r="L55" s="490"/>
      <c r="M55" s="490"/>
      <c r="N55" s="490"/>
      <c r="O55" s="490"/>
      <c r="P55" s="595">
        <f>SUM(P3:P54)</f>
        <v>194125999.60439998</v>
      </c>
      <c r="Q55" s="595">
        <f>SUM(Q3:Q54)</f>
        <v>50000000</v>
      </c>
      <c r="R55" s="595">
        <f>SUM(R3:R54)</f>
        <v>2380000</v>
      </c>
    </row>
    <row r="57" spans="1:18" ht="15.75" thickBot="1"/>
    <row r="58" spans="1:18">
      <c r="H58" s="704" t="s">
        <v>1141</v>
      </c>
      <c r="I58" s="705">
        <f>P55</f>
        <v>194125999.60439998</v>
      </c>
    </row>
    <row r="59" spans="1:18">
      <c r="H59" s="706" t="s">
        <v>896</v>
      </c>
      <c r="I59" s="707">
        <f>R55</f>
        <v>2380000</v>
      </c>
    </row>
    <row r="60" spans="1:18">
      <c r="H60" s="706" t="s">
        <v>895</v>
      </c>
      <c r="I60" s="707">
        <f>Q55</f>
        <v>50000000</v>
      </c>
    </row>
    <row r="61" spans="1:18" ht="15.75" thickBot="1">
      <c r="H61" s="708" t="s">
        <v>1142</v>
      </c>
      <c r="I61" s="709">
        <f>I58-I59-I60</f>
        <v>141745999.60439998</v>
      </c>
    </row>
    <row r="64" spans="1:18">
      <c r="H64" s="993" t="s">
        <v>921</v>
      </c>
      <c r="I64" s="994"/>
      <c r="J64" s="994"/>
      <c r="K64" s="994"/>
      <c r="L64" s="994"/>
    </row>
    <row r="65" spans="8:12">
      <c r="H65" s="994"/>
      <c r="I65" s="994"/>
      <c r="J65" s="994"/>
      <c r="K65" s="994"/>
      <c r="L65" s="994"/>
    </row>
    <row r="66" spans="8:12">
      <c r="H66" s="994"/>
      <c r="I66" s="994"/>
      <c r="J66" s="994"/>
      <c r="K66" s="994"/>
      <c r="L66" s="994"/>
    </row>
    <row r="67" spans="8:12">
      <c r="H67" s="994"/>
      <c r="I67" s="994"/>
      <c r="J67" s="994"/>
      <c r="K67" s="994"/>
      <c r="L67" s="994"/>
    </row>
    <row r="68" spans="8:12">
      <c r="H68" s="994"/>
      <c r="I68" s="994"/>
      <c r="J68" s="994"/>
      <c r="K68" s="994"/>
      <c r="L68" s="994"/>
    </row>
    <row r="69" spans="8:12">
      <c r="H69" s="994"/>
      <c r="I69" s="994"/>
      <c r="J69" s="994"/>
      <c r="K69" s="994"/>
      <c r="L69" s="994"/>
    </row>
    <row r="70" spans="8:12">
      <c r="H70" s="994"/>
      <c r="I70" s="994"/>
      <c r="J70" s="994"/>
      <c r="K70" s="994"/>
      <c r="L70" s="994"/>
    </row>
    <row r="71" spans="8:12">
      <c r="H71" s="994"/>
      <c r="I71" s="994"/>
      <c r="J71" s="994"/>
      <c r="K71" s="994"/>
      <c r="L71" s="994"/>
    </row>
    <row r="72" spans="8:12">
      <c r="H72" s="994"/>
      <c r="I72" s="994"/>
      <c r="J72" s="994"/>
      <c r="K72" s="994"/>
      <c r="L72" s="994"/>
    </row>
  </sheetData>
  <autoFilter ref="A2:R48" xr:uid="{338D0C3B-0447-4E3F-92BA-05909FA5D67D}"/>
  <mergeCells count="1">
    <mergeCell ref="H64:L7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6627-2F74-4D43-8A5E-BEBC50D415E1}">
  <sheetPr>
    <tabColor rgb="FF00B050"/>
  </sheetPr>
  <dimension ref="A1:R156"/>
  <sheetViews>
    <sheetView tabSelected="1" topLeftCell="C1" zoomScaleNormal="100" workbookViewId="0">
      <pane ySplit="1" topLeftCell="A119" activePane="bottomLeft" state="frozen"/>
      <selection pane="bottomLeft" activeCell="G148" sqref="G148"/>
    </sheetView>
  </sheetViews>
  <sheetFormatPr defaultRowHeight="15"/>
  <cols>
    <col min="1" max="1" width="9.140625" style="912"/>
    <col min="2" max="2" width="33.28515625" style="912" customWidth="1"/>
    <col min="3" max="3" width="13.5703125" style="912" bestFit="1" customWidth="1"/>
    <col min="4" max="4" width="13.7109375" style="912" bestFit="1" customWidth="1"/>
    <col min="5" max="6" width="13.5703125" style="912" bestFit="1" customWidth="1"/>
    <col min="7" max="7" width="9.140625" style="912"/>
    <col min="8" max="8" width="35.85546875" style="912" customWidth="1"/>
    <col min="9" max="9" width="14.85546875" style="912" bestFit="1" customWidth="1"/>
    <col min="10" max="10" width="48.140625" style="912" bestFit="1" customWidth="1"/>
    <col min="11" max="12" width="9.140625" style="912"/>
    <col min="13" max="13" width="10.5703125" style="912" bestFit="1" customWidth="1"/>
    <col min="14" max="14" width="13.140625" style="912" bestFit="1" customWidth="1"/>
    <col min="15" max="16" width="14.85546875" style="912" bestFit="1" customWidth="1"/>
    <col min="17" max="17" width="12.85546875" style="912" bestFit="1" customWidth="1"/>
    <col min="18" max="18" width="10.85546875" style="912" bestFit="1" customWidth="1"/>
    <col min="19" max="16384" width="9.140625" style="912"/>
  </cols>
  <sheetData>
    <row r="1" spans="1:18" ht="39">
      <c r="A1" s="904" t="s">
        <v>666</v>
      </c>
      <c r="B1" s="905" t="s">
        <v>885</v>
      </c>
      <c r="C1" s="905" t="s">
        <v>624</v>
      </c>
      <c r="D1" s="906" t="s">
        <v>636</v>
      </c>
      <c r="E1" s="907" t="s">
        <v>635</v>
      </c>
      <c r="F1" s="908" t="s">
        <v>637</v>
      </c>
      <c r="G1" s="908" t="s">
        <v>634</v>
      </c>
      <c r="H1" s="909" t="s">
        <v>625</v>
      </c>
      <c r="I1" s="909" t="s">
        <v>626</v>
      </c>
      <c r="J1" s="909" t="s">
        <v>627</v>
      </c>
      <c r="K1" s="909" t="s">
        <v>628</v>
      </c>
      <c r="L1" s="910" t="s">
        <v>629</v>
      </c>
      <c r="M1" s="911" t="s">
        <v>630</v>
      </c>
      <c r="N1" s="911" t="s">
        <v>631</v>
      </c>
      <c r="O1" s="911" t="s">
        <v>632</v>
      </c>
      <c r="P1" s="911" t="s">
        <v>886</v>
      </c>
      <c r="Q1" s="911" t="s">
        <v>887</v>
      </c>
      <c r="R1" s="911" t="s">
        <v>622</v>
      </c>
    </row>
    <row r="2" spans="1:18" ht="26.25">
      <c r="A2" s="913" t="s">
        <v>660</v>
      </c>
      <c r="B2" s="914" t="s">
        <v>888</v>
      </c>
      <c r="C2" s="915">
        <v>46036</v>
      </c>
      <c r="D2" s="916"/>
      <c r="E2" s="915">
        <v>46036</v>
      </c>
      <c r="F2" s="917"/>
      <c r="G2" s="917" t="s">
        <v>414</v>
      </c>
      <c r="H2" s="918" t="s">
        <v>889</v>
      </c>
      <c r="I2" s="459" t="s">
        <v>308</v>
      </c>
      <c r="J2" s="459" t="s">
        <v>210</v>
      </c>
      <c r="K2" s="916"/>
      <c r="L2" s="919">
        <v>56</v>
      </c>
      <c r="M2" s="920">
        <v>314814.82</v>
      </c>
      <c r="N2" s="921">
        <v>17629629.920000002</v>
      </c>
      <c r="O2" s="921">
        <v>1410370.3936000001</v>
      </c>
      <c r="P2" s="921">
        <v>19040000.313600004</v>
      </c>
      <c r="Q2" s="922"/>
      <c r="R2" s="922"/>
    </row>
    <row r="3" spans="1:18" ht="26.25">
      <c r="A3" s="913" t="s">
        <v>660</v>
      </c>
      <c r="B3" s="914" t="s">
        <v>888</v>
      </c>
      <c r="C3" s="915">
        <v>46036</v>
      </c>
      <c r="D3" s="916"/>
      <c r="E3" s="915">
        <v>46036</v>
      </c>
      <c r="F3" s="917"/>
      <c r="G3" s="917" t="s">
        <v>414</v>
      </c>
      <c r="H3" s="918" t="s">
        <v>889</v>
      </c>
      <c r="I3" s="459" t="s">
        <v>416</v>
      </c>
      <c r="J3" s="459" t="s">
        <v>275</v>
      </c>
      <c r="K3" s="916"/>
      <c r="L3" s="919">
        <v>20</v>
      </c>
      <c r="M3" s="920">
        <v>416666.65</v>
      </c>
      <c r="N3" s="921">
        <v>8333333</v>
      </c>
      <c r="O3" s="921">
        <v>666666.64</v>
      </c>
      <c r="P3" s="921">
        <v>8999999.6400000006</v>
      </c>
      <c r="Q3" s="922"/>
      <c r="R3" s="922"/>
    </row>
    <row r="4" spans="1:18">
      <c r="A4" s="913" t="s">
        <v>660</v>
      </c>
      <c r="B4" s="914" t="s">
        <v>888</v>
      </c>
      <c r="C4" s="915">
        <v>46036</v>
      </c>
      <c r="D4" s="916"/>
      <c r="E4" s="915">
        <v>46036</v>
      </c>
      <c r="F4" s="917"/>
      <c r="G4" s="917" t="s">
        <v>414</v>
      </c>
      <c r="H4" s="918" t="s">
        <v>889</v>
      </c>
      <c r="I4" s="919" t="s">
        <v>80</v>
      </c>
      <c r="J4" s="919" t="s">
        <v>81</v>
      </c>
      <c r="K4" s="916"/>
      <c r="L4" s="919">
        <v>20</v>
      </c>
      <c r="M4" s="920">
        <v>824074.05</v>
      </c>
      <c r="N4" s="921">
        <v>16481481</v>
      </c>
      <c r="O4" s="921">
        <v>1318518.48</v>
      </c>
      <c r="P4" s="921">
        <v>17799999.48</v>
      </c>
      <c r="Q4" s="922"/>
      <c r="R4" s="922"/>
    </row>
    <row r="5" spans="1:18">
      <c r="A5" s="913" t="s">
        <v>660</v>
      </c>
      <c r="B5" s="914" t="s">
        <v>888</v>
      </c>
      <c r="C5" s="915">
        <v>46036</v>
      </c>
      <c r="D5" s="916"/>
      <c r="E5" s="915">
        <v>46036</v>
      </c>
      <c r="F5" s="917"/>
      <c r="G5" s="917" t="s">
        <v>414</v>
      </c>
      <c r="H5" s="918" t="s">
        <v>889</v>
      </c>
      <c r="I5" s="919" t="s">
        <v>21</v>
      </c>
      <c r="J5" s="919" t="s">
        <v>22</v>
      </c>
      <c r="K5" s="916"/>
      <c r="L5" s="919">
        <v>20</v>
      </c>
      <c r="M5" s="920">
        <v>937962.95</v>
      </c>
      <c r="N5" s="921">
        <v>18759259</v>
      </c>
      <c r="O5" s="921">
        <v>1500740.72</v>
      </c>
      <c r="P5" s="921">
        <v>20259999.719999999</v>
      </c>
      <c r="Q5" s="922"/>
      <c r="R5" s="922"/>
    </row>
    <row r="6" spans="1:18">
      <c r="A6" s="913" t="s">
        <v>660</v>
      </c>
      <c r="B6" s="914" t="s">
        <v>888</v>
      </c>
      <c r="C6" s="915">
        <v>46036</v>
      </c>
      <c r="D6" s="916"/>
      <c r="E6" s="915">
        <v>46036</v>
      </c>
      <c r="F6" s="917"/>
      <c r="G6" s="917" t="s">
        <v>414</v>
      </c>
      <c r="H6" s="918" t="s">
        <v>889</v>
      </c>
      <c r="I6" s="459" t="s">
        <v>23</v>
      </c>
      <c r="J6" s="459" t="s">
        <v>82</v>
      </c>
      <c r="K6" s="916"/>
      <c r="L6" s="919">
        <v>30</v>
      </c>
      <c r="M6" s="920">
        <v>1185185.19</v>
      </c>
      <c r="N6" s="921">
        <v>35555555.699999996</v>
      </c>
      <c r="O6" s="921">
        <v>2844444.4559999998</v>
      </c>
      <c r="P6" s="921">
        <v>38400000.155999996</v>
      </c>
      <c r="Q6" s="922"/>
      <c r="R6" s="922"/>
    </row>
    <row r="7" spans="1:18">
      <c r="A7" s="913" t="s">
        <v>660</v>
      </c>
      <c r="B7" s="914" t="s">
        <v>888</v>
      </c>
      <c r="C7" s="915">
        <v>46036</v>
      </c>
      <c r="D7" s="916"/>
      <c r="E7" s="915">
        <v>46036</v>
      </c>
      <c r="F7" s="917"/>
      <c r="G7" s="917" t="s">
        <v>414</v>
      </c>
      <c r="H7" s="918" t="s">
        <v>889</v>
      </c>
      <c r="I7" s="459" t="s">
        <v>32</v>
      </c>
      <c r="J7" s="919" t="s">
        <v>187</v>
      </c>
      <c r="K7" s="916"/>
      <c r="L7" s="919">
        <v>10</v>
      </c>
      <c r="M7" s="920">
        <v>225000</v>
      </c>
      <c r="N7" s="921">
        <v>2250000</v>
      </c>
      <c r="O7" s="921">
        <v>180000</v>
      </c>
      <c r="P7" s="921">
        <v>2430000</v>
      </c>
      <c r="Q7" s="922"/>
      <c r="R7" s="922"/>
    </row>
    <row r="8" spans="1:18">
      <c r="A8" s="913" t="s">
        <v>660</v>
      </c>
      <c r="B8" s="914" t="s">
        <v>888</v>
      </c>
      <c r="C8" s="915">
        <v>46036</v>
      </c>
      <c r="D8" s="916"/>
      <c r="E8" s="915">
        <v>46036</v>
      </c>
      <c r="F8" s="917"/>
      <c r="G8" s="917" t="s">
        <v>414</v>
      </c>
      <c r="H8" s="918" t="s">
        <v>889</v>
      </c>
      <c r="I8" s="919" t="s">
        <v>34</v>
      </c>
      <c r="J8" s="919" t="s">
        <v>188</v>
      </c>
      <c r="K8" s="916"/>
      <c r="L8" s="919">
        <v>10</v>
      </c>
      <c r="M8" s="920">
        <v>247222.22</v>
      </c>
      <c r="N8" s="921">
        <v>2472222.2000000002</v>
      </c>
      <c r="O8" s="921">
        <v>197777.77600000001</v>
      </c>
      <c r="P8" s="921">
        <v>2669999.9760000003</v>
      </c>
      <c r="Q8" s="922"/>
      <c r="R8" s="922"/>
    </row>
    <row r="9" spans="1:18">
      <c r="A9" s="913" t="s">
        <v>660</v>
      </c>
      <c r="B9" s="914" t="s">
        <v>888</v>
      </c>
      <c r="C9" s="915">
        <v>46036</v>
      </c>
      <c r="D9" s="916"/>
      <c r="E9" s="915">
        <v>46036</v>
      </c>
      <c r="F9" s="917"/>
      <c r="G9" s="917" t="s">
        <v>414</v>
      </c>
      <c r="H9" s="918" t="s">
        <v>889</v>
      </c>
      <c r="I9" s="459" t="s">
        <v>36</v>
      </c>
      <c r="J9" s="919" t="s">
        <v>189</v>
      </c>
      <c r="K9" s="916"/>
      <c r="L9" s="919">
        <v>10</v>
      </c>
      <c r="M9" s="920">
        <v>268518.52</v>
      </c>
      <c r="N9" s="921">
        <v>2685185.2</v>
      </c>
      <c r="O9" s="921">
        <v>214814.81600000002</v>
      </c>
      <c r="P9" s="921">
        <v>2900000.0160000003</v>
      </c>
      <c r="Q9" s="922"/>
      <c r="R9" s="922"/>
    </row>
    <row r="10" spans="1:18">
      <c r="A10" s="913" t="s">
        <v>660</v>
      </c>
      <c r="B10" s="914" t="s">
        <v>888</v>
      </c>
      <c r="C10" s="915">
        <v>46036</v>
      </c>
      <c r="D10" s="916"/>
      <c r="E10" s="915">
        <v>46036</v>
      </c>
      <c r="F10" s="917"/>
      <c r="G10" s="917" t="s">
        <v>414</v>
      </c>
      <c r="H10" s="918" t="s">
        <v>889</v>
      </c>
      <c r="I10" s="919" t="s">
        <v>38</v>
      </c>
      <c r="J10" s="919" t="s">
        <v>190</v>
      </c>
      <c r="K10" s="916"/>
      <c r="L10" s="919">
        <v>10</v>
      </c>
      <c r="M10" s="920">
        <v>288888.89</v>
      </c>
      <c r="N10" s="921">
        <v>2888888.9000000004</v>
      </c>
      <c r="O10" s="921">
        <v>231111.11200000002</v>
      </c>
      <c r="P10" s="921">
        <v>3120000.0120000006</v>
      </c>
      <c r="Q10" s="922"/>
      <c r="R10" s="922"/>
    </row>
    <row r="11" spans="1:18">
      <c r="A11" s="913" t="s">
        <v>660</v>
      </c>
      <c r="B11" s="914" t="s">
        <v>888</v>
      </c>
      <c r="C11" s="915">
        <v>46036</v>
      </c>
      <c r="D11" s="916"/>
      <c r="E11" s="915">
        <v>46036</v>
      </c>
      <c r="F11" s="917"/>
      <c r="G11" s="917" t="s">
        <v>414</v>
      </c>
      <c r="H11" s="918" t="s">
        <v>889</v>
      </c>
      <c r="I11" s="459" t="s">
        <v>40</v>
      </c>
      <c r="J11" s="919" t="s">
        <v>41</v>
      </c>
      <c r="K11" s="916"/>
      <c r="L11" s="919">
        <v>10</v>
      </c>
      <c r="M11" s="920">
        <v>844444.5</v>
      </c>
      <c r="N11" s="921">
        <v>8444445</v>
      </c>
      <c r="O11" s="921">
        <v>675555.6</v>
      </c>
      <c r="P11" s="921">
        <v>9120000.5999999996</v>
      </c>
      <c r="Q11" s="922"/>
      <c r="R11" s="922"/>
    </row>
    <row r="12" spans="1:18">
      <c r="A12" s="913" t="s">
        <v>660</v>
      </c>
      <c r="B12" s="914" t="s">
        <v>888</v>
      </c>
      <c r="C12" s="915">
        <v>46036</v>
      </c>
      <c r="D12" s="916"/>
      <c r="E12" s="915">
        <v>46036</v>
      </c>
      <c r="F12" s="917"/>
      <c r="G12" s="917" t="s">
        <v>414</v>
      </c>
      <c r="H12" s="918" t="s">
        <v>889</v>
      </c>
      <c r="I12" s="919" t="s">
        <v>194</v>
      </c>
      <c r="J12" s="919" t="s">
        <v>276</v>
      </c>
      <c r="K12" s="916"/>
      <c r="L12" s="919">
        <v>6</v>
      </c>
      <c r="M12" s="920">
        <v>1203703.75</v>
      </c>
      <c r="N12" s="921">
        <v>7222222.5</v>
      </c>
      <c r="O12" s="921">
        <v>577777.80000000005</v>
      </c>
      <c r="P12" s="921">
        <v>7800000.2999999998</v>
      </c>
      <c r="Q12" s="922"/>
      <c r="R12" s="922"/>
    </row>
    <row r="13" spans="1:18">
      <c r="A13" s="913" t="s">
        <v>660</v>
      </c>
      <c r="B13" s="914" t="s">
        <v>888</v>
      </c>
      <c r="C13" s="915">
        <v>46036</v>
      </c>
      <c r="D13" s="916"/>
      <c r="E13" s="915">
        <v>46036</v>
      </c>
      <c r="F13" s="917"/>
      <c r="G13" s="917" t="s">
        <v>414</v>
      </c>
      <c r="H13" s="918" t="s">
        <v>889</v>
      </c>
      <c r="I13" s="459" t="s">
        <v>58</v>
      </c>
      <c r="J13" s="459" t="s">
        <v>59</v>
      </c>
      <c r="K13" s="916"/>
      <c r="L13" s="919">
        <v>6</v>
      </c>
      <c r="M13" s="920">
        <v>1361111</v>
      </c>
      <c r="N13" s="921">
        <v>8166666</v>
      </c>
      <c r="O13" s="921">
        <v>653333.28</v>
      </c>
      <c r="P13" s="921">
        <v>8819999.2799999993</v>
      </c>
      <c r="Q13" s="922"/>
      <c r="R13" s="922"/>
    </row>
    <row r="14" spans="1:18">
      <c r="A14" s="913" t="s">
        <v>660</v>
      </c>
      <c r="B14" s="914" t="s">
        <v>888</v>
      </c>
      <c r="C14" s="915">
        <v>46036</v>
      </c>
      <c r="D14" s="916"/>
      <c r="E14" s="923">
        <v>46167</v>
      </c>
      <c r="F14" s="924"/>
      <c r="G14" s="924" t="s">
        <v>417</v>
      </c>
      <c r="H14" s="918" t="s">
        <v>889</v>
      </c>
      <c r="I14" s="925" t="s">
        <v>74</v>
      </c>
      <c r="J14" s="925" t="s">
        <v>141</v>
      </c>
      <c r="K14" s="916"/>
      <c r="L14" s="925">
        <v>40</v>
      </c>
      <c r="M14" s="926">
        <v>361111.11</v>
      </c>
      <c r="N14" s="927">
        <v>14444444.399999999</v>
      </c>
      <c r="O14" s="927">
        <v>1155555.5519999999</v>
      </c>
      <c r="P14" s="927">
        <v>15599999.951999998</v>
      </c>
      <c r="Q14" s="922"/>
      <c r="R14" s="922"/>
    </row>
    <row r="15" spans="1:18" s="930" customFormat="1">
      <c r="A15" s="928" t="s">
        <v>660</v>
      </c>
      <c r="B15" s="914" t="s">
        <v>888</v>
      </c>
      <c r="C15" s="915">
        <v>46048</v>
      </c>
      <c r="D15" s="918"/>
      <c r="E15" s="925"/>
      <c r="F15" s="925"/>
      <c r="G15" s="925" t="s">
        <v>420</v>
      </c>
      <c r="H15" s="925" t="s">
        <v>844</v>
      </c>
      <c r="I15" s="925"/>
      <c r="J15" s="925"/>
      <c r="K15" s="918"/>
      <c r="L15" s="925"/>
      <c r="M15" s="926"/>
      <c r="N15" s="927"/>
      <c r="O15" s="927"/>
      <c r="P15" s="927"/>
      <c r="Q15" s="929">
        <v>70680000</v>
      </c>
      <c r="R15" s="929"/>
    </row>
    <row r="16" spans="1:18" ht="26.25">
      <c r="A16" s="913" t="s">
        <v>660</v>
      </c>
      <c r="B16" s="914" t="s">
        <v>888</v>
      </c>
      <c r="C16" s="915">
        <v>46049</v>
      </c>
      <c r="D16" s="916"/>
      <c r="E16" s="915">
        <v>46080</v>
      </c>
      <c r="F16" s="917"/>
      <c r="G16" s="917" t="s">
        <v>423</v>
      </c>
      <c r="H16" s="918" t="s">
        <v>889</v>
      </c>
      <c r="I16" s="919" t="s">
        <v>16</v>
      </c>
      <c r="J16" s="459" t="s">
        <v>224</v>
      </c>
      <c r="K16" s="916"/>
      <c r="L16" s="919">
        <v>40</v>
      </c>
      <c r="M16" s="920">
        <v>851851.85</v>
      </c>
      <c r="N16" s="921">
        <v>34074074</v>
      </c>
      <c r="O16" s="921">
        <v>2725925.92</v>
      </c>
      <c r="P16" s="921">
        <v>36799999.920000002</v>
      </c>
      <c r="Q16" s="922"/>
      <c r="R16" s="922"/>
    </row>
    <row r="17" spans="1:18">
      <c r="A17" s="913" t="s">
        <v>660</v>
      </c>
      <c r="B17" s="914" t="s">
        <v>888</v>
      </c>
      <c r="C17" s="915">
        <v>46049</v>
      </c>
      <c r="D17" s="916"/>
      <c r="E17" s="923">
        <v>46167</v>
      </c>
      <c r="F17" s="924"/>
      <c r="G17" s="924" t="s">
        <v>417</v>
      </c>
      <c r="H17" s="918" t="s">
        <v>889</v>
      </c>
      <c r="I17" s="925" t="s">
        <v>83</v>
      </c>
      <c r="J17" s="925" t="s">
        <v>240</v>
      </c>
      <c r="K17" s="916"/>
      <c r="L17" s="925">
        <v>8</v>
      </c>
      <c r="M17" s="926">
        <v>1097222.22</v>
      </c>
      <c r="N17" s="927">
        <v>8777777.7599999998</v>
      </c>
      <c r="O17" s="927">
        <v>702222.22080000001</v>
      </c>
      <c r="P17" s="927">
        <v>9479999.9807999991</v>
      </c>
      <c r="Q17" s="922"/>
      <c r="R17" s="922"/>
    </row>
    <row r="18" spans="1:18" ht="26.25">
      <c r="A18" s="913" t="s">
        <v>660</v>
      </c>
      <c r="B18" s="914" t="s">
        <v>888</v>
      </c>
      <c r="C18" s="915">
        <v>46049</v>
      </c>
      <c r="D18" s="916"/>
      <c r="E18" s="915">
        <v>46080</v>
      </c>
      <c r="F18" s="917"/>
      <c r="G18" s="917" t="s">
        <v>423</v>
      </c>
      <c r="H18" s="918" t="s">
        <v>889</v>
      </c>
      <c r="I18" s="919" t="s">
        <v>60</v>
      </c>
      <c r="J18" s="459" t="s">
        <v>223</v>
      </c>
      <c r="K18" s="916"/>
      <c r="L18" s="919">
        <v>20</v>
      </c>
      <c r="M18" s="920">
        <v>1138888.8899999999</v>
      </c>
      <c r="N18" s="921">
        <v>22777777.799999997</v>
      </c>
      <c r="O18" s="921">
        <v>1822222.2239999997</v>
      </c>
      <c r="P18" s="921">
        <v>24600000.023999996</v>
      </c>
      <c r="Q18" s="922"/>
      <c r="R18" s="922"/>
    </row>
    <row r="19" spans="1:18">
      <c r="A19" s="913" t="s">
        <v>660</v>
      </c>
      <c r="B19" s="914" t="s">
        <v>888</v>
      </c>
      <c r="C19" s="915">
        <v>46049</v>
      </c>
      <c r="D19" s="916"/>
      <c r="E19" s="915">
        <v>46080</v>
      </c>
      <c r="F19" s="917"/>
      <c r="G19" s="917" t="s">
        <v>423</v>
      </c>
      <c r="H19" s="918" t="s">
        <v>889</v>
      </c>
      <c r="I19" s="919" t="s">
        <v>58</v>
      </c>
      <c r="J19" s="919" t="s">
        <v>59</v>
      </c>
      <c r="K19" s="916"/>
      <c r="L19" s="919">
        <v>20</v>
      </c>
      <c r="M19" s="920">
        <v>1361111.11</v>
      </c>
      <c r="N19" s="921">
        <v>27222222.200000003</v>
      </c>
      <c r="O19" s="921">
        <v>2177777.7760000001</v>
      </c>
      <c r="P19" s="921">
        <v>29399999.976000004</v>
      </c>
      <c r="Q19" s="922"/>
      <c r="R19" s="922"/>
    </row>
    <row r="20" spans="1:18">
      <c r="A20" s="913" t="s">
        <v>660</v>
      </c>
      <c r="B20" s="914" t="s">
        <v>888</v>
      </c>
      <c r="C20" s="915">
        <v>46049</v>
      </c>
      <c r="D20" s="916"/>
      <c r="E20" s="915">
        <v>46080</v>
      </c>
      <c r="F20" s="917"/>
      <c r="G20" s="917" t="s">
        <v>423</v>
      </c>
      <c r="H20" s="918" t="s">
        <v>889</v>
      </c>
      <c r="I20" s="919" t="s">
        <v>274</v>
      </c>
      <c r="J20" s="919" t="s">
        <v>297</v>
      </c>
      <c r="K20" s="916"/>
      <c r="L20" s="919">
        <v>100</v>
      </c>
      <c r="M20" s="920">
        <v>416666.67</v>
      </c>
      <c r="N20" s="921">
        <v>41666667</v>
      </c>
      <c r="O20" s="921">
        <v>3333333.36</v>
      </c>
      <c r="P20" s="921">
        <v>45000000.359999999</v>
      </c>
      <c r="Q20" s="922"/>
      <c r="R20" s="922"/>
    </row>
    <row r="21" spans="1:18">
      <c r="A21" s="913" t="s">
        <v>660</v>
      </c>
      <c r="B21" s="914" t="s">
        <v>888</v>
      </c>
      <c r="C21" s="915">
        <v>46049</v>
      </c>
      <c r="D21" s="916"/>
      <c r="E21" s="923"/>
      <c r="F21" s="924"/>
      <c r="G21" s="924"/>
      <c r="H21" s="918" t="s">
        <v>889</v>
      </c>
      <c r="I21" s="925" t="s">
        <v>424</v>
      </c>
      <c r="J21" s="925" t="s">
        <v>425</v>
      </c>
      <c r="K21" s="916"/>
      <c r="L21" s="925">
        <v>20</v>
      </c>
      <c r="M21" s="926">
        <v>882407.4</v>
      </c>
      <c r="N21" s="927">
        <v>17648148</v>
      </c>
      <c r="O21" s="927">
        <v>1411851.84</v>
      </c>
      <c r="P21" s="927">
        <v>19059999.84</v>
      </c>
      <c r="Q21" s="922"/>
      <c r="R21" s="922"/>
    </row>
    <row r="22" spans="1:18" s="930" customFormat="1">
      <c r="A22" s="928" t="s">
        <v>660</v>
      </c>
      <c r="B22" s="914" t="s">
        <v>888</v>
      </c>
      <c r="C22" s="915">
        <v>46063</v>
      </c>
      <c r="D22" s="918"/>
      <c r="E22" s="923"/>
      <c r="F22" s="924"/>
      <c r="G22" s="924" t="s">
        <v>427</v>
      </c>
      <c r="H22" s="925" t="s">
        <v>844</v>
      </c>
      <c r="I22" s="925"/>
      <c r="J22" s="925"/>
      <c r="K22" s="918"/>
      <c r="L22" s="925"/>
      <c r="M22" s="926"/>
      <c r="N22" s="927"/>
      <c r="O22" s="927"/>
      <c r="P22" s="927"/>
      <c r="Q22" s="929">
        <v>70680000</v>
      </c>
      <c r="R22" s="929"/>
    </row>
    <row r="23" spans="1:18">
      <c r="A23" s="913" t="s">
        <v>660</v>
      </c>
      <c r="B23" s="914" t="s">
        <v>888</v>
      </c>
      <c r="C23" s="915">
        <v>46063</v>
      </c>
      <c r="D23" s="916"/>
      <c r="E23" s="925"/>
      <c r="F23" s="924"/>
      <c r="G23" s="924"/>
      <c r="H23" s="918" t="s">
        <v>889</v>
      </c>
      <c r="I23" s="925" t="s">
        <v>204</v>
      </c>
      <c r="J23" s="925" t="s">
        <v>269</v>
      </c>
      <c r="K23" s="916"/>
      <c r="L23" s="925">
        <v>30</v>
      </c>
      <c r="M23" s="926">
        <v>480555.55</v>
      </c>
      <c r="N23" s="927">
        <v>14416666.5</v>
      </c>
      <c r="O23" s="927">
        <v>1153333.32</v>
      </c>
      <c r="P23" s="927">
        <v>15569999.82</v>
      </c>
      <c r="Q23" s="922"/>
      <c r="R23" s="922"/>
    </row>
    <row r="24" spans="1:18">
      <c r="A24" s="913" t="s">
        <v>660</v>
      </c>
      <c r="B24" s="914" t="s">
        <v>888</v>
      </c>
      <c r="C24" s="915">
        <v>46063</v>
      </c>
      <c r="D24" s="916"/>
      <c r="E24" s="925"/>
      <c r="F24" s="924"/>
      <c r="G24" s="924"/>
      <c r="H24" s="918" t="s">
        <v>889</v>
      </c>
      <c r="I24" s="925" t="s">
        <v>208</v>
      </c>
      <c r="J24" s="925" t="s">
        <v>209</v>
      </c>
      <c r="K24" s="916"/>
      <c r="L24" s="925">
        <v>20</v>
      </c>
      <c r="M24" s="926">
        <v>647222.22</v>
      </c>
      <c r="N24" s="927">
        <v>12944444.399999999</v>
      </c>
      <c r="O24" s="927">
        <v>1035555.5519999999</v>
      </c>
      <c r="P24" s="927">
        <v>13979999.951999998</v>
      </c>
      <c r="Q24" s="922"/>
      <c r="R24" s="922"/>
    </row>
    <row r="25" spans="1:18">
      <c r="A25" s="913" t="s">
        <v>660</v>
      </c>
      <c r="B25" s="914" t="s">
        <v>888</v>
      </c>
      <c r="C25" s="915">
        <v>46063</v>
      </c>
      <c r="D25" s="916"/>
      <c r="E25" s="925"/>
      <c r="F25" s="924"/>
      <c r="G25" s="924"/>
      <c r="H25" s="918" t="s">
        <v>889</v>
      </c>
      <c r="I25" s="925" t="s">
        <v>77</v>
      </c>
      <c r="J25" s="925" t="s">
        <v>428</v>
      </c>
      <c r="K25" s="916"/>
      <c r="L25" s="925">
        <v>52</v>
      </c>
      <c r="M25" s="926">
        <v>324074.07</v>
      </c>
      <c r="N25" s="927">
        <v>16851851.640000001</v>
      </c>
      <c r="O25" s="927">
        <v>1348148.1312000002</v>
      </c>
      <c r="P25" s="927">
        <v>18199999.771200001</v>
      </c>
      <c r="Q25" s="922"/>
      <c r="R25" s="922"/>
    </row>
    <row r="26" spans="1:18">
      <c r="A26" s="913" t="s">
        <v>660</v>
      </c>
      <c r="B26" s="914" t="s">
        <v>888</v>
      </c>
      <c r="C26" s="915">
        <v>46063</v>
      </c>
      <c r="D26" s="916"/>
      <c r="E26" s="925"/>
      <c r="F26" s="924"/>
      <c r="G26" s="924"/>
      <c r="H26" s="918" t="s">
        <v>889</v>
      </c>
      <c r="I26" s="925" t="s">
        <v>206</v>
      </c>
      <c r="J26" s="925" t="s">
        <v>369</v>
      </c>
      <c r="K26" s="916"/>
      <c r="L26" s="925">
        <v>30</v>
      </c>
      <c r="M26" s="926">
        <v>483333.33</v>
      </c>
      <c r="N26" s="927">
        <v>14499999.9</v>
      </c>
      <c r="O26" s="927">
        <v>1159999.9920000001</v>
      </c>
      <c r="P26" s="927">
        <v>15659999.892000001</v>
      </c>
      <c r="Q26" s="922"/>
      <c r="R26" s="922"/>
    </row>
    <row r="27" spans="1:18">
      <c r="A27" s="913" t="s">
        <v>660</v>
      </c>
      <c r="B27" s="914" t="s">
        <v>888</v>
      </c>
      <c r="C27" s="915">
        <v>46063</v>
      </c>
      <c r="D27" s="916"/>
      <c r="E27" s="925"/>
      <c r="F27" s="924"/>
      <c r="G27" s="924"/>
      <c r="H27" s="918" t="s">
        <v>889</v>
      </c>
      <c r="I27" s="925" t="s">
        <v>386</v>
      </c>
      <c r="J27" s="925" t="s">
        <v>387</v>
      </c>
      <c r="K27" s="916"/>
      <c r="L27" s="925">
        <v>40</v>
      </c>
      <c r="M27" s="926">
        <v>847222.22</v>
      </c>
      <c r="N27" s="927">
        <v>33888888.799999997</v>
      </c>
      <c r="O27" s="927">
        <v>2711111.1039999998</v>
      </c>
      <c r="P27" s="927">
        <v>36599999.903999999</v>
      </c>
      <c r="Q27" s="922"/>
      <c r="R27" s="922"/>
    </row>
    <row r="28" spans="1:18" ht="26.25">
      <c r="A28" s="913" t="s">
        <v>660</v>
      </c>
      <c r="B28" s="914" t="s">
        <v>888</v>
      </c>
      <c r="C28" s="915">
        <v>46097</v>
      </c>
      <c r="D28" s="916"/>
      <c r="E28" s="925"/>
      <c r="F28" s="924"/>
      <c r="G28" s="924"/>
      <c r="H28" s="918" t="s">
        <v>889</v>
      </c>
      <c r="I28" s="925" t="s">
        <v>60</v>
      </c>
      <c r="J28" s="465" t="s">
        <v>223</v>
      </c>
      <c r="K28" s="916"/>
      <c r="L28" s="925">
        <v>10</v>
      </c>
      <c r="M28" s="926">
        <v>1138888.8899999999</v>
      </c>
      <c r="N28" s="927">
        <v>11388888.899999999</v>
      </c>
      <c r="O28" s="927">
        <v>911111.11199999985</v>
      </c>
      <c r="P28" s="927">
        <v>12300000.011999998</v>
      </c>
      <c r="Q28" s="922"/>
      <c r="R28" s="922"/>
    </row>
    <row r="29" spans="1:18" ht="26.25">
      <c r="A29" s="913" t="s">
        <v>660</v>
      </c>
      <c r="B29" s="914" t="s">
        <v>888</v>
      </c>
      <c r="C29" s="915">
        <v>46097</v>
      </c>
      <c r="D29" s="916"/>
      <c r="E29" s="923" t="s">
        <v>418</v>
      </c>
      <c r="F29" s="924"/>
      <c r="G29" s="924" t="s">
        <v>417</v>
      </c>
      <c r="H29" s="918" t="s">
        <v>889</v>
      </c>
      <c r="I29" s="925" t="s">
        <v>83</v>
      </c>
      <c r="J29" s="465" t="s">
        <v>240</v>
      </c>
      <c r="K29" s="916"/>
      <c r="L29" s="925">
        <v>30</v>
      </c>
      <c r="M29" s="926">
        <v>1097222.22</v>
      </c>
      <c r="N29" s="927">
        <v>32916666.599999998</v>
      </c>
      <c r="O29" s="927">
        <v>2633333.3279999997</v>
      </c>
      <c r="P29" s="927">
        <v>35549999.927999996</v>
      </c>
      <c r="Q29" s="922"/>
      <c r="R29" s="922"/>
    </row>
    <row r="30" spans="1:18" s="930" customFormat="1">
      <c r="A30" s="928" t="s">
        <v>660</v>
      </c>
      <c r="B30" s="914" t="s">
        <v>888</v>
      </c>
      <c r="C30" s="923">
        <v>46122</v>
      </c>
      <c r="D30" s="918"/>
      <c r="E30" s="925"/>
      <c r="F30" s="925"/>
      <c r="G30" s="925"/>
      <c r="H30" s="925" t="s">
        <v>844</v>
      </c>
      <c r="I30" s="925"/>
      <c r="J30" s="465"/>
      <c r="K30" s="918"/>
      <c r="L30" s="925"/>
      <c r="M30" s="926"/>
      <c r="N30" s="927"/>
      <c r="O30" s="927"/>
      <c r="P30" s="927"/>
      <c r="Q30" s="929">
        <v>48000000</v>
      </c>
      <c r="R30" s="929"/>
    </row>
    <row r="31" spans="1:18">
      <c r="A31" s="913" t="s">
        <v>660</v>
      </c>
      <c r="B31" s="914" t="s">
        <v>888</v>
      </c>
      <c r="C31" s="923">
        <v>46140</v>
      </c>
      <c r="D31" s="916"/>
      <c r="E31" s="923">
        <v>46331</v>
      </c>
      <c r="F31" s="924"/>
      <c r="G31" s="924" t="s">
        <v>431</v>
      </c>
      <c r="H31" s="918" t="s">
        <v>889</v>
      </c>
      <c r="I31" s="925" t="s">
        <v>80</v>
      </c>
      <c r="J31" s="925" t="s">
        <v>81</v>
      </c>
      <c r="K31" s="916"/>
      <c r="L31" s="925">
        <v>16</v>
      </c>
      <c r="M31" s="926">
        <v>824074.05</v>
      </c>
      <c r="N31" s="927">
        <v>13185184.800000001</v>
      </c>
      <c r="O31" s="927">
        <v>1054814.784</v>
      </c>
      <c r="P31" s="927">
        <v>14239999.584000001</v>
      </c>
      <c r="Q31" s="922"/>
      <c r="R31" s="922"/>
    </row>
    <row r="32" spans="1:18">
      <c r="A32" s="913" t="s">
        <v>660</v>
      </c>
      <c r="B32" s="914" t="s">
        <v>888</v>
      </c>
      <c r="C32" s="923">
        <v>46140</v>
      </c>
      <c r="D32" s="916"/>
      <c r="E32" s="923">
        <v>46331</v>
      </c>
      <c r="F32" s="924"/>
      <c r="G32" s="924" t="s">
        <v>431</v>
      </c>
      <c r="H32" s="918" t="s">
        <v>889</v>
      </c>
      <c r="I32" s="925" t="s">
        <v>21</v>
      </c>
      <c r="J32" s="925" t="s">
        <v>22</v>
      </c>
      <c r="K32" s="916"/>
      <c r="L32" s="925">
        <v>16</v>
      </c>
      <c r="M32" s="926">
        <v>937962.95</v>
      </c>
      <c r="N32" s="927">
        <v>15007407.199999999</v>
      </c>
      <c r="O32" s="927">
        <v>1200592.5759999999</v>
      </c>
      <c r="P32" s="927">
        <v>16207999.775999999</v>
      </c>
      <c r="Q32" s="922"/>
      <c r="R32" s="922"/>
    </row>
    <row r="33" spans="1:18">
      <c r="A33" s="913" t="s">
        <v>660</v>
      </c>
      <c r="B33" s="914" t="s">
        <v>888</v>
      </c>
      <c r="C33" s="923">
        <v>46140</v>
      </c>
      <c r="D33" s="916"/>
      <c r="E33" s="923">
        <v>46331</v>
      </c>
      <c r="F33" s="924"/>
      <c r="G33" s="924" t="s">
        <v>431</v>
      </c>
      <c r="H33" s="918" t="s">
        <v>889</v>
      </c>
      <c r="I33" s="925" t="s">
        <v>262</v>
      </c>
      <c r="J33" s="465" t="s">
        <v>263</v>
      </c>
      <c r="K33" s="916"/>
      <c r="L33" s="925">
        <v>16</v>
      </c>
      <c r="M33" s="926">
        <v>851851.85</v>
      </c>
      <c r="N33" s="927">
        <v>13629629.6</v>
      </c>
      <c r="O33" s="927">
        <v>1090370.368</v>
      </c>
      <c r="P33" s="927">
        <v>14719999.968</v>
      </c>
      <c r="Q33" s="922"/>
      <c r="R33" s="922"/>
    </row>
    <row r="34" spans="1:18">
      <c r="A34" s="913" t="s">
        <v>660</v>
      </c>
      <c r="B34" s="914" t="s">
        <v>888</v>
      </c>
      <c r="C34" s="923">
        <v>46162</v>
      </c>
      <c r="D34" s="916"/>
      <c r="E34" s="923"/>
      <c r="F34" s="924"/>
      <c r="G34" s="924"/>
      <c r="H34" s="918" t="s">
        <v>889</v>
      </c>
      <c r="I34" s="925" t="s">
        <v>424</v>
      </c>
      <c r="J34" s="925" t="s">
        <v>425</v>
      </c>
      <c r="K34" s="916"/>
      <c r="L34" s="931">
        <v>-20</v>
      </c>
      <c r="M34" s="932">
        <v>882407.4</v>
      </c>
      <c r="N34" s="932">
        <v>-17648148</v>
      </c>
      <c r="O34" s="932">
        <v>-1411851.84</v>
      </c>
      <c r="P34" s="932">
        <v>-19059999.84</v>
      </c>
      <c r="Q34" s="922"/>
      <c r="R34" s="922"/>
    </row>
    <row r="35" spans="1:18">
      <c r="A35" s="913" t="s">
        <v>660</v>
      </c>
      <c r="B35" s="914" t="s">
        <v>888</v>
      </c>
      <c r="C35" s="923">
        <v>46162</v>
      </c>
      <c r="D35" s="916"/>
      <c r="E35" s="923"/>
      <c r="F35" s="924"/>
      <c r="G35" s="924"/>
      <c r="H35" s="918" t="s">
        <v>889</v>
      </c>
      <c r="I35" s="925" t="s">
        <v>386</v>
      </c>
      <c r="J35" s="925" t="s">
        <v>387</v>
      </c>
      <c r="K35" s="916"/>
      <c r="L35" s="931">
        <v>-37</v>
      </c>
      <c r="M35" s="932">
        <v>847222.22</v>
      </c>
      <c r="N35" s="932">
        <v>-31347222.140000001</v>
      </c>
      <c r="O35" s="932">
        <v>-2507777.7712000003</v>
      </c>
      <c r="P35" s="932">
        <v>-33854999.911200002</v>
      </c>
      <c r="Q35" s="922"/>
      <c r="R35" s="922"/>
    </row>
    <row r="36" spans="1:18" ht="26.25">
      <c r="A36" s="913" t="s">
        <v>660</v>
      </c>
      <c r="B36" s="914" t="s">
        <v>888</v>
      </c>
      <c r="C36" s="923">
        <v>46162</v>
      </c>
      <c r="D36" s="916"/>
      <c r="E36" s="923">
        <v>46163</v>
      </c>
      <c r="F36" s="924"/>
      <c r="G36" s="924" t="s">
        <v>433</v>
      </c>
      <c r="H36" s="918" t="s">
        <v>889</v>
      </c>
      <c r="I36" s="925" t="s">
        <v>60</v>
      </c>
      <c r="J36" s="465" t="s">
        <v>223</v>
      </c>
      <c r="K36" s="916"/>
      <c r="L36" s="931">
        <v>50</v>
      </c>
      <c r="M36" s="932">
        <v>1138888.8799999999</v>
      </c>
      <c r="N36" s="932">
        <v>56944443.999999993</v>
      </c>
      <c r="O36" s="932">
        <v>4555555.5199999996</v>
      </c>
      <c r="P36" s="932">
        <v>61499999.519999996</v>
      </c>
      <c r="Q36" s="922"/>
      <c r="R36" s="922"/>
    </row>
    <row r="37" spans="1:18" ht="26.25">
      <c r="A37" s="913" t="s">
        <v>660</v>
      </c>
      <c r="B37" s="914" t="s">
        <v>888</v>
      </c>
      <c r="C37" s="923">
        <v>46162</v>
      </c>
      <c r="D37" s="916"/>
      <c r="E37" s="923">
        <v>46163</v>
      </c>
      <c r="F37" s="924"/>
      <c r="G37" s="924" t="s">
        <v>433</v>
      </c>
      <c r="H37" s="918" t="s">
        <v>889</v>
      </c>
      <c r="I37" s="925" t="s">
        <v>16</v>
      </c>
      <c r="J37" s="465" t="s">
        <v>224</v>
      </c>
      <c r="K37" s="916"/>
      <c r="L37" s="931">
        <v>20</v>
      </c>
      <c r="M37" s="932">
        <v>851851.85</v>
      </c>
      <c r="N37" s="932">
        <v>17037037</v>
      </c>
      <c r="O37" s="932">
        <v>1362962.96</v>
      </c>
      <c r="P37" s="932">
        <v>18399999.960000001</v>
      </c>
      <c r="Q37" s="922"/>
      <c r="R37" s="922"/>
    </row>
    <row r="38" spans="1:18">
      <c r="A38" s="913" t="s">
        <v>660</v>
      </c>
      <c r="B38" s="914" t="s">
        <v>888</v>
      </c>
      <c r="C38" s="923">
        <v>46162</v>
      </c>
      <c r="D38" s="916"/>
      <c r="E38" s="923">
        <v>46163</v>
      </c>
      <c r="F38" s="924"/>
      <c r="G38" s="924" t="s">
        <v>433</v>
      </c>
      <c r="H38" s="918" t="s">
        <v>889</v>
      </c>
      <c r="I38" s="925" t="s">
        <v>50</v>
      </c>
      <c r="J38" s="925" t="s">
        <v>51</v>
      </c>
      <c r="K38" s="916"/>
      <c r="L38" s="931">
        <v>20</v>
      </c>
      <c r="M38" s="932">
        <v>937962.96</v>
      </c>
      <c r="N38" s="932">
        <v>18759259.199999999</v>
      </c>
      <c r="O38" s="932">
        <v>1500740.736</v>
      </c>
      <c r="P38" s="932">
        <v>20259999.936000001</v>
      </c>
      <c r="Q38" s="922"/>
      <c r="R38" s="922"/>
    </row>
    <row r="39" spans="1:18">
      <c r="A39" s="913" t="s">
        <v>660</v>
      </c>
      <c r="B39" s="914" t="s">
        <v>888</v>
      </c>
      <c r="C39" s="923">
        <v>46162</v>
      </c>
      <c r="D39" s="916"/>
      <c r="E39" s="923">
        <v>46163</v>
      </c>
      <c r="F39" s="924"/>
      <c r="G39" s="924" t="s">
        <v>433</v>
      </c>
      <c r="H39" s="918" t="s">
        <v>889</v>
      </c>
      <c r="I39" s="925" t="s">
        <v>52</v>
      </c>
      <c r="J39" s="925" t="s">
        <v>53</v>
      </c>
      <c r="K39" s="916"/>
      <c r="L39" s="931">
        <v>20</v>
      </c>
      <c r="M39" s="932">
        <v>1007407.4</v>
      </c>
      <c r="N39" s="932">
        <v>20148148</v>
      </c>
      <c r="O39" s="932">
        <v>1611851.84</v>
      </c>
      <c r="P39" s="932">
        <v>21759999.84</v>
      </c>
      <c r="Q39" s="922"/>
      <c r="R39" s="922"/>
    </row>
    <row r="40" spans="1:18">
      <c r="A40" s="913" t="s">
        <v>660</v>
      </c>
      <c r="B40" s="914" t="s">
        <v>888</v>
      </c>
      <c r="C40" s="923">
        <v>46162</v>
      </c>
      <c r="D40" s="916"/>
      <c r="E40" s="923">
        <v>46163</v>
      </c>
      <c r="F40" s="924"/>
      <c r="G40" s="924" t="s">
        <v>433</v>
      </c>
      <c r="H40" s="918" t="s">
        <v>889</v>
      </c>
      <c r="I40" s="925" t="s">
        <v>262</v>
      </c>
      <c r="J40" s="925" t="s">
        <v>435</v>
      </c>
      <c r="K40" s="916"/>
      <c r="L40" s="931">
        <v>20</v>
      </c>
      <c r="M40" s="932">
        <v>851851.85</v>
      </c>
      <c r="N40" s="932">
        <v>17037037</v>
      </c>
      <c r="O40" s="932">
        <v>1362962.96</v>
      </c>
      <c r="P40" s="932">
        <v>18399999.960000001</v>
      </c>
      <c r="Q40" s="922"/>
      <c r="R40" s="922"/>
    </row>
    <row r="41" spans="1:18">
      <c r="A41" s="913" t="s">
        <v>660</v>
      </c>
      <c r="B41" s="914" t="s">
        <v>888</v>
      </c>
      <c r="C41" s="923">
        <v>46162</v>
      </c>
      <c r="D41" s="916"/>
      <c r="E41" s="923">
        <v>46163</v>
      </c>
      <c r="F41" s="924"/>
      <c r="G41" s="924" t="s">
        <v>433</v>
      </c>
      <c r="H41" s="918" t="s">
        <v>889</v>
      </c>
      <c r="I41" s="925" t="s">
        <v>74</v>
      </c>
      <c r="J41" s="925" t="s">
        <v>141</v>
      </c>
      <c r="K41" s="916"/>
      <c r="L41" s="931">
        <v>80</v>
      </c>
      <c r="M41" s="932">
        <v>361111.11</v>
      </c>
      <c r="N41" s="932">
        <v>28888888.799999997</v>
      </c>
      <c r="O41" s="932">
        <v>2311111.1039999998</v>
      </c>
      <c r="P41" s="932">
        <v>31199999.903999995</v>
      </c>
      <c r="Q41" s="922"/>
      <c r="R41" s="922"/>
    </row>
    <row r="42" spans="1:18">
      <c r="A42" s="913" t="s">
        <v>660</v>
      </c>
      <c r="B42" s="914" t="s">
        <v>888</v>
      </c>
      <c r="C42" s="923">
        <v>46162</v>
      </c>
      <c r="D42" s="916"/>
      <c r="E42" s="923">
        <v>46163</v>
      </c>
      <c r="F42" s="924"/>
      <c r="G42" s="924" t="s">
        <v>433</v>
      </c>
      <c r="H42" s="918" t="s">
        <v>889</v>
      </c>
      <c r="I42" s="925" t="s">
        <v>436</v>
      </c>
      <c r="J42" s="925" t="s">
        <v>63</v>
      </c>
      <c r="K42" s="916"/>
      <c r="L42" s="931">
        <v>40</v>
      </c>
      <c r="M42" s="932">
        <v>0</v>
      </c>
      <c r="N42" s="932">
        <v>0</v>
      </c>
      <c r="O42" s="932">
        <v>0</v>
      </c>
      <c r="P42" s="932">
        <v>0</v>
      </c>
      <c r="Q42" s="922"/>
      <c r="R42" s="922"/>
    </row>
    <row r="43" spans="1:18">
      <c r="A43" s="913" t="s">
        <v>660</v>
      </c>
      <c r="B43" s="914" t="s">
        <v>888</v>
      </c>
      <c r="C43" s="923">
        <v>46162</v>
      </c>
      <c r="D43" s="916"/>
      <c r="E43" s="923">
        <v>46163</v>
      </c>
      <c r="F43" s="924"/>
      <c r="G43" s="924" t="s">
        <v>433</v>
      </c>
      <c r="H43" s="918" t="s">
        <v>889</v>
      </c>
      <c r="I43" s="925" t="s">
        <v>262</v>
      </c>
      <c r="J43" s="925" t="s">
        <v>435</v>
      </c>
      <c r="K43" s="916"/>
      <c r="L43" s="931">
        <v>30</v>
      </c>
      <c r="M43" s="932">
        <v>851851.85</v>
      </c>
      <c r="N43" s="932">
        <v>25555555.5</v>
      </c>
      <c r="O43" s="932">
        <v>2044444.44</v>
      </c>
      <c r="P43" s="932">
        <v>27599999.940000001</v>
      </c>
      <c r="Q43" s="922"/>
      <c r="R43" s="922"/>
    </row>
    <row r="44" spans="1:18" s="930" customFormat="1">
      <c r="A44" s="928" t="s">
        <v>660</v>
      </c>
      <c r="B44" s="914" t="s">
        <v>888</v>
      </c>
      <c r="C44" s="923">
        <v>46087</v>
      </c>
      <c r="D44" s="918"/>
      <c r="E44" s="925"/>
      <c r="F44" s="925"/>
      <c r="G44" s="925"/>
      <c r="H44" s="925" t="s">
        <v>844</v>
      </c>
      <c r="I44" s="925"/>
      <c r="J44" s="465"/>
      <c r="K44" s="918"/>
      <c r="L44" s="925"/>
      <c r="M44" s="926"/>
      <c r="N44" s="927"/>
      <c r="O44" s="925"/>
      <c r="P44" s="925"/>
      <c r="Q44" s="929">
        <v>50000000</v>
      </c>
      <c r="R44" s="929"/>
    </row>
    <row r="45" spans="1:18" s="930" customFormat="1">
      <c r="A45" s="928" t="s">
        <v>660</v>
      </c>
      <c r="B45" s="914" t="s">
        <v>888</v>
      </c>
      <c r="C45" s="923"/>
      <c r="D45" s="918"/>
      <c r="E45" s="923"/>
      <c r="F45" s="925"/>
      <c r="G45" s="925"/>
      <c r="H45" s="925" t="s">
        <v>863</v>
      </c>
      <c r="I45" s="925"/>
      <c r="J45" s="465"/>
      <c r="K45" s="918"/>
      <c r="L45" s="925"/>
      <c r="M45" s="926"/>
      <c r="N45" s="927"/>
      <c r="O45" s="925"/>
      <c r="P45" s="925"/>
      <c r="Q45" s="929"/>
      <c r="R45" s="929">
        <v>2986799.9858999993</v>
      </c>
    </row>
    <row r="46" spans="1:18">
      <c r="A46" s="913" t="s">
        <v>660</v>
      </c>
      <c r="B46" s="914" t="s">
        <v>888</v>
      </c>
      <c r="C46" s="923">
        <v>46179</v>
      </c>
      <c r="D46" s="916"/>
      <c r="E46" s="923"/>
      <c r="F46" s="924"/>
      <c r="G46" s="924"/>
      <c r="H46" s="918" t="s">
        <v>889</v>
      </c>
      <c r="I46" s="792" t="s">
        <v>85</v>
      </c>
      <c r="J46" s="925" t="s">
        <v>86</v>
      </c>
      <c r="K46" s="918"/>
      <c r="L46" s="925">
        <v>131</v>
      </c>
      <c r="M46" s="927">
        <v>509259.26</v>
      </c>
      <c r="N46" s="932">
        <v>66712963.060000002</v>
      </c>
      <c r="O46" s="932">
        <v>5337037.0448000003</v>
      </c>
      <c r="P46" s="932">
        <v>72050000.104800001</v>
      </c>
      <c r="Q46" s="922"/>
      <c r="R46" s="922"/>
    </row>
    <row r="47" spans="1:18">
      <c r="A47" s="913" t="s">
        <v>660</v>
      </c>
      <c r="B47" s="914" t="s">
        <v>888</v>
      </c>
      <c r="C47" s="923">
        <v>46190</v>
      </c>
      <c r="D47" s="916"/>
      <c r="E47" s="923">
        <v>46228</v>
      </c>
      <c r="F47" s="924"/>
      <c r="G47" s="924" t="s">
        <v>837</v>
      </c>
      <c r="H47" s="918" t="s">
        <v>889</v>
      </c>
      <c r="I47" s="925" t="s">
        <v>90</v>
      </c>
      <c r="J47" s="465" t="s">
        <v>91</v>
      </c>
      <c r="K47" s="918"/>
      <c r="L47" s="925">
        <v>15</v>
      </c>
      <c r="M47" s="932">
        <v>814814.81</v>
      </c>
      <c r="N47" s="932">
        <v>12222222.15</v>
      </c>
      <c r="O47" s="932">
        <v>977777.772</v>
      </c>
      <c r="P47" s="932">
        <v>13199999.922</v>
      </c>
      <c r="Q47" s="922"/>
      <c r="R47" s="922"/>
    </row>
    <row r="48" spans="1:18">
      <c r="A48" s="913" t="s">
        <v>660</v>
      </c>
      <c r="B48" s="914" t="s">
        <v>888</v>
      </c>
      <c r="C48" s="923">
        <v>46190</v>
      </c>
      <c r="D48" s="916"/>
      <c r="E48" s="923">
        <v>46228</v>
      </c>
      <c r="F48" s="924"/>
      <c r="G48" s="924" t="s">
        <v>837</v>
      </c>
      <c r="H48" s="918" t="s">
        <v>889</v>
      </c>
      <c r="I48" s="925" t="s">
        <v>93</v>
      </c>
      <c r="J48" s="465" t="s">
        <v>94</v>
      </c>
      <c r="K48" s="918"/>
      <c r="L48" s="925">
        <v>15</v>
      </c>
      <c r="M48" s="932">
        <v>907407.41</v>
      </c>
      <c r="N48" s="932">
        <v>13611111.15</v>
      </c>
      <c r="O48" s="932">
        <v>1088888.892</v>
      </c>
      <c r="P48" s="932">
        <v>14700000.041999999</v>
      </c>
      <c r="Q48" s="922"/>
      <c r="R48" s="922"/>
    </row>
    <row r="49" spans="1:18">
      <c r="A49" s="913" t="s">
        <v>660</v>
      </c>
      <c r="B49" s="914" t="s">
        <v>888</v>
      </c>
      <c r="C49" s="923">
        <v>46190</v>
      </c>
      <c r="D49" s="916"/>
      <c r="E49" s="923"/>
      <c r="F49" s="924"/>
      <c r="G49" s="924"/>
      <c r="H49" s="918" t="s">
        <v>889</v>
      </c>
      <c r="I49" s="925" t="s">
        <v>90</v>
      </c>
      <c r="J49" s="465" t="s">
        <v>91</v>
      </c>
      <c r="K49" s="918"/>
      <c r="L49" s="925">
        <v>15</v>
      </c>
      <c r="M49" s="932">
        <v>814814.81</v>
      </c>
      <c r="N49" s="932">
        <v>12222222.15</v>
      </c>
      <c r="O49" s="932">
        <v>977777.772</v>
      </c>
      <c r="P49" s="932">
        <v>13199999.922</v>
      </c>
      <c r="Q49" s="922"/>
      <c r="R49" s="922"/>
    </row>
    <row r="50" spans="1:18">
      <c r="A50" s="913" t="s">
        <v>660</v>
      </c>
      <c r="B50" s="914" t="s">
        <v>888</v>
      </c>
      <c r="C50" s="923">
        <v>46190</v>
      </c>
      <c r="D50" s="916"/>
      <c r="E50" s="923"/>
      <c r="F50" s="924"/>
      <c r="G50" s="924"/>
      <c r="H50" s="918" t="s">
        <v>889</v>
      </c>
      <c r="I50" s="925" t="s">
        <v>93</v>
      </c>
      <c r="J50" s="465" t="s">
        <v>94</v>
      </c>
      <c r="K50" s="918"/>
      <c r="L50" s="925">
        <v>15</v>
      </c>
      <c r="M50" s="932">
        <v>907407.41</v>
      </c>
      <c r="N50" s="932">
        <v>13611111.15</v>
      </c>
      <c r="O50" s="932">
        <v>1088888.892</v>
      </c>
      <c r="P50" s="932">
        <v>14700000.041999999</v>
      </c>
      <c r="Q50" s="922"/>
      <c r="R50" s="922"/>
    </row>
    <row r="51" spans="1:18">
      <c r="A51" s="913" t="s">
        <v>660</v>
      </c>
      <c r="B51" s="914" t="s">
        <v>888</v>
      </c>
      <c r="C51" s="923">
        <v>46190</v>
      </c>
      <c r="D51" s="916"/>
      <c r="E51" s="923"/>
      <c r="F51" s="924"/>
      <c r="G51" s="924"/>
      <c r="H51" s="918" t="s">
        <v>889</v>
      </c>
      <c r="I51" s="925" t="s">
        <v>74</v>
      </c>
      <c r="J51" s="925" t="s">
        <v>141</v>
      </c>
      <c r="K51" s="918"/>
      <c r="L51" s="931">
        <v>80</v>
      </c>
      <c r="M51" s="932">
        <v>361111.11</v>
      </c>
      <c r="N51" s="932">
        <v>28888888.799999997</v>
      </c>
      <c r="O51" s="932">
        <v>2311111.1039999998</v>
      </c>
      <c r="P51" s="932">
        <v>31199999.903999995</v>
      </c>
      <c r="Q51" s="922"/>
      <c r="R51" s="922"/>
    </row>
    <row r="52" spans="1:18" ht="26.25">
      <c r="A52" s="913" t="s">
        <v>660</v>
      </c>
      <c r="B52" s="914" t="s">
        <v>888</v>
      </c>
      <c r="C52" s="923">
        <v>46196</v>
      </c>
      <c r="D52" s="916"/>
      <c r="E52" s="925"/>
      <c r="F52" s="924"/>
      <c r="G52" s="924"/>
      <c r="H52" s="918" t="s">
        <v>889</v>
      </c>
      <c r="I52" s="792" t="s">
        <v>96</v>
      </c>
      <c r="J52" s="465" t="s">
        <v>97</v>
      </c>
      <c r="K52" s="918"/>
      <c r="L52" s="925">
        <v>20</v>
      </c>
      <c r="M52" s="926">
        <v>574074.06999999995</v>
      </c>
      <c r="N52" s="927">
        <v>11481481.399999999</v>
      </c>
      <c r="O52" s="927">
        <v>918518.51199999987</v>
      </c>
      <c r="P52" s="927">
        <v>12399999.911999999</v>
      </c>
      <c r="Q52" s="922"/>
      <c r="R52" s="922"/>
    </row>
    <row r="53" spans="1:18">
      <c r="A53" s="913" t="s">
        <v>660</v>
      </c>
      <c r="B53" s="914" t="s">
        <v>888</v>
      </c>
      <c r="C53" s="923">
        <v>46196</v>
      </c>
      <c r="D53" s="916"/>
      <c r="E53" s="925"/>
      <c r="F53" s="924"/>
      <c r="G53" s="924"/>
      <c r="H53" s="918" t="s">
        <v>889</v>
      </c>
      <c r="I53" s="792" t="s">
        <v>98</v>
      </c>
      <c r="J53" s="465" t="s">
        <v>251</v>
      </c>
      <c r="K53" s="918"/>
      <c r="L53" s="925">
        <v>50</v>
      </c>
      <c r="M53" s="926">
        <v>694444.44</v>
      </c>
      <c r="N53" s="927">
        <v>34722222</v>
      </c>
      <c r="O53" s="927">
        <v>2777777.7600000002</v>
      </c>
      <c r="P53" s="927">
        <v>37499999.759999998</v>
      </c>
      <c r="Q53" s="922"/>
      <c r="R53" s="922"/>
    </row>
    <row r="54" spans="1:18">
      <c r="A54" s="913" t="s">
        <v>660</v>
      </c>
      <c r="B54" s="914" t="s">
        <v>888</v>
      </c>
      <c r="C54" s="923">
        <v>46200</v>
      </c>
      <c r="D54" s="916"/>
      <c r="E54" s="925"/>
      <c r="F54" s="924"/>
      <c r="G54" s="924"/>
      <c r="H54" s="918" t="s">
        <v>889</v>
      </c>
      <c r="I54" s="792" t="s">
        <v>161</v>
      </c>
      <c r="J54" s="465" t="s">
        <v>438</v>
      </c>
      <c r="K54" s="918"/>
      <c r="L54" s="925">
        <v>36</v>
      </c>
      <c r="M54" s="926">
        <v>231481.48</v>
      </c>
      <c r="N54" s="927">
        <v>8333333.2800000003</v>
      </c>
      <c r="O54" s="927">
        <v>666666.66240000003</v>
      </c>
      <c r="P54" s="927">
        <v>8999999.942400001</v>
      </c>
      <c r="Q54" s="922"/>
      <c r="R54" s="922"/>
    </row>
    <row r="55" spans="1:18">
      <c r="A55" s="913" t="s">
        <v>660</v>
      </c>
      <c r="B55" s="914" t="s">
        <v>888</v>
      </c>
      <c r="C55" s="923">
        <v>46200</v>
      </c>
      <c r="D55" s="916"/>
      <c r="E55" s="925"/>
      <c r="F55" s="924"/>
      <c r="G55" s="924"/>
      <c r="H55" s="918" t="s">
        <v>889</v>
      </c>
      <c r="I55" s="792" t="s">
        <v>163</v>
      </c>
      <c r="J55" s="465" t="s">
        <v>164</v>
      </c>
      <c r="K55" s="918"/>
      <c r="L55" s="925">
        <v>40</v>
      </c>
      <c r="M55" s="926">
        <v>231481.5</v>
      </c>
      <c r="N55" s="927">
        <v>9259260</v>
      </c>
      <c r="O55" s="927">
        <v>740740.8</v>
      </c>
      <c r="P55" s="927">
        <v>10000000.800000001</v>
      </c>
      <c r="Q55" s="922"/>
      <c r="R55" s="922"/>
    </row>
    <row r="56" spans="1:18">
      <c r="A56" s="913" t="s">
        <v>660</v>
      </c>
      <c r="B56" s="914" t="s">
        <v>888</v>
      </c>
      <c r="C56" s="923">
        <v>46200</v>
      </c>
      <c r="D56" s="916"/>
      <c r="E56" s="925"/>
      <c r="F56" s="924"/>
      <c r="G56" s="924"/>
      <c r="H56" s="918" t="s">
        <v>889</v>
      </c>
      <c r="I56" s="792" t="s">
        <v>167</v>
      </c>
      <c r="J56" s="465" t="s">
        <v>168</v>
      </c>
      <c r="K56" s="918"/>
      <c r="L56" s="925">
        <v>60</v>
      </c>
      <c r="M56" s="926">
        <v>231481.48</v>
      </c>
      <c r="N56" s="927">
        <v>13888888.800000001</v>
      </c>
      <c r="O56" s="927">
        <v>1111111.1040000001</v>
      </c>
      <c r="P56" s="927">
        <v>14999999.904000001</v>
      </c>
      <c r="Q56" s="922"/>
      <c r="R56" s="922"/>
    </row>
    <row r="57" spans="1:18">
      <c r="A57" s="913" t="s">
        <v>660</v>
      </c>
      <c r="B57" s="914" t="s">
        <v>888</v>
      </c>
      <c r="C57" s="923">
        <v>46200</v>
      </c>
      <c r="D57" s="916"/>
      <c r="E57" s="925"/>
      <c r="F57" s="924"/>
      <c r="G57" s="924"/>
      <c r="H57" s="918" t="s">
        <v>889</v>
      </c>
      <c r="I57" s="792" t="s">
        <v>169</v>
      </c>
      <c r="J57" s="465" t="s">
        <v>170</v>
      </c>
      <c r="K57" s="918"/>
      <c r="L57" s="925">
        <v>40</v>
      </c>
      <c r="M57" s="926">
        <v>425925.92</v>
      </c>
      <c r="N57" s="927">
        <v>17037036.800000001</v>
      </c>
      <c r="O57" s="927">
        <v>1362962.9440000001</v>
      </c>
      <c r="P57" s="927">
        <v>18399999.744000003</v>
      </c>
      <c r="Q57" s="922"/>
      <c r="R57" s="922"/>
    </row>
    <row r="58" spans="1:18" ht="26.25">
      <c r="A58" s="913" t="s">
        <v>660</v>
      </c>
      <c r="B58" s="914" t="s">
        <v>888</v>
      </c>
      <c r="C58" s="923">
        <v>46200</v>
      </c>
      <c r="D58" s="916"/>
      <c r="E58" s="925"/>
      <c r="F58" s="924"/>
      <c r="G58" s="924"/>
      <c r="H58" s="918" t="s">
        <v>889</v>
      </c>
      <c r="I58" s="792" t="s">
        <v>165</v>
      </c>
      <c r="J58" s="465" t="s">
        <v>409</v>
      </c>
      <c r="K58" s="918"/>
      <c r="L58" s="925">
        <v>60</v>
      </c>
      <c r="M58" s="926">
        <v>203703.7</v>
      </c>
      <c r="N58" s="927">
        <v>12222222</v>
      </c>
      <c r="O58" s="927">
        <v>977777.76</v>
      </c>
      <c r="P58" s="927">
        <v>13199999.76</v>
      </c>
      <c r="Q58" s="922"/>
      <c r="R58" s="922"/>
    </row>
    <row r="59" spans="1:18">
      <c r="A59" s="913" t="s">
        <v>660</v>
      </c>
      <c r="B59" s="914" t="s">
        <v>888</v>
      </c>
      <c r="C59" s="923">
        <v>46200</v>
      </c>
      <c r="D59" s="916"/>
      <c r="E59" s="925"/>
      <c r="F59" s="924"/>
      <c r="G59" s="924"/>
      <c r="H59" s="918" t="s">
        <v>889</v>
      </c>
      <c r="I59" s="792" t="s">
        <v>171</v>
      </c>
      <c r="J59" s="465" t="s">
        <v>172</v>
      </c>
      <c r="K59" s="918"/>
      <c r="L59" s="925">
        <v>80</v>
      </c>
      <c r="M59" s="926">
        <v>69444.44</v>
      </c>
      <c r="N59" s="927">
        <v>5555555.2000000002</v>
      </c>
      <c r="O59" s="927">
        <v>444444.41600000003</v>
      </c>
      <c r="P59" s="927">
        <v>5999999.6160000004</v>
      </c>
      <c r="Q59" s="922"/>
      <c r="R59" s="922"/>
    </row>
    <row r="60" spans="1:18">
      <c r="A60" s="913" t="s">
        <v>660</v>
      </c>
      <c r="B60" s="914" t="s">
        <v>888</v>
      </c>
      <c r="C60" s="923">
        <v>46200</v>
      </c>
      <c r="D60" s="916"/>
      <c r="E60" s="925"/>
      <c r="F60" s="924"/>
      <c r="G60" s="924"/>
      <c r="H60" s="918" t="s">
        <v>889</v>
      </c>
      <c r="I60" s="792" t="s">
        <v>173</v>
      </c>
      <c r="J60" s="465" t="s">
        <v>174</v>
      </c>
      <c r="K60" s="918"/>
      <c r="L60" s="925">
        <v>80</v>
      </c>
      <c r="M60" s="926">
        <v>97222.22</v>
      </c>
      <c r="N60" s="927">
        <v>7777777.5999999996</v>
      </c>
      <c r="O60" s="927">
        <v>622222.20799999998</v>
      </c>
      <c r="P60" s="927">
        <v>8399999.8080000002</v>
      </c>
      <c r="Q60" s="922"/>
      <c r="R60" s="922"/>
    </row>
    <row r="61" spans="1:18" s="930" customFormat="1">
      <c r="A61" s="928" t="s">
        <v>660</v>
      </c>
      <c r="B61" s="914" t="s">
        <v>888</v>
      </c>
      <c r="C61" s="923">
        <v>46221</v>
      </c>
      <c r="D61" s="918"/>
      <c r="E61" s="925"/>
      <c r="F61" s="925"/>
      <c r="G61" s="925"/>
      <c r="H61" s="925" t="s">
        <v>844</v>
      </c>
      <c r="I61" s="925"/>
      <c r="J61" s="465"/>
      <c r="K61" s="918"/>
      <c r="L61" s="925"/>
      <c r="M61" s="926"/>
      <c r="N61" s="927"/>
      <c r="O61" s="925"/>
      <c r="P61" s="925"/>
      <c r="Q61" s="929">
        <v>50000000</v>
      </c>
      <c r="R61" s="929"/>
    </row>
    <row r="62" spans="1:18">
      <c r="A62" s="913" t="s">
        <v>660</v>
      </c>
      <c r="B62" s="914" t="s">
        <v>888</v>
      </c>
      <c r="C62" s="923">
        <v>46223</v>
      </c>
      <c r="D62" s="916"/>
      <c r="E62" s="925"/>
      <c r="F62" s="916"/>
      <c r="G62" s="916"/>
      <c r="H62" s="918" t="s">
        <v>889</v>
      </c>
      <c r="I62" s="465" t="s">
        <v>101</v>
      </c>
      <c r="J62" s="465" t="s">
        <v>102</v>
      </c>
      <c r="K62" s="918"/>
      <c r="L62" s="925">
        <v>40</v>
      </c>
      <c r="M62" s="926">
        <v>861111.11</v>
      </c>
      <c r="N62" s="927">
        <v>34444444.399999999</v>
      </c>
      <c r="O62" s="927">
        <v>2755555.5520000001</v>
      </c>
      <c r="P62" s="927">
        <v>37199999.952</v>
      </c>
      <c r="Q62" s="922"/>
      <c r="R62" s="922"/>
    </row>
    <row r="63" spans="1:18">
      <c r="A63" s="913" t="s">
        <v>660</v>
      </c>
      <c r="B63" s="914" t="s">
        <v>888</v>
      </c>
      <c r="C63" s="923">
        <v>46223</v>
      </c>
      <c r="D63" s="916"/>
      <c r="E63" s="925"/>
      <c r="F63" s="916"/>
      <c r="G63" s="916"/>
      <c r="H63" s="918" t="s">
        <v>889</v>
      </c>
      <c r="I63" s="465" t="s">
        <v>103</v>
      </c>
      <c r="J63" s="465" t="s">
        <v>104</v>
      </c>
      <c r="K63" s="918"/>
      <c r="L63" s="925">
        <v>18</v>
      </c>
      <c r="M63" s="926">
        <v>675925.93</v>
      </c>
      <c r="N63" s="927">
        <v>12166666.74</v>
      </c>
      <c r="O63" s="927">
        <v>973333.33920000005</v>
      </c>
      <c r="P63" s="927">
        <v>13140000.0792</v>
      </c>
      <c r="Q63" s="922"/>
      <c r="R63" s="922"/>
    </row>
    <row r="64" spans="1:18">
      <c r="A64" s="913" t="s">
        <v>660</v>
      </c>
      <c r="B64" s="914" t="s">
        <v>888</v>
      </c>
      <c r="C64" s="923">
        <v>46223</v>
      </c>
      <c r="D64" s="916"/>
      <c r="E64" s="925"/>
      <c r="F64" s="916"/>
      <c r="G64" s="916"/>
      <c r="H64" s="918" t="s">
        <v>862</v>
      </c>
      <c r="I64" s="925" t="s">
        <v>436</v>
      </c>
      <c r="J64" s="925" t="s">
        <v>63</v>
      </c>
      <c r="K64" s="918"/>
      <c r="L64" s="925">
        <v>18</v>
      </c>
      <c r="M64" s="926">
        <v>0</v>
      </c>
      <c r="N64" s="927">
        <v>0</v>
      </c>
      <c r="O64" s="927">
        <v>0</v>
      </c>
      <c r="P64" s="927">
        <v>0</v>
      </c>
      <c r="Q64" s="922"/>
      <c r="R64" s="922"/>
    </row>
    <row r="65" spans="1:18" s="930" customFormat="1">
      <c r="A65" s="928" t="s">
        <v>660</v>
      </c>
      <c r="B65" s="914" t="s">
        <v>888</v>
      </c>
      <c r="C65" s="923">
        <v>46234</v>
      </c>
      <c r="D65" s="918"/>
      <c r="E65" s="925"/>
      <c r="F65" s="925"/>
      <c r="G65" s="925"/>
      <c r="H65" s="925" t="s">
        <v>844</v>
      </c>
      <c r="I65" s="925"/>
      <c r="J65" s="465"/>
      <c r="K65" s="918"/>
      <c r="L65" s="925"/>
      <c r="M65" s="926"/>
      <c r="N65" s="927"/>
      <c r="O65" s="925"/>
      <c r="P65" s="925"/>
      <c r="Q65" s="929">
        <v>50000000</v>
      </c>
      <c r="R65" s="929"/>
    </row>
    <row r="66" spans="1:18" ht="38.25">
      <c r="A66" s="913" t="s">
        <v>660</v>
      </c>
      <c r="B66" s="914" t="s">
        <v>888</v>
      </c>
      <c r="C66" s="933">
        <v>46237</v>
      </c>
      <c r="D66" s="916" t="s">
        <v>658</v>
      </c>
      <c r="E66" s="933"/>
      <c r="F66" s="916"/>
      <c r="G66" s="916"/>
      <c r="H66" s="934" t="s">
        <v>890</v>
      </c>
      <c r="I66" s="935" t="s">
        <v>85</v>
      </c>
      <c r="J66" s="934" t="s">
        <v>86</v>
      </c>
      <c r="K66" s="918" t="s">
        <v>113</v>
      </c>
      <c r="L66" s="936">
        <v>100</v>
      </c>
      <c r="M66" s="929">
        <v>509259.26</v>
      </c>
      <c r="N66" s="929">
        <v>50925926</v>
      </c>
      <c r="O66" s="929">
        <v>4074074.08</v>
      </c>
      <c r="P66" s="929">
        <v>55000000.079999998</v>
      </c>
      <c r="Q66" s="922"/>
      <c r="R66" s="922"/>
    </row>
    <row r="67" spans="1:18">
      <c r="A67" s="913" t="s">
        <v>660</v>
      </c>
      <c r="B67" s="914" t="s">
        <v>888</v>
      </c>
      <c r="C67" s="933">
        <v>46237</v>
      </c>
      <c r="D67" s="916" t="s">
        <v>659</v>
      </c>
      <c r="E67" s="933"/>
      <c r="F67" s="916"/>
      <c r="G67" s="916"/>
      <c r="H67" s="916" t="s">
        <v>891</v>
      </c>
      <c r="I67" s="935" t="s">
        <v>85</v>
      </c>
      <c r="J67" s="934" t="s">
        <v>86</v>
      </c>
      <c r="K67" s="918" t="s">
        <v>113</v>
      </c>
      <c r="L67" s="936">
        <v>-140</v>
      </c>
      <c r="M67" s="929">
        <v>509259.26</v>
      </c>
      <c r="N67" s="929">
        <v>-71296296.400000006</v>
      </c>
      <c r="O67" s="929">
        <v>-5703703.7120000003</v>
      </c>
      <c r="P67" s="929">
        <v>-77000000.112000003</v>
      </c>
      <c r="Q67" s="922"/>
      <c r="R67" s="922"/>
    </row>
    <row r="68" spans="1:18">
      <c r="A68" s="913" t="s">
        <v>660</v>
      </c>
      <c r="B68" s="914" t="s">
        <v>888</v>
      </c>
      <c r="C68" s="933">
        <v>46237</v>
      </c>
      <c r="D68" s="916" t="s">
        <v>638</v>
      </c>
      <c r="E68" s="748">
        <v>46298</v>
      </c>
      <c r="F68" s="298" t="s">
        <v>1380</v>
      </c>
      <c r="G68" s="979" t="s">
        <v>1379</v>
      </c>
      <c r="H68" s="918" t="s">
        <v>889</v>
      </c>
      <c r="I68" s="934" t="s">
        <v>639</v>
      </c>
      <c r="J68" s="934" t="s">
        <v>640</v>
      </c>
      <c r="K68" s="918" t="s">
        <v>113</v>
      </c>
      <c r="L68" s="936">
        <v>30</v>
      </c>
      <c r="M68" s="929">
        <v>542592.59</v>
      </c>
      <c r="N68" s="929">
        <v>16277777.699999999</v>
      </c>
      <c r="O68" s="929">
        <v>1302222.216</v>
      </c>
      <c r="P68" s="929">
        <v>17579999.916000001</v>
      </c>
      <c r="Q68" s="922"/>
      <c r="R68" s="922"/>
    </row>
    <row r="69" spans="1:18">
      <c r="A69" s="913" t="s">
        <v>660</v>
      </c>
      <c r="B69" s="914" t="s">
        <v>888</v>
      </c>
      <c r="C69" s="933">
        <v>46237</v>
      </c>
      <c r="D69" s="916" t="s">
        <v>638</v>
      </c>
      <c r="E69" s="748">
        <v>46298</v>
      </c>
      <c r="F69" s="298" t="s">
        <v>1380</v>
      </c>
      <c r="G69" s="979" t="s">
        <v>1379</v>
      </c>
      <c r="H69" s="918" t="s">
        <v>889</v>
      </c>
      <c r="I69" s="934" t="s">
        <v>641</v>
      </c>
      <c r="J69" s="934" t="s">
        <v>642</v>
      </c>
      <c r="K69" s="918" t="s">
        <v>113</v>
      </c>
      <c r="L69" s="936">
        <v>15</v>
      </c>
      <c r="M69" s="929">
        <v>644444.43999999994</v>
      </c>
      <c r="N69" s="929">
        <v>9666666.5999999996</v>
      </c>
      <c r="O69" s="929">
        <v>773333.32799999998</v>
      </c>
      <c r="P69" s="929">
        <v>10439999.927999999</v>
      </c>
      <c r="Q69" s="922"/>
      <c r="R69" s="922"/>
    </row>
    <row r="70" spans="1:18">
      <c r="A70" s="913" t="s">
        <v>660</v>
      </c>
      <c r="B70" s="914" t="s">
        <v>888</v>
      </c>
      <c r="C70" s="933">
        <v>46237</v>
      </c>
      <c r="D70" s="916" t="s">
        <v>638</v>
      </c>
      <c r="E70" s="748">
        <v>46298</v>
      </c>
      <c r="F70" s="298" t="s">
        <v>1380</v>
      </c>
      <c r="G70" s="979" t="s">
        <v>1379</v>
      </c>
      <c r="H70" s="918" t="s">
        <v>889</v>
      </c>
      <c r="I70" s="934" t="s">
        <v>643</v>
      </c>
      <c r="J70" s="934" t="s">
        <v>644</v>
      </c>
      <c r="K70" s="918" t="s">
        <v>113</v>
      </c>
      <c r="L70" s="936">
        <v>30</v>
      </c>
      <c r="M70" s="929">
        <v>527777.77</v>
      </c>
      <c r="N70" s="929">
        <v>15833333.100000001</v>
      </c>
      <c r="O70" s="929">
        <v>1266666.648</v>
      </c>
      <c r="P70" s="929">
        <v>17099999.748000003</v>
      </c>
      <c r="Q70" s="922"/>
      <c r="R70" s="922"/>
    </row>
    <row r="71" spans="1:18">
      <c r="A71" s="913" t="s">
        <v>660</v>
      </c>
      <c r="B71" s="914" t="s">
        <v>888</v>
      </c>
      <c r="C71" s="933">
        <v>46237</v>
      </c>
      <c r="D71" s="916" t="s">
        <v>638</v>
      </c>
      <c r="E71" s="748">
        <v>46298</v>
      </c>
      <c r="F71" s="298" t="s">
        <v>1380</v>
      </c>
      <c r="G71" s="979" t="s">
        <v>1379</v>
      </c>
      <c r="H71" s="918" t="s">
        <v>889</v>
      </c>
      <c r="I71" s="934" t="s">
        <v>645</v>
      </c>
      <c r="J71" s="934" t="s">
        <v>646</v>
      </c>
      <c r="K71" s="918" t="s">
        <v>113</v>
      </c>
      <c r="L71" s="936">
        <v>15</v>
      </c>
      <c r="M71" s="929">
        <v>629629.63</v>
      </c>
      <c r="N71" s="929">
        <v>9444444.4499999993</v>
      </c>
      <c r="O71" s="929">
        <v>755555.55599999998</v>
      </c>
      <c r="P71" s="929">
        <v>10200000.005999999</v>
      </c>
      <c r="Q71" s="922"/>
      <c r="R71" s="922"/>
    </row>
    <row r="72" spans="1:18">
      <c r="A72" s="913" t="s">
        <v>660</v>
      </c>
      <c r="B72" s="914" t="s">
        <v>888</v>
      </c>
      <c r="C72" s="933">
        <v>46237</v>
      </c>
      <c r="D72" s="916" t="s">
        <v>638</v>
      </c>
      <c r="E72" s="748">
        <v>46298</v>
      </c>
      <c r="F72" s="298" t="s">
        <v>1380</v>
      </c>
      <c r="G72" s="979" t="s">
        <v>1379</v>
      </c>
      <c r="H72" s="918" t="s">
        <v>889</v>
      </c>
      <c r="I72" s="934" t="s">
        <v>647</v>
      </c>
      <c r="J72" s="934" t="s">
        <v>648</v>
      </c>
      <c r="K72" s="918" t="s">
        <v>113</v>
      </c>
      <c r="L72" s="936">
        <v>4</v>
      </c>
      <c r="M72" s="929">
        <v>601851.85</v>
      </c>
      <c r="N72" s="929">
        <v>2407407.4</v>
      </c>
      <c r="O72" s="929">
        <v>192592.592</v>
      </c>
      <c r="P72" s="929">
        <v>2599999.9920000001</v>
      </c>
      <c r="Q72" s="922"/>
      <c r="R72" s="922"/>
    </row>
    <row r="73" spans="1:18">
      <c r="A73" s="913" t="s">
        <v>660</v>
      </c>
      <c r="B73" s="914" t="s">
        <v>888</v>
      </c>
      <c r="C73" s="933">
        <v>46237</v>
      </c>
      <c r="D73" s="916" t="s">
        <v>638</v>
      </c>
      <c r="E73" s="748">
        <v>46298</v>
      </c>
      <c r="F73" s="298" t="s">
        <v>1380</v>
      </c>
      <c r="G73" s="979" t="s">
        <v>1379</v>
      </c>
      <c r="H73" s="918" t="s">
        <v>889</v>
      </c>
      <c r="I73" s="934" t="s">
        <v>649</v>
      </c>
      <c r="J73" s="934" t="s">
        <v>650</v>
      </c>
      <c r="K73" s="918" t="s">
        <v>113</v>
      </c>
      <c r="L73" s="936">
        <v>30</v>
      </c>
      <c r="M73" s="929">
        <v>574074.06999999995</v>
      </c>
      <c r="N73" s="929">
        <v>17222222.099999998</v>
      </c>
      <c r="O73" s="929">
        <v>1377777.7679999999</v>
      </c>
      <c r="P73" s="929">
        <v>18599999.867999997</v>
      </c>
      <c r="Q73" s="922"/>
      <c r="R73" s="922"/>
    </row>
    <row r="74" spans="1:18">
      <c r="A74" s="913" t="s">
        <v>660</v>
      </c>
      <c r="B74" s="914" t="s">
        <v>888</v>
      </c>
      <c r="C74" s="933">
        <v>46237</v>
      </c>
      <c r="D74" s="916" t="s">
        <v>638</v>
      </c>
      <c r="E74" s="748">
        <v>46298</v>
      </c>
      <c r="F74" s="298" t="s">
        <v>1380</v>
      </c>
      <c r="G74" s="979" t="s">
        <v>1379</v>
      </c>
      <c r="H74" s="918" t="s">
        <v>889</v>
      </c>
      <c r="I74" s="934" t="s">
        <v>651</v>
      </c>
      <c r="J74" s="934" t="s">
        <v>652</v>
      </c>
      <c r="K74" s="918" t="s">
        <v>113</v>
      </c>
      <c r="L74" s="936">
        <v>15</v>
      </c>
      <c r="M74" s="929">
        <v>694444.44</v>
      </c>
      <c r="N74" s="929">
        <v>10416666.6</v>
      </c>
      <c r="O74" s="929">
        <v>833333.32799999998</v>
      </c>
      <c r="P74" s="929">
        <v>11249999.927999999</v>
      </c>
      <c r="Q74" s="922"/>
      <c r="R74" s="922"/>
    </row>
    <row r="75" spans="1:18">
      <c r="A75" s="913" t="s">
        <v>660</v>
      </c>
      <c r="B75" s="914" t="s">
        <v>888</v>
      </c>
      <c r="C75" s="933">
        <v>46237</v>
      </c>
      <c r="D75" s="916" t="s">
        <v>638</v>
      </c>
      <c r="E75" s="748"/>
      <c r="F75" s="298"/>
      <c r="G75" s="916"/>
      <c r="H75" s="918" t="s">
        <v>889</v>
      </c>
      <c r="I75" s="934" t="s">
        <v>653</v>
      </c>
      <c r="J75" s="934" t="s">
        <v>654</v>
      </c>
      <c r="K75" s="918" t="s">
        <v>113</v>
      </c>
      <c r="L75" s="936">
        <v>30</v>
      </c>
      <c r="M75" s="929">
        <v>481481.48</v>
      </c>
      <c r="N75" s="929">
        <v>14444444.399999999</v>
      </c>
      <c r="O75" s="929">
        <v>1155555.5519999999</v>
      </c>
      <c r="P75" s="929">
        <v>15599999.951999998</v>
      </c>
      <c r="Q75" s="922"/>
      <c r="R75" s="922"/>
    </row>
    <row r="76" spans="1:18">
      <c r="A76" s="913" t="s">
        <v>660</v>
      </c>
      <c r="B76" s="914" t="s">
        <v>888</v>
      </c>
      <c r="C76" s="933">
        <v>46237</v>
      </c>
      <c r="D76" s="916" t="s">
        <v>638</v>
      </c>
      <c r="E76" s="748">
        <v>46298</v>
      </c>
      <c r="F76" s="298" t="s">
        <v>1380</v>
      </c>
      <c r="G76" s="979" t="s">
        <v>1379</v>
      </c>
      <c r="H76" s="918" t="s">
        <v>889</v>
      </c>
      <c r="I76" s="934" t="s">
        <v>655</v>
      </c>
      <c r="J76" s="934" t="s">
        <v>656</v>
      </c>
      <c r="K76" s="918" t="s">
        <v>113</v>
      </c>
      <c r="L76" s="936">
        <v>15</v>
      </c>
      <c r="M76" s="929">
        <v>574074.06999999995</v>
      </c>
      <c r="N76" s="929">
        <v>8611111.0499999989</v>
      </c>
      <c r="O76" s="929">
        <v>688888.88399999996</v>
      </c>
      <c r="P76" s="929">
        <v>9299999.9339999985</v>
      </c>
      <c r="Q76" s="922"/>
      <c r="R76" s="922"/>
    </row>
    <row r="77" spans="1:18">
      <c r="A77" s="913" t="s">
        <v>660</v>
      </c>
      <c r="B77" s="914" t="s">
        <v>888</v>
      </c>
      <c r="C77" s="933">
        <v>46237</v>
      </c>
      <c r="D77" s="916" t="s">
        <v>638</v>
      </c>
      <c r="E77" s="748"/>
      <c r="F77" s="298"/>
      <c r="G77" s="916"/>
      <c r="H77" s="918" t="s">
        <v>892</v>
      </c>
      <c r="I77" s="934" t="s">
        <v>639</v>
      </c>
      <c r="J77" s="934" t="s">
        <v>640</v>
      </c>
      <c r="K77" s="918" t="s">
        <v>113</v>
      </c>
      <c r="L77" s="936">
        <v>2</v>
      </c>
      <c r="M77" s="929">
        <v>0</v>
      </c>
      <c r="N77" s="929">
        <v>0</v>
      </c>
      <c r="O77" s="929">
        <v>0</v>
      </c>
      <c r="P77" s="929">
        <v>0</v>
      </c>
      <c r="Q77" s="922"/>
      <c r="R77" s="922"/>
    </row>
    <row r="78" spans="1:18">
      <c r="A78" s="913" t="s">
        <v>660</v>
      </c>
      <c r="B78" s="914" t="s">
        <v>888</v>
      </c>
      <c r="C78" s="933">
        <v>46237</v>
      </c>
      <c r="D78" s="916" t="s">
        <v>638</v>
      </c>
      <c r="E78" s="748"/>
      <c r="F78" s="298"/>
      <c r="G78" s="916"/>
      <c r="H78" s="918" t="s">
        <v>892</v>
      </c>
      <c r="I78" s="934" t="s">
        <v>641</v>
      </c>
      <c r="J78" s="934" t="s">
        <v>657</v>
      </c>
      <c r="K78" s="918" t="s">
        <v>113</v>
      </c>
      <c r="L78" s="936">
        <v>1</v>
      </c>
      <c r="M78" s="929">
        <v>0</v>
      </c>
      <c r="N78" s="929">
        <v>0</v>
      </c>
      <c r="O78" s="929">
        <v>0</v>
      </c>
      <c r="P78" s="929">
        <v>0</v>
      </c>
      <c r="Q78" s="922"/>
      <c r="R78" s="922"/>
    </row>
    <row r="79" spans="1:18">
      <c r="A79" s="913" t="s">
        <v>660</v>
      </c>
      <c r="B79" s="914" t="s">
        <v>888</v>
      </c>
      <c r="C79" s="933">
        <v>46237</v>
      </c>
      <c r="D79" s="916" t="s">
        <v>638</v>
      </c>
      <c r="E79" s="748"/>
      <c r="F79" s="298"/>
      <c r="G79" s="916"/>
      <c r="H79" s="918" t="s">
        <v>892</v>
      </c>
      <c r="I79" s="934" t="s">
        <v>643</v>
      </c>
      <c r="J79" s="934" t="s">
        <v>644</v>
      </c>
      <c r="K79" s="918" t="s">
        <v>113</v>
      </c>
      <c r="L79" s="936">
        <v>2</v>
      </c>
      <c r="M79" s="929">
        <v>0</v>
      </c>
      <c r="N79" s="929">
        <v>0</v>
      </c>
      <c r="O79" s="929">
        <v>0</v>
      </c>
      <c r="P79" s="929">
        <v>0</v>
      </c>
      <c r="Q79" s="922"/>
      <c r="R79" s="922"/>
    </row>
    <row r="80" spans="1:18">
      <c r="A80" s="913" t="s">
        <v>660</v>
      </c>
      <c r="B80" s="914" t="s">
        <v>888</v>
      </c>
      <c r="C80" s="933">
        <v>46237</v>
      </c>
      <c r="D80" s="916" t="s">
        <v>638</v>
      </c>
      <c r="E80" s="748"/>
      <c r="F80" s="298"/>
      <c r="G80" s="916"/>
      <c r="H80" s="918" t="s">
        <v>892</v>
      </c>
      <c r="I80" s="934" t="s">
        <v>645</v>
      </c>
      <c r="J80" s="934" t="s">
        <v>646</v>
      </c>
      <c r="K80" s="918" t="s">
        <v>113</v>
      </c>
      <c r="L80" s="936">
        <v>1</v>
      </c>
      <c r="M80" s="929">
        <v>0</v>
      </c>
      <c r="N80" s="929">
        <v>0</v>
      </c>
      <c r="O80" s="929">
        <v>0</v>
      </c>
      <c r="P80" s="929">
        <v>0</v>
      </c>
      <c r="Q80" s="922"/>
      <c r="R80" s="922"/>
    </row>
    <row r="81" spans="1:18">
      <c r="A81" s="913" t="s">
        <v>660</v>
      </c>
      <c r="B81" s="914" t="s">
        <v>888</v>
      </c>
      <c r="C81" s="933">
        <v>46237</v>
      </c>
      <c r="D81" s="916" t="s">
        <v>638</v>
      </c>
      <c r="E81" s="748"/>
      <c r="F81" s="298"/>
      <c r="G81" s="916"/>
      <c r="H81" s="918" t="s">
        <v>892</v>
      </c>
      <c r="I81" s="934" t="s">
        <v>649</v>
      </c>
      <c r="J81" s="934" t="s">
        <v>650</v>
      </c>
      <c r="K81" s="918" t="s">
        <v>113</v>
      </c>
      <c r="L81" s="936">
        <v>2</v>
      </c>
      <c r="M81" s="929">
        <v>0</v>
      </c>
      <c r="N81" s="929">
        <v>0</v>
      </c>
      <c r="O81" s="929">
        <v>0</v>
      </c>
      <c r="P81" s="929">
        <v>0</v>
      </c>
      <c r="Q81" s="922"/>
      <c r="R81" s="922"/>
    </row>
    <row r="82" spans="1:18">
      <c r="A82" s="913" t="s">
        <v>660</v>
      </c>
      <c r="B82" s="914" t="s">
        <v>888</v>
      </c>
      <c r="C82" s="933">
        <v>46237</v>
      </c>
      <c r="D82" s="916" t="s">
        <v>638</v>
      </c>
      <c r="E82" s="748"/>
      <c r="F82" s="298"/>
      <c r="G82" s="916"/>
      <c r="H82" s="918" t="s">
        <v>892</v>
      </c>
      <c r="I82" s="934" t="s">
        <v>651</v>
      </c>
      <c r="J82" s="934" t="s">
        <v>652</v>
      </c>
      <c r="K82" s="918" t="s">
        <v>113</v>
      </c>
      <c r="L82" s="936">
        <v>1</v>
      </c>
      <c r="M82" s="929">
        <v>0</v>
      </c>
      <c r="N82" s="929">
        <v>0</v>
      </c>
      <c r="O82" s="929">
        <v>0</v>
      </c>
      <c r="P82" s="929">
        <v>0</v>
      </c>
      <c r="Q82" s="922"/>
      <c r="R82" s="922"/>
    </row>
    <row r="83" spans="1:18">
      <c r="A83" s="913" t="s">
        <v>660</v>
      </c>
      <c r="B83" s="914" t="s">
        <v>888</v>
      </c>
      <c r="C83" s="933">
        <v>46237</v>
      </c>
      <c r="D83" s="916" t="s">
        <v>638</v>
      </c>
      <c r="E83" s="748"/>
      <c r="F83" s="298"/>
      <c r="G83" s="916"/>
      <c r="H83" s="918" t="s">
        <v>892</v>
      </c>
      <c r="I83" s="934" t="s">
        <v>653</v>
      </c>
      <c r="J83" s="934" t="s">
        <v>654</v>
      </c>
      <c r="K83" s="918" t="s">
        <v>113</v>
      </c>
      <c r="L83" s="936">
        <v>2</v>
      </c>
      <c r="M83" s="929">
        <v>0</v>
      </c>
      <c r="N83" s="929">
        <v>0</v>
      </c>
      <c r="O83" s="929">
        <v>0</v>
      </c>
      <c r="P83" s="929">
        <v>0</v>
      </c>
      <c r="Q83" s="922"/>
      <c r="R83" s="922"/>
    </row>
    <row r="84" spans="1:18">
      <c r="A84" s="913" t="s">
        <v>660</v>
      </c>
      <c r="B84" s="914" t="s">
        <v>888</v>
      </c>
      <c r="C84" s="933">
        <v>46237</v>
      </c>
      <c r="D84" s="916" t="s">
        <v>638</v>
      </c>
      <c r="E84" s="748"/>
      <c r="F84" s="298"/>
      <c r="G84" s="916"/>
      <c r="H84" s="918" t="s">
        <v>892</v>
      </c>
      <c r="I84" s="934" t="s">
        <v>655</v>
      </c>
      <c r="J84" s="934" t="s">
        <v>656</v>
      </c>
      <c r="K84" s="918" t="s">
        <v>113</v>
      </c>
      <c r="L84" s="936">
        <v>1</v>
      </c>
      <c r="M84" s="929">
        <v>0</v>
      </c>
      <c r="N84" s="929">
        <v>0</v>
      </c>
      <c r="O84" s="929">
        <v>0</v>
      </c>
      <c r="P84" s="929">
        <v>0</v>
      </c>
      <c r="Q84" s="922"/>
      <c r="R84" s="922"/>
    </row>
    <row r="85" spans="1:18">
      <c r="A85" s="913" t="s">
        <v>660</v>
      </c>
      <c r="B85" s="914" t="s">
        <v>888</v>
      </c>
      <c r="C85" s="933">
        <v>46237</v>
      </c>
      <c r="D85" s="916" t="s">
        <v>638</v>
      </c>
      <c r="E85" s="748"/>
      <c r="F85" s="298"/>
      <c r="G85" s="916"/>
      <c r="H85" s="918" t="s">
        <v>893</v>
      </c>
      <c r="I85" s="935" t="s">
        <v>98</v>
      </c>
      <c r="J85" s="934" t="s">
        <v>251</v>
      </c>
      <c r="K85" s="918" t="s">
        <v>113</v>
      </c>
      <c r="L85" s="936">
        <v>15</v>
      </c>
      <c r="M85" s="929">
        <v>694444.44</v>
      </c>
      <c r="N85" s="929">
        <v>10416666.6</v>
      </c>
      <c r="O85" s="929">
        <v>833333.32799999998</v>
      </c>
      <c r="P85" s="929">
        <v>11249999.927999999</v>
      </c>
      <c r="Q85" s="922"/>
      <c r="R85" s="922"/>
    </row>
    <row r="86" spans="1:18">
      <c r="A86" s="913" t="s">
        <v>1004</v>
      </c>
      <c r="B86" s="914" t="s">
        <v>693</v>
      </c>
      <c r="C86" s="933">
        <v>46265</v>
      </c>
      <c r="D86" s="916"/>
      <c r="E86" s="748">
        <v>46298</v>
      </c>
      <c r="F86" s="298" t="s">
        <v>1380</v>
      </c>
      <c r="G86" s="916"/>
      <c r="H86" s="918" t="s">
        <v>672</v>
      </c>
      <c r="I86" s="934"/>
      <c r="J86" s="934"/>
      <c r="K86" s="918"/>
      <c r="L86" s="936"/>
      <c r="M86" s="929"/>
      <c r="N86" s="929"/>
      <c r="O86" s="929"/>
      <c r="P86" s="929"/>
      <c r="Q86" s="922">
        <v>50000000</v>
      </c>
      <c r="R86" s="922"/>
    </row>
    <row r="87" spans="1:18">
      <c r="A87" s="913" t="s">
        <v>1004</v>
      </c>
      <c r="B87" s="914" t="s">
        <v>825</v>
      </c>
      <c r="C87" s="933">
        <v>46268</v>
      </c>
      <c r="D87" s="916" t="s">
        <v>1053</v>
      </c>
      <c r="E87" s="748"/>
      <c r="F87" s="298"/>
      <c r="G87" s="916"/>
      <c r="H87" s="918" t="s">
        <v>814</v>
      </c>
      <c r="I87" s="934" t="s">
        <v>50</v>
      </c>
      <c r="J87" s="934" t="s">
        <v>51</v>
      </c>
      <c r="K87" s="918" t="s">
        <v>18</v>
      </c>
      <c r="L87" s="936">
        <v>24</v>
      </c>
      <c r="M87" s="929">
        <v>937962.96</v>
      </c>
      <c r="N87" s="929">
        <f>L87*M87</f>
        <v>22511111.039999999</v>
      </c>
      <c r="O87" s="929">
        <f t="shared" ref="O87:O95" si="0">N87*8%</f>
        <v>1800888.8832</v>
      </c>
      <c r="P87" s="929">
        <f t="shared" ref="P87:P95" si="1">N87+O87</f>
        <v>24311999.9232</v>
      </c>
      <c r="Q87" s="922"/>
      <c r="R87" s="922"/>
    </row>
    <row r="88" spans="1:18">
      <c r="A88" s="913" t="s">
        <v>1004</v>
      </c>
      <c r="B88" s="914" t="s">
        <v>693</v>
      </c>
      <c r="C88" s="933">
        <v>46268</v>
      </c>
      <c r="D88" s="916" t="s">
        <v>1053</v>
      </c>
      <c r="E88" s="748"/>
      <c r="F88" s="298"/>
      <c r="G88" s="916"/>
      <c r="H88" s="918" t="s">
        <v>814</v>
      </c>
      <c r="I88" s="934" t="s">
        <v>103</v>
      </c>
      <c r="J88" s="934" t="s">
        <v>104</v>
      </c>
      <c r="K88" s="918" t="s">
        <v>18</v>
      </c>
      <c r="L88" s="936">
        <v>24</v>
      </c>
      <c r="M88" s="929">
        <v>675925.93</v>
      </c>
      <c r="N88" s="929">
        <f t="shared" ref="N88:N95" si="2">L88*M88</f>
        <v>16222222.32</v>
      </c>
      <c r="O88" s="929">
        <f t="shared" si="0"/>
        <v>1297777.7856000001</v>
      </c>
      <c r="P88" s="929">
        <f t="shared" si="1"/>
        <v>17520000.105599999</v>
      </c>
      <c r="Q88" s="922"/>
      <c r="R88" s="922"/>
    </row>
    <row r="89" spans="1:18">
      <c r="A89" s="913" t="s">
        <v>1004</v>
      </c>
      <c r="B89" s="914" t="s">
        <v>693</v>
      </c>
      <c r="C89" s="933">
        <v>46268</v>
      </c>
      <c r="D89" s="916" t="s">
        <v>1053</v>
      </c>
      <c r="E89" s="748"/>
      <c r="F89" s="447"/>
      <c r="G89" s="916"/>
      <c r="H89" s="918" t="s">
        <v>814</v>
      </c>
      <c r="I89" s="934" t="s">
        <v>90</v>
      </c>
      <c r="J89" s="934" t="s">
        <v>91</v>
      </c>
      <c r="K89" s="918" t="s">
        <v>18</v>
      </c>
      <c r="L89" s="936">
        <v>20</v>
      </c>
      <c r="M89" s="929">
        <v>814814.81</v>
      </c>
      <c r="N89" s="929">
        <f t="shared" si="2"/>
        <v>16296296.200000001</v>
      </c>
      <c r="O89" s="929">
        <f t="shared" si="0"/>
        <v>1303703.6960000002</v>
      </c>
      <c r="P89" s="929">
        <f t="shared" si="1"/>
        <v>17599999.896000002</v>
      </c>
      <c r="Q89" s="922"/>
      <c r="R89" s="922"/>
    </row>
    <row r="90" spans="1:18">
      <c r="A90" s="913" t="s">
        <v>1004</v>
      </c>
      <c r="B90" s="914" t="s">
        <v>693</v>
      </c>
      <c r="C90" s="933">
        <v>46268</v>
      </c>
      <c r="D90" s="916" t="s">
        <v>1053</v>
      </c>
      <c r="E90" s="748"/>
      <c r="F90" s="447"/>
      <c r="G90" s="916"/>
      <c r="H90" s="918" t="s">
        <v>814</v>
      </c>
      <c r="I90" s="934" t="s">
        <v>653</v>
      </c>
      <c r="J90" s="934" t="s">
        <v>654</v>
      </c>
      <c r="K90" s="918" t="s">
        <v>18</v>
      </c>
      <c r="L90" s="936">
        <v>45</v>
      </c>
      <c r="M90" s="929">
        <v>481481.48</v>
      </c>
      <c r="N90" s="929">
        <f t="shared" si="2"/>
        <v>21666666.599999998</v>
      </c>
      <c r="O90" s="929">
        <f t="shared" si="0"/>
        <v>1733333.3279999997</v>
      </c>
      <c r="P90" s="929">
        <f t="shared" si="1"/>
        <v>23399999.927999996</v>
      </c>
      <c r="Q90" s="922"/>
      <c r="R90" s="922"/>
    </row>
    <row r="91" spans="1:18">
      <c r="A91" s="913" t="s">
        <v>1004</v>
      </c>
      <c r="B91" s="914" t="s">
        <v>693</v>
      </c>
      <c r="C91" s="933">
        <v>46268</v>
      </c>
      <c r="D91" s="916" t="s">
        <v>1053</v>
      </c>
      <c r="E91" s="748">
        <v>46298</v>
      </c>
      <c r="F91" s="298" t="s">
        <v>1380</v>
      </c>
      <c r="G91" s="979" t="s">
        <v>1379</v>
      </c>
      <c r="H91" s="918" t="s">
        <v>814</v>
      </c>
      <c r="I91" s="934" t="s">
        <v>655</v>
      </c>
      <c r="J91" s="934" t="s">
        <v>656</v>
      </c>
      <c r="K91" s="918" t="s">
        <v>18</v>
      </c>
      <c r="L91" s="936">
        <v>15</v>
      </c>
      <c r="M91" s="929">
        <v>574074.06999999995</v>
      </c>
      <c r="N91" s="929">
        <f t="shared" si="2"/>
        <v>8611111.0499999989</v>
      </c>
      <c r="O91" s="929">
        <f t="shared" si="0"/>
        <v>688888.88399999996</v>
      </c>
      <c r="P91" s="929">
        <f t="shared" si="1"/>
        <v>9299999.9339999985</v>
      </c>
      <c r="Q91" s="922"/>
      <c r="R91" s="922"/>
    </row>
    <row r="92" spans="1:18">
      <c r="A92" s="913" t="s">
        <v>1004</v>
      </c>
      <c r="B92" s="914" t="s">
        <v>693</v>
      </c>
      <c r="C92" s="933">
        <v>46268</v>
      </c>
      <c r="D92" s="916" t="s">
        <v>1053</v>
      </c>
      <c r="E92" s="748"/>
      <c r="F92" s="298"/>
      <c r="G92" s="916"/>
      <c r="H92" s="918" t="s">
        <v>814</v>
      </c>
      <c r="I92" s="934" t="s">
        <v>653</v>
      </c>
      <c r="J92" s="934" t="s">
        <v>654</v>
      </c>
      <c r="K92" s="918" t="s">
        <v>18</v>
      </c>
      <c r="L92" s="936">
        <v>3</v>
      </c>
      <c r="M92" s="929">
        <v>0</v>
      </c>
      <c r="N92" s="929">
        <f t="shared" si="2"/>
        <v>0</v>
      </c>
      <c r="O92" s="929">
        <f t="shared" si="0"/>
        <v>0</v>
      </c>
      <c r="P92" s="929">
        <f t="shared" si="1"/>
        <v>0</v>
      </c>
      <c r="Q92" s="922"/>
      <c r="R92" s="922"/>
    </row>
    <row r="93" spans="1:18">
      <c r="A93" s="913" t="s">
        <v>1004</v>
      </c>
      <c r="B93" s="914" t="s">
        <v>693</v>
      </c>
      <c r="C93" s="933">
        <v>46268</v>
      </c>
      <c r="D93" s="916" t="s">
        <v>1053</v>
      </c>
      <c r="E93" s="748"/>
      <c r="F93" s="298"/>
      <c r="G93" s="916"/>
      <c r="H93" s="918" t="s">
        <v>892</v>
      </c>
      <c r="I93" s="934" t="s">
        <v>655</v>
      </c>
      <c r="J93" s="934" t="s">
        <v>656</v>
      </c>
      <c r="K93" s="918" t="s">
        <v>18</v>
      </c>
      <c r="L93" s="936">
        <v>1</v>
      </c>
      <c r="M93" s="929">
        <v>0</v>
      </c>
      <c r="N93" s="929">
        <f t="shared" si="2"/>
        <v>0</v>
      </c>
      <c r="O93" s="929">
        <f t="shared" si="0"/>
        <v>0</v>
      </c>
      <c r="P93" s="929">
        <f t="shared" si="1"/>
        <v>0</v>
      </c>
      <c r="Q93" s="922"/>
      <c r="R93" s="922"/>
    </row>
    <row r="94" spans="1:18">
      <c r="A94" s="913" t="s">
        <v>1004</v>
      </c>
      <c r="B94" s="914" t="s">
        <v>693</v>
      </c>
      <c r="C94" s="933">
        <v>46268</v>
      </c>
      <c r="D94" s="916" t="s">
        <v>1053</v>
      </c>
      <c r="E94" s="748"/>
      <c r="F94" s="447"/>
      <c r="G94" s="916"/>
      <c r="H94" s="918" t="s">
        <v>814</v>
      </c>
      <c r="I94" s="934" t="s">
        <v>107</v>
      </c>
      <c r="J94" s="934" t="s">
        <v>108</v>
      </c>
      <c r="K94" s="918" t="s">
        <v>18</v>
      </c>
      <c r="L94" s="936">
        <v>8</v>
      </c>
      <c r="M94" s="929">
        <v>0</v>
      </c>
      <c r="N94" s="929">
        <f t="shared" si="2"/>
        <v>0</v>
      </c>
      <c r="O94" s="929">
        <f t="shared" si="0"/>
        <v>0</v>
      </c>
      <c r="P94" s="929">
        <f t="shared" si="1"/>
        <v>0</v>
      </c>
      <c r="Q94" s="922"/>
      <c r="R94" s="922"/>
    </row>
    <row r="95" spans="1:18">
      <c r="A95" s="913" t="s">
        <v>1004</v>
      </c>
      <c r="B95" s="914" t="s">
        <v>693</v>
      </c>
      <c r="C95" s="933">
        <v>46268</v>
      </c>
      <c r="D95" s="916" t="s">
        <v>1053</v>
      </c>
      <c r="E95" s="748"/>
      <c r="F95" s="447"/>
      <c r="G95" s="916"/>
      <c r="H95" s="918" t="s">
        <v>814</v>
      </c>
      <c r="I95" s="934" t="s">
        <v>959</v>
      </c>
      <c r="J95" s="934" t="s">
        <v>960</v>
      </c>
      <c r="K95" s="918" t="s">
        <v>18</v>
      </c>
      <c r="L95" s="936">
        <v>48</v>
      </c>
      <c r="M95" s="929">
        <v>0</v>
      </c>
      <c r="N95" s="929">
        <f t="shared" si="2"/>
        <v>0</v>
      </c>
      <c r="O95" s="929">
        <f t="shared" si="0"/>
        <v>0</v>
      </c>
      <c r="P95" s="929">
        <f t="shared" si="1"/>
        <v>0</v>
      </c>
      <c r="Q95" s="922"/>
      <c r="R95" s="922"/>
    </row>
    <row r="96" spans="1:18">
      <c r="A96" s="913" t="s">
        <v>1004</v>
      </c>
      <c r="B96" s="914" t="s">
        <v>693</v>
      </c>
      <c r="C96" s="933">
        <v>46274</v>
      </c>
      <c r="D96" s="916"/>
      <c r="E96" s="748">
        <v>46298</v>
      </c>
      <c r="F96" s="298" t="s">
        <v>1380</v>
      </c>
      <c r="G96" s="916"/>
      <c r="H96" s="918" t="s">
        <v>672</v>
      </c>
      <c r="I96" s="934"/>
      <c r="J96" s="934"/>
      <c r="K96" s="916"/>
      <c r="L96" s="936"/>
      <c r="M96" s="929"/>
      <c r="N96" s="929"/>
      <c r="O96" s="929"/>
      <c r="P96" s="929"/>
      <c r="Q96" s="922">
        <v>50000000</v>
      </c>
      <c r="R96" s="922"/>
    </row>
    <row r="97" spans="1:18">
      <c r="A97" s="913" t="s">
        <v>1004</v>
      </c>
      <c r="B97" s="914" t="s">
        <v>693</v>
      </c>
      <c r="C97" s="937">
        <v>46275</v>
      </c>
      <c r="D97" s="938" t="s">
        <v>1111</v>
      </c>
      <c r="E97" s="748">
        <v>46298</v>
      </c>
      <c r="F97" s="298" t="s">
        <v>1380</v>
      </c>
      <c r="G97" s="938"/>
      <c r="H97" s="556" t="s">
        <v>1112</v>
      </c>
      <c r="I97" s="773" t="s">
        <v>163</v>
      </c>
      <c r="J97" s="714" t="s">
        <v>164</v>
      </c>
      <c r="K97" s="939" t="s">
        <v>18</v>
      </c>
      <c r="L97" s="940">
        <v>-20</v>
      </c>
      <c r="M97" s="941">
        <v>231481.5</v>
      </c>
      <c r="N97" s="942">
        <f t="shared" ref="N97:N109" si="3">L97*M97</f>
        <v>-4629630</v>
      </c>
      <c r="O97" s="942">
        <f t="shared" ref="O97:O130" si="4">N97*8%</f>
        <v>-370370.4</v>
      </c>
      <c r="P97" s="943">
        <f>N97+O97</f>
        <v>-5000000.4000000004</v>
      </c>
      <c r="Q97" s="944"/>
      <c r="R97" s="922"/>
    </row>
    <row r="98" spans="1:18">
      <c r="A98" s="913" t="s">
        <v>1004</v>
      </c>
      <c r="B98" s="914" t="s">
        <v>693</v>
      </c>
      <c r="C98" s="937">
        <v>46275</v>
      </c>
      <c r="D98" s="938" t="s">
        <v>1111</v>
      </c>
      <c r="E98" s="748">
        <v>46298</v>
      </c>
      <c r="F98" s="298" t="s">
        <v>1380</v>
      </c>
      <c r="G98" s="938"/>
      <c r="H98" s="556" t="s">
        <v>1112</v>
      </c>
      <c r="I98" s="773" t="s">
        <v>171</v>
      </c>
      <c r="J98" s="714" t="s">
        <v>172</v>
      </c>
      <c r="K98" s="939" t="s">
        <v>18</v>
      </c>
      <c r="L98" s="940">
        <v>-80</v>
      </c>
      <c r="M98" s="941">
        <v>69444.44</v>
      </c>
      <c r="N98" s="942">
        <f t="shared" si="3"/>
        <v>-5555555.2000000002</v>
      </c>
      <c r="O98" s="942">
        <f t="shared" si="4"/>
        <v>-444444.41600000003</v>
      </c>
      <c r="P98" s="943">
        <f t="shared" ref="P98:P130" si="5">N98+O98</f>
        <v>-5999999.6160000004</v>
      </c>
      <c r="Q98" s="944"/>
      <c r="R98" s="922"/>
    </row>
    <row r="99" spans="1:18">
      <c r="A99" s="913" t="s">
        <v>1004</v>
      </c>
      <c r="B99" s="914" t="s">
        <v>693</v>
      </c>
      <c r="C99" s="937">
        <v>46275</v>
      </c>
      <c r="D99" s="938" t="s">
        <v>1111</v>
      </c>
      <c r="E99" s="748">
        <v>46298</v>
      </c>
      <c r="F99" s="298" t="s">
        <v>1380</v>
      </c>
      <c r="G99" s="938"/>
      <c r="H99" s="556" t="s">
        <v>1112</v>
      </c>
      <c r="I99" s="773" t="s">
        <v>173</v>
      </c>
      <c r="J99" s="714" t="s">
        <v>174</v>
      </c>
      <c r="K99" s="939" t="s">
        <v>18</v>
      </c>
      <c r="L99" s="940">
        <v>-80</v>
      </c>
      <c r="M99" s="941">
        <v>97222.22</v>
      </c>
      <c r="N99" s="942">
        <f t="shared" si="3"/>
        <v>-7777777.5999999996</v>
      </c>
      <c r="O99" s="942">
        <f t="shared" si="4"/>
        <v>-622222.20799999998</v>
      </c>
      <c r="P99" s="943">
        <f t="shared" si="5"/>
        <v>-8399999.8080000002</v>
      </c>
      <c r="Q99" s="944"/>
      <c r="R99" s="922"/>
    </row>
    <row r="100" spans="1:18">
      <c r="A100" s="913" t="s">
        <v>1004</v>
      </c>
      <c r="B100" s="914" t="s">
        <v>693</v>
      </c>
      <c r="C100" s="937">
        <v>46275</v>
      </c>
      <c r="D100" s="938" t="s">
        <v>1111</v>
      </c>
      <c r="E100" s="748"/>
      <c r="F100" s="322"/>
      <c r="G100" s="938"/>
      <c r="H100" s="556" t="s">
        <v>1181</v>
      </c>
      <c r="I100" s="773" t="s">
        <v>98</v>
      </c>
      <c r="J100" s="945" t="s">
        <v>251</v>
      </c>
      <c r="K100" s="939" t="s">
        <v>18</v>
      </c>
      <c r="L100" s="940">
        <v>-1</v>
      </c>
      <c r="M100" s="941"/>
      <c r="N100" s="942"/>
      <c r="O100" s="942"/>
      <c r="P100" s="943">
        <f t="shared" si="5"/>
        <v>0</v>
      </c>
      <c r="Q100" s="944"/>
      <c r="R100" s="922"/>
    </row>
    <row r="101" spans="1:18" ht="29.25">
      <c r="A101" s="913" t="s">
        <v>1004</v>
      </c>
      <c r="B101" s="914" t="s">
        <v>693</v>
      </c>
      <c r="C101" s="937">
        <v>46275</v>
      </c>
      <c r="D101" s="938" t="s">
        <v>1111</v>
      </c>
      <c r="E101" s="748"/>
      <c r="F101" s="322"/>
      <c r="G101" s="938"/>
      <c r="H101" s="322" t="s">
        <v>671</v>
      </c>
      <c r="I101" s="946" t="s">
        <v>96</v>
      </c>
      <c r="J101" s="714" t="s">
        <v>97</v>
      </c>
      <c r="K101" s="939" t="s">
        <v>18</v>
      </c>
      <c r="L101" s="947">
        <v>-20</v>
      </c>
      <c r="M101" s="941">
        <v>574074.06999999995</v>
      </c>
      <c r="N101" s="942">
        <f t="shared" si="3"/>
        <v>-11481481.399999999</v>
      </c>
      <c r="O101" s="942">
        <f t="shared" si="4"/>
        <v>-918518.51199999987</v>
      </c>
      <c r="P101" s="943">
        <f t="shared" si="5"/>
        <v>-12399999.911999999</v>
      </c>
      <c r="Q101" s="944"/>
      <c r="R101" s="922"/>
    </row>
    <row r="102" spans="1:18" ht="28.5">
      <c r="A102" s="913" t="s">
        <v>1004</v>
      </c>
      <c r="B102" s="914" t="s">
        <v>693</v>
      </c>
      <c r="C102" s="937">
        <v>46275</v>
      </c>
      <c r="D102" s="938" t="s">
        <v>1111</v>
      </c>
      <c r="E102" s="748"/>
      <c r="F102" s="322"/>
      <c r="G102" s="938"/>
      <c r="H102" s="322" t="s">
        <v>671</v>
      </c>
      <c r="I102" s="946" t="s">
        <v>1109</v>
      </c>
      <c r="J102" s="945" t="s">
        <v>86</v>
      </c>
      <c r="K102" s="939" t="s">
        <v>18</v>
      </c>
      <c r="L102" s="947">
        <v>-36</v>
      </c>
      <c r="M102" s="941">
        <v>509259.26</v>
      </c>
      <c r="N102" s="942">
        <f t="shared" si="3"/>
        <v>-18333333.359999999</v>
      </c>
      <c r="O102" s="942">
        <f t="shared" si="4"/>
        <v>-1466666.6687999999</v>
      </c>
      <c r="P102" s="943">
        <f t="shared" si="5"/>
        <v>-19800000.0288</v>
      </c>
      <c r="Q102" s="944"/>
      <c r="R102" s="922"/>
    </row>
    <row r="103" spans="1:18" ht="28.5">
      <c r="A103" s="913" t="s">
        <v>1004</v>
      </c>
      <c r="B103" s="914" t="s">
        <v>693</v>
      </c>
      <c r="C103" s="937">
        <v>46275</v>
      </c>
      <c r="D103" s="938" t="s">
        <v>1111</v>
      </c>
      <c r="E103" s="748"/>
      <c r="F103" s="322"/>
      <c r="G103" s="938"/>
      <c r="H103" s="322" t="s">
        <v>671</v>
      </c>
      <c r="I103" s="946" t="s">
        <v>1110</v>
      </c>
      <c r="J103" s="945" t="s">
        <v>86</v>
      </c>
      <c r="K103" s="939" t="s">
        <v>18</v>
      </c>
      <c r="L103" s="947">
        <v>-27</v>
      </c>
      <c r="M103" s="941">
        <v>509259.26</v>
      </c>
      <c r="N103" s="942">
        <f t="shared" si="3"/>
        <v>-13750000.02</v>
      </c>
      <c r="O103" s="942">
        <f t="shared" si="4"/>
        <v>-1100000.0016000001</v>
      </c>
      <c r="P103" s="943">
        <f t="shared" si="5"/>
        <v>-14850000.021600001</v>
      </c>
      <c r="Q103" s="944"/>
      <c r="R103" s="922"/>
    </row>
    <row r="104" spans="1:18">
      <c r="A104" s="913" t="s">
        <v>1004</v>
      </c>
      <c r="B104" s="914" t="s">
        <v>693</v>
      </c>
      <c r="C104" s="937">
        <v>46275</v>
      </c>
      <c r="D104" s="938" t="s">
        <v>1111</v>
      </c>
      <c r="E104" s="748"/>
      <c r="F104" s="322"/>
      <c r="G104" s="938"/>
      <c r="H104" s="556" t="s">
        <v>1181</v>
      </c>
      <c r="I104" s="773" t="s">
        <v>74</v>
      </c>
      <c r="J104" s="948" t="s">
        <v>141</v>
      </c>
      <c r="K104" s="939" t="s">
        <v>18</v>
      </c>
      <c r="L104" s="940">
        <v>-2</v>
      </c>
      <c r="M104" s="941"/>
      <c r="N104" s="942"/>
      <c r="O104" s="942"/>
      <c r="P104" s="943">
        <f t="shared" si="5"/>
        <v>0</v>
      </c>
      <c r="Q104" s="944"/>
      <c r="R104" s="922"/>
    </row>
    <row r="105" spans="1:18">
      <c r="A105" s="913" t="s">
        <v>1004</v>
      </c>
      <c r="B105" s="914" t="s">
        <v>693</v>
      </c>
      <c r="C105" s="937">
        <v>46275</v>
      </c>
      <c r="D105" s="938" t="s">
        <v>1111</v>
      </c>
      <c r="E105" s="748"/>
      <c r="F105" s="322"/>
      <c r="G105" s="938"/>
      <c r="H105" s="556" t="s">
        <v>1181</v>
      </c>
      <c r="I105" s="773" t="s">
        <v>204</v>
      </c>
      <c r="J105" s="948" t="s">
        <v>269</v>
      </c>
      <c r="K105" s="773" t="s">
        <v>18</v>
      </c>
      <c r="L105" s="949">
        <v>-1</v>
      </c>
      <c r="M105" s="941"/>
      <c r="N105" s="942"/>
      <c r="O105" s="942"/>
      <c r="P105" s="943">
        <f t="shared" si="5"/>
        <v>0</v>
      </c>
      <c r="Q105" s="944"/>
      <c r="R105" s="922"/>
    </row>
    <row r="106" spans="1:18">
      <c r="A106" s="913" t="s">
        <v>1004</v>
      </c>
      <c r="B106" s="914" t="s">
        <v>693</v>
      </c>
      <c r="C106" s="937">
        <v>46275</v>
      </c>
      <c r="D106" s="938" t="s">
        <v>1111</v>
      </c>
      <c r="E106" s="748"/>
      <c r="F106" s="322"/>
      <c r="G106" s="938"/>
      <c r="H106" s="556" t="s">
        <v>1112</v>
      </c>
      <c r="I106" s="773" t="s">
        <v>101</v>
      </c>
      <c r="J106" s="714" t="s">
        <v>102</v>
      </c>
      <c r="K106" s="773" t="s">
        <v>18</v>
      </c>
      <c r="L106" s="949">
        <v>-32</v>
      </c>
      <c r="M106" s="941">
        <v>861111.11</v>
      </c>
      <c r="N106" s="942">
        <f t="shared" si="3"/>
        <v>-27555555.52</v>
      </c>
      <c r="O106" s="942">
        <f t="shared" si="4"/>
        <v>-2204444.4416</v>
      </c>
      <c r="P106" s="943">
        <f t="shared" si="5"/>
        <v>-29759999.961599998</v>
      </c>
      <c r="Q106" s="944"/>
      <c r="R106" s="922"/>
    </row>
    <row r="107" spans="1:18">
      <c r="A107" s="913" t="s">
        <v>1004</v>
      </c>
      <c r="B107" s="914" t="s">
        <v>693</v>
      </c>
      <c r="C107" s="937">
        <v>46275</v>
      </c>
      <c r="D107" s="938" t="s">
        <v>1113</v>
      </c>
      <c r="E107" s="748"/>
      <c r="F107" s="322"/>
      <c r="G107" s="938"/>
      <c r="H107" s="556" t="s">
        <v>1181</v>
      </c>
      <c r="I107" s="773" t="s">
        <v>98</v>
      </c>
      <c r="J107" s="945" t="s">
        <v>251</v>
      </c>
      <c r="K107" s="939" t="s">
        <v>18</v>
      </c>
      <c r="L107" s="949">
        <v>1</v>
      </c>
      <c r="M107" s="941">
        <v>0</v>
      </c>
      <c r="N107" s="942">
        <f t="shared" si="3"/>
        <v>0</v>
      </c>
      <c r="O107" s="942">
        <f t="shared" si="4"/>
        <v>0</v>
      </c>
      <c r="P107" s="943">
        <f t="shared" si="5"/>
        <v>0</v>
      </c>
      <c r="Q107" s="944"/>
      <c r="R107" s="922"/>
    </row>
    <row r="108" spans="1:18">
      <c r="A108" s="913" t="s">
        <v>1004</v>
      </c>
      <c r="B108" s="914" t="s">
        <v>693</v>
      </c>
      <c r="C108" s="937">
        <v>46275</v>
      </c>
      <c r="D108" s="938" t="s">
        <v>1113</v>
      </c>
      <c r="E108" s="748"/>
      <c r="F108" s="322"/>
      <c r="G108" s="938"/>
      <c r="H108" s="556" t="s">
        <v>1181</v>
      </c>
      <c r="I108" s="773" t="s">
        <v>74</v>
      </c>
      <c r="J108" s="948" t="s">
        <v>141</v>
      </c>
      <c r="K108" s="939" t="s">
        <v>18</v>
      </c>
      <c r="L108" s="949">
        <v>2</v>
      </c>
      <c r="M108" s="941">
        <v>0</v>
      </c>
      <c r="N108" s="942">
        <f t="shared" si="3"/>
        <v>0</v>
      </c>
      <c r="O108" s="942">
        <f t="shared" si="4"/>
        <v>0</v>
      </c>
      <c r="P108" s="943">
        <f t="shared" si="5"/>
        <v>0</v>
      </c>
      <c r="Q108" s="944"/>
      <c r="R108" s="922"/>
    </row>
    <row r="109" spans="1:18">
      <c r="A109" s="913" t="s">
        <v>1004</v>
      </c>
      <c r="B109" s="914" t="s">
        <v>693</v>
      </c>
      <c r="C109" s="937">
        <v>46275</v>
      </c>
      <c r="D109" s="938" t="s">
        <v>1113</v>
      </c>
      <c r="E109" s="748"/>
      <c r="F109" s="322"/>
      <c r="G109" s="938"/>
      <c r="H109" s="556" t="s">
        <v>1181</v>
      </c>
      <c r="I109" s="773" t="s">
        <v>204</v>
      </c>
      <c r="J109" s="948" t="s">
        <v>269</v>
      </c>
      <c r="K109" s="773" t="s">
        <v>18</v>
      </c>
      <c r="L109" s="949">
        <v>1</v>
      </c>
      <c r="M109" s="941">
        <v>0</v>
      </c>
      <c r="N109" s="942">
        <f t="shared" si="3"/>
        <v>0</v>
      </c>
      <c r="O109" s="942">
        <f t="shared" si="4"/>
        <v>0</v>
      </c>
      <c r="P109" s="943">
        <f t="shared" si="5"/>
        <v>0</v>
      </c>
      <c r="Q109" s="944"/>
      <c r="R109" s="922"/>
    </row>
    <row r="110" spans="1:18">
      <c r="A110" s="913" t="s">
        <v>1004</v>
      </c>
      <c r="B110" s="914" t="s">
        <v>693</v>
      </c>
      <c r="C110" s="937">
        <v>46275</v>
      </c>
      <c r="D110" s="938" t="s">
        <v>1114</v>
      </c>
      <c r="E110" s="748">
        <v>46279</v>
      </c>
      <c r="F110" s="322" t="s">
        <v>1162</v>
      </c>
      <c r="G110" s="950" t="s">
        <v>1161</v>
      </c>
      <c r="H110" s="713" t="s">
        <v>814</v>
      </c>
      <c r="I110" s="773" t="s">
        <v>50</v>
      </c>
      <c r="J110" s="948" t="s">
        <v>51</v>
      </c>
      <c r="K110" s="773" t="s">
        <v>18</v>
      </c>
      <c r="L110" s="949">
        <v>32</v>
      </c>
      <c r="M110" s="941">
        <v>937962.96</v>
      </c>
      <c r="N110" s="942">
        <f>L110*M110</f>
        <v>30014814.719999999</v>
      </c>
      <c r="O110" s="942">
        <f t="shared" si="4"/>
        <v>2401185.1776000001</v>
      </c>
      <c r="P110" s="943">
        <f t="shared" si="5"/>
        <v>32415999.897599999</v>
      </c>
      <c r="Q110" s="944"/>
      <c r="R110" s="922"/>
    </row>
    <row r="111" spans="1:18">
      <c r="A111" s="913" t="s">
        <v>1004</v>
      </c>
      <c r="B111" s="914" t="s">
        <v>693</v>
      </c>
      <c r="C111" s="937">
        <v>46275</v>
      </c>
      <c r="D111" s="938" t="s">
        <v>1114</v>
      </c>
      <c r="E111" s="748"/>
      <c r="F111" s="322"/>
      <c r="G111" s="938"/>
      <c r="H111" s="713" t="s">
        <v>814</v>
      </c>
      <c r="I111" s="773" t="s">
        <v>103</v>
      </c>
      <c r="J111" s="948" t="s">
        <v>104</v>
      </c>
      <c r="K111" s="773" t="s">
        <v>18</v>
      </c>
      <c r="L111" s="949">
        <v>60</v>
      </c>
      <c r="M111" s="941">
        <v>675925.93</v>
      </c>
      <c r="N111" s="942">
        <f t="shared" ref="N111:N114" si="6">L111*M111</f>
        <v>40555555.800000004</v>
      </c>
      <c r="O111" s="942">
        <f t="shared" si="4"/>
        <v>3244444.4640000006</v>
      </c>
      <c r="P111" s="943">
        <f t="shared" si="5"/>
        <v>43800000.264000006</v>
      </c>
      <c r="Q111" s="944"/>
      <c r="R111" s="922"/>
    </row>
    <row r="112" spans="1:18">
      <c r="A112" s="913" t="s">
        <v>1004</v>
      </c>
      <c r="B112" s="914" t="s">
        <v>693</v>
      </c>
      <c r="C112" s="937">
        <v>46275</v>
      </c>
      <c r="D112" s="938" t="s">
        <v>1114</v>
      </c>
      <c r="E112" s="748">
        <v>46279</v>
      </c>
      <c r="F112" s="322" t="s">
        <v>1162</v>
      </c>
      <c r="G112" s="950" t="s">
        <v>1161</v>
      </c>
      <c r="H112" s="713" t="s">
        <v>814</v>
      </c>
      <c r="I112" s="773" t="s">
        <v>48</v>
      </c>
      <c r="J112" s="948" t="s">
        <v>49</v>
      </c>
      <c r="K112" s="773" t="s">
        <v>18</v>
      </c>
      <c r="L112" s="949">
        <v>30</v>
      </c>
      <c r="M112" s="941">
        <v>601851.85</v>
      </c>
      <c r="N112" s="942">
        <f t="shared" si="6"/>
        <v>18055555.5</v>
      </c>
      <c r="O112" s="942">
        <f t="shared" si="4"/>
        <v>1444444.44</v>
      </c>
      <c r="P112" s="943">
        <f t="shared" si="5"/>
        <v>19499999.940000001</v>
      </c>
      <c r="Q112" s="944"/>
      <c r="R112" s="922"/>
    </row>
    <row r="113" spans="1:18">
      <c r="A113" s="913" t="s">
        <v>1004</v>
      </c>
      <c r="B113" s="914" t="s">
        <v>693</v>
      </c>
      <c r="C113" s="937">
        <v>46275</v>
      </c>
      <c r="D113" s="938" t="s">
        <v>1114</v>
      </c>
      <c r="E113" s="748"/>
      <c r="F113" s="322"/>
      <c r="G113" s="938"/>
      <c r="H113" s="713" t="s">
        <v>1120</v>
      </c>
      <c r="I113" s="773" t="s">
        <v>107</v>
      </c>
      <c r="J113" s="948" t="s">
        <v>108</v>
      </c>
      <c r="K113" s="773" t="s">
        <v>18</v>
      </c>
      <c r="L113" s="949">
        <v>8</v>
      </c>
      <c r="M113" s="941">
        <v>0</v>
      </c>
      <c r="N113" s="942">
        <f t="shared" si="6"/>
        <v>0</v>
      </c>
      <c r="O113" s="942">
        <f t="shared" si="4"/>
        <v>0</v>
      </c>
      <c r="P113" s="943">
        <f t="shared" si="5"/>
        <v>0</v>
      </c>
      <c r="Q113" s="944"/>
      <c r="R113" s="922"/>
    </row>
    <row r="114" spans="1:18">
      <c r="A114" s="913" t="s">
        <v>1004</v>
      </c>
      <c r="B114" s="914" t="s">
        <v>693</v>
      </c>
      <c r="C114" s="937">
        <v>46275</v>
      </c>
      <c r="D114" s="938" t="s">
        <v>1114</v>
      </c>
      <c r="E114" s="748">
        <v>46279</v>
      </c>
      <c r="F114" s="322" t="s">
        <v>1162</v>
      </c>
      <c r="G114" s="950" t="s">
        <v>1161</v>
      </c>
      <c r="H114" s="713" t="s">
        <v>862</v>
      </c>
      <c r="I114" s="773" t="s">
        <v>959</v>
      </c>
      <c r="J114" s="948" t="s">
        <v>960</v>
      </c>
      <c r="K114" s="773" t="s">
        <v>18</v>
      </c>
      <c r="L114" s="949">
        <v>122</v>
      </c>
      <c r="M114" s="941">
        <v>0</v>
      </c>
      <c r="N114" s="942">
        <f t="shared" si="6"/>
        <v>0</v>
      </c>
      <c r="O114" s="942">
        <f t="shared" si="4"/>
        <v>0</v>
      </c>
      <c r="P114" s="943">
        <f t="shared" si="5"/>
        <v>0</v>
      </c>
      <c r="Q114" s="944"/>
      <c r="R114" s="922"/>
    </row>
    <row r="115" spans="1:18">
      <c r="A115" s="732" t="s">
        <v>1004</v>
      </c>
      <c r="B115" s="951" t="s">
        <v>693</v>
      </c>
      <c r="C115" s="937">
        <v>46287</v>
      </c>
      <c r="D115" s="952" t="s">
        <v>1264</v>
      </c>
      <c r="E115" s="748"/>
      <c r="F115" s="952"/>
      <c r="G115" s="952"/>
      <c r="H115" s="713" t="s">
        <v>814</v>
      </c>
      <c r="I115" s="953" t="s">
        <v>639</v>
      </c>
      <c r="J115" s="954" t="s">
        <v>640</v>
      </c>
      <c r="K115" s="953" t="s">
        <v>18</v>
      </c>
      <c r="L115" s="955">
        <v>30</v>
      </c>
      <c r="M115" s="956">
        <v>537037.04</v>
      </c>
      <c r="N115" s="957">
        <f>L115*M115</f>
        <v>16111111.200000001</v>
      </c>
      <c r="O115" s="942">
        <f t="shared" si="4"/>
        <v>1288888.8960000002</v>
      </c>
      <c r="P115" s="943">
        <f t="shared" si="5"/>
        <v>17400000.096000001</v>
      </c>
      <c r="Q115" s="944"/>
      <c r="R115" s="944"/>
    </row>
    <row r="116" spans="1:18">
      <c r="A116" s="732" t="s">
        <v>1004</v>
      </c>
      <c r="B116" s="951" t="s">
        <v>693</v>
      </c>
      <c r="C116" s="937">
        <v>46287</v>
      </c>
      <c r="D116" s="952" t="s">
        <v>1264</v>
      </c>
      <c r="E116" s="748"/>
      <c r="F116" s="952"/>
      <c r="G116" s="952"/>
      <c r="H116" s="713" t="s">
        <v>814</v>
      </c>
      <c r="I116" s="953" t="s">
        <v>641</v>
      </c>
      <c r="J116" s="954" t="s">
        <v>657</v>
      </c>
      <c r="K116" s="953" t="s">
        <v>18</v>
      </c>
      <c r="L116" s="955">
        <v>15</v>
      </c>
      <c r="M116" s="956">
        <v>638888.89</v>
      </c>
      <c r="N116" s="957">
        <f t="shared" ref="N116:N130" si="7">L116*M116</f>
        <v>9583333.3499999996</v>
      </c>
      <c r="O116" s="942">
        <f t="shared" si="4"/>
        <v>766666.66799999995</v>
      </c>
      <c r="P116" s="943">
        <f t="shared" si="5"/>
        <v>10350000.017999999</v>
      </c>
      <c r="Q116" s="944"/>
      <c r="R116" s="944"/>
    </row>
    <row r="117" spans="1:18">
      <c r="A117" s="732" t="s">
        <v>1004</v>
      </c>
      <c r="B117" s="951" t="s">
        <v>693</v>
      </c>
      <c r="C117" s="937">
        <v>46287</v>
      </c>
      <c r="D117" s="952" t="s">
        <v>1264</v>
      </c>
      <c r="E117" s="748">
        <v>46298</v>
      </c>
      <c r="F117" s="298" t="s">
        <v>1380</v>
      </c>
      <c r="G117" s="980" t="s">
        <v>1379</v>
      </c>
      <c r="H117" s="713" t="s">
        <v>814</v>
      </c>
      <c r="I117" s="953" t="s">
        <v>643</v>
      </c>
      <c r="J117" s="954" t="s">
        <v>644</v>
      </c>
      <c r="K117" s="953" t="s">
        <v>18</v>
      </c>
      <c r="L117" s="955">
        <v>30</v>
      </c>
      <c r="M117" s="956">
        <v>527777.78</v>
      </c>
      <c r="N117" s="957">
        <f t="shared" si="7"/>
        <v>15833333.4</v>
      </c>
      <c r="O117" s="942">
        <f t="shared" si="4"/>
        <v>1266666.672</v>
      </c>
      <c r="P117" s="943">
        <f t="shared" si="5"/>
        <v>17100000.072000001</v>
      </c>
      <c r="Q117" s="944"/>
      <c r="R117" s="944"/>
    </row>
    <row r="118" spans="1:18">
      <c r="A118" s="732" t="s">
        <v>1004</v>
      </c>
      <c r="B118" s="951" t="s">
        <v>693</v>
      </c>
      <c r="C118" s="937">
        <v>46287</v>
      </c>
      <c r="D118" s="952" t="s">
        <v>1264</v>
      </c>
      <c r="E118" s="748">
        <v>46298</v>
      </c>
      <c r="F118" s="298" t="s">
        <v>1380</v>
      </c>
      <c r="G118" s="980" t="s">
        <v>1379</v>
      </c>
      <c r="H118" s="713" t="s">
        <v>814</v>
      </c>
      <c r="I118" s="953" t="s">
        <v>645</v>
      </c>
      <c r="J118" s="954" t="s">
        <v>646</v>
      </c>
      <c r="K118" s="953" t="s">
        <v>18</v>
      </c>
      <c r="L118" s="955">
        <v>15</v>
      </c>
      <c r="M118" s="956">
        <v>629629.63</v>
      </c>
      <c r="N118" s="957">
        <f>L118*M118</f>
        <v>9444444.4499999993</v>
      </c>
      <c r="O118" s="942">
        <f t="shared" si="4"/>
        <v>755555.55599999998</v>
      </c>
      <c r="P118" s="943">
        <f t="shared" si="5"/>
        <v>10200000.005999999</v>
      </c>
      <c r="Q118" s="944"/>
      <c r="R118" s="944"/>
    </row>
    <row r="119" spans="1:18">
      <c r="A119" s="732" t="s">
        <v>1004</v>
      </c>
      <c r="B119" s="951" t="s">
        <v>693</v>
      </c>
      <c r="C119" s="937">
        <v>46287</v>
      </c>
      <c r="D119" s="952" t="s">
        <v>1264</v>
      </c>
      <c r="E119" s="748">
        <v>46298</v>
      </c>
      <c r="F119" s="298" t="s">
        <v>1380</v>
      </c>
      <c r="G119" s="980" t="s">
        <v>1379</v>
      </c>
      <c r="H119" s="713" t="s">
        <v>814</v>
      </c>
      <c r="I119" s="953" t="s">
        <v>653</v>
      </c>
      <c r="J119" s="954" t="s">
        <v>654</v>
      </c>
      <c r="K119" s="953" t="s">
        <v>18</v>
      </c>
      <c r="L119" s="955">
        <v>60</v>
      </c>
      <c r="M119" s="956">
        <v>481481.48</v>
      </c>
      <c r="N119" s="957">
        <f t="shared" si="7"/>
        <v>28888888.799999997</v>
      </c>
      <c r="O119" s="942">
        <f t="shared" si="4"/>
        <v>2311111.1039999998</v>
      </c>
      <c r="P119" s="943">
        <f t="shared" si="5"/>
        <v>31199999.903999995</v>
      </c>
      <c r="Q119" s="944"/>
      <c r="R119" s="944"/>
    </row>
    <row r="120" spans="1:18">
      <c r="A120" s="732" t="s">
        <v>1004</v>
      </c>
      <c r="B120" s="951" t="s">
        <v>693</v>
      </c>
      <c r="C120" s="937">
        <v>46287</v>
      </c>
      <c r="D120" s="952" t="s">
        <v>1264</v>
      </c>
      <c r="E120" s="748">
        <v>46298</v>
      </c>
      <c r="F120" s="298" t="s">
        <v>1380</v>
      </c>
      <c r="G120" s="980" t="s">
        <v>1379</v>
      </c>
      <c r="H120" s="713" t="s">
        <v>814</v>
      </c>
      <c r="I120" s="953" t="s">
        <v>655</v>
      </c>
      <c r="J120" s="954" t="s">
        <v>656</v>
      </c>
      <c r="K120" s="953" t="s">
        <v>18</v>
      </c>
      <c r="L120" s="955">
        <v>30</v>
      </c>
      <c r="M120" s="956">
        <v>574074.06999999995</v>
      </c>
      <c r="N120" s="957">
        <f t="shared" si="7"/>
        <v>17222222.099999998</v>
      </c>
      <c r="O120" s="942">
        <f t="shared" si="4"/>
        <v>1377777.7679999999</v>
      </c>
      <c r="P120" s="943">
        <f t="shared" si="5"/>
        <v>18599999.867999997</v>
      </c>
      <c r="Q120" s="944"/>
      <c r="R120" s="944"/>
    </row>
    <row r="121" spans="1:18">
      <c r="A121" s="732" t="s">
        <v>1004</v>
      </c>
      <c r="B121" s="951" t="s">
        <v>693</v>
      </c>
      <c r="C121" s="937">
        <v>46287</v>
      </c>
      <c r="D121" s="952" t="s">
        <v>1264</v>
      </c>
      <c r="E121" s="748"/>
      <c r="F121" s="447"/>
      <c r="G121" s="952"/>
      <c r="H121" s="713" t="s">
        <v>814</v>
      </c>
      <c r="I121" s="953" t="s">
        <v>873</v>
      </c>
      <c r="J121" s="954" t="s">
        <v>874</v>
      </c>
      <c r="K121" s="953" t="s">
        <v>18</v>
      </c>
      <c r="L121" s="955">
        <v>30</v>
      </c>
      <c r="M121" s="956">
        <v>388888.89</v>
      </c>
      <c r="N121" s="957">
        <f t="shared" si="7"/>
        <v>11666666.700000001</v>
      </c>
      <c r="O121" s="942">
        <f t="shared" si="4"/>
        <v>933333.33600000013</v>
      </c>
      <c r="P121" s="943">
        <f t="shared" si="5"/>
        <v>12600000.036000002</v>
      </c>
      <c r="Q121" s="944"/>
      <c r="R121" s="944"/>
    </row>
    <row r="122" spans="1:18">
      <c r="A122" s="732" t="s">
        <v>1004</v>
      </c>
      <c r="B122" s="951" t="s">
        <v>693</v>
      </c>
      <c r="C122" s="937">
        <v>46287</v>
      </c>
      <c r="D122" s="952" t="s">
        <v>1264</v>
      </c>
      <c r="E122" s="748"/>
      <c r="F122" s="952"/>
      <c r="G122" s="952"/>
      <c r="H122" s="713" t="s">
        <v>814</v>
      </c>
      <c r="I122" s="953" t="s">
        <v>796</v>
      </c>
      <c r="J122" s="954" t="s">
        <v>797</v>
      </c>
      <c r="K122" s="953" t="s">
        <v>18</v>
      </c>
      <c r="L122" s="955">
        <v>50</v>
      </c>
      <c r="M122" s="956">
        <v>292592.59000000003</v>
      </c>
      <c r="N122" s="957">
        <f t="shared" si="7"/>
        <v>14629629.500000002</v>
      </c>
      <c r="O122" s="942">
        <f t="shared" si="4"/>
        <v>1170370.3600000001</v>
      </c>
      <c r="P122" s="943">
        <f t="shared" si="5"/>
        <v>15799999.860000001</v>
      </c>
      <c r="Q122" s="944"/>
      <c r="R122" s="944"/>
    </row>
    <row r="123" spans="1:18">
      <c r="A123" s="732" t="s">
        <v>1004</v>
      </c>
      <c r="B123" s="951" t="s">
        <v>693</v>
      </c>
      <c r="C123" s="937">
        <v>46287</v>
      </c>
      <c r="D123" s="952" t="s">
        <v>1264</v>
      </c>
      <c r="E123" s="748"/>
      <c r="F123" s="952"/>
      <c r="G123" s="952"/>
      <c r="H123" s="713" t="s">
        <v>814</v>
      </c>
      <c r="I123" s="953" t="s">
        <v>798</v>
      </c>
      <c r="J123" s="954" t="s">
        <v>799</v>
      </c>
      <c r="K123" s="953" t="s">
        <v>18</v>
      </c>
      <c r="L123" s="955">
        <v>50</v>
      </c>
      <c r="M123" s="956">
        <v>231481.48</v>
      </c>
      <c r="N123" s="957">
        <f t="shared" si="7"/>
        <v>11574074</v>
      </c>
      <c r="O123" s="942">
        <f t="shared" si="4"/>
        <v>925925.92</v>
      </c>
      <c r="P123" s="943">
        <f t="shared" si="5"/>
        <v>12499999.92</v>
      </c>
      <c r="Q123" s="944"/>
      <c r="R123" s="944"/>
    </row>
    <row r="124" spans="1:18">
      <c r="A124" s="732" t="s">
        <v>1004</v>
      </c>
      <c r="B124" s="951" t="s">
        <v>693</v>
      </c>
      <c r="C124" s="937">
        <v>46287</v>
      </c>
      <c r="D124" s="952" t="s">
        <v>1264</v>
      </c>
      <c r="E124" s="748"/>
      <c r="F124" s="952"/>
      <c r="G124" s="952"/>
      <c r="H124" s="713" t="s">
        <v>689</v>
      </c>
      <c r="I124" s="953" t="s">
        <v>639</v>
      </c>
      <c r="J124" s="954" t="s">
        <v>640</v>
      </c>
      <c r="K124" s="953" t="s">
        <v>18</v>
      </c>
      <c r="L124" s="955">
        <v>2</v>
      </c>
      <c r="M124" s="956">
        <v>0</v>
      </c>
      <c r="N124" s="957">
        <f t="shared" si="7"/>
        <v>0</v>
      </c>
      <c r="O124" s="942">
        <f t="shared" si="4"/>
        <v>0</v>
      </c>
      <c r="P124" s="943">
        <f t="shared" si="5"/>
        <v>0</v>
      </c>
      <c r="Q124" s="944"/>
      <c r="R124" s="944"/>
    </row>
    <row r="125" spans="1:18">
      <c r="A125" s="732" t="s">
        <v>1004</v>
      </c>
      <c r="B125" s="951" t="s">
        <v>693</v>
      </c>
      <c r="C125" s="937">
        <v>46287</v>
      </c>
      <c r="D125" s="952" t="s">
        <v>1264</v>
      </c>
      <c r="E125" s="748"/>
      <c r="F125" s="952"/>
      <c r="G125" s="952"/>
      <c r="H125" s="713" t="s">
        <v>689</v>
      </c>
      <c r="I125" s="953" t="s">
        <v>641</v>
      </c>
      <c r="J125" s="954" t="s">
        <v>657</v>
      </c>
      <c r="K125" s="953" t="s">
        <v>18</v>
      </c>
      <c r="L125" s="955">
        <v>1</v>
      </c>
      <c r="M125" s="956">
        <v>0</v>
      </c>
      <c r="N125" s="957">
        <f t="shared" si="7"/>
        <v>0</v>
      </c>
      <c r="O125" s="942">
        <f t="shared" si="4"/>
        <v>0</v>
      </c>
      <c r="P125" s="943">
        <f t="shared" si="5"/>
        <v>0</v>
      </c>
      <c r="Q125" s="944"/>
      <c r="R125" s="944"/>
    </row>
    <row r="126" spans="1:18">
      <c r="A126" s="732" t="s">
        <v>1004</v>
      </c>
      <c r="B126" s="951" t="s">
        <v>693</v>
      </c>
      <c r="C126" s="937">
        <v>46287</v>
      </c>
      <c r="D126" s="952" t="s">
        <v>1264</v>
      </c>
      <c r="E126" s="748"/>
      <c r="F126" s="952"/>
      <c r="G126" s="952"/>
      <c r="H126" s="713" t="s">
        <v>689</v>
      </c>
      <c r="I126" s="953" t="s">
        <v>643</v>
      </c>
      <c r="J126" s="954" t="s">
        <v>644</v>
      </c>
      <c r="K126" s="953" t="s">
        <v>18</v>
      </c>
      <c r="L126" s="955">
        <v>2</v>
      </c>
      <c r="M126" s="956">
        <v>0</v>
      </c>
      <c r="N126" s="957">
        <f t="shared" si="7"/>
        <v>0</v>
      </c>
      <c r="O126" s="942">
        <f t="shared" si="4"/>
        <v>0</v>
      </c>
      <c r="P126" s="943">
        <f t="shared" si="5"/>
        <v>0</v>
      </c>
      <c r="Q126" s="944"/>
      <c r="R126" s="944"/>
    </row>
    <row r="127" spans="1:18">
      <c r="A127" s="732" t="s">
        <v>1004</v>
      </c>
      <c r="B127" s="951" t="s">
        <v>693</v>
      </c>
      <c r="C127" s="937">
        <v>46287</v>
      </c>
      <c r="D127" s="952" t="s">
        <v>1264</v>
      </c>
      <c r="E127" s="748"/>
      <c r="F127" s="952"/>
      <c r="G127" s="952"/>
      <c r="H127" s="713" t="s">
        <v>689</v>
      </c>
      <c r="I127" s="953" t="s">
        <v>645</v>
      </c>
      <c r="J127" s="954" t="s">
        <v>646</v>
      </c>
      <c r="K127" s="953" t="s">
        <v>18</v>
      </c>
      <c r="L127" s="955">
        <v>1</v>
      </c>
      <c r="M127" s="956">
        <v>0</v>
      </c>
      <c r="N127" s="957">
        <f t="shared" si="7"/>
        <v>0</v>
      </c>
      <c r="O127" s="942">
        <f t="shared" si="4"/>
        <v>0</v>
      </c>
      <c r="P127" s="943">
        <f t="shared" si="5"/>
        <v>0</v>
      </c>
      <c r="Q127" s="944"/>
      <c r="R127" s="944"/>
    </row>
    <row r="128" spans="1:18">
      <c r="A128" s="732" t="s">
        <v>1004</v>
      </c>
      <c r="B128" s="951" t="s">
        <v>693</v>
      </c>
      <c r="C128" s="937">
        <v>46287</v>
      </c>
      <c r="D128" s="952" t="s">
        <v>1264</v>
      </c>
      <c r="E128" s="748"/>
      <c r="F128" s="952"/>
      <c r="G128" s="952"/>
      <c r="H128" s="713" t="s">
        <v>689</v>
      </c>
      <c r="I128" s="953" t="s">
        <v>653</v>
      </c>
      <c r="J128" s="954" t="s">
        <v>654</v>
      </c>
      <c r="K128" s="953" t="s">
        <v>18</v>
      </c>
      <c r="L128" s="955">
        <v>4</v>
      </c>
      <c r="M128" s="956">
        <v>0</v>
      </c>
      <c r="N128" s="957">
        <f t="shared" si="7"/>
        <v>0</v>
      </c>
      <c r="O128" s="942">
        <f t="shared" si="4"/>
        <v>0</v>
      </c>
      <c r="P128" s="943">
        <f t="shared" si="5"/>
        <v>0</v>
      </c>
      <c r="Q128" s="944"/>
      <c r="R128" s="944"/>
    </row>
    <row r="129" spans="1:18">
      <c r="A129" s="732" t="s">
        <v>1004</v>
      </c>
      <c r="B129" s="951" t="s">
        <v>693</v>
      </c>
      <c r="C129" s="937">
        <v>46287</v>
      </c>
      <c r="D129" s="952" t="s">
        <v>1264</v>
      </c>
      <c r="E129" s="748"/>
      <c r="F129" s="952"/>
      <c r="G129" s="952"/>
      <c r="H129" s="713" t="s">
        <v>689</v>
      </c>
      <c r="I129" s="953" t="s">
        <v>655</v>
      </c>
      <c r="J129" s="954" t="s">
        <v>656</v>
      </c>
      <c r="K129" s="953" t="s">
        <v>18</v>
      </c>
      <c r="L129" s="955">
        <v>2</v>
      </c>
      <c r="M129" s="956">
        <v>0</v>
      </c>
      <c r="N129" s="957">
        <f t="shared" si="7"/>
        <v>0</v>
      </c>
      <c r="O129" s="942">
        <f t="shared" si="4"/>
        <v>0</v>
      </c>
      <c r="P129" s="943">
        <f t="shared" si="5"/>
        <v>0</v>
      </c>
      <c r="Q129" s="944"/>
      <c r="R129" s="944"/>
    </row>
    <row r="130" spans="1:18">
      <c r="A130" s="732" t="s">
        <v>1004</v>
      </c>
      <c r="B130" s="951" t="s">
        <v>693</v>
      </c>
      <c r="C130" s="937">
        <v>46287</v>
      </c>
      <c r="D130" s="952" t="s">
        <v>1264</v>
      </c>
      <c r="E130" s="937"/>
      <c r="F130" s="952"/>
      <c r="G130" s="952"/>
      <c r="H130" s="713" t="s">
        <v>689</v>
      </c>
      <c r="I130" s="953" t="s">
        <v>873</v>
      </c>
      <c r="J130" s="954" t="s">
        <v>874</v>
      </c>
      <c r="K130" s="953" t="s">
        <v>18</v>
      </c>
      <c r="L130" s="955">
        <v>2</v>
      </c>
      <c r="M130" s="956">
        <v>0</v>
      </c>
      <c r="N130" s="957">
        <f t="shared" si="7"/>
        <v>0</v>
      </c>
      <c r="O130" s="942">
        <f t="shared" si="4"/>
        <v>0</v>
      </c>
      <c r="P130" s="943">
        <f t="shared" si="5"/>
        <v>0</v>
      </c>
      <c r="Q130" s="944"/>
      <c r="R130" s="944"/>
    </row>
    <row r="131" spans="1:18">
      <c r="A131" s="732" t="s">
        <v>1004</v>
      </c>
      <c r="B131" s="951" t="s">
        <v>825</v>
      </c>
      <c r="C131" s="937">
        <v>46296</v>
      </c>
      <c r="D131" s="937"/>
      <c r="E131" s="937"/>
      <c r="F131" s="952"/>
      <c r="G131" s="952"/>
      <c r="H131" s="958" t="s">
        <v>672</v>
      </c>
      <c r="I131" s="959"/>
      <c r="J131" s="960"/>
      <c r="K131" s="958"/>
      <c r="L131" s="961"/>
      <c r="M131" s="962"/>
      <c r="N131" s="962"/>
      <c r="O131" s="962">
        <v>0</v>
      </c>
      <c r="P131" s="962"/>
      <c r="Q131" s="963">
        <v>91000000</v>
      </c>
      <c r="R131" s="944"/>
    </row>
    <row r="132" spans="1:18">
      <c r="A132" s="732" t="s">
        <v>1004</v>
      </c>
      <c r="B132" s="951" t="s">
        <v>825</v>
      </c>
      <c r="C132" s="937">
        <v>46300</v>
      </c>
      <c r="D132" s="952" t="s">
        <v>1391</v>
      </c>
      <c r="E132" s="937"/>
      <c r="F132" s="952"/>
      <c r="G132" s="952"/>
      <c r="H132" s="958" t="s">
        <v>814</v>
      </c>
      <c r="I132" s="959" t="s">
        <v>204</v>
      </c>
      <c r="J132" s="960" t="s">
        <v>269</v>
      </c>
      <c r="K132" s="959" t="s">
        <v>25</v>
      </c>
      <c r="L132" s="964">
        <v>20</v>
      </c>
      <c r="M132" s="965">
        <v>480555.56</v>
      </c>
      <c r="N132" s="966">
        <v>9611111.1999999993</v>
      </c>
      <c r="O132" s="962">
        <v>768888.89599999995</v>
      </c>
      <c r="P132" s="967">
        <v>10380000.095999999</v>
      </c>
      <c r="Q132" s="963"/>
      <c r="R132" s="944"/>
    </row>
    <row r="133" spans="1:18">
      <c r="A133" s="732" t="s">
        <v>1004</v>
      </c>
      <c r="B133" s="951" t="s">
        <v>825</v>
      </c>
      <c r="C133" s="937">
        <v>46300</v>
      </c>
      <c r="D133" s="952" t="s">
        <v>1391</v>
      </c>
      <c r="E133" s="937"/>
      <c r="F133" s="952"/>
      <c r="G133" s="952"/>
      <c r="H133" s="958" t="s">
        <v>814</v>
      </c>
      <c r="I133" s="959" t="s">
        <v>206</v>
      </c>
      <c r="J133" s="960" t="s">
        <v>835</v>
      </c>
      <c r="K133" s="959" t="s">
        <v>25</v>
      </c>
      <c r="L133" s="964">
        <v>20</v>
      </c>
      <c r="M133" s="965">
        <v>483333.33</v>
      </c>
      <c r="N133" s="966">
        <v>9666666.5999999996</v>
      </c>
      <c r="O133" s="962">
        <v>773333.32799999998</v>
      </c>
      <c r="P133" s="967">
        <v>10439999.927999999</v>
      </c>
      <c r="Q133" s="963"/>
      <c r="R133" s="944"/>
    </row>
    <row r="134" spans="1:18">
      <c r="A134" s="732" t="s">
        <v>1004</v>
      </c>
      <c r="B134" s="951" t="s">
        <v>825</v>
      </c>
      <c r="C134" s="937">
        <v>46300</v>
      </c>
      <c r="D134" s="952" t="s">
        <v>1391</v>
      </c>
      <c r="E134" s="937"/>
      <c r="F134" s="952"/>
      <c r="G134" s="952"/>
      <c r="H134" s="958" t="s">
        <v>814</v>
      </c>
      <c r="I134" s="959" t="s">
        <v>1331</v>
      </c>
      <c r="J134" s="960" t="s">
        <v>1332</v>
      </c>
      <c r="K134" s="959" t="s">
        <v>18</v>
      </c>
      <c r="L134" s="964">
        <v>2</v>
      </c>
      <c r="M134" s="965">
        <v>537037.04</v>
      </c>
      <c r="N134" s="966">
        <v>1074074.08</v>
      </c>
      <c r="O134" s="962">
        <v>85925.926400000011</v>
      </c>
      <c r="P134" s="967">
        <v>1160000.0064000001</v>
      </c>
      <c r="Q134" s="963"/>
      <c r="R134" s="944"/>
    </row>
    <row r="135" spans="1:18">
      <c r="A135" s="732" t="s">
        <v>1004</v>
      </c>
      <c r="B135" s="951" t="s">
        <v>825</v>
      </c>
      <c r="C135" s="937">
        <v>46300</v>
      </c>
      <c r="D135" s="952" t="s">
        <v>1391</v>
      </c>
      <c r="E135" s="937"/>
      <c r="F135" s="952"/>
      <c r="G135" s="952"/>
      <c r="H135" s="958" t="s">
        <v>814</v>
      </c>
      <c r="I135" s="959" t="s">
        <v>1333</v>
      </c>
      <c r="J135" s="960" t="s">
        <v>1334</v>
      </c>
      <c r="K135" s="959" t="s">
        <v>18</v>
      </c>
      <c r="L135" s="964">
        <v>2</v>
      </c>
      <c r="M135" s="965">
        <v>500000</v>
      </c>
      <c r="N135" s="966">
        <v>1000000</v>
      </c>
      <c r="O135" s="962">
        <v>80000</v>
      </c>
      <c r="P135" s="967">
        <v>1080000</v>
      </c>
      <c r="Q135" s="963"/>
      <c r="R135" s="944"/>
    </row>
    <row r="136" spans="1:18">
      <c r="A136" s="732" t="s">
        <v>1004</v>
      </c>
      <c r="B136" s="951" t="s">
        <v>825</v>
      </c>
      <c r="C136" s="937">
        <v>46300</v>
      </c>
      <c r="D136" s="952" t="s">
        <v>1391</v>
      </c>
      <c r="E136" s="937"/>
      <c r="F136" s="952"/>
      <c r="G136" s="952"/>
      <c r="H136" s="958" t="s">
        <v>814</v>
      </c>
      <c r="I136" s="959" t="s">
        <v>1335</v>
      </c>
      <c r="J136" s="960" t="s">
        <v>1336</v>
      </c>
      <c r="K136" s="959" t="s">
        <v>18</v>
      </c>
      <c r="L136" s="964">
        <v>2</v>
      </c>
      <c r="M136" s="965">
        <v>555555.56000000006</v>
      </c>
      <c r="N136" s="966">
        <v>1111111.1200000001</v>
      </c>
      <c r="O136" s="962">
        <v>88888.88960000001</v>
      </c>
      <c r="P136" s="967">
        <v>1200000.0096000002</v>
      </c>
      <c r="Q136" s="963"/>
      <c r="R136" s="944"/>
    </row>
    <row r="137" spans="1:18">
      <c r="A137" s="732" t="s">
        <v>1004</v>
      </c>
      <c r="B137" s="951" t="s">
        <v>825</v>
      </c>
      <c r="C137" s="937">
        <v>46300</v>
      </c>
      <c r="D137" s="952" t="s">
        <v>1391</v>
      </c>
      <c r="E137" s="937"/>
      <c r="F137" s="952"/>
      <c r="G137" s="952"/>
      <c r="H137" s="958" t="s">
        <v>814</v>
      </c>
      <c r="I137" s="959" t="s">
        <v>1337</v>
      </c>
      <c r="J137" s="960" t="s">
        <v>1338</v>
      </c>
      <c r="K137" s="959" t="s">
        <v>18</v>
      </c>
      <c r="L137" s="964">
        <v>2</v>
      </c>
      <c r="M137" s="965">
        <v>564814.81000000006</v>
      </c>
      <c r="N137" s="966">
        <v>1129629.6200000001</v>
      </c>
      <c r="O137" s="962">
        <v>90370.369600000005</v>
      </c>
      <c r="P137" s="967">
        <v>1219999.9896000002</v>
      </c>
      <c r="Q137" s="963"/>
      <c r="R137" s="944"/>
    </row>
    <row r="138" spans="1:18">
      <c r="A138" s="732" t="s">
        <v>1004</v>
      </c>
      <c r="B138" s="951" t="s">
        <v>825</v>
      </c>
      <c r="C138" s="937">
        <v>46300</v>
      </c>
      <c r="D138" s="952" t="s">
        <v>1391</v>
      </c>
      <c r="E138" s="937"/>
      <c r="F138" s="952"/>
      <c r="G138" s="952"/>
      <c r="H138" s="958" t="s">
        <v>814</v>
      </c>
      <c r="I138" s="959" t="s">
        <v>1340</v>
      </c>
      <c r="J138" s="960" t="s">
        <v>1341</v>
      </c>
      <c r="K138" s="959" t="s">
        <v>18</v>
      </c>
      <c r="L138" s="964">
        <v>2</v>
      </c>
      <c r="M138" s="965">
        <v>203703.07</v>
      </c>
      <c r="N138" s="966">
        <v>407406.14</v>
      </c>
      <c r="O138" s="962">
        <v>32592.4912</v>
      </c>
      <c r="P138" s="967">
        <v>439998.6312</v>
      </c>
      <c r="Q138" s="963"/>
      <c r="R138" s="944"/>
    </row>
    <row r="139" spans="1:18">
      <c r="A139" s="732" t="s">
        <v>1004</v>
      </c>
      <c r="B139" s="951" t="s">
        <v>825</v>
      </c>
      <c r="C139" s="937">
        <v>46300</v>
      </c>
      <c r="D139" s="952" t="s">
        <v>1391</v>
      </c>
      <c r="E139" s="937"/>
      <c r="F139" s="952"/>
      <c r="G139" s="952"/>
      <c r="H139" s="958" t="s">
        <v>814</v>
      </c>
      <c r="I139" s="959" t="s">
        <v>1342</v>
      </c>
      <c r="J139" s="960" t="s">
        <v>1343</v>
      </c>
      <c r="K139" s="959" t="s">
        <v>18</v>
      </c>
      <c r="L139" s="964">
        <v>2</v>
      </c>
      <c r="M139" s="965">
        <v>203703.07</v>
      </c>
      <c r="N139" s="966">
        <v>407406.14</v>
      </c>
      <c r="O139" s="962">
        <v>32592.4912</v>
      </c>
      <c r="P139" s="967">
        <v>439998.6312</v>
      </c>
      <c r="Q139" s="963"/>
      <c r="R139" s="944"/>
    </row>
    <row r="140" spans="1:18">
      <c r="A140" s="732" t="s">
        <v>1004</v>
      </c>
      <c r="B140" s="951" t="s">
        <v>825</v>
      </c>
      <c r="C140" s="937">
        <v>46300</v>
      </c>
      <c r="D140" s="952" t="s">
        <v>1391</v>
      </c>
      <c r="E140" s="937"/>
      <c r="F140" s="952"/>
      <c r="G140" s="952"/>
      <c r="H140" s="958" t="s">
        <v>814</v>
      </c>
      <c r="I140" s="959" t="s">
        <v>1199</v>
      </c>
      <c r="J140" s="960" t="s">
        <v>1200</v>
      </c>
      <c r="K140" s="959" t="s">
        <v>18</v>
      </c>
      <c r="L140" s="964">
        <v>2</v>
      </c>
      <c r="M140" s="965">
        <v>212962.96</v>
      </c>
      <c r="N140" s="966">
        <v>425925.92</v>
      </c>
      <c r="O140" s="962">
        <v>34074.073599999996</v>
      </c>
      <c r="P140" s="967">
        <v>459999.99359999999</v>
      </c>
      <c r="Q140" s="963"/>
      <c r="R140" s="944"/>
    </row>
    <row r="141" spans="1:18">
      <c r="A141" s="732" t="s">
        <v>1004</v>
      </c>
      <c r="B141" s="951" t="s">
        <v>825</v>
      </c>
      <c r="C141" s="937">
        <v>46310</v>
      </c>
      <c r="D141" s="937"/>
      <c r="E141" s="937"/>
      <c r="F141" s="952"/>
      <c r="G141" s="952"/>
      <c r="H141" s="958" t="s">
        <v>672</v>
      </c>
      <c r="I141" s="968"/>
      <c r="J141" s="958"/>
      <c r="K141" s="958"/>
      <c r="L141" s="961"/>
      <c r="M141" s="962"/>
      <c r="N141" s="962"/>
      <c r="O141" s="962"/>
      <c r="P141" s="962"/>
      <c r="Q141" s="963">
        <v>76000000</v>
      </c>
      <c r="R141" s="944"/>
    </row>
    <row r="142" spans="1:18">
      <c r="A142" s="919"/>
      <c r="B142" s="919"/>
      <c r="C142" s="919"/>
      <c r="D142" s="919"/>
      <c r="E142" s="919"/>
      <c r="F142" s="919"/>
      <c r="G142" s="919"/>
      <c r="H142" s="919"/>
      <c r="I142" s="919"/>
      <c r="J142" s="919"/>
      <c r="K142" s="919"/>
      <c r="L142" s="919"/>
      <c r="M142" s="919"/>
      <c r="N142" s="921">
        <f>SUM(N2:N141)</f>
        <v>1264769438.0099998</v>
      </c>
      <c r="O142" s="921">
        <f>SUM(O2:O141)</f>
        <v>101181555.04079999</v>
      </c>
      <c r="P142" s="921">
        <f>SUM(P2:P141)</f>
        <v>1365950993.0508001</v>
      </c>
      <c r="Q142" s="921">
        <f>SUM(Q2:Q141)</f>
        <v>606360000</v>
      </c>
      <c r="R142" s="969">
        <f>SUM(R2:R141)</f>
        <v>2986799.9858999993</v>
      </c>
    </row>
    <row r="144" spans="1:18" ht="15.75" thickBot="1"/>
    <row r="145" spans="8:15">
      <c r="H145" s="970" t="s">
        <v>894</v>
      </c>
      <c r="I145" s="971">
        <f>P142</f>
        <v>1365950993.0508001</v>
      </c>
      <c r="J145" s="972"/>
      <c r="K145" s="995" t="s">
        <v>900</v>
      </c>
      <c r="L145" s="996"/>
      <c r="M145" s="996"/>
      <c r="N145" s="996"/>
      <c r="O145" s="996"/>
    </row>
    <row r="146" spans="8:15">
      <c r="H146" s="973" t="s">
        <v>895</v>
      </c>
      <c r="I146" s="974">
        <f>Q142</f>
        <v>606360000</v>
      </c>
      <c r="J146" s="972"/>
      <c r="K146" s="996"/>
      <c r="L146" s="996"/>
      <c r="M146" s="996"/>
      <c r="N146" s="996"/>
      <c r="O146" s="996"/>
    </row>
    <row r="147" spans="8:15">
      <c r="H147" s="973" t="s">
        <v>896</v>
      </c>
      <c r="I147" s="974">
        <f>R142</f>
        <v>2986799.9858999993</v>
      </c>
      <c r="J147" s="972"/>
      <c r="K147" s="996"/>
      <c r="L147" s="996"/>
      <c r="M147" s="996"/>
      <c r="N147" s="996"/>
      <c r="O147" s="996"/>
    </row>
    <row r="148" spans="8:15">
      <c r="H148" s="973" t="s">
        <v>897</v>
      </c>
      <c r="I148" s="975">
        <f>P46+SUM(P52:P60)+P66+P67+P85+SUM(P97:P99)+SUM(P101:P103)</f>
        <v>124749999.46079999</v>
      </c>
      <c r="J148" s="972"/>
      <c r="K148" s="996"/>
      <c r="L148" s="996"/>
      <c r="M148" s="996"/>
      <c r="N148" s="996"/>
      <c r="O148" s="996"/>
    </row>
    <row r="149" spans="8:15">
      <c r="H149" s="973" t="s">
        <v>898</v>
      </c>
      <c r="I149" s="976">
        <f>I145-I146-I147</f>
        <v>756604193.06490004</v>
      </c>
      <c r="J149" s="972"/>
      <c r="K149" s="996"/>
      <c r="L149" s="996"/>
      <c r="M149" s="996"/>
      <c r="N149" s="996"/>
      <c r="O149" s="996"/>
    </row>
    <row r="150" spans="8:15" ht="15.75" thickBot="1">
      <c r="H150" s="977" t="s">
        <v>899</v>
      </c>
      <c r="I150" s="978">
        <f>I149-I148</f>
        <v>631854193.6041</v>
      </c>
      <c r="J150" s="972"/>
      <c r="K150" s="996"/>
      <c r="L150" s="996"/>
      <c r="M150" s="996"/>
      <c r="N150" s="996"/>
      <c r="O150" s="996"/>
    </row>
    <row r="151" spans="8:15">
      <c r="H151" s="972"/>
      <c r="I151" s="972"/>
      <c r="J151" s="972"/>
      <c r="K151" s="996"/>
      <c r="L151" s="996"/>
      <c r="M151" s="996"/>
      <c r="N151" s="996"/>
      <c r="O151" s="996"/>
    </row>
    <row r="152" spans="8:15">
      <c r="H152" s="972"/>
      <c r="I152" s="972"/>
      <c r="J152" s="972"/>
      <c r="K152" s="996"/>
      <c r="L152" s="996"/>
      <c r="M152" s="996"/>
      <c r="N152" s="996"/>
      <c r="O152" s="996"/>
    </row>
    <row r="153" spans="8:15">
      <c r="H153" s="972"/>
      <c r="I153" s="972"/>
      <c r="J153" s="972"/>
      <c r="K153" s="996"/>
      <c r="L153" s="996"/>
      <c r="M153" s="996"/>
      <c r="N153" s="996"/>
      <c r="O153" s="996"/>
    </row>
    <row r="154" spans="8:15">
      <c r="H154" s="972"/>
      <c r="I154" s="972"/>
      <c r="J154" s="972"/>
      <c r="K154" s="996"/>
      <c r="L154" s="996"/>
      <c r="M154" s="996"/>
      <c r="N154" s="996"/>
      <c r="O154" s="996"/>
    </row>
    <row r="155" spans="8:15">
      <c r="H155" s="972"/>
      <c r="I155" s="972"/>
      <c r="J155" s="972"/>
      <c r="K155" s="996"/>
      <c r="L155" s="996"/>
      <c r="M155" s="996"/>
      <c r="N155" s="996"/>
      <c r="O155" s="996"/>
    </row>
    <row r="156" spans="8:15">
      <c r="H156" s="972"/>
      <c r="I156" s="972"/>
      <c r="J156" s="972"/>
      <c r="K156" s="996"/>
      <c r="L156" s="996"/>
      <c r="M156" s="996"/>
      <c r="N156" s="996"/>
      <c r="O156" s="996"/>
    </row>
  </sheetData>
  <autoFilter ref="A1:R142" xr:uid="{ADD46627-2F74-4D43-8A5E-BEBC50D415E1}"/>
  <mergeCells count="1">
    <mergeCell ref="K145:O15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7B01-BEC6-4410-8FCB-9330E5211EDA}">
  <sheetPr>
    <tabColor rgb="FF00B050"/>
  </sheetPr>
  <dimension ref="A1:Q83"/>
  <sheetViews>
    <sheetView workbookViewId="0">
      <pane ySplit="1" topLeftCell="A62" activePane="bottomLeft" state="frozen"/>
      <selection pane="bottomLeft" activeCell="C84" sqref="C84"/>
    </sheetView>
  </sheetViews>
  <sheetFormatPr defaultRowHeight="15"/>
  <cols>
    <col min="1" max="1" width="10.5703125" customWidth="1"/>
    <col min="2" max="2" width="27.42578125" customWidth="1"/>
    <col min="3" max="3" width="16.5703125" bestFit="1" customWidth="1"/>
    <col min="4" max="4" width="8.28515625" bestFit="1" customWidth="1"/>
    <col min="5" max="5" width="11.28515625" bestFit="1" customWidth="1"/>
    <col min="6" max="6" width="8.28515625" bestFit="1" customWidth="1"/>
    <col min="7" max="7" width="12.85546875" bestFit="1" customWidth="1"/>
    <col min="8" max="8" width="39.85546875" customWidth="1"/>
    <col min="9" max="9" width="15" bestFit="1" customWidth="1"/>
    <col min="10" max="10" width="23.28515625" bestFit="1" customWidth="1"/>
    <col min="11" max="11" width="5.85546875" bestFit="1" customWidth="1"/>
    <col min="12" max="12" width="7.28515625" style="620" bestFit="1" customWidth="1"/>
    <col min="13" max="13" width="11.85546875" bestFit="1" customWidth="1"/>
    <col min="14" max="14" width="13.140625" bestFit="1" customWidth="1"/>
    <col min="15" max="15" width="11.85546875" bestFit="1" customWidth="1"/>
    <col min="16" max="17" width="13.140625" bestFit="1" customWidth="1"/>
  </cols>
  <sheetData>
    <row r="1" spans="1:17" ht="51" customHeight="1">
      <c r="A1" s="481" t="s">
        <v>666</v>
      </c>
      <c r="B1" s="482" t="s">
        <v>866</v>
      </c>
      <c r="C1" s="482" t="s">
        <v>624</v>
      </c>
      <c r="D1" s="483" t="s">
        <v>636</v>
      </c>
      <c r="E1" s="482" t="s">
        <v>635</v>
      </c>
      <c r="F1" s="484" t="s">
        <v>637</v>
      </c>
      <c r="G1" s="484" t="s">
        <v>634</v>
      </c>
      <c r="H1" s="587" t="s">
        <v>625</v>
      </c>
      <c r="I1" s="484" t="s">
        <v>626</v>
      </c>
      <c r="J1" s="593" t="s">
        <v>627</v>
      </c>
      <c r="K1" s="588" t="s">
        <v>628</v>
      </c>
      <c r="L1" s="614" t="s">
        <v>629</v>
      </c>
      <c r="M1" s="594" t="s">
        <v>630</v>
      </c>
      <c r="N1" s="594" t="s">
        <v>631</v>
      </c>
      <c r="O1" s="594" t="s">
        <v>632</v>
      </c>
      <c r="P1" s="594" t="s">
        <v>633</v>
      </c>
      <c r="Q1" s="594" t="s">
        <v>1250</v>
      </c>
    </row>
    <row r="2" spans="1:17" ht="47.25">
      <c r="A2" s="314" t="s">
        <v>943</v>
      </c>
      <c r="B2" s="307" t="s">
        <v>860</v>
      </c>
      <c r="C2" s="639">
        <v>46013</v>
      </c>
      <c r="D2" s="299"/>
      <c r="E2" s="323"/>
      <c r="F2" s="298"/>
      <c r="G2" s="336"/>
      <c r="H2" s="572" t="s">
        <v>861</v>
      </c>
      <c r="I2" s="369" t="s">
        <v>16</v>
      </c>
      <c r="J2" s="369" t="s">
        <v>17</v>
      </c>
      <c r="K2" s="563" t="s">
        <v>18</v>
      </c>
      <c r="L2" s="615">
        <v>4</v>
      </c>
      <c r="M2" s="604">
        <v>870370.38</v>
      </c>
      <c r="N2" s="604">
        <v>3481481.52</v>
      </c>
      <c r="O2" s="604">
        <v>278518.52159999998</v>
      </c>
      <c r="P2" s="604">
        <v>3760000.0416000001</v>
      </c>
      <c r="Q2" s="605"/>
    </row>
    <row r="3" spans="1:17" ht="31.5">
      <c r="A3" s="314" t="s">
        <v>943</v>
      </c>
      <c r="B3" s="307" t="s">
        <v>860</v>
      </c>
      <c r="C3" s="639">
        <v>46021</v>
      </c>
      <c r="D3" s="299"/>
      <c r="E3" s="323" t="s">
        <v>19</v>
      </c>
      <c r="F3" s="298"/>
      <c r="G3" s="336" t="s">
        <v>20</v>
      </c>
      <c r="H3" s="572" t="s">
        <v>861</v>
      </c>
      <c r="I3" s="424" t="s">
        <v>21</v>
      </c>
      <c r="J3" s="424" t="s">
        <v>22</v>
      </c>
      <c r="K3" s="564" t="s">
        <v>18</v>
      </c>
      <c r="L3" s="615">
        <v>4</v>
      </c>
      <c r="M3" s="604">
        <v>937963</v>
      </c>
      <c r="N3" s="604">
        <v>3751852</v>
      </c>
      <c r="O3" s="604">
        <v>300148.16000000003</v>
      </c>
      <c r="P3" s="604">
        <v>4052000.16</v>
      </c>
      <c r="Q3" s="605"/>
    </row>
    <row r="4" spans="1:17" ht="31.5">
      <c r="A4" s="314" t="s">
        <v>943</v>
      </c>
      <c r="B4" s="307" t="s">
        <v>860</v>
      </c>
      <c r="C4" s="639">
        <v>46021</v>
      </c>
      <c r="D4" s="299"/>
      <c r="E4" s="323" t="s">
        <v>19</v>
      </c>
      <c r="F4" s="298"/>
      <c r="G4" s="336" t="s">
        <v>20</v>
      </c>
      <c r="H4" s="572" t="s">
        <v>861</v>
      </c>
      <c r="I4" s="364" t="s">
        <v>23</v>
      </c>
      <c r="J4" s="364" t="s">
        <v>24</v>
      </c>
      <c r="K4" s="564" t="s">
        <v>25</v>
      </c>
      <c r="L4" s="615">
        <v>6</v>
      </c>
      <c r="M4" s="604">
        <v>1059260</v>
      </c>
      <c r="N4" s="604">
        <v>6355560</v>
      </c>
      <c r="O4" s="604">
        <v>508444.8</v>
      </c>
      <c r="P4" s="604">
        <v>6864004.7999999998</v>
      </c>
      <c r="Q4" s="606"/>
    </row>
    <row r="5" spans="1:17" ht="47.25">
      <c r="A5" s="314" t="s">
        <v>943</v>
      </c>
      <c r="B5" s="307" t="s">
        <v>860</v>
      </c>
      <c r="C5" s="639">
        <v>46021</v>
      </c>
      <c r="D5" s="299"/>
      <c r="E5" s="323" t="s">
        <v>19</v>
      </c>
      <c r="F5" s="298"/>
      <c r="G5" s="336" t="s">
        <v>20</v>
      </c>
      <c r="H5" s="572" t="s">
        <v>861</v>
      </c>
      <c r="I5" s="364" t="s">
        <v>26</v>
      </c>
      <c r="J5" s="364" t="s">
        <v>27</v>
      </c>
      <c r="K5" s="564" t="s">
        <v>18</v>
      </c>
      <c r="L5" s="615">
        <v>10</v>
      </c>
      <c r="M5" s="604">
        <v>2564.81</v>
      </c>
      <c r="N5" s="604">
        <v>2564810</v>
      </c>
      <c r="O5" s="604">
        <v>205184.80000000002</v>
      </c>
      <c r="P5" s="604">
        <v>2769994.8</v>
      </c>
      <c r="Q5" s="606"/>
    </row>
    <row r="6" spans="1:17" ht="47.25">
      <c r="A6" s="314" t="s">
        <v>943</v>
      </c>
      <c r="B6" s="307" t="s">
        <v>860</v>
      </c>
      <c r="C6" s="639">
        <v>46021</v>
      </c>
      <c r="D6" s="299"/>
      <c r="E6" s="323" t="s">
        <v>19</v>
      </c>
      <c r="F6" s="298"/>
      <c r="G6" s="336" t="s">
        <v>20</v>
      </c>
      <c r="H6" s="572" t="s">
        <v>861</v>
      </c>
      <c r="I6" s="364" t="s">
        <v>28</v>
      </c>
      <c r="J6" s="364" t="s">
        <v>29</v>
      </c>
      <c r="K6" s="564" t="s">
        <v>18</v>
      </c>
      <c r="L6" s="615">
        <v>10</v>
      </c>
      <c r="M6" s="604">
        <v>281481</v>
      </c>
      <c r="N6" s="604">
        <v>2814810</v>
      </c>
      <c r="O6" s="604">
        <v>225184.80000000002</v>
      </c>
      <c r="P6" s="604">
        <v>3039994.8</v>
      </c>
      <c r="Q6" s="606"/>
    </row>
    <row r="7" spans="1:17" ht="47.25">
      <c r="A7" s="314" t="s">
        <v>943</v>
      </c>
      <c r="B7" s="307" t="s">
        <v>860</v>
      </c>
      <c r="C7" s="639">
        <v>46021</v>
      </c>
      <c r="D7" s="299"/>
      <c r="E7" s="323" t="s">
        <v>19</v>
      </c>
      <c r="F7" s="298"/>
      <c r="G7" s="336" t="s">
        <v>20</v>
      </c>
      <c r="H7" s="572" t="s">
        <v>861</v>
      </c>
      <c r="I7" s="364" t="s">
        <v>30</v>
      </c>
      <c r="J7" s="364" t="s">
        <v>31</v>
      </c>
      <c r="K7" s="564" t="s">
        <v>18</v>
      </c>
      <c r="L7" s="615">
        <v>10</v>
      </c>
      <c r="M7" s="604">
        <v>252778</v>
      </c>
      <c r="N7" s="604">
        <v>2527780</v>
      </c>
      <c r="O7" s="604">
        <v>202222.4</v>
      </c>
      <c r="P7" s="604">
        <v>2730002.4</v>
      </c>
      <c r="Q7" s="606"/>
    </row>
    <row r="8" spans="1:17" ht="47.25">
      <c r="A8" s="314" t="s">
        <v>943</v>
      </c>
      <c r="B8" s="307" t="s">
        <v>860</v>
      </c>
      <c r="C8" s="639">
        <v>46021</v>
      </c>
      <c r="D8" s="299"/>
      <c r="E8" s="323" t="s">
        <v>19</v>
      </c>
      <c r="F8" s="298"/>
      <c r="G8" s="336" t="s">
        <v>20</v>
      </c>
      <c r="H8" s="572" t="s">
        <v>861</v>
      </c>
      <c r="I8" s="364" t="s">
        <v>32</v>
      </c>
      <c r="J8" s="364" t="s">
        <v>33</v>
      </c>
      <c r="K8" s="564" t="s">
        <v>18</v>
      </c>
      <c r="L8" s="615">
        <v>10</v>
      </c>
      <c r="M8" s="604">
        <v>256481</v>
      </c>
      <c r="N8" s="604">
        <v>2564810</v>
      </c>
      <c r="O8" s="604">
        <v>205184.80000000002</v>
      </c>
      <c r="P8" s="604">
        <v>2769994.8</v>
      </c>
      <c r="Q8" s="605"/>
    </row>
    <row r="9" spans="1:17" ht="47.25">
      <c r="A9" s="314" t="s">
        <v>943</v>
      </c>
      <c r="B9" s="307" t="s">
        <v>860</v>
      </c>
      <c r="C9" s="639">
        <v>46021</v>
      </c>
      <c r="D9" s="299"/>
      <c r="E9" s="323" t="s">
        <v>19</v>
      </c>
      <c r="F9" s="298"/>
      <c r="G9" s="336" t="s">
        <v>20</v>
      </c>
      <c r="H9" s="572" t="s">
        <v>861</v>
      </c>
      <c r="I9" s="364" t="s">
        <v>34</v>
      </c>
      <c r="J9" s="364" t="s">
        <v>35</v>
      </c>
      <c r="K9" s="564" t="s">
        <v>18</v>
      </c>
      <c r="L9" s="615">
        <v>10</v>
      </c>
      <c r="M9" s="604">
        <v>227778</v>
      </c>
      <c r="N9" s="604">
        <v>2277780</v>
      </c>
      <c r="O9" s="604">
        <v>182222.4</v>
      </c>
      <c r="P9" s="604">
        <v>2460002.4</v>
      </c>
      <c r="Q9" s="606"/>
    </row>
    <row r="10" spans="1:17" ht="47.25">
      <c r="A10" s="314" t="s">
        <v>943</v>
      </c>
      <c r="B10" s="307" t="s">
        <v>860</v>
      </c>
      <c r="C10" s="639">
        <v>46021</v>
      </c>
      <c r="D10" s="299"/>
      <c r="E10" s="323" t="s">
        <v>19</v>
      </c>
      <c r="F10" s="298"/>
      <c r="G10" s="336" t="s">
        <v>20</v>
      </c>
      <c r="H10" s="572" t="s">
        <v>861</v>
      </c>
      <c r="I10" s="364" t="s">
        <v>36</v>
      </c>
      <c r="J10" s="364" t="s">
        <v>37</v>
      </c>
      <c r="K10" s="564" t="s">
        <v>18</v>
      </c>
      <c r="L10" s="615">
        <v>10</v>
      </c>
      <c r="M10" s="604">
        <v>252778</v>
      </c>
      <c r="N10" s="604">
        <v>2527780</v>
      </c>
      <c r="O10" s="604">
        <v>202222.4</v>
      </c>
      <c r="P10" s="604">
        <v>2730002.4</v>
      </c>
      <c r="Q10" s="606"/>
    </row>
    <row r="11" spans="1:17" ht="47.25">
      <c r="A11" s="314" t="s">
        <v>943</v>
      </c>
      <c r="B11" s="307" t="s">
        <v>860</v>
      </c>
      <c r="C11" s="639">
        <v>46021</v>
      </c>
      <c r="D11" s="299"/>
      <c r="E11" s="323" t="s">
        <v>19</v>
      </c>
      <c r="F11" s="298"/>
      <c r="G11" s="336" t="s">
        <v>20</v>
      </c>
      <c r="H11" s="572" t="s">
        <v>861</v>
      </c>
      <c r="I11" s="364" t="s">
        <v>38</v>
      </c>
      <c r="J11" s="364" t="s">
        <v>39</v>
      </c>
      <c r="K11" s="564" t="s">
        <v>18</v>
      </c>
      <c r="L11" s="615">
        <v>10</v>
      </c>
      <c r="M11" s="604">
        <v>277778</v>
      </c>
      <c r="N11" s="604">
        <v>2777780</v>
      </c>
      <c r="O11" s="604">
        <v>222222.4</v>
      </c>
      <c r="P11" s="604">
        <v>3000002.4</v>
      </c>
      <c r="Q11" s="606"/>
    </row>
    <row r="12" spans="1:17" ht="31.5">
      <c r="A12" s="314" t="s">
        <v>943</v>
      </c>
      <c r="B12" s="307" t="s">
        <v>860</v>
      </c>
      <c r="C12" s="639">
        <v>46021</v>
      </c>
      <c r="D12" s="299"/>
      <c r="E12" s="323" t="s">
        <v>19</v>
      </c>
      <c r="F12" s="298"/>
      <c r="G12" s="336" t="s">
        <v>20</v>
      </c>
      <c r="H12" s="572" t="s">
        <v>861</v>
      </c>
      <c r="I12" s="364" t="s">
        <v>40</v>
      </c>
      <c r="J12" s="364" t="s">
        <v>41</v>
      </c>
      <c r="K12" s="564" t="s">
        <v>18</v>
      </c>
      <c r="L12" s="615">
        <v>6</v>
      </c>
      <c r="M12" s="604">
        <v>844444</v>
      </c>
      <c r="N12" s="604">
        <v>5066664</v>
      </c>
      <c r="O12" s="604">
        <v>405333.12</v>
      </c>
      <c r="P12" s="604">
        <v>5471997.1200000001</v>
      </c>
      <c r="Q12" s="606"/>
    </row>
    <row r="13" spans="1:17" ht="31.5">
      <c r="A13" s="314" t="s">
        <v>943</v>
      </c>
      <c r="B13" s="307" t="s">
        <v>860</v>
      </c>
      <c r="C13" s="639">
        <v>46021</v>
      </c>
      <c r="D13" s="299"/>
      <c r="E13" s="323" t="s">
        <v>19</v>
      </c>
      <c r="F13" s="298"/>
      <c r="G13" s="336" t="s">
        <v>20</v>
      </c>
      <c r="H13" s="572" t="s">
        <v>861</v>
      </c>
      <c r="I13" s="364" t="s">
        <v>42</v>
      </c>
      <c r="J13" s="364" t="s">
        <v>43</v>
      </c>
      <c r="K13" s="564" t="s">
        <v>18</v>
      </c>
      <c r="L13" s="615">
        <v>2</v>
      </c>
      <c r="M13" s="604">
        <v>569444</v>
      </c>
      <c r="N13" s="604">
        <v>1138888</v>
      </c>
      <c r="O13" s="604">
        <v>91111.040000000008</v>
      </c>
      <c r="P13" s="604">
        <v>1229999.04</v>
      </c>
      <c r="Q13" s="606"/>
    </row>
    <row r="14" spans="1:17" ht="31.5">
      <c r="A14" s="314" t="s">
        <v>943</v>
      </c>
      <c r="B14" s="307" t="s">
        <v>860</v>
      </c>
      <c r="C14" s="639">
        <v>46021</v>
      </c>
      <c r="D14" s="299"/>
      <c r="E14" s="323" t="s">
        <v>19</v>
      </c>
      <c r="F14" s="298"/>
      <c r="G14" s="336" t="s">
        <v>20</v>
      </c>
      <c r="H14" s="572" t="s">
        <v>861</v>
      </c>
      <c r="I14" s="364" t="s">
        <v>44</v>
      </c>
      <c r="J14" s="364" t="s">
        <v>45</v>
      </c>
      <c r="K14" s="564" t="s">
        <v>18</v>
      </c>
      <c r="L14" s="615">
        <v>2</v>
      </c>
      <c r="M14" s="604">
        <v>564814</v>
      </c>
      <c r="N14" s="604">
        <v>1129628</v>
      </c>
      <c r="O14" s="604">
        <v>90370.240000000005</v>
      </c>
      <c r="P14" s="604">
        <v>1219998.24</v>
      </c>
      <c r="Q14" s="606"/>
    </row>
    <row r="15" spans="1:17" ht="31.5">
      <c r="A15" s="314" t="s">
        <v>943</v>
      </c>
      <c r="B15" s="307" t="s">
        <v>860</v>
      </c>
      <c r="C15" s="639">
        <v>46021</v>
      </c>
      <c r="D15" s="299"/>
      <c r="E15" s="323" t="s">
        <v>19</v>
      </c>
      <c r="F15" s="298"/>
      <c r="G15" s="336" t="s">
        <v>20</v>
      </c>
      <c r="H15" s="572" t="s">
        <v>861</v>
      </c>
      <c r="I15" s="364" t="s">
        <v>46</v>
      </c>
      <c r="J15" s="364" t="s">
        <v>47</v>
      </c>
      <c r="K15" s="564" t="s">
        <v>18</v>
      </c>
      <c r="L15" s="615">
        <v>6</v>
      </c>
      <c r="M15" s="604">
        <v>194444</v>
      </c>
      <c r="N15" s="604">
        <v>1166664</v>
      </c>
      <c r="O15" s="604">
        <v>93333.119999999995</v>
      </c>
      <c r="P15" s="604">
        <v>1259997.1200000001</v>
      </c>
      <c r="Q15" s="606"/>
    </row>
    <row r="16" spans="1:17" ht="47.25">
      <c r="A16" s="314" t="s">
        <v>943</v>
      </c>
      <c r="B16" s="307" t="s">
        <v>860</v>
      </c>
      <c r="C16" s="639">
        <v>46021</v>
      </c>
      <c r="D16" s="299"/>
      <c r="E16" s="323" t="s">
        <v>19</v>
      </c>
      <c r="F16" s="298"/>
      <c r="G16" s="336" t="s">
        <v>20</v>
      </c>
      <c r="H16" s="572" t="s">
        <v>861</v>
      </c>
      <c r="I16" s="364" t="s">
        <v>16</v>
      </c>
      <c r="J16" s="364" t="s">
        <v>17</v>
      </c>
      <c r="K16" s="564" t="s">
        <v>18</v>
      </c>
      <c r="L16" s="615">
        <v>2</v>
      </c>
      <c r="M16" s="604">
        <v>851852</v>
      </c>
      <c r="N16" s="604">
        <v>1703704</v>
      </c>
      <c r="O16" s="604">
        <v>136296.32000000001</v>
      </c>
      <c r="P16" s="604">
        <v>1840000.32</v>
      </c>
      <c r="Q16" s="606"/>
    </row>
    <row r="17" spans="1:17" ht="47.25">
      <c r="A17" s="314" t="s">
        <v>943</v>
      </c>
      <c r="B17" s="307" t="s">
        <v>860</v>
      </c>
      <c r="C17" s="639">
        <v>46021</v>
      </c>
      <c r="D17" s="299"/>
      <c r="E17" s="323" t="s">
        <v>19</v>
      </c>
      <c r="F17" s="298"/>
      <c r="G17" s="336" t="s">
        <v>20</v>
      </c>
      <c r="H17" s="572" t="s">
        <v>861</v>
      </c>
      <c r="I17" s="364" t="s">
        <v>48</v>
      </c>
      <c r="J17" s="364" t="s">
        <v>49</v>
      </c>
      <c r="K17" s="564" t="s">
        <v>18</v>
      </c>
      <c r="L17" s="615">
        <v>12</v>
      </c>
      <c r="M17" s="604">
        <v>601852</v>
      </c>
      <c r="N17" s="604">
        <v>7222224</v>
      </c>
      <c r="O17" s="604">
        <v>577777.92000000004</v>
      </c>
      <c r="P17" s="604">
        <v>7800001.9199999999</v>
      </c>
      <c r="Q17" s="605"/>
    </row>
    <row r="18" spans="1:17" ht="31.5">
      <c r="A18" s="314" t="s">
        <v>943</v>
      </c>
      <c r="B18" s="307" t="s">
        <v>860</v>
      </c>
      <c r="C18" s="639">
        <v>46021</v>
      </c>
      <c r="D18" s="299"/>
      <c r="E18" s="323" t="s">
        <v>19</v>
      </c>
      <c r="F18" s="298"/>
      <c r="G18" s="336" t="s">
        <v>20</v>
      </c>
      <c r="H18" s="572" t="s">
        <v>861</v>
      </c>
      <c r="I18" s="364" t="s">
        <v>50</v>
      </c>
      <c r="J18" s="364" t="s">
        <v>51</v>
      </c>
      <c r="K18" s="564" t="s">
        <v>18</v>
      </c>
      <c r="L18" s="615">
        <v>12</v>
      </c>
      <c r="M18" s="604">
        <v>937963</v>
      </c>
      <c r="N18" s="604">
        <v>11255556</v>
      </c>
      <c r="O18" s="604">
        <v>900444.48</v>
      </c>
      <c r="P18" s="604">
        <v>12156000.48</v>
      </c>
      <c r="Q18" s="606"/>
    </row>
    <row r="19" spans="1:17" ht="31.5">
      <c r="A19" s="314" t="s">
        <v>943</v>
      </c>
      <c r="B19" s="307" t="s">
        <v>860</v>
      </c>
      <c r="C19" s="639">
        <v>46021</v>
      </c>
      <c r="D19" s="299"/>
      <c r="E19" s="323" t="s">
        <v>19</v>
      </c>
      <c r="F19" s="298"/>
      <c r="G19" s="336" t="s">
        <v>20</v>
      </c>
      <c r="H19" s="572" t="s">
        <v>861</v>
      </c>
      <c r="I19" s="364" t="s">
        <v>52</v>
      </c>
      <c r="J19" s="364" t="s">
        <v>53</v>
      </c>
      <c r="K19" s="564" t="s">
        <v>18</v>
      </c>
      <c r="L19" s="615">
        <v>6</v>
      </c>
      <c r="M19" s="604">
        <v>1007407</v>
      </c>
      <c r="N19" s="604">
        <v>6044442</v>
      </c>
      <c r="O19" s="604">
        <v>483555.36</v>
      </c>
      <c r="P19" s="604">
        <v>6527997.3600000003</v>
      </c>
      <c r="Q19" s="606"/>
    </row>
    <row r="20" spans="1:17" ht="31.5">
      <c r="A20" s="314" t="s">
        <v>943</v>
      </c>
      <c r="B20" s="307" t="s">
        <v>860</v>
      </c>
      <c r="C20" s="639">
        <v>46021</v>
      </c>
      <c r="D20" s="299"/>
      <c r="E20" s="323" t="s">
        <v>19</v>
      </c>
      <c r="F20" s="298"/>
      <c r="G20" s="336" t="s">
        <v>20</v>
      </c>
      <c r="H20" s="572" t="s">
        <v>861</v>
      </c>
      <c r="I20" s="364" t="s">
        <v>54</v>
      </c>
      <c r="J20" s="364" t="s">
        <v>55</v>
      </c>
      <c r="K20" s="564" t="s">
        <v>18</v>
      </c>
      <c r="L20" s="615">
        <v>12</v>
      </c>
      <c r="M20" s="604">
        <v>324074</v>
      </c>
      <c r="N20" s="604">
        <v>3888888</v>
      </c>
      <c r="O20" s="604">
        <v>311111.03999999998</v>
      </c>
      <c r="P20" s="604">
        <v>4199999.04</v>
      </c>
      <c r="Q20" s="606"/>
    </row>
    <row r="21" spans="1:17" ht="31.5">
      <c r="A21" s="314" t="s">
        <v>943</v>
      </c>
      <c r="B21" s="307" t="s">
        <v>860</v>
      </c>
      <c r="C21" s="639">
        <v>46021</v>
      </c>
      <c r="D21" s="299"/>
      <c r="E21" s="323" t="s">
        <v>19</v>
      </c>
      <c r="F21" s="298"/>
      <c r="G21" s="336" t="s">
        <v>20</v>
      </c>
      <c r="H21" s="572" t="s">
        <v>861</v>
      </c>
      <c r="I21" s="364" t="s">
        <v>56</v>
      </c>
      <c r="J21" s="364" t="s">
        <v>57</v>
      </c>
      <c r="K21" s="564" t="s">
        <v>18</v>
      </c>
      <c r="L21" s="615">
        <v>12</v>
      </c>
      <c r="M21" s="604">
        <v>325926</v>
      </c>
      <c r="N21" s="604">
        <v>3911112</v>
      </c>
      <c r="O21" s="604">
        <v>312888.96000000002</v>
      </c>
      <c r="P21" s="604">
        <v>4224000.96</v>
      </c>
      <c r="Q21" s="605"/>
    </row>
    <row r="22" spans="1:17" ht="31.5">
      <c r="A22" s="314" t="s">
        <v>943</v>
      </c>
      <c r="B22" s="307" t="s">
        <v>860</v>
      </c>
      <c r="C22" s="639">
        <v>46021</v>
      </c>
      <c r="D22" s="299"/>
      <c r="E22" s="323" t="s">
        <v>19</v>
      </c>
      <c r="F22" s="298"/>
      <c r="G22" s="336" t="s">
        <v>20</v>
      </c>
      <c r="H22" s="572" t="s">
        <v>861</v>
      </c>
      <c r="I22" s="364" t="s">
        <v>58</v>
      </c>
      <c r="J22" s="364" t="s">
        <v>59</v>
      </c>
      <c r="K22" s="564" t="s">
        <v>18</v>
      </c>
      <c r="L22" s="615">
        <v>5</v>
      </c>
      <c r="M22" s="604">
        <v>1361111</v>
      </c>
      <c r="N22" s="604">
        <v>6805555</v>
      </c>
      <c r="O22" s="604">
        <v>544444.4</v>
      </c>
      <c r="P22" s="604">
        <v>7349999.4000000004</v>
      </c>
      <c r="Q22" s="606"/>
    </row>
    <row r="23" spans="1:17" ht="47.25">
      <c r="A23" s="314" t="s">
        <v>943</v>
      </c>
      <c r="B23" s="307" t="s">
        <v>860</v>
      </c>
      <c r="C23" s="639">
        <v>46021</v>
      </c>
      <c r="D23" s="299"/>
      <c r="E23" s="323" t="s">
        <v>19</v>
      </c>
      <c r="F23" s="298"/>
      <c r="G23" s="336" t="s">
        <v>20</v>
      </c>
      <c r="H23" s="572" t="s">
        <v>861</v>
      </c>
      <c r="I23" s="364" t="s">
        <v>60</v>
      </c>
      <c r="J23" s="364" t="s">
        <v>61</v>
      </c>
      <c r="K23" s="564" t="s">
        <v>18</v>
      </c>
      <c r="L23" s="615">
        <v>2</v>
      </c>
      <c r="M23" s="604">
        <v>1138889</v>
      </c>
      <c r="N23" s="604">
        <v>2277778</v>
      </c>
      <c r="O23" s="604">
        <v>182222.24</v>
      </c>
      <c r="P23" s="604">
        <v>2460000.2400000002</v>
      </c>
      <c r="Q23" s="605"/>
    </row>
    <row r="24" spans="1:17" ht="47.25">
      <c r="A24" s="314" t="s">
        <v>943</v>
      </c>
      <c r="B24" s="307" t="s">
        <v>860</v>
      </c>
      <c r="C24" s="639">
        <v>46021</v>
      </c>
      <c r="D24" s="299"/>
      <c r="E24" s="323" t="s">
        <v>19</v>
      </c>
      <c r="F24" s="298"/>
      <c r="G24" s="336" t="s">
        <v>20</v>
      </c>
      <c r="H24" s="572" t="s">
        <v>861</v>
      </c>
      <c r="I24" s="364" t="s">
        <v>16</v>
      </c>
      <c r="J24" s="364" t="s">
        <v>17</v>
      </c>
      <c r="K24" s="564" t="s">
        <v>18</v>
      </c>
      <c r="L24" s="615">
        <v>4</v>
      </c>
      <c r="M24" s="604">
        <v>910185</v>
      </c>
      <c r="N24" s="604">
        <v>3640740</v>
      </c>
      <c r="O24" s="604">
        <v>291259.2</v>
      </c>
      <c r="P24" s="604">
        <v>3931999.2</v>
      </c>
      <c r="Q24" s="606"/>
    </row>
    <row r="25" spans="1:17" ht="31.5">
      <c r="A25" s="314" t="s">
        <v>943</v>
      </c>
      <c r="B25" s="307" t="s">
        <v>860</v>
      </c>
      <c r="C25" s="639">
        <v>46021</v>
      </c>
      <c r="D25" s="299"/>
      <c r="E25" s="323"/>
      <c r="F25" s="298"/>
      <c r="G25" s="336"/>
      <c r="H25" s="572" t="s">
        <v>861</v>
      </c>
      <c r="I25" s="369" t="s">
        <v>62</v>
      </c>
      <c r="J25" s="369" t="s">
        <v>63</v>
      </c>
      <c r="K25" s="563" t="s">
        <v>18</v>
      </c>
      <c r="L25" s="615">
        <v>30</v>
      </c>
      <c r="M25" s="604"/>
      <c r="N25" s="604"/>
      <c r="O25" s="604"/>
      <c r="P25" s="604"/>
      <c r="Q25" s="606"/>
    </row>
    <row r="26" spans="1:17" ht="31.5">
      <c r="A26" s="314" t="s">
        <v>943</v>
      </c>
      <c r="B26" s="307" t="s">
        <v>860</v>
      </c>
      <c r="C26" s="639">
        <v>46038</v>
      </c>
      <c r="D26" s="299"/>
      <c r="E26" s="323" t="s">
        <v>64</v>
      </c>
      <c r="F26" s="298"/>
      <c r="G26" s="336" t="s">
        <v>65</v>
      </c>
      <c r="H26" s="573" t="s">
        <v>850</v>
      </c>
      <c r="I26" s="425"/>
      <c r="J26" s="425"/>
      <c r="K26" s="565"/>
      <c r="L26" s="616"/>
      <c r="M26" s="607"/>
      <c r="N26" s="608"/>
      <c r="O26" s="608">
        <v>0</v>
      </c>
      <c r="P26" s="608">
        <v>0</v>
      </c>
      <c r="Q26" s="609">
        <v>9000000</v>
      </c>
    </row>
    <row r="27" spans="1:17" ht="31.5">
      <c r="A27" s="314" t="s">
        <v>943</v>
      </c>
      <c r="B27" s="307" t="s">
        <v>860</v>
      </c>
      <c r="C27" s="639">
        <v>46038</v>
      </c>
      <c r="D27" s="299"/>
      <c r="E27" s="323" t="s">
        <v>67</v>
      </c>
      <c r="F27" s="298"/>
      <c r="G27" s="336" t="s">
        <v>66</v>
      </c>
      <c r="H27" s="572" t="s">
        <v>861</v>
      </c>
      <c r="I27" s="364" t="s">
        <v>68</v>
      </c>
      <c r="J27" s="364" t="s">
        <v>69</v>
      </c>
      <c r="K27" s="564" t="s">
        <v>18</v>
      </c>
      <c r="L27" s="615">
        <v>12</v>
      </c>
      <c r="M27" s="604">
        <v>111111.11</v>
      </c>
      <c r="N27" s="604">
        <v>1333333.32</v>
      </c>
      <c r="O27" s="604">
        <v>106666.66560000001</v>
      </c>
      <c r="P27" s="604">
        <v>1439999.9856</v>
      </c>
      <c r="Q27" s="606"/>
    </row>
    <row r="28" spans="1:17" ht="31.5">
      <c r="A28" s="314" t="s">
        <v>943</v>
      </c>
      <c r="B28" s="307" t="s">
        <v>860</v>
      </c>
      <c r="C28" s="639">
        <v>46038</v>
      </c>
      <c r="D28" s="299"/>
      <c r="E28" s="323" t="s">
        <v>67</v>
      </c>
      <c r="F28" s="298"/>
      <c r="G28" s="336" t="s">
        <v>66</v>
      </c>
      <c r="H28" s="572" t="s">
        <v>861</v>
      </c>
      <c r="I28" s="364" t="s">
        <v>70</v>
      </c>
      <c r="J28" s="364" t="s">
        <v>71</v>
      </c>
      <c r="K28" s="564" t="s">
        <v>18</v>
      </c>
      <c r="L28" s="615">
        <v>12</v>
      </c>
      <c r="M28" s="604">
        <v>120370.33</v>
      </c>
      <c r="N28" s="604">
        <v>1444443.96</v>
      </c>
      <c r="O28" s="604">
        <v>115555.5168</v>
      </c>
      <c r="P28" s="604">
        <v>1559999.4768000001</v>
      </c>
      <c r="Q28" s="606"/>
    </row>
    <row r="29" spans="1:17" ht="31.5">
      <c r="A29" s="314" t="s">
        <v>943</v>
      </c>
      <c r="B29" s="307" t="s">
        <v>860</v>
      </c>
      <c r="C29" s="639">
        <v>46038</v>
      </c>
      <c r="D29" s="299"/>
      <c r="E29" s="323" t="s">
        <v>67</v>
      </c>
      <c r="F29" s="298"/>
      <c r="G29" s="336" t="s">
        <v>66</v>
      </c>
      <c r="H29" s="572" t="s">
        <v>861</v>
      </c>
      <c r="I29" s="364" t="s">
        <v>72</v>
      </c>
      <c r="J29" s="364" t="s">
        <v>73</v>
      </c>
      <c r="K29" s="564" t="s">
        <v>18</v>
      </c>
      <c r="L29" s="615">
        <v>12</v>
      </c>
      <c r="M29" s="604">
        <v>129629.63</v>
      </c>
      <c r="N29" s="604">
        <v>1555555.56</v>
      </c>
      <c r="O29" s="604">
        <v>124444.44480000001</v>
      </c>
      <c r="P29" s="604">
        <v>1680000.0048</v>
      </c>
      <c r="Q29" s="606"/>
    </row>
    <row r="30" spans="1:17" ht="47.25">
      <c r="A30" s="314" t="s">
        <v>943</v>
      </c>
      <c r="B30" s="307" t="s">
        <v>860</v>
      </c>
      <c r="C30" s="639">
        <v>46038</v>
      </c>
      <c r="D30" s="299"/>
      <c r="E30" s="323" t="s">
        <v>67</v>
      </c>
      <c r="F30" s="298"/>
      <c r="G30" s="336" t="s">
        <v>66</v>
      </c>
      <c r="H30" s="572" t="s">
        <v>861</v>
      </c>
      <c r="I30" s="364" t="s">
        <v>30</v>
      </c>
      <c r="J30" s="364" t="s">
        <v>31</v>
      </c>
      <c r="K30" s="564" t="s">
        <v>18</v>
      </c>
      <c r="L30" s="615">
        <v>10</v>
      </c>
      <c r="M30" s="604">
        <v>252777.78</v>
      </c>
      <c r="N30" s="604">
        <v>2527777.7999999998</v>
      </c>
      <c r="O30" s="604">
        <v>202222.22399999999</v>
      </c>
      <c r="P30" s="604">
        <v>2730000.0239999997</v>
      </c>
      <c r="Q30" s="606"/>
    </row>
    <row r="31" spans="1:17" ht="47.25">
      <c r="A31" s="314" t="s">
        <v>943</v>
      </c>
      <c r="B31" s="307" t="s">
        <v>860</v>
      </c>
      <c r="C31" s="639">
        <v>46038</v>
      </c>
      <c r="D31" s="299"/>
      <c r="E31" s="323" t="s">
        <v>67</v>
      </c>
      <c r="F31" s="298"/>
      <c r="G31" s="336" t="s">
        <v>66</v>
      </c>
      <c r="H31" s="572" t="s">
        <v>861</v>
      </c>
      <c r="I31" s="364" t="s">
        <v>32</v>
      </c>
      <c r="J31" s="364" t="s">
        <v>33</v>
      </c>
      <c r="K31" s="564" t="s">
        <v>18</v>
      </c>
      <c r="L31" s="615">
        <v>20</v>
      </c>
      <c r="M31" s="604">
        <v>256481.48</v>
      </c>
      <c r="N31" s="604">
        <v>5129629.6000000006</v>
      </c>
      <c r="O31" s="604">
        <v>410370.36800000007</v>
      </c>
      <c r="P31" s="604">
        <v>5539999.9680000003</v>
      </c>
      <c r="Q31" s="606"/>
    </row>
    <row r="32" spans="1:17" ht="47.25">
      <c r="A32" s="314" t="s">
        <v>943</v>
      </c>
      <c r="B32" s="307" t="s">
        <v>860</v>
      </c>
      <c r="C32" s="639">
        <v>46038</v>
      </c>
      <c r="D32" s="299"/>
      <c r="E32" s="323" t="s">
        <v>67</v>
      </c>
      <c r="F32" s="298"/>
      <c r="G32" s="336" t="s">
        <v>66</v>
      </c>
      <c r="H32" s="572" t="s">
        <v>861</v>
      </c>
      <c r="I32" s="364" t="s">
        <v>34</v>
      </c>
      <c r="J32" s="364" t="s">
        <v>35</v>
      </c>
      <c r="K32" s="564" t="s">
        <v>18</v>
      </c>
      <c r="L32" s="615">
        <v>10</v>
      </c>
      <c r="M32" s="604">
        <v>227777.78</v>
      </c>
      <c r="N32" s="604">
        <v>2277777.7999999998</v>
      </c>
      <c r="O32" s="604">
        <v>182222.22399999999</v>
      </c>
      <c r="P32" s="604">
        <v>2460000.0239999997</v>
      </c>
      <c r="Q32" s="606"/>
    </row>
    <row r="33" spans="1:17" ht="47.25">
      <c r="A33" s="314" t="s">
        <v>943</v>
      </c>
      <c r="B33" s="307" t="s">
        <v>860</v>
      </c>
      <c r="C33" s="639">
        <v>46038</v>
      </c>
      <c r="D33" s="299"/>
      <c r="E33" s="323" t="s">
        <v>67</v>
      </c>
      <c r="F33" s="298"/>
      <c r="G33" s="336" t="s">
        <v>66</v>
      </c>
      <c r="H33" s="572" t="s">
        <v>861</v>
      </c>
      <c r="I33" s="364" t="s">
        <v>36</v>
      </c>
      <c r="J33" s="364" t="s">
        <v>37</v>
      </c>
      <c r="K33" s="564" t="s">
        <v>18</v>
      </c>
      <c r="L33" s="615">
        <v>20</v>
      </c>
      <c r="M33" s="604">
        <v>252777.78</v>
      </c>
      <c r="N33" s="604">
        <v>5055555.5999999996</v>
      </c>
      <c r="O33" s="604">
        <v>404444.44799999997</v>
      </c>
      <c r="P33" s="604">
        <v>5460000.0479999995</v>
      </c>
      <c r="Q33" s="606"/>
    </row>
    <row r="34" spans="1:17" ht="47.25">
      <c r="A34" s="314" t="s">
        <v>943</v>
      </c>
      <c r="B34" s="307" t="s">
        <v>860</v>
      </c>
      <c r="C34" s="639">
        <v>46038</v>
      </c>
      <c r="D34" s="299"/>
      <c r="E34" s="323" t="s">
        <v>67</v>
      </c>
      <c r="F34" s="298"/>
      <c r="G34" s="336" t="s">
        <v>66</v>
      </c>
      <c r="H34" s="572" t="s">
        <v>861</v>
      </c>
      <c r="I34" s="364" t="s">
        <v>38</v>
      </c>
      <c r="J34" s="364" t="s">
        <v>39</v>
      </c>
      <c r="K34" s="564" t="s">
        <v>18</v>
      </c>
      <c r="L34" s="615">
        <v>20</v>
      </c>
      <c r="M34" s="604">
        <v>277777.78000000003</v>
      </c>
      <c r="N34" s="604">
        <v>5555555.6000000006</v>
      </c>
      <c r="O34" s="604">
        <v>444444.44800000003</v>
      </c>
      <c r="P34" s="604">
        <v>6000000.0480000004</v>
      </c>
      <c r="Q34" s="606"/>
    </row>
    <row r="35" spans="1:17" ht="31.5">
      <c r="A35" s="314" t="s">
        <v>943</v>
      </c>
      <c r="B35" s="307" t="s">
        <v>860</v>
      </c>
      <c r="C35" s="639">
        <v>46038</v>
      </c>
      <c r="D35" s="299"/>
      <c r="E35" s="323"/>
      <c r="F35" s="298"/>
      <c r="G35" s="336"/>
      <c r="H35" s="572" t="s">
        <v>861</v>
      </c>
      <c r="I35" s="364" t="s">
        <v>74</v>
      </c>
      <c r="J35" s="369" t="s">
        <v>75</v>
      </c>
      <c r="K35" s="563" t="s">
        <v>18</v>
      </c>
      <c r="L35" s="615">
        <v>8</v>
      </c>
      <c r="M35" s="604">
        <v>361111.11</v>
      </c>
      <c r="N35" s="604">
        <v>2888888.88</v>
      </c>
      <c r="O35" s="604">
        <v>231111.11040000001</v>
      </c>
      <c r="P35" s="604">
        <v>3119999.9904</v>
      </c>
      <c r="Q35" s="606"/>
    </row>
    <row r="36" spans="1:17" ht="31.5">
      <c r="A36" s="314" t="s">
        <v>943</v>
      </c>
      <c r="B36" s="307" t="s">
        <v>860</v>
      </c>
      <c r="C36" s="639">
        <v>46055</v>
      </c>
      <c r="D36" s="299"/>
      <c r="E36" s="323">
        <v>46055</v>
      </c>
      <c r="F36" s="298"/>
      <c r="G36" s="336" t="s">
        <v>76</v>
      </c>
      <c r="H36" s="572" t="s">
        <v>861</v>
      </c>
      <c r="I36" s="364" t="s">
        <v>77</v>
      </c>
      <c r="J36" s="426" t="s">
        <v>78</v>
      </c>
      <c r="K36" s="563" t="s">
        <v>25</v>
      </c>
      <c r="L36" s="615">
        <v>4</v>
      </c>
      <c r="M36" s="604">
        <v>324074.07</v>
      </c>
      <c r="N36" s="604">
        <v>1296296.28</v>
      </c>
      <c r="O36" s="604">
        <v>103703.70240000001</v>
      </c>
      <c r="P36" s="604">
        <v>1399999.9824000001</v>
      </c>
      <c r="Q36" s="606"/>
    </row>
    <row r="37" spans="1:17" ht="31.5">
      <c r="A37" s="314" t="s">
        <v>943</v>
      </c>
      <c r="B37" s="307" t="s">
        <v>860</v>
      </c>
      <c r="C37" s="639">
        <v>46055</v>
      </c>
      <c r="D37" s="299"/>
      <c r="E37" s="323">
        <v>46055</v>
      </c>
      <c r="F37" s="298"/>
      <c r="G37" s="336" t="s">
        <v>76</v>
      </c>
      <c r="H37" s="572" t="s">
        <v>861</v>
      </c>
      <c r="I37" s="364" t="s">
        <v>68</v>
      </c>
      <c r="J37" s="364" t="s">
        <v>69</v>
      </c>
      <c r="K37" s="563" t="s">
        <v>18</v>
      </c>
      <c r="L37" s="615">
        <v>48</v>
      </c>
      <c r="M37" s="604">
        <v>111111.11</v>
      </c>
      <c r="N37" s="604">
        <v>5333333.28</v>
      </c>
      <c r="O37" s="604">
        <v>426666.66240000003</v>
      </c>
      <c r="P37" s="604">
        <v>5759999.9424000001</v>
      </c>
      <c r="Q37" s="606"/>
    </row>
    <row r="38" spans="1:17" ht="31.5">
      <c r="A38" s="314" t="s">
        <v>943</v>
      </c>
      <c r="B38" s="307" t="s">
        <v>860</v>
      </c>
      <c r="C38" s="639">
        <v>46055</v>
      </c>
      <c r="D38" s="299"/>
      <c r="E38" s="323">
        <v>46055</v>
      </c>
      <c r="F38" s="298"/>
      <c r="G38" s="336" t="s">
        <v>76</v>
      </c>
      <c r="H38" s="572" t="s">
        <v>861</v>
      </c>
      <c r="I38" s="364" t="s">
        <v>70</v>
      </c>
      <c r="J38" s="364" t="s">
        <v>71</v>
      </c>
      <c r="K38" s="563" t="s">
        <v>18</v>
      </c>
      <c r="L38" s="615">
        <v>48</v>
      </c>
      <c r="M38" s="604">
        <v>120370.33</v>
      </c>
      <c r="N38" s="604">
        <v>5777775.8399999999</v>
      </c>
      <c r="O38" s="604">
        <v>462222.06719999999</v>
      </c>
      <c r="P38" s="604">
        <v>6239997.9072000002</v>
      </c>
      <c r="Q38" s="606"/>
    </row>
    <row r="39" spans="1:17" ht="31.5">
      <c r="A39" s="314" t="s">
        <v>943</v>
      </c>
      <c r="B39" s="307" t="s">
        <v>860</v>
      </c>
      <c r="C39" s="639">
        <v>46055</v>
      </c>
      <c r="D39" s="299"/>
      <c r="E39" s="323">
        <v>46055</v>
      </c>
      <c r="F39" s="298"/>
      <c r="G39" s="336" t="s">
        <v>76</v>
      </c>
      <c r="H39" s="572" t="s">
        <v>861</v>
      </c>
      <c r="I39" s="364" t="s">
        <v>72</v>
      </c>
      <c r="J39" s="364" t="s">
        <v>73</v>
      </c>
      <c r="K39" s="563" t="s">
        <v>18</v>
      </c>
      <c r="L39" s="615">
        <v>48</v>
      </c>
      <c r="M39" s="604">
        <v>129629.63</v>
      </c>
      <c r="N39" s="604">
        <v>6222222.2400000002</v>
      </c>
      <c r="O39" s="604">
        <v>497777.77920000005</v>
      </c>
      <c r="P39" s="604">
        <v>6720000.0192</v>
      </c>
      <c r="Q39" s="606"/>
    </row>
    <row r="40" spans="1:17" ht="31.5">
      <c r="A40" s="314" t="s">
        <v>943</v>
      </c>
      <c r="B40" s="307" t="s">
        <v>860</v>
      </c>
      <c r="C40" s="639">
        <v>46055</v>
      </c>
      <c r="D40" s="299"/>
      <c r="E40" s="323">
        <v>46055</v>
      </c>
      <c r="F40" s="298"/>
      <c r="G40" s="336" t="s">
        <v>76</v>
      </c>
      <c r="H40" s="572" t="s">
        <v>861</v>
      </c>
      <c r="I40" s="364" t="s">
        <v>40</v>
      </c>
      <c r="J40" s="364" t="s">
        <v>41</v>
      </c>
      <c r="K40" s="563" t="s">
        <v>18</v>
      </c>
      <c r="L40" s="615">
        <v>4</v>
      </c>
      <c r="M40" s="604">
        <v>844444.44</v>
      </c>
      <c r="N40" s="604">
        <v>3377777.76</v>
      </c>
      <c r="O40" s="604">
        <v>270222.22080000001</v>
      </c>
      <c r="P40" s="604">
        <v>3647999.9808</v>
      </c>
      <c r="Q40" s="606"/>
    </row>
    <row r="41" spans="1:17" ht="31.5">
      <c r="A41" s="314" t="s">
        <v>943</v>
      </c>
      <c r="B41" s="307" t="s">
        <v>860</v>
      </c>
      <c r="C41" s="639">
        <v>46055</v>
      </c>
      <c r="D41" s="299"/>
      <c r="E41" s="323">
        <v>46055</v>
      </c>
      <c r="F41" s="298"/>
      <c r="G41" s="336" t="s">
        <v>76</v>
      </c>
      <c r="H41" s="572" t="s">
        <v>861</v>
      </c>
      <c r="I41" s="364" t="s">
        <v>58</v>
      </c>
      <c r="J41" s="364" t="s">
        <v>59</v>
      </c>
      <c r="K41" s="563" t="s">
        <v>18</v>
      </c>
      <c r="L41" s="615">
        <v>16</v>
      </c>
      <c r="M41" s="604">
        <v>1361111.11</v>
      </c>
      <c r="N41" s="604">
        <v>21777777.760000002</v>
      </c>
      <c r="O41" s="604">
        <v>1742222.2208000002</v>
      </c>
      <c r="P41" s="604">
        <v>23519999.980800003</v>
      </c>
      <c r="Q41" s="606"/>
    </row>
    <row r="42" spans="1:17" ht="15.75">
      <c r="A42" s="314" t="s">
        <v>943</v>
      </c>
      <c r="B42" s="307" t="s">
        <v>860</v>
      </c>
      <c r="C42" s="639">
        <v>46064</v>
      </c>
      <c r="D42" s="299"/>
      <c r="E42" s="323"/>
      <c r="F42" s="298"/>
      <c r="G42" s="336"/>
      <c r="H42" s="299" t="s">
        <v>859</v>
      </c>
      <c r="I42" s="352"/>
      <c r="J42" s="352"/>
      <c r="K42" s="558"/>
      <c r="L42" s="617"/>
      <c r="M42" s="610"/>
      <c r="N42" s="610">
        <v>0</v>
      </c>
      <c r="O42" s="610">
        <v>0</v>
      </c>
      <c r="P42" s="610">
        <v>0</v>
      </c>
      <c r="Q42" s="609">
        <v>35000000</v>
      </c>
    </row>
    <row r="43" spans="1:17" ht="31.5">
      <c r="A43" s="314" t="s">
        <v>943</v>
      </c>
      <c r="B43" s="307" t="s">
        <v>860</v>
      </c>
      <c r="C43" s="639">
        <v>46183</v>
      </c>
      <c r="D43" s="299"/>
      <c r="E43" s="323">
        <v>265507</v>
      </c>
      <c r="F43" s="298"/>
      <c r="G43" s="336" t="s">
        <v>79</v>
      </c>
      <c r="H43" s="572" t="s">
        <v>861</v>
      </c>
      <c r="I43" s="369" t="s">
        <v>80</v>
      </c>
      <c r="J43" s="369" t="s">
        <v>81</v>
      </c>
      <c r="K43" s="563" t="s">
        <v>18</v>
      </c>
      <c r="L43" s="615">
        <v>4</v>
      </c>
      <c r="M43" s="604">
        <v>824074.07</v>
      </c>
      <c r="N43" s="604">
        <v>3296296.28</v>
      </c>
      <c r="O43" s="604">
        <v>263703.70240000001</v>
      </c>
      <c r="P43" s="604">
        <v>3559999.9823999996</v>
      </c>
      <c r="Q43" s="606"/>
    </row>
    <row r="44" spans="1:17" ht="31.5">
      <c r="A44" s="314" t="s">
        <v>943</v>
      </c>
      <c r="B44" s="307" t="s">
        <v>860</v>
      </c>
      <c r="C44" s="639">
        <v>46183</v>
      </c>
      <c r="D44" s="299"/>
      <c r="E44" s="323">
        <v>265507</v>
      </c>
      <c r="F44" s="298"/>
      <c r="G44" s="336" t="s">
        <v>79</v>
      </c>
      <c r="H44" s="572" t="s">
        <v>861</v>
      </c>
      <c r="I44" s="369" t="s">
        <v>23</v>
      </c>
      <c r="J44" s="369" t="s">
        <v>82</v>
      </c>
      <c r="K44" s="557" t="s">
        <v>25</v>
      </c>
      <c r="L44" s="615">
        <v>4</v>
      </c>
      <c r="M44" s="604">
        <v>1059259.25</v>
      </c>
      <c r="N44" s="604">
        <v>4237037</v>
      </c>
      <c r="O44" s="604">
        <v>338962.96</v>
      </c>
      <c r="P44" s="604">
        <v>4575999.96</v>
      </c>
      <c r="Q44" s="606"/>
    </row>
    <row r="45" spans="1:17" ht="47.25">
      <c r="A45" s="314" t="s">
        <v>943</v>
      </c>
      <c r="B45" s="307" t="s">
        <v>860</v>
      </c>
      <c r="C45" s="639">
        <v>46183</v>
      </c>
      <c r="D45" s="299"/>
      <c r="E45" s="323">
        <v>265507</v>
      </c>
      <c r="F45" s="298"/>
      <c r="G45" s="336" t="s">
        <v>79</v>
      </c>
      <c r="H45" s="572" t="s">
        <v>861</v>
      </c>
      <c r="I45" s="369" t="s">
        <v>30</v>
      </c>
      <c r="J45" s="369" t="s">
        <v>31</v>
      </c>
      <c r="K45" s="563" t="s">
        <v>18</v>
      </c>
      <c r="L45" s="615">
        <v>10</v>
      </c>
      <c r="M45" s="604">
        <v>252777.78</v>
      </c>
      <c r="N45" s="604">
        <v>2527777.7999999998</v>
      </c>
      <c r="O45" s="604">
        <v>202222.22399999999</v>
      </c>
      <c r="P45" s="604">
        <v>2730000.0239999997</v>
      </c>
      <c r="Q45" s="606"/>
    </row>
    <row r="46" spans="1:17" ht="31.5">
      <c r="A46" s="314" t="s">
        <v>943</v>
      </c>
      <c r="B46" s="307" t="s">
        <v>860</v>
      </c>
      <c r="C46" s="639">
        <v>46183</v>
      </c>
      <c r="D46" s="299"/>
      <c r="E46" s="323">
        <v>265507</v>
      </c>
      <c r="F46" s="298"/>
      <c r="G46" s="336" t="s">
        <v>79</v>
      </c>
      <c r="H46" s="572" t="s">
        <v>861</v>
      </c>
      <c r="I46" s="369" t="s">
        <v>40</v>
      </c>
      <c r="J46" s="369" t="s">
        <v>41</v>
      </c>
      <c r="K46" s="563" t="s">
        <v>18</v>
      </c>
      <c r="L46" s="615">
        <v>2</v>
      </c>
      <c r="M46" s="604">
        <v>844444.44</v>
      </c>
      <c r="N46" s="604">
        <v>1688888.88</v>
      </c>
      <c r="O46" s="604">
        <v>135111.11040000001</v>
      </c>
      <c r="P46" s="604">
        <v>1823999.9904</v>
      </c>
      <c r="Q46" s="606"/>
    </row>
    <row r="47" spans="1:17" ht="47.25">
      <c r="A47" s="314" t="s">
        <v>943</v>
      </c>
      <c r="B47" s="307" t="s">
        <v>860</v>
      </c>
      <c r="C47" s="639">
        <v>46183</v>
      </c>
      <c r="D47" s="299"/>
      <c r="E47" s="323">
        <v>265507</v>
      </c>
      <c r="F47" s="298"/>
      <c r="G47" s="336" t="s">
        <v>79</v>
      </c>
      <c r="H47" s="572" t="s">
        <v>861</v>
      </c>
      <c r="I47" s="369" t="s">
        <v>83</v>
      </c>
      <c r="J47" s="369" t="s">
        <v>84</v>
      </c>
      <c r="K47" s="563" t="s">
        <v>18</v>
      </c>
      <c r="L47" s="615">
        <v>4</v>
      </c>
      <c r="M47" s="604">
        <v>1097222.22</v>
      </c>
      <c r="N47" s="604">
        <v>4388888.88</v>
      </c>
      <c r="O47" s="604">
        <v>351111.11040000001</v>
      </c>
      <c r="P47" s="604">
        <v>4739999.9903999995</v>
      </c>
      <c r="Q47" s="606"/>
    </row>
    <row r="48" spans="1:17" ht="31.5">
      <c r="A48" s="314" t="s">
        <v>943</v>
      </c>
      <c r="B48" s="307" t="s">
        <v>860</v>
      </c>
      <c r="C48" s="639">
        <v>46183</v>
      </c>
      <c r="D48" s="299"/>
      <c r="E48" s="323">
        <v>265507</v>
      </c>
      <c r="F48" s="298"/>
      <c r="G48" s="336" t="s">
        <v>79</v>
      </c>
      <c r="H48" s="572" t="s">
        <v>861</v>
      </c>
      <c r="I48" s="369" t="s">
        <v>74</v>
      </c>
      <c r="J48" s="369" t="s">
        <v>75</v>
      </c>
      <c r="K48" s="563" t="s">
        <v>18</v>
      </c>
      <c r="L48" s="615">
        <v>8</v>
      </c>
      <c r="M48" s="604">
        <v>361111.11</v>
      </c>
      <c r="N48" s="604">
        <v>2888888.88</v>
      </c>
      <c r="O48" s="604">
        <v>231111.11040000001</v>
      </c>
      <c r="P48" s="604">
        <v>3119999.9904</v>
      </c>
      <c r="Q48" s="606"/>
    </row>
    <row r="49" spans="1:17" ht="31.5">
      <c r="A49" s="314" t="s">
        <v>943</v>
      </c>
      <c r="B49" s="307" t="s">
        <v>860</v>
      </c>
      <c r="C49" s="639">
        <v>46183</v>
      </c>
      <c r="D49" s="299"/>
      <c r="E49" s="323"/>
      <c r="F49" s="298"/>
      <c r="G49" s="336"/>
      <c r="H49" s="572" t="s">
        <v>861</v>
      </c>
      <c r="I49" s="427" t="s">
        <v>85</v>
      </c>
      <c r="J49" s="427" t="s">
        <v>86</v>
      </c>
      <c r="K49" s="566" t="s">
        <v>18</v>
      </c>
      <c r="L49" s="618">
        <v>102</v>
      </c>
      <c r="M49" s="611">
        <v>509259.25</v>
      </c>
      <c r="N49" s="611">
        <v>51944443.5</v>
      </c>
      <c r="O49" s="611">
        <v>4155555.48</v>
      </c>
      <c r="P49" s="611">
        <v>56099998.979999997</v>
      </c>
      <c r="Q49" s="606"/>
    </row>
    <row r="50" spans="1:17" ht="15.75">
      <c r="A50" s="314" t="s">
        <v>943</v>
      </c>
      <c r="B50" s="307" t="s">
        <v>860</v>
      </c>
      <c r="C50" s="639">
        <v>46189</v>
      </c>
      <c r="D50" s="299"/>
      <c r="E50" s="323"/>
      <c r="F50" s="298"/>
      <c r="G50" s="336"/>
      <c r="H50" s="299" t="s">
        <v>859</v>
      </c>
      <c r="I50" s="352"/>
      <c r="J50" s="352"/>
      <c r="K50" s="558"/>
      <c r="L50" s="617"/>
      <c r="M50" s="610"/>
      <c r="N50" s="610">
        <v>0</v>
      </c>
      <c r="O50" s="610">
        <v>0</v>
      </c>
      <c r="P50" s="610">
        <v>0</v>
      </c>
      <c r="Q50" s="609">
        <v>15000000</v>
      </c>
    </row>
    <row r="51" spans="1:17" ht="15.75">
      <c r="A51" s="314" t="s">
        <v>943</v>
      </c>
      <c r="B51" s="307" t="s">
        <v>860</v>
      </c>
      <c r="C51" s="639">
        <v>46190</v>
      </c>
      <c r="D51" s="299"/>
      <c r="E51" s="323"/>
      <c r="F51" s="298"/>
      <c r="G51" s="336"/>
      <c r="H51" s="299" t="s">
        <v>859</v>
      </c>
      <c r="I51" s="352"/>
      <c r="J51" s="352"/>
      <c r="K51" s="558"/>
      <c r="L51" s="617"/>
      <c r="M51" s="610"/>
      <c r="N51" s="610">
        <v>0</v>
      </c>
      <c r="O51" s="610">
        <v>0</v>
      </c>
      <c r="P51" s="610">
        <v>0</v>
      </c>
      <c r="Q51" s="609">
        <v>18300000</v>
      </c>
    </row>
    <row r="52" spans="1:17" ht="31.5">
      <c r="A52" s="314" t="s">
        <v>943</v>
      </c>
      <c r="B52" s="307" t="s">
        <v>860</v>
      </c>
      <c r="C52" s="639">
        <v>46190</v>
      </c>
      <c r="D52" s="299"/>
      <c r="E52" s="323" t="s">
        <v>89</v>
      </c>
      <c r="F52" s="298"/>
      <c r="G52" s="336" t="s">
        <v>88</v>
      </c>
      <c r="H52" s="572" t="s">
        <v>861</v>
      </c>
      <c r="I52" s="369" t="s">
        <v>74</v>
      </c>
      <c r="J52" s="369" t="s">
        <v>75</v>
      </c>
      <c r="K52" s="563" t="s">
        <v>18</v>
      </c>
      <c r="L52" s="615">
        <v>16</v>
      </c>
      <c r="M52" s="604">
        <v>361111.11</v>
      </c>
      <c r="N52" s="604">
        <v>5777777.7599999998</v>
      </c>
      <c r="O52" s="604">
        <v>462222.22080000001</v>
      </c>
      <c r="P52" s="604">
        <v>6239999.9808</v>
      </c>
      <c r="Q52" s="606"/>
    </row>
    <row r="53" spans="1:17" ht="31.5">
      <c r="A53" s="314" t="s">
        <v>943</v>
      </c>
      <c r="B53" s="307" t="s">
        <v>860</v>
      </c>
      <c r="C53" s="639">
        <v>46190</v>
      </c>
      <c r="D53" s="299"/>
      <c r="E53" s="323" t="s">
        <v>829</v>
      </c>
      <c r="F53" s="298"/>
      <c r="G53" s="336" t="s">
        <v>849</v>
      </c>
      <c r="H53" s="572" t="s">
        <v>861</v>
      </c>
      <c r="I53" s="369" t="s">
        <v>90</v>
      </c>
      <c r="J53" s="369" t="s">
        <v>91</v>
      </c>
      <c r="K53" s="563" t="s">
        <v>92</v>
      </c>
      <c r="L53" s="615">
        <v>20</v>
      </c>
      <c r="M53" s="604">
        <v>814814.81</v>
      </c>
      <c r="N53" s="604">
        <v>16296296.200000001</v>
      </c>
      <c r="O53" s="604">
        <v>1303703.6960000002</v>
      </c>
      <c r="P53" s="604">
        <v>17599999.896000002</v>
      </c>
      <c r="Q53" s="606"/>
    </row>
    <row r="54" spans="1:17" ht="31.5">
      <c r="A54" s="314" t="s">
        <v>943</v>
      </c>
      <c r="B54" s="307" t="s">
        <v>860</v>
      </c>
      <c r="C54" s="639">
        <v>46190</v>
      </c>
      <c r="D54" s="299"/>
      <c r="E54" s="323" t="s">
        <v>829</v>
      </c>
      <c r="F54" s="298"/>
      <c r="G54" s="336" t="s">
        <v>849</v>
      </c>
      <c r="H54" s="572" t="s">
        <v>861</v>
      </c>
      <c r="I54" s="369" t="s">
        <v>93</v>
      </c>
      <c r="J54" s="369" t="s">
        <v>94</v>
      </c>
      <c r="K54" s="563" t="s">
        <v>92</v>
      </c>
      <c r="L54" s="615">
        <v>4</v>
      </c>
      <c r="M54" s="604">
        <v>907407.41</v>
      </c>
      <c r="N54" s="604">
        <v>3629629.64</v>
      </c>
      <c r="O54" s="604">
        <v>290370.37119999999</v>
      </c>
      <c r="P54" s="604">
        <v>3920000.0112000001</v>
      </c>
      <c r="Q54" s="606"/>
    </row>
    <row r="55" spans="1:17" ht="31.5">
      <c r="A55" s="314" t="s">
        <v>943</v>
      </c>
      <c r="B55" s="307" t="s">
        <v>860</v>
      </c>
      <c r="C55" s="639">
        <v>46190</v>
      </c>
      <c r="D55" s="299"/>
      <c r="E55" s="323" t="s">
        <v>89</v>
      </c>
      <c r="F55" s="298"/>
      <c r="G55" s="336" t="s">
        <v>88</v>
      </c>
      <c r="H55" s="572" t="s">
        <v>861</v>
      </c>
      <c r="I55" s="369" t="s">
        <v>80</v>
      </c>
      <c r="J55" s="369" t="s">
        <v>81</v>
      </c>
      <c r="K55" s="563" t="s">
        <v>18</v>
      </c>
      <c r="L55" s="615">
        <v>2</v>
      </c>
      <c r="M55" s="604">
        <v>824074.07</v>
      </c>
      <c r="N55" s="604">
        <v>1648148.14</v>
      </c>
      <c r="O55" s="604">
        <v>131851.8512</v>
      </c>
      <c r="P55" s="604">
        <v>1779999.9911999998</v>
      </c>
      <c r="Q55" s="606"/>
    </row>
    <row r="56" spans="1:17" ht="31.5">
      <c r="A56" s="314" t="s">
        <v>943</v>
      </c>
      <c r="B56" s="307" t="s">
        <v>860</v>
      </c>
      <c r="C56" s="639">
        <v>46190</v>
      </c>
      <c r="D56" s="299"/>
      <c r="E56" s="323" t="s">
        <v>89</v>
      </c>
      <c r="F56" s="298"/>
      <c r="G56" s="336" t="s">
        <v>88</v>
      </c>
      <c r="H56" s="572" t="s">
        <v>861</v>
      </c>
      <c r="I56" s="369" t="s">
        <v>23</v>
      </c>
      <c r="J56" s="369" t="s">
        <v>82</v>
      </c>
      <c r="K56" s="563" t="s">
        <v>25</v>
      </c>
      <c r="L56" s="615">
        <v>4</v>
      </c>
      <c r="M56" s="604">
        <v>1059259.25</v>
      </c>
      <c r="N56" s="604">
        <v>4237037</v>
      </c>
      <c r="O56" s="604">
        <v>338962.96</v>
      </c>
      <c r="P56" s="604">
        <v>4575999.96</v>
      </c>
      <c r="Q56" s="606"/>
    </row>
    <row r="57" spans="1:17" ht="31.5">
      <c r="A57" s="314" t="s">
        <v>943</v>
      </c>
      <c r="B57" s="307" t="s">
        <v>860</v>
      </c>
      <c r="C57" s="639">
        <v>46190</v>
      </c>
      <c r="D57" s="299"/>
      <c r="E57" s="323" t="s">
        <v>89</v>
      </c>
      <c r="F57" s="298"/>
      <c r="G57" s="336" t="s">
        <v>88</v>
      </c>
      <c r="H57" s="572" t="s">
        <v>861</v>
      </c>
      <c r="I57" s="369" t="s">
        <v>40</v>
      </c>
      <c r="J57" s="369" t="s">
        <v>41</v>
      </c>
      <c r="K57" s="563" t="s">
        <v>18</v>
      </c>
      <c r="L57" s="615">
        <v>2</v>
      </c>
      <c r="M57" s="604">
        <v>844444.44</v>
      </c>
      <c r="N57" s="604">
        <v>1688888.88</v>
      </c>
      <c r="O57" s="604">
        <v>135111.11040000001</v>
      </c>
      <c r="P57" s="604">
        <v>1823999.9904</v>
      </c>
      <c r="Q57" s="606"/>
    </row>
    <row r="58" spans="1:17" ht="31.5">
      <c r="A58" s="314" t="s">
        <v>943</v>
      </c>
      <c r="B58" s="307" t="s">
        <v>860</v>
      </c>
      <c r="C58" s="639">
        <v>46196</v>
      </c>
      <c r="D58" s="299"/>
      <c r="E58" s="323" t="s">
        <v>89</v>
      </c>
      <c r="F58" s="298"/>
      <c r="G58" s="336" t="s">
        <v>88</v>
      </c>
      <c r="H58" s="572" t="s">
        <v>861</v>
      </c>
      <c r="I58" s="369" t="s">
        <v>23</v>
      </c>
      <c r="J58" s="369" t="s">
        <v>82</v>
      </c>
      <c r="K58" s="563" t="s">
        <v>25</v>
      </c>
      <c r="L58" s="615">
        <v>4</v>
      </c>
      <c r="M58" s="604">
        <v>1059259.25</v>
      </c>
      <c r="N58" s="604">
        <v>4237037</v>
      </c>
      <c r="O58" s="604">
        <v>338962.96</v>
      </c>
      <c r="P58" s="604">
        <v>4575999.96</v>
      </c>
      <c r="Q58" s="606"/>
    </row>
    <row r="59" spans="1:17" ht="31.5">
      <c r="A59" s="314" t="s">
        <v>943</v>
      </c>
      <c r="B59" s="307" t="s">
        <v>860</v>
      </c>
      <c r="C59" s="639">
        <v>46196</v>
      </c>
      <c r="D59" s="299"/>
      <c r="E59" s="323" t="s">
        <v>89</v>
      </c>
      <c r="F59" s="298"/>
      <c r="G59" s="336" t="s">
        <v>88</v>
      </c>
      <c r="H59" s="572" t="s">
        <v>861</v>
      </c>
      <c r="I59" s="369" t="s">
        <v>80</v>
      </c>
      <c r="J59" s="369" t="s">
        <v>81</v>
      </c>
      <c r="K59" s="563" t="s">
        <v>92</v>
      </c>
      <c r="L59" s="615">
        <v>4</v>
      </c>
      <c r="M59" s="604">
        <v>824074.07</v>
      </c>
      <c r="N59" s="604">
        <v>3296296.28</v>
      </c>
      <c r="O59" s="604">
        <v>263703.70240000001</v>
      </c>
      <c r="P59" s="604">
        <v>3559999.9823999996</v>
      </c>
      <c r="Q59" s="606"/>
    </row>
    <row r="60" spans="1:17" ht="47.25">
      <c r="A60" s="314" t="s">
        <v>943</v>
      </c>
      <c r="B60" s="307" t="s">
        <v>860</v>
      </c>
      <c r="C60" s="639">
        <v>46196</v>
      </c>
      <c r="D60" s="299"/>
      <c r="E60" s="323"/>
      <c r="F60" s="298"/>
      <c r="G60" s="336"/>
      <c r="H60" s="572" t="s">
        <v>861</v>
      </c>
      <c r="I60" s="427" t="s">
        <v>96</v>
      </c>
      <c r="J60" s="427" t="s">
        <v>97</v>
      </c>
      <c r="K60" s="566" t="s">
        <v>18</v>
      </c>
      <c r="L60" s="618">
        <v>10</v>
      </c>
      <c r="M60" s="611">
        <v>574074.06999999995</v>
      </c>
      <c r="N60" s="611">
        <v>5740740.6999999993</v>
      </c>
      <c r="O60" s="611">
        <v>459259.25599999994</v>
      </c>
      <c r="P60" s="611">
        <v>6199999.9559999993</v>
      </c>
      <c r="Q60" s="606"/>
    </row>
    <row r="61" spans="1:17" ht="47.25">
      <c r="A61" s="314" t="s">
        <v>943</v>
      </c>
      <c r="B61" s="307" t="s">
        <v>860</v>
      </c>
      <c r="C61" s="639">
        <v>46196</v>
      </c>
      <c r="D61" s="299"/>
      <c r="E61" s="323" t="s">
        <v>829</v>
      </c>
      <c r="F61" s="298"/>
      <c r="G61" s="336" t="s">
        <v>849</v>
      </c>
      <c r="H61" s="572" t="s">
        <v>861</v>
      </c>
      <c r="I61" s="427" t="s">
        <v>98</v>
      </c>
      <c r="J61" s="427" t="s">
        <v>99</v>
      </c>
      <c r="K61" s="566" t="s">
        <v>18</v>
      </c>
      <c r="L61" s="618">
        <v>50</v>
      </c>
      <c r="M61" s="611">
        <v>694444.44</v>
      </c>
      <c r="N61" s="611">
        <v>34722222</v>
      </c>
      <c r="O61" s="611">
        <v>2777777.7600000002</v>
      </c>
      <c r="P61" s="611">
        <v>37499999.759999998</v>
      </c>
      <c r="Q61" s="606"/>
    </row>
    <row r="62" spans="1:17" ht="31.5">
      <c r="A62" s="314" t="s">
        <v>943</v>
      </c>
      <c r="B62" s="307" t="s">
        <v>860</v>
      </c>
      <c r="C62" s="639">
        <v>46219</v>
      </c>
      <c r="D62" s="299"/>
      <c r="E62" s="323"/>
      <c r="F62" s="298"/>
      <c r="G62" s="336"/>
      <c r="H62" s="572" t="s">
        <v>861</v>
      </c>
      <c r="I62" s="369" t="s">
        <v>101</v>
      </c>
      <c r="J62" s="369" t="s">
        <v>102</v>
      </c>
      <c r="K62" s="563" t="s">
        <v>18</v>
      </c>
      <c r="L62" s="615">
        <v>12</v>
      </c>
      <c r="M62" s="604">
        <v>907407.41</v>
      </c>
      <c r="N62" s="604">
        <v>10888888.92</v>
      </c>
      <c r="O62" s="604">
        <v>871111.11360000004</v>
      </c>
      <c r="P62" s="604">
        <v>11760000.033600001</v>
      </c>
      <c r="Q62" s="606"/>
    </row>
    <row r="63" spans="1:17" ht="31.5">
      <c r="A63" s="314" t="s">
        <v>943</v>
      </c>
      <c r="B63" s="307" t="s">
        <v>860</v>
      </c>
      <c r="C63" s="639">
        <v>46219</v>
      </c>
      <c r="D63" s="299"/>
      <c r="E63" s="323" t="s">
        <v>829</v>
      </c>
      <c r="F63" s="298"/>
      <c r="G63" s="336" t="s">
        <v>849</v>
      </c>
      <c r="H63" s="572" t="s">
        <v>861</v>
      </c>
      <c r="I63" s="369" t="s">
        <v>93</v>
      </c>
      <c r="J63" s="369" t="s">
        <v>94</v>
      </c>
      <c r="K63" s="563" t="s">
        <v>18</v>
      </c>
      <c r="L63" s="615">
        <v>8</v>
      </c>
      <c r="M63" s="604">
        <v>907407.41</v>
      </c>
      <c r="N63" s="604">
        <v>7259259.2800000003</v>
      </c>
      <c r="O63" s="604">
        <v>580740.74239999999</v>
      </c>
      <c r="P63" s="604">
        <v>7840000.0224000001</v>
      </c>
      <c r="Q63" s="606"/>
    </row>
    <row r="64" spans="1:17" ht="31.5">
      <c r="A64" s="314" t="s">
        <v>943</v>
      </c>
      <c r="B64" s="307" t="s">
        <v>860</v>
      </c>
      <c r="C64" s="639">
        <v>46219</v>
      </c>
      <c r="D64" s="299"/>
      <c r="E64" s="323"/>
      <c r="F64" s="298"/>
      <c r="G64" s="336"/>
      <c r="H64" s="572" t="s">
        <v>861</v>
      </c>
      <c r="I64" s="369" t="s">
        <v>103</v>
      </c>
      <c r="J64" s="369" t="s">
        <v>104</v>
      </c>
      <c r="K64" s="563" t="s">
        <v>18</v>
      </c>
      <c r="L64" s="615">
        <v>18</v>
      </c>
      <c r="M64" s="604">
        <v>722222.22</v>
      </c>
      <c r="N64" s="604">
        <v>12999999.959999999</v>
      </c>
      <c r="O64" s="604">
        <v>1039999.9968</v>
      </c>
      <c r="P64" s="604">
        <v>14039999.956799999</v>
      </c>
      <c r="Q64" s="606"/>
    </row>
    <row r="65" spans="1:17" ht="31.5">
      <c r="A65" s="314" t="s">
        <v>943</v>
      </c>
      <c r="B65" s="307" t="s">
        <v>860</v>
      </c>
      <c r="C65" s="639">
        <v>46219</v>
      </c>
      <c r="D65" s="299"/>
      <c r="E65" s="323"/>
      <c r="F65" s="298"/>
      <c r="G65" s="336"/>
      <c r="H65" s="572" t="s">
        <v>861</v>
      </c>
      <c r="I65" s="369" t="s">
        <v>62</v>
      </c>
      <c r="J65" s="369" t="s">
        <v>63</v>
      </c>
      <c r="K65" s="563" t="s">
        <v>18</v>
      </c>
      <c r="L65" s="615">
        <v>18</v>
      </c>
      <c r="M65" s="604"/>
      <c r="N65" s="604"/>
      <c r="O65" s="604"/>
      <c r="P65" s="604"/>
      <c r="Q65" s="606"/>
    </row>
    <row r="66" spans="1:17" ht="31.5">
      <c r="A66" s="314" t="s">
        <v>943</v>
      </c>
      <c r="B66" s="307" t="s">
        <v>860</v>
      </c>
      <c r="C66" s="639">
        <v>46219</v>
      </c>
      <c r="D66" s="299"/>
      <c r="E66" s="323" t="s">
        <v>106</v>
      </c>
      <c r="F66" s="298"/>
      <c r="G66" s="336" t="s">
        <v>105</v>
      </c>
      <c r="H66" s="572" t="s">
        <v>861</v>
      </c>
      <c r="I66" s="369" t="s">
        <v>40</v>
      </c>
      <c r="J66" s="369" t="s">
        <v>41</v>
      </c>
      <c r="K66" s="563" t="s">
        <v>18</v>
      </c>
      <c r="L66" s="615">
        <v>8</v>
      </c>
      <c r="M66" s="604">
        <v>844444.44</v>
      </c>
      <c r="N66" s="604">
        <v>6755555.5199999996</v>
      </c>
      <c r="O66" s="604">
        <v>540444.44160000002</v>
      </c>
      <c r="P66" s="604">
        <v>7295999.9616</v>
      </c>
      <c r="Q66" s="606"/>
    </row>
    <row r="67" spans="1:17" ht="31.5">
      <c r="A67" s="314" t="s">
        <v>943</v>
      </c>
      <c r="B67" s="307" t="s">
        <v>860</v>
      </c>
      <c r="C67" s="639">
        <v>46219</v>
      </c>
      <c r="D67" s="299"/>
      <c r="E67" s="323" t="s">
        <v>106</v>
      </c>
      <c r="F67" s="298"/>
      <c r="G67" s="336" t="s">
        <v>105</v>
      </c>
      <c r="H67" s="572" t="s">
        <v>861</v>
      </c>
      <c r="I67" s="424" t="s">
        <v>21</v>
      </c>
      <c r="J67" s="424" t="s">
        <v>22</v>
      </c>
      <c r="K67" s="564" t="s">
        <v>18</v>
      </c>
      <c r="L67" s="615">
        <v>6</v>
      </c>
      <c r="M67" s="604">
        <v>937962.96</v>
      </c>
      <c r="N67" s="604">
        <v>5627777.7599999998</v>
      </c>
      <c r="O67" s="604">
        <v>450222.22080000001</v>
      </c>
      <c r="P67" s="604">
        <v>6077999.9808</v>
      </c>
      <c r="Q67" s="606"/>
    </row>
    <row r="68" spans="1:17" ht="31.5">
      <c r="A68" s="314" t="s">
        <v>943</v>
      </c>
      <c r="B68" s="307" t="s">
        <v>860</v>
      </c>
      <c r="C68" s="639">
        <v>46219</v>
      </c>
      <c r="D68" s="299"/>
      <c r="E68" s="323"/>
      <c r="F68" s="298"/>
      <c r="G68" s="336"/>
      <c r="H68" s="572" t="s">
        <v>861</v>
      </c>
      <c r="I68" s="717" t="s">
        <v>107</v>
      </c>
      <c r="J68" s="896" t="s">
        <v>108</v>
      </c>
      <c r="K68" s="749"/>
      <c r="L68" s="760">
        <v>1</v>
      </c>
      <c r="M68" s="891"/>
      <c r="N68" s="893"/>
      <c r="O68" s="893"/>
      <c r="P68" s="893"/>
      <c r="Q68" s="606"/>
    </row>
    <row r="69" spans="1:17" ht="15.75">
      <c r="A69" s="314" t="s">
        <v>943</v>
      </c>
      <c r="B69" s="307" t="s">
        <v>860</v>
      </c>
      <c r="C69" s="297">
        <v>46261</v>
      </c>
      <c r="D69" s="299"/>
      <c r="E69" s="323"/>
      <c r="F69" s="298"/>
      <c r="G69" s="336"/>
      <c r="H69" s="299" t="s">
        <v>859</v>
      </c>
      <c r="I69" s="424"/>
      <c r="J69" s="424"/>
      <c r="K69" s="564"/>
      <c r="L69" s="615"/>
      <c r="M69" s="604"/>
      <c r="N69" s="604"/>
      <c r="O69" s="604"/>
      <c r="P69" s="604"/>
      <c r="Q69" s="606">
        <v>70000000</v>
      </c>
    </row>
    <row r="70" spans="1:17" ht="15.75">
      <c r="A70" s="717" t="s">
        <v>943</v>
      </c>
      <c r="B70" s="307" t="s">
        <v>860</v>
      </c>
      <c r="C70" s="446">
        <v>46309</v>
      </c>
      <c r="D70" s="299"/>
      <c r="E70" s="323"/>
      <c r="F70" s="298"/>
      <c r="G70" s="336"/>
      <c r="H70" s="299" t="s">
        <v>859</v>
      </c>
      <c r="I70" s="424"/>
      <c r="J70" s="424"/>
      <c r="K70" s="564"/>
      <c r="L70" s="615"/>
      <c r="M70" s="604"/>
      <c r="N70" s="604"/>
      <c r="O70" s="604"/>
      <c r="P70" s="604"/>
      <c r="Q70" s="606">
        <v>41617997</v>
      </c>
    </row>
    <row r="71" spans="1:17">
      <c r="A71" s="490"/>
      <c r="B71" s="490"/>
      <c r="C71" s="446"/>
      <c r="D71" s="490"/>
      <c r="E71" s="490"/>
      <c r="F71" s="490"/>
      <c r="G71" s="490"/>
      <c r="H71" s="490"/>
      <c r="I71" s="490"/>
      <c r="J71" s="490"/>
      <c r="K71" s="490"/>
      <c r="L71" s="619"/>
      <c r="M71" s="490"/>
      <c r="N71" s="595">
        <f>SUM(N2:N67)</f>
        <v>354227764.05999982</v>
      </c>
      <c r="O71" s="595">
        <f>SUM(O2:O70)</f>
        <v>28338221.124800012</v>
      </c>
      <c r="P71" s="595">
        <f>SUM(P2:P70)</f>
        <v>382565985.18479985</v>
      </c>
      <c r="Q71" s="595">
        <f>SUM(Q2:Q70)</f>
        <v>188917997</v>
      </c>
    </row>
    <row r="72" spans="1:17" ht="15.75" thickBot="1"/>
    <row r="73" spans="1:17">
      <c r="H73" s="899" t="s">
        <v>1429</v>
      </c>
      <c r="I73" s="900">
        <f>P71</f>
        <v>382565985.18479985</v>
      </c>
    </row>
    <row r="74" spans="1:17">
      <c r="H74" s="901" t="s">
        <v>1430</v>
      </c>
      <c r="I74" s="902">
        <f>SUM(P2:P25)</f>
        <v>93847989.441599995</v>
      </c>
      <c r="J74" s="452"/>
      <c r="K74" s="993" t="s">
        <v>900</v>
      </c>
      <c r="L74" s="994"/>
      <c r="M74" s="994"/>
      <c r="N74" s="994"/>
      <c r="O74" s="994"/>
    </row>
    <row r="75" spans="1:17">
      <c r="H75" s="903" t="s">
        <v>981</v>
      </c>
      <c r="I75" s="633">
        <f>SUM(P27:P67)</f>
        <v>288717995.7432</v>
      </c>
      <c r="J75" s="452"/>
      <c r="K75" s="994"/>
      <c r="L75" s="994"/>
      <c r="M75" s="994"/>
      <c r="N75" s="994"/>
      <c r="O75" s="994"/>
    </row>
    <row r="76" spans="1:17">
      <c r="H76" s="478" t="s">
        <v>895</v>
      </c>
      <c r="I76" s="633">
        <f>Q71</f>
        <v>188917997</v>
      </c>
      <c r="J76" s="452"/>
      <c r="K76" s="994"/>
      <c r="L76" s="994"/>
      <c r="M76" s="994"/>
      <c r="N76" s="994"/>
      <c r="O76" s="994"/>
    </row>
    <row r="77" spans="1:17">
      <c r="H77" s="478" t="s">
        <v>901</v>
      </c>
      <c r="I77" s="479">
        <f>P60+P61+P49</f>
        <v>99799998.695999995</v>
      </c>
      <c r="J77" s="452"/>
      <c r="K77" s="994"/>
      <c r="L77" s="994"/>
      <c r="M77" s="994"/>
      <c r="N77" s="994"/>
      <c r="O77" s="994"/>
    </row>
    <row r="78" spans="1:17" ht="15.75" thickBot="1">
      <c r="H78" s="480" t="s">
        <v>1431</v>
      </c>
      <c r="I78" s="634">
        <f>I73-I74-I77-I76</f>
        <v>4.7199845314025879E-2</v>
      </c>
      <c r="J78" s="452"/>
      <c r="K78" s="994"/>
      <c r="L78" s="994"/>
      <c r="M78" s="994"/>
      <c r="N78" s="994"/>
      <c r="O78" s="994"/>
    </row>
    <row r="79" spans="1:17">
      <c r="H79" s="452"/>
      <c r="I79" s="452"/>
      <c r="J79" s="452"/>
      <c r="K79" s="994"/>
      <c r="L79" s="994"/>
      <c r="M79" s="994"/>
      <c r="N79" s="994"/>
      <c r="O79" s="994"/>
    </row>
    <row r="80" spans="1:17">
      <c r="H80" s="452"/>
      <c r="I80" s="452"/>
      <c r="J80" s="452"/>
      <c r="K80" s="994"/>
      <c r="L80" s="994"/>
      <c r="M80" s="994"/>
      <c r="N80" s="994"/>
      <c r="O80" s="994"/>
    </row>
    <row r="81" spans="10:15">
      <c r="J81" s="452"/>
      <c r="K81" s="994"/>
      <c r="L81" s="994"/>
      <c r="M81" s="994"/>
      <c r="N81" s="994"/>
      <c r="O81" s="994"/>
    </row>
    <row r="82" spans="10:15">
      <c r="J82" s="452"/>
      <c r="K82" s="994"/>
      <c r="L82" s="994"/>
      <c r="M82" s="994"/>
      <c r="N82" s="994"/>
      <c r="O82" s="994"/>
    </row>
    <row r="83" spans="10:15">
      <c r="J83" s="452"/>
      <c r="K83" s="994"/>
      <c r="L83" s="994"/>
      <c r="M83" s="994"/>
      <c r="N83" s="994"/>
      <c r="O83" s="994"/>
    </row>
  </sheetData>
  <autoFilter ref="A1:Q1" xr:uid="{F155BA84-14C6-44AF-958C-C0AF3D8AFE34}"/>
  <mergeCells count="1">
    <mergeCell ref="K74:O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A2AF-5609-49F3-94B6-F66B98F6E41B}">
  <sheetPr>
    <tabColor rgb="FF00B050"/>
  </sheetPr>
  <dimension ref="A2:Q199"/>
  <sheetViews>
    <sheetView topLeftCell="G1" workbookViewId="0">
      <pane ySplit="2" topLeftCell="A165" activePane="bottomLeft" state="frozen"/>
      <selection pane="bottomLeft" activeCell="Q185" sqref="Q185"/>
    </sheetView>
  </sheetViews>
  <sheetFormatPr defaultRowHeight="15"/>
  <cols>
    <col min="1" max="1" width="12.28515625" customWidth="1"/>
    <col min="2" max="2" width="57.140625" customWidth="1"/>
    <col min="3" max="3" width="12" bestFit="1" customWidth="1"/>
    <col min="4" max="4" width="10.7109375" customWidth="1"/>
    <col min="5" max="5" width="10.7109375" bestFit="1" customWidth="1"/>
    <col min="6" max="6" width="13.28515625" bestFit="1" customWidth="1"/>
    <col min="7" max="7" width="13.140625" bestFit="1" customWidth="1"/>
    <col min="8" max="8" width="30.28515625" style="735" customWidth="1"/>
    <col min="9" max="9" width="15.7109375" bestFit="1" customWidth="1"/>
    <col min="10" max="10" width="42" customWidth="1"/>
    <col min="11" max="11" width="5.85546875" bestFit="1" customWidth="1"/>
    <col min="12" max="12" width="6.5703125" bestFit="1" customWidth="1"/>
    <col min="13" max="13" width="13.7109375" bestFit="1" customWidth="1"/>
    <col min="14" max="15" width="14.5703125" bestFit="1" customWidth="1"/>
    <col min="16" max="17" width="15" bestFit="1" customWidth="1"/>
  </cols>
  <sheetData>
    <row r="2" spans="1:17" ht="48.75">
      <c r="A2" s="481" t="s">
        <v>666</v>
      </c>
      <c r="B2" s="482" t="s">
        <v>866</v>
      </c>
      <c r="C2" s="482" t="s">
        <v>624</v>
      </c>
      <c r="D2" s="483" t="s">
        <v>636</v>
      </c>
      <c r="E2" s="482" t="s">
        <v>635</v>
      </c>
      <c r="F2" s="484" t="s">
        <v>637</v>
      </c>
      <c r="G2" s="484" t="s">
        <v>634</v>
      </c>
      <c r="H2" s="485" t="s">
        <v>625</v>
      </c>
      <c r="I2" s="484" t="s">
        <v>626</v>
      </c>
      <c r="J2" s="484" t="s">
        <v>627</v>
      </c>
      <c r="K2" s="484" t="s">
        <v>628</v>
      </c>
      <c r="L2" s="486" t="s">
        <v>629</v>
      </c>
      <c r="M2" s="487" t="s">
        <v>630</v>
      </c>
      <c r="N2" s="487" t="s">
        <v>631</v>
      </c>
      <c r="O2" s="487" t="s">
        <v>632</v>
      </c>
      <c r="P2" s="487" t="s">
        <v>633</v>
      </c>
      <c r="Q2" s="487" t="s">
        <v>612</v>
      </c>
    </row>
    <row r="3" spans="1:17" ht="30">
      <c r="A3" s="507" t="s">
        <v>664</v>
      </c>
      <c r="B3" s="508" t="s">
        <v>692</v>
      </c>
      <c r="C3" s="509">
        <v>46032</v>
      </c>
      <c r="D3" s="510"/>
      <c r="E3" s="509">
        <v>46032</v>
      </c>
      <c r="F3" s="511"/>
      <c r="G3" s="512" t="s">
        <v>490</v>
      </c>
      <c r="H3" s="733" t="s">
        <v>858</v>
      </c>
      <c r="I3" s="514" t="s">
        <v>308</v>
      </c>
      <c r="J3" s="383" t="s">
        <v>210</v>
      </c>
      <c r="K3" s="511"/>
      <c r="L3" s="513">
        <v>12</v>
      </c>
      <c r="M3" s="515">
        <v>314814.83</v>
      </c>
      <c r="N3" s="516">
        <v>3777777.96</v>
      </c>
      <c r="O3" s="516">
        <v>302222.23680000001</v>
      </c>
      <c r="P3" s="516">
        <v>4080000.1968</v>
      </c>
      <c r="Q3" s="516"/>
    </row>
    <row r="4" spans="1:17" ht="30">
      <c r="A4" s="296" t="s">
        <v>664</v>
      </c>
      <c r="B4" s="306" t="s">
        <v>692</v>
      </c>
      <c r="C4" s="509">
        <v>46032</v>
      </c>
      <c r="D4" s="312"/>
      <c r="E4" s="509">
        <v>46032</v>
      </c>
      <c r="F4" s="292"/>
      <c r="G4" s="402" t="s">
        <v>490</v>
      </c>
      <c r="H4" s="641" t="s">
        <v>858</v>
      </c>
      <c r="I4" s="382" t="s">
        <v>416</v>
      </c>
      <c r="J4" s="385" t="s">
        <v>275</v>
      </c>
      <c r="K4" s="292"/>
      <c r="L4" s="326">
        <v>10</v>
      </c>
      <c r="M4" s="384">
        <v>416666.7</v>
      </c>
      <c r="N4" s="309">
        <v>4166667</v>
      </c>
      <c r="O4" s="309">
        <v>333333.36</v>
      </c>
      <c r="P4" s="309">
        <v>4500000.3600000003</v>
      </c>
      <c r="Q4" s="309"/>
    </row>
    <row r="5" spans="1:17">
      <c r="A5" s="296" t="s">
        <v>664</v>
      </c>
      <c r="B5" s="306" t="s">
        <v>692</v>
      </c>
      <c r="C5" s="509">
        <v>46032</v>
      </c>
      <c r="D5" s="312"/>
      <c r="E5" s="509">
        <v>46032</v>
      </c>
      <c r="F5" s="292"/>
      <c r="G5" s="402" t="s">
        <v>490</v>
      </c>
      <c r="H5" s="641" t="s">
        <v>858</v>
      </c>
      <c r="I5" s="326" t="s">
        <v>80</v>
      </c>
      <c r="J5" s="386" t="s">
        <v>81</v>
      </c>
      <c r="K5" s="292"/>
      <c r="L5" s="326">
        <v>8</v>
      </c>
      <c r="M5" s="384">
        <v>824074.13</v>
      </c>
      <c r="N5" s="309">
        <v>6592593.04</v>
      </c>
      <c r="O5" s="309">
        <v>527407.44319999998</v>
      </c>
      <c r="P5" s="309">
        <v>7120000.4831999997</v>
      </c>
      <c r="Q5" s="309"/>
    </row>
    <row r="6" spans="1:17">
      <c r="A6" s="296" t="s">
        <v>664</v>
      </c>
      <c r="B6" s="306" t="s">
        <v>692</v>
      </c>
      <c r="C6" s="509">
        <v>46032</v>
      </c>
      <c r="D6" s="312"/>
      <c r="E6" s="509">
        <v>46032</v>
      </c>
      <c r="F6" s="292"/>
      <c r="G6" s="402" t="s">
        <v>490</v>
      </c>
      <c r="H6" s="641" t="s">
        <v>858</v>
      </c>
      <c r="I6" s="326" t="s">
        <v>21</v>
      </c>
      <c r="J6" s="387" t="s">
        <v>22</v>
      </c>
      <c r="K6" s="292"/>
      <c r="L6" s="326">
        <v>8</v>
      </c>
      <c r="M6" s="384">
        <v>937963</v>
      </c>
      <c r="N6" s="309">
        <v>7503704</v>
      </c>
      <c r="O6" s="309">
        <v>600296.32000000007</v>
      </c>
      <c r="P6" s="309">
        <v>8104000.3200000003</v>
      </c>
      <c r="Q6" s="309"/>
    </row>
    <row r="7" spans="1:17">
      <c r="A7" s="296" t="s">
        <v>664</v>
      </c>
      <c r="B7" s="306" t="s">
        <v>692</v>
      </c>
      <c r="C7" s="509">
        <v>46032</v>
      </c>
      <c r="D7" s="312"/>
      <c r="E7" s="509">
        <v>46032</v>
      </c>
      <c r="F7" s="292"/>
      <c r="G7" s="402" t="s">
        <v>490</v>
      </c>
      <c r="H7" s="641" t="s">
        <v>858</v>
      </c>
      <c r="I7" s="382" t="s">
        <v>68</v>
      </c>
      <c r="J7" s="387" t="s">
        <v>69</v>
      </c>
      <c r="K7" s="292"/>
      <c r="L7" s="326">
        <v>24</v>
      </c>
      <c r="M7" s="384">
        <v>111111.13</v>
      </c>
      <c r="N7" s="309">
        <v>2666667.12</v>
      </c>
      <c r="O7" s="309">
        <v>213333.36960000001</v>
      </c>
      <c r="P7" s="309">
        <v>2880000.4896</v>
      </c>
      <c r="Q7" s="309"/>
    </row>
    <row r="8" spans="1:17">
      <c r="A8" s="296" t="s">
        <v>664</v>
      </c>
      <c r="B8" s="306" t="s">
        <v>692</v>
      </c>
      <c r="C8" s="509">
        <v>46032</v>
      </c>
      <c r="D8" s="312"/>
      <c r="E8" s="509">
        <v>46032</v>
      </c>
      <c r="F8" s="292"/>
      <c r="G8" s="402" t="s">
        <v>490</v>
      </c>
      <c r="H8" s="641" t="s">
        <v>858</v>
      </c>
      <c r="I8" s="326" t="s">
        <v>70</v>
      </c>
      <c r="J8" s="387" t="s">
        <v>71</v>
      </c>
      <c r="K8" s="292"/>
      <c r="L8" s="326">
        <v>24</v>
      </c>
      <c r="M8" s="384">
        <v>120370.38</v>
      </c>
      <c r="N8" s="309">
        <v>2888889.12</v>
      </c>
      <c r="O8" s="309">
        <v>231111.12960000001</v>
      </c>
      <c r="P8" s="309">
        <v>3120000.2496000002</v>
      </c>
      <c r="Q8" s="309"/>
    </row>
    <row r="9" spans="1:17">
      <c r="A9" s="296" t="s">
        <v>664</v>
      </c>
      <c r="B9" s="306" t="s">
        <v>692</v>
      </c>
      <c r="C9" s="509">
        <v>46032</v>
      </c>
      <c r="D9" s="312"/>
      <c r="E9" s="509">
        <v>46032</v>
      </c>
      <c r="F9" s="292"/>
      <c r="G9" s="402" t="s">
        <v>490</v>
      </c>
      <c r="H9" s="641" t="s">
        <v>858</v>
      </c>
      <c r="I9" s="382" t="s">
        <v>72</v>
      </c>
      <c r="J9" s="387" t="s">
        <v>73</v>
      </c>
      <c r="K9" s="292"/>
      <c r="L9" s="326">
        <v>24</v>
      </c>
      <c r="M9" s="384">
        <v>129629.63</v>
      </c>
      <c r="N9" s="309">
        <v>3111111.12</v>
      </c>
      <c r="O9" s="309">
        <v>248888.88960000002</v>
      </c>
      <c r="P9" s="309">
        <v>3360000.0096</v>
      </c>
      <c r="Q9" s="309"/>
    </row>
    <row r="10" spans="1:17">
      <c r="A10" s="296" t="s">
        <v>664</v>
      </c>
      <c r="B10" s="306" t="s">
        <v>692</v>
      </c>
      <c r="C10" s="509">
        <v>46032</v>
      </c>
      <c r="D10" s="312"/>
      <c r="E10" s="509">
        <v>46032</v>
      </c>
      <c r="F10" s="292"/>
      <c r="G10" s="402" t="s">
        <v>490</v>
      </c>
      <c r="H10" s="641" t="s">
        <v>858</v>
      </c>
      <c r="I10" s="326" t="s">
        <v>180</v>
      </c>
      <c r="J10" s="387" t="s">
        <v>181</v>
      </c>
      <c r="K10" s="292"/>
      <c r="L10" s="326">
        <v>10</v>
      </c>
      <c r="M10" s="384">
        <v>234259.3</v>
      </c>
      <c r="N10" s="309">
        <v>2342593</v>
      </c>
      <c r="O10" s="309">
        <v>187407.44</v>
      </c>
      <c r="P10" s="309">
        <v>2530000.44</v>
      </c>
      <c r="Q10" s="309"/>
    </row>
    <row r="11" spans="1:17">
      <c r="A11" s="296" t="s">
        <v>664</v>
      </c>
      <c r="B11" s="306" t="s">
        <v>692</v>
      </c>
      <c r="C11" s="509">
        <v>46032</v>
      </c>
      <c r="D11" s="312"/>
      <c r="E11" s="509">
        <v>46032</v>
      </c>
      <c r="F11" s="292"/>
      <c r="G11" s="402" t="s">
        <v>490</v>
      </c>
      <c r="H11" s="641" t="s">
        <v>858</v>
      </c>
      <c r="I11" s="382" t="s">
        <v>26</v>
      </c>
      <c r="J11" s="387" t="s">
        <v>182</v>
      </c>
      <c r="K11" s="292"/>
      <c r="L11" s="326">
        <v>10</v>
      </c>
      <c r="M11" s="384">
        <v>256481.5</v>
      </c>
      <c r="N11" s="309">
        <v>2564815</v>
      </c>
      <c r="O11" s="309">
        <v>205185.2</v>
      </c>
      <c r="P11" s="309">
        <v>2770000.2</v>
      </c>
      <c r="Q11" s="309"/>
    </row>
    <row r="12" spans="1:17">
      <c r="A12" s="296" t="s">
        <v>664</v>
      </c>
      <c r="B12" s="306" t="s">
        <v>692</v>
      </c>
      <c r="C12" s="509">
        <v>46032</v>
      </c>
      <c r="D12" s="312"/>
      <c r="E12" s="509">
        <v>46032</v>
      </c>
      <c r="F12" s="292"/>
      <c r="G12" s="402" t="s">
        <v>490</v>
      </c>
      <c r="H12" s="641" t="s">
        <v>858</v>
      </c>
      <c r="I12" s="326" t="s">
        <v>28</v>
      </c>
      <c r="J12" s="387" t="s">
        <v>183</v>
      </c>
      <c r="K12" s="292"/>
      <c r="L12" s="326">
        <v>10</v>
      </c>
      <c r="M12" s="384">
        <v>281481.5</v>
      </c>
      <c r="N12" s="309">
        <v>2814815</v>
      </c>
      <c r="O12" s="309">
        <v>225185.2</v>
      </c>
      <c r="P12" s="309">
        <v>3040000.2</v>
      </c>
      <c r="Q12" s="309"/>
    </row>
    <row r="13" spans="1:17">
      <c r="A13" s="296" t="s">
        <v>664</v>
      </c>
      <c r="B13" s="306" t="s">
        <v>692</v>
      </c>
      <c r="C13" s="509">
        <v>46032</v>
      </c>
      <c r="D13" s="312"/>
      <c r="E13" s="509">
        <v>46032</v>
      </c>
      <c r="F13" s="292"/>
      <c r="G13" s="402" t="s">
        <v>490</v>
      </c>
      <c r="H13" s="641" t="s">
        <v>858</v>
      </c>
      <c r="I13" s="382" t="s">
        <v>184</v>
      </c>
      <c r="J13" s="387" t="s">
        <v>185</v>
      </c>
      <c r="K13" s="292"/>
      <c r="L13" s="326">
        <v>10</v>
      </c>
      <c r="M13" s="384">
        <v>227777.8</v>
      </c>
      <c r="N13" s="309">
        <v>2277778</v>
      </c>
      <c r="O13" s="309">
        <v>182222.24</v>
      </c>
      <c r="P13" s="309">
        <v>2460000.2400000002</v>
      </c>
      <c r="Q13" s="309"/>
    </row>
    <row r="14" spans="1:17">
      <c r="A14" s="296" t="s">
        <v>664</v>
      </c>
      <c r="B14" s="306" t="s">
        <v>692</v>
      </c>
      <c r="C14" s="509">
        <v>46032</v>
      </c>
      <c r="D14" s="312"/>
      <c r="E14" s="509">
        <v>46032</v>
      </c>
      <c r="F14" s="292"/>
      <c r="G14" s="402" t="s">
        <v>490</v>
      </c>
      <c r="H14" s="641" t="s">
        <v>858</v>
      </c>
      <c r="I14" s="326" t="s">
        <v>30</v>
      </c>
      <c r="J14" s="387" t="s">
        <v>186</v>
      </c>
      <c r="K14" s="292"/>
      <c r="L14" s="326">
        <v>10</v>
      </c>
      <c r="M14" s="384">
        <v>252777.8</v>
      </c>
      <c r="N14" s="309">
        <v>2527778</v>
      </c>
      <c r="O14" s="309">
        <v>202222.24</v>
      </c>
      <c r="P14" s="309">
        <v>2730000.24</v>
      </c>
      <c r="Q14" s="309"/>
    </row>
    <row r="15" spans="1:17">
      <c r="A15" s="296" t="s">
        <v>664</v>
      </c>
      <c r="B15" s="306" t="s">
        <v>692</v>
      </c>
      <c r="C15" s="509">
        <v>46032</v>
      </c>
      <c r="D15" s="312"/>
      <c r="E15" s="509">
        <v>46032</v>
      </c>
      <c r="F15" s="292"/>
      <c r="G15" s="402" t="s">
        <v>490</v>
      </c>
      <c r="H15" s="641" t="s">
        <v>858</v>
      </c>
      <c r="I15" s="382" t="s">
        <v>32</v>
      </c>
      <c r="J15" s="387" t="s">
        <v>187</v>
      </c>
      <c r="K15" s="292"/>
      <c r="L15" s="326">
        <v>10</v>
      </c>
      <c r="M15" s="384">
        <v>256481.5</v>
      </c>
      <c r="N15" s="309">
        <v>2564815</v>
      </c>
      <c r="O15" s="309">
        <v>205185.2</v>
      </c>
      <c r="P15" s="309">
        <v>2770000.2</v>
      </c>
      <c r="Q15" s="309"/>
    </row>
    <row r="16" spans="1:17">
      <c r="A16" s="296" t="s">
        <v>664</v>
      </c>
      <c r="B16" s="306" t="s">
        <v>692</v>
      </c>
      <c r="C16" s="509">
        <v>46032</v>
      </c>
      <c r="D16" s="312"/>
      <c r="E16" s="509">
        <v>46032</v>
      </c>
      <c r="F16" s="292"/>
      <c r="G16" s="402" t="s">
        <v>490</v>
      </c>
      <c r="H16" s="641" t="s">
        <v>858</v>
      </c>
      <c r="I16" s="326" t="s">
        <v>34</v>
      </c>
      <c r="J16" s="387" t="s">
        <v>188</v>
      </c>
      <c r="K16" s="292"/>
      <c r="L16" s="326">
        <v>10</v>
      </c>
      <c r="M16" s="384">
        <v>227777.8</v>
      </c>
      <c r="N16" s="309">
        <v>2277778</v>
      </c>
      <c r="O16" s="309">
        <v>182222.24</v>
      </c>
      <c r="P16" s="309">
        <v>2460000.2400000002</v>
      </c>
      <c r="Q16" s="309"/>
    </row>
    <row r="17" spans="1:17">
      <c r="A17" s="296" t="s">
        <v>664</v>
      </c>
      <c r="B17" s="306" t="s">
        <v>692</v>
      </c>
      <c r="C17" s="509">
        <v>46032</v>
      </c>
      <c r="D17" s="312"/>
      <c r="E17" s="509">
        <v>46032</v>
      </c>
      <c r="F17" s="292"/>
      <c r="G17" s="402" t="s">
        <v>490</v>
      </c>
      <c r="H17" s="641" t="s">
        <v>858</v>
      </c>
      <c r="I17" s="382" t="s">
        <v>36</v>
      </c>
      <c r="J17" s="387" t="s">
        <v>189</v>
      </c>
      <c r="K17" s="292"/>
      <c r="L17" s="326">
        <v>10</v>
      </c>
      <c r="M17" s="384">
        <v>252777.8</v>
      </c>
      <c r="N17" s="309">
        <v>2527778</v>
      </c>
      <c r="O17" s="309">
        <v>202222.24</v>
      </c>
      <c r="P17" s="309">
        <v>2730000.24</v>
      </c>
      <c r="Q17" s="309"/>
    </row>
    <row r="18" spans="1:17">
      <c r="A18" s="296" t="s">
        <v>664</v>
      </c>
      <c r="B18" s="306" t="s">
        <v>692</v>
      </c>
      <c r="C18" s="509">
        <v>46032</v>
      </c>
      <c r="D18" s="312"/>
      <c r="E18" s="509">
        <v>46032</v>
      </c>
      <c r="F18" s="292"/>
      <c r="G18" s="402" t="s">
        <v>490</v>
      </c>
      <c r="H18" s="641" t="s">
        <v>858</v>
      </c>
      <c r="I18" s="326" t="s">
        <v>38</v>
      </c>
      <c r="J18" s="387" t="s">
        <v>190</v>
      </c>
      <c r="K18" s="292"/>
      <c r="L18" s="326">
        <v>10</v>
      </c>
      <c r="M18" s="384">
        <v>277777.8</v>
      </c>
      <c r="N18" s="309">
        <v>2777778</v>
      </c>
      <c r="O18" s="309">
        <v>222222.24</v>
      </c>
      <c r="P18" s="309">
        <v>3000000.24</v>
      </c>
      <c r="Q18" s="309"/>
    </row>
    <row r="19" spans="1:17">
      <c r="A19" s="296" t="s">
        <v>664</v>
      </c>
      <c r="B19" s="306" t="s">
        <v>692</v>
      </c>
      <c r="C19" s="509">
        <v>46032</v>
      </c>
      <c r="D19" s="312"/>
      <c r="E19" s="509">
        <v>46032</v>
      </c>
      <c r="F19" s="292"/>
      <c r="G19" s="402" t="s">
        <v>490</v>
      </c>
      <c r="H19" s="641" t="s">
        <v>858</v>
      </c>
      <c r="I19" s="382" t="s">
        <v>40</v>
      </c>
      <c r="J19" s="387" t="s">
        <v>41</v>
      </c>
      <c r="K19" s="292"/>
      <c r="L19" s="326">
        <v>8</v>
      </c>
      <c r="M19" s="384">
        <v>844444.5</v>
      </c>
      <c r="N19" s="309">
        <v>6755556</v>
      </c>
      <c r="O19" s="309">
        <v>540444.48</v>
      </c>
      <c r="P19" s="309">
        <v>7296000.4800000004</v>
      </c>
      <c r="Q19" s="309"/>
    </row>
    <row r="20" spans="1:17">
      <c r="A20" s="296" t="s">
        <v>664</v>
      </c>
      <c r="B20" s="306" t="s">
        <v>692</v>
      </c>
      <c r="C20" s="509">
        <v>46032</v>
      </c>
      <c r="D20" s="312"/>
      <c r="E20" s="509">
        <v>46032</v>
      </c>
      <c r="F20" s="292"/>
      <c r="G20" s="402" t="s">
        <v>490</v>
      </c>
      <c r="H20" s="641" t="s">
        <v>858</v>
      </c>
      <c r="I20" s="326" t="s">
        <v>194</v>
      </c>
      <c r="J20" s="387" t="s">
        <v>276</v>
      </c>
      <c r="K20" s="292"/>
      <c r="L20" s="326">
        <v>4</v>
      </c>
      <c r="M20" s="384">
        <v>1203703.75</v>
      </c>
      <c r="N20" s="309">
        <v>4814815</v>
      </c>
      <c r="O20" s="309">
        <v>385185.2</v>
      </c>
      <c r="P20" s="309">
        <v>5200000.2</v>
      </c>
      <c r="Q20" s="309"/>
    </row>
    <row r="21" spans="1:17">
      <c r="A21" s="296" t="s">
        <v>664</v>
      </c>
      <c r="B21" s="306" t="s">
        <v>692</v>
      </c>
      <c r="C21" s="509">
        <v>46032</v>
      </c>
      <c r="D21" s="312"/>
      <c r="E21" s="509">
        <v>46032</v>
      </c>
      <c r="F21" s="292"/>
      <c r="G21" s="402" t="s">
        <v>490</v>
      </c>
      <c r="H21" s="641" t="s">
        <v>858</v>
      </c>
      <c r="I21" s="382" t="s">
        <v>58</v>
      </c>
      <c r="J21" s="388" t="s">
        <v>59</v>
      </c>
      <c r="K21" s="292"/>
      <c r="L21" s="326">
        <v>4</v>
      </c>
      <c r="M21" s="384">
        <v>1361111</v>
      </c>
      <c r="N21" s="309">
        <v>5444444</v>
      </c>
      <c r="O21" s="309">
        <v>435555.52</v>
      </c>
      <c r="P21" s="309">
        <v>5879999.5199999996</v>
      </c>
      <c r="Q21" s="309"/>
    </row>
    <row r="22" spans="1:17">
      <c r="A22" s="296" t="s">
        <v>664</v>
      </c>
      <c r="B22" s="306" t="s">
        <v>692</v>
      </c>
      <c r="C22" s="509">
        <v>46032</v>
      </c>
      <c r="D22" s="312"/>
      <c r="E22" s="509">
        <v>46032</v>
      </c>
      <c r="F22" s="292"/>
      <c r="G22" s="402" t="s">
        <v>490</v>
      </c>
      <c r="H22" s="641" t="s">
        <v>858</v>
      </c>
      <c r="I22" s="326" t="s">
        <v>206</v>
      </c>
      <c r="J22" s="387" t="s">
        <v>492</v>
      </c>
      <c r="K22" s="292"/>
      <c r="L22" s="326">
        <v>12</v>
      </c>
      <c r="M22" s="384">
        <v>483333.33</v>
      </c>
      <c r="N22" s="309">
        <v>5799999.96</v>
      </c>
      <c r="O22" s="309">
        <v>463999.99680000002</v>
      </c>
      <c r="P22" s="309">
        <v>6263999.9567999998</v>
      </c>
      <c r="Q22" s="309"/>
    </row>
    <row r="23" spans="1:17">
      <c r="A23" s="296" t="s">
        <v>664</v>
      </c>
      <c r="B23" s="306" t="s">
        <v>692</v>
      </c>
      <c r="C23" s="509">
        <v>46032</v>
      </c>
      <c r="D23" s="312"/>
      <c r="E23" s="509">
        <v>46032</v>
      </c>
      <c r="F23" s="292"/>
      <c r="G23" s="402" t="s">
        <v>490</v>
      </c>
      <c r="H23" s="641" t="s">
        <v>858</v>
      </c>
      <c r="I23" s="326" t="s">
        <v>208</v>
      </c>
      <c r="J23" s="387" t="s">
        <v>209</v>
      </c>
      <c r="K23" s="292"/>
      <c r="L23" s="326">
        <v>10</v>
      </c>
      <c r="M23" s="384">
        <v>647222.22</v>
      </c>
      <c r="N23" s="309">
        <v>6472222.1999999993</v>
      </c>
      <c r="O23" s="309">
        <v>517777.77599999995</v>
      </c>
      <c r="P23" s="309">
        <v>6989999.9759999989</v>
      </c>
      <c r="Q23" s="309"/>
    </row>
    <row r="24" spans="1:17" s="686" customFormat="1">
      <c r="A24" s="625" t="s">
        <v>664</v>
      </c>
      <c r="B24" s="306" t="s">
        <v>692</v>
      </c>
      <c r="C24" s="509">
        <v>46032</v>
      </c>
      <c r="D24" s="628"/>
      <c r="E24" s="347"/>
      <c r="F24" s="629"/>
      <c r="G24" s="333"/>
      <c r="H24" s="302" t="s">
        <v>672</v>
      </c>
      <c r="I24" s="325"/>
      <c r="J24" s="387"/>
      <c r="K24" s="629"/>
      <c r="L24" s="325"/>
      <c r="M24" s="343"/>
      <c r="N24" s="309"/>
      <c r="O24" s="309"/>
      <c r="P24" s="309"/>
      <c r="Q24" s="309">
        <v>50000000</v>
      </c>
    </row>
    <row r="25" spans="1:17">
      <c r="A25" s="296" t="s">
        <v>664</v>
      </c>
      <c r="B25" s="306" t="s">
        <v>692</v>
      </c>
      <c r="C25" s="509">
        <v>46032</v>
      </c>
      <c r="D25" s="312"/>
      <c r="E25" s="509">
        <v>46079</v>
      </c>
      <c r="F25" s="292"/>
      <c r="G25" s="380" t="s">
        <v>495</v>
      </c>
      <c r="H25" s="641" t="s">
        <v>858</v>
      </c>
      <c r="I25" s="382" t="s">
        <v>56</v>
      </c>
      <c r="J25" s="387" t="s">
        <v>57</v>
      </c>
      <c r="K25" s="292"/>
      <c r="L25" s="326">
        <v>12</v>
      </c>
      <c r="M25" s="384">
        <v>325925.92</v>
      </c>
      <c r="N25" s="309">
        <v>3911111.04</v>
      </c>
      <c r="O25" s="309">
        <v>312888.88319999998</v>
      </c>
      <c r="P25" s="309">
        <v>4223999.9232000001</v>
      </c>
      <c r="Q25" s="309"/>
    </row>
    <row r="26" spans="1:17">
      <c r="A26" s="296" t="s">
        <v>664</v>
      </c>
      <c r="B26" s="306" t="s">
        <v>692</v>
      </c>
      <c r="C26" s="509">
        <v>46032</v>
      </c>
      <c r="D26" s="312"/>
      <c r="E26" s="509">
        <v>46079</v>
      </c>
      <c r="F26" s="292"/>
      <c r="G26" s="380" t="s">
        <v>495</v>
      </c>
      <c r="H26" s="641" t="s">
        <v>858</v>
      </c>
      <c r="I26" s="326" t="s">
        <v>127</v>
      </c>
      <c r="J26" s="387" t="s">
        <v>128</v>
      </c>
      <c r="K26" s="292"/>
      <c r="L26" s="326">
        <v>12</v>
      </c>
      <c r="M26" s="384">
        <v>284259.25</v>
      </c>
      <c r="N26" s="309">
        <v>3411111</v>
      </c>
      <c r="O26" s="309">
        <v>272888.88</v>
      </c>
      <c r="P26" s="309">
        <v>3683999.88</v>
      </c>
      <c r="Q26" s="309"/>
    </row>
    <row r="27" spans="1:17">
      <c r="A27" s="296" t="s">
        <v>664</v>
      </c>
      <c r="B27" s="306" t="s">
        <v>692</v>
      </c>
      <c r="C27" s="509">
        <v>46032</v>
      </c>
      <c r="D27" s="312"/>
      <c r="E27" s="509">
        <v>46079</v>
      </c>
      <c r="F27" s="292"/>
      <c r="G27" s="381" t="s">
        <v>495</v>
      </c>
      <c r="H27" s="641" t="s">
        <v>858</v>
      </c>
      <c r="I27" s="325" t="s">
        <v>219</v>
      </c>
      <c r="J27" s="387" t="s">
        <v>483</v>
      </c>
      <c r="K27" s="292"/>
      <c r="L27" s="325">
        <v>12</v>
      </c>
      <c r="M27" s="343">
        <v>263888.92</v>
      </c>
      <c r="N27" s="309">
        <v>3166667.04</v>
      </c>
      <c r="O27" s="309">
        <v>253333.36320000002</v>
      </c>
      <c r="P27" s="309">
        <v>3420000.4032000001</v>
      </c>
      <c r="Q27" s="309"/>
    </row>
    <row r="28" spans="1:17">
      <c r="A28" s="296" t="s">
        <v>664</v>
      </c>
      <c r="B28" s="306" t="s">
        <v>692</v>
      </c>
      <c r="C28" s="347" t="s">
        <v>496</v>
      </c>
      <c r="D28" s="312"/>
      <c r="E28" s="347">
        <v>46148</v>
      </c>
      <c r="F28" s="292"/>
      <c r="G28" s="381" t="s">
        <v>497</v>
      </c>
      <c r="H28" s="641" t="s">
        <v>858</v>
      </c>
      <c r="I28" s="325" t="s">
        <v>279</v>
      </c>
      <c r="J28" s="387" t="s">
        <v>280</v>
      </c>
      <c r="K28" s="292"/>
      <c r="L28" s="325">
        <v>8</v>
      </c>
      <c r="M28" s="343">
        <v>387962.96</v>
      </c>
      <c r="N28" s="309">
        <v>3103703.68</v>
      </c>
      <c r="O28" s="309">
        <v>248296.29440000001</v>
      </c>
      <c r="P28" s="309">
        <v>3351999.9744000002</v>
      </c>
      <c r="Q28" s="309"/>
    </row>
    <row r="29" spans="1:17">
      <c r="A29" s="296" t="s">
        <v>664</v>
      </c>
      <c r="B29" s="306" t="s">
        <v>692</v>
      </c>
      <c r="C29" s="347" t="s">
        <v>496</v>
      </c>
      <c r="D29" s="312"/>
      <c r="E29" s="347">
        <v>46148</v>
      </c>
      <c r="F29" s="292"/>
      <c r="G29" s="381" t="s">
        <v>497</v>
      </c>
      <c r="H29" s="641" t="s">
        <v>858</v>
      </c>
      <c r="I29" s="325" t="s">
        <v>258</v>
      </c>
      <c r="J29" s="387" t="s">
        <v>259</v>
      </c>
      <c r="K29" s="292"/>
      <c r="L29" s="325">
        <v>8</v>
      </c>
      <c r="M29" s="343">
        <v>472222.22</v>
      </c>
      <c r="N29" s="309">
        <v>3777777.76</v>
      </c>
      <c r="O29" s="309">
        <v>302222.22080000001</v>
      </c>
      <c r="P29" s="309">
        <v>4079999.9808</v>
      </c>
      <c r="Q29" s="309"/>
    </row>
    <row r="30" spans="1:17">
      <c r="A30" s="296" t="s">
        <v>664</v>
      </c>
      <c r="B30" s="306" t="s">
        <v>692</v>
      </c>
      <c r="C30" s="347" t="s">
        <v>496</v>
      </c>
      <c r="D30" s="312"/>
      <c r="E30" s="347">
        <v>46148</v>
      </c>
      <c r="F30" s="292"/>
      <c r="G30" s="381" t="s">
        <v>497</v>
      </c>
      <c r="H30" s="641" t="s">
        <v>858</v>
      </c>
      <c r="I30" s="325" t="s">
        <v>260</v>
      </c>
      <c r="J30" s="387" t="s">
        <v>261</v>
      </c>
      <c r="K30" s="292"/>
      <c r="L30" s="325">
        <v>8</v>
      </c>
      <c r="M30" s="343">
        <v>492592.59</v>
      </c>
      <c r="N30" s="309">
        <v>3940740.72</v>
      </c>
      <c r="O30" s="309">
        <v>315259.25760000001</v>
      </c>
      <c r="P30" s="309">
        <v>4255999.9775999999</v>
      </c>
      <c r="Q30" s="309"/>
    </row>
    <row r="31" spans="1:17">
      <c r="A31" s="296" t="s">
        <v>664</v>
      </c>
      <c r="B31" s="306" t="s">
        <v>692</v>
      </c>
      <c r="C31" s="347" t="s">
        <v>496</v>
      </c>
      <c r="D31" s="312"/>
      <c r="E31" s="347">
        <v>46085</v>
      </c>
      <c r="F31" s="292"/>
      <c r="G31" s="381" t="s">
        <v>498</v>
      </c>
      <c r="H31" s="641" t="s">
        <v>858</v>
      </c>
      <c r="I31" s="325" t="s">
        <v>52</v>
      </c>
      <c r="J31" s="387" t="s">
        <v>499</v>
      </c>
      <c r="K31" s="292"/>
      <c r="L31" s="325">
        <v>6</v>
      </c>
      <c r="M31" s="343">
        <v>1007407.41</v>
      </c>
      <c r="N31" s="309">
        <v>6044444.46</v>
      </c>
      <c r="O31" s="309">
        <v>483555.55680000002</v>
      </c>
      <c r="P31" s="309">
        <v>6528000.0168000003</v>
      </c>
      <c r="Q31" s="309"/>
    </row>
    <row r="32" spans="1:17">
      <c r="A32" s="296" t="s">
        <v>664</v>
      </c>
      <c r="B32" s="306" t="s">
        <v>692</v>
      </c>
      <c r="C32" s="347" t="s">
        <v>496</v>
      </c>
      <c r="D32" s="312"/>
      <c r="E32" s="347">
        <v>46079</v>
      </c>
      <c r="F32" s="292"/>
      <c r="G32" s="381" t="s">
        <v>495</v>
      </c>
      <c r="H32" s="641" t="s">
        <v>858</v>
      </c>
      <c r="I32" s="325" t="s">
        <v>219</v>
      </c>
      <c r="J32" s="387" t="s">
        <v>483</v>
      </c>
      <c r="K32" s="292"/>
      <c r="L32" s="325">
        <v>12</v>
      </c>
      <c r="M32" s="343">
        <v>263888.89</v>
      </c>
      <c r="N32" s="309">
        <v>3166666.68</v>
      </c>
      <c r="O32" s="309">
        <v>253333.33440000002</v>
      </c>
      <c r="P32" s="309">
        <v>3420000.0144000002</v>
      </c>
      <c r="Q32" s="309"/>
    </row>
    <row r="33" spans="1:17">
      <c r="A33" s="296" t="s">
        <v>664</v>
      </c>
      <c r="B33" s="306" t="s">
        <v>692</v>
      </c>
      <c r="C33" s="347" t="s">
        <v>496</v>
      </c>
      <c r="D33" s="312"/>
      <c r="E33" s="347">
        <v>46148</v>
      </c>
      <c r="F33" s="292"/>
      <c r="G33" s="381" t="s">
        <v>497</v>
      </c>
      <c r="H33" s="641" t="s">
        <v>858</v>
      </c>
      <c r="I33" s="325" t="s">
        <v>62</v>
      </c>
      <c r="J33" s="387" t="s">
        <v>63</v>
      </c>
      <c r="K33" s="292"/>
      <c r="L33" s="325">
        <v>6</v>
      </c>
      <c r="M33" s="343"/>
      <c r="N33" s="309">
        <v>0</v>
      </c>
      <c r="O33" s="309"/>
      <c r="P33" s="309">
        <v>0</v>
      </c>
      <c r="Q33" s="309"/>
    </row>
    <row r="34" spans="1:17">
      <c r="A34" s="296" t="s">
        <v>664</v>
      </c>
      <c r="B34" s="306" t="s">
        <v>692</v>
      </c>
      <c r="C34" s="346" t="s">
        <v>496</v>
      </c>
      <c r="D34" s="312"/>
      <c r="E34" s="346">
        <v>46064</v>
      </c>
      <c r="F34" s="292"/>
      <c r="G34" s="380" t="s">
        <v>500</v>
      </c>
      <c r="H34" s="641" t="s">
        <v>858</v>
      </c>
      <c r="I34" s="326" t="s">
        <v>40</v>
      </c>
      <c r="J34" s="387" t="s">
        <v>41</v>
      </c>
      <c r="K34" s="292"/>
      <c r="L34" s="326">
        <v>8</v>
      </c>
      <c r="M34" s="384">
        <v>844444.44</v>
      </c>
      <c r="N34" s="309">
        <v>6755555.5199999996</v>
      </c>
      <c r="O34" s="309">
        <v>540444.44160000002</v>
      </c>
      <c r="P34" s="309">
        <v>7295999.9616</v>
      </c>
      <c r="Q34" s="309"/>
    </row>
    <row r="35" spans="1:17">
      <c r="A35" s="296" t="s">
        <v>664</v>
      </c>
      <c r="B35" s="306" t="s">
        <v>692</v>
      </c>
      <c r="C35" s="346" t="s">
        <v>496</v>
      </c>
      <c r="D35" s="312"/>
      <c r="E35" s="346">
        <v>46064</v>
      </c>
      <c r="F35" s="292"/>
      <c r="G35" s="380" t="s">
        <v>500</v>
      </c>
      <c r="H35" s="641" t="s">
        <v>858</v>
      </c>
      <c r="I35" s="326" t="s">
        <v>77</v>
      </c>
      <c r="J35" s="387" t="s">
        <v>501</v>
      </c>
      <c r="K35" s="292"/>
      <c r="L35" s="326">
        <v>16</v>
      </c>
      <c r="M35" s="384">
        <v>324074.07</v>
      </c>
      <c r="N35" s="309">
        <v>5185185.12</v>
      </c>
      <c r="O35" s="309">
        <v>414814.80960000004</v>
      </c>
      <c r="P35" s="309">
        <v>5599999.9296000004</v>
      </c>
      <c r="Q35" s="309"/>
    </row>
    <row r="36" spans="1:17">
      <c r="A36" s="296" t="s">
        <v>664</v>
      </c>
      <c r="B36" s="306" t="s">
        <v>692</v>
      </c>
      <c r="C36" s="346" t="s">
        <v>496</v>
      </c>
      <c r="D36" s="312"/>
      <c r="E36" s="346">
        <v>46064</v>
      </c>
      <c r="F36" s="292"/>
      <c r="G36" s="380" t="s">
        <v>500</v>
      </c>
      <c r="H36" s="641" t="s">
        <v>858</v>
      </c>
      <c r="I36" s="326" t="s">
        <v>262</v>
      </c>
      <c r="J36" s="387" t="s">
        <v>435</v>
      </c>
      <c r="K36" s="292"/>
      <c r="L36" s="326">
        <v>4</v>
      </c>
      <c r="M36" s="384">
        <v>851851.85</v>
      </c>
      <c r="N36" s="309">
        <v>3407407.4</v>
      </c>
      <c r="O36" s="309">
        <v>272592.592</v>
      </c>
      <c r="P36" s="309">
        <v>3679999.9920000001</v>
      </c>
      <c r="Q36" s="309"/>
    </row>
    <row r="37" spans="1:17">
      <c r="A37" s="296" t="s">
        <v>664</v>
      </c>
      <c r="B37" s="306" t="s">
        <v>692</v>
      </c>
      <c r="C37" s="346" t="s">
        <v>496</v>
      </c>
      <c r="D37" s="312"/>
      <c r="E37" s="346">
        <v>46064</v>
      </c>
      <c r="F37" s="292"/>
      <c r="G37" s="380" t="s">
        <v>500</v>
      </c>
      <c r="H37" s="641" t="s">
        <v>858</v>
      </c>
      <c r="I37" s="326" t="s">
        <v>23</v>
      </c>
      <c r="J37" s="387" t="s">
        <v>82</v>
      </c>
      <c r="K37" s="292"/>
      <c r="L37" s="326">
        <v>4</v>
      </c>
      <c r="M37" s="384">
        <v>1185185.19</v>
      </c>
      <c r="N37" s="309">
        <v>4740740.76</v>
      </c>
      <c r="O37" s="309">
        <v>379259.26079999999</v>
      </c>
      <c r="P37" s="309">
        <v>5120000.0208000001</v>
      </c>
      <c r="Q37" s="309"/>
    </row>
    <row r="38" spans="1:17">
      <c r="A38" s="296" t="s">
        <v>664</v>
      </c>
      <c r="B38" s="306" t="s">
        <v>692</v>
      </c>
      <c r="C38" s="346" t="s">
        <v>496</v>
      </c>
      <c r="D38" s="312"/>
      <c r="E38" s="346">
        <v>46064</v>
      </c>
      <c r="F38" s="292"/>
      <c r="G38" s="380" t="s">
        <v>500</v>
      </c>
      <c r="H38" s="641" t="s">
        <v>858</v>
      </c>
      <c r="I38" s="326" t="s">
        <v>274</v>
      </c>
      <c r="J38" s="387" t="s">
        <v>297</v>
      </c>
      <c r="K38" s="292"/>
      <c r="L38" s="326">
        <v>6</v>
      </c>
      <c r="M38" s="384">
        <v>416666.67</v>
      </c>
      <c r="N38" s="309">
        <v>2500000.02</v>
      </c>
      <c r="O38" s="309">
        <v>200000.00160000002</v>
      </c>
      <c r="P38" s="309">
        <v>2700000.0216000001</v>
      </c>
      <c r="Q38" s="309"/>
    </row>
    <row r="39" spans="1:17">
      <c r="A39" s="296" t="s">
        <v>664</v>
      </c>
      <c r="B39" s="306" t="s">
        <v>692</v>
      </c>
      <c r="C39" s="346" t="s">
        <v>496</v>
      </c>
      <c r="D39" s="312"/>
      <c r="E39" s="346">
        <v>46064</v>
      </c>
      <c r="F39" s="292"/>
      <c r="G39" s="380" t="s">
        <v>500</v>
      </c>
      <c r="H39" s="641" t="s">
        <v>858</v>
      </c>
      <c r="I39" s="326" t="s">
        <v>424</v>
      </c>
      <c r="J39" s="388" t="s">
        <v>425</v>
      </c>
      <c r="K39" s="292"/>
      <c r="L39" s="326">
        <v>2</v>
      </c>
      <c r="M39" s="384">
        <v>882407.5</v>
      </c>
      <c r="N39" s="309">
        <v>1764815</v>
      </c>
      <c r="O39" s="309">
        <v>141185.20000000001</v>
      </c>
      <c r="P39" s="309">
        <v>1906000.2</v>
      </c>
      <c r="Q39" s="309"/>
    </row>
    <row r="40" spans="1:17">
      <c r="A40" s="296" t="s">
        <v>664</v>
      </c>
      <c r="B40" s="306" t="s">
        <v>692</v>
      </c>
      <c r="C40" s="346" t="s">
        <v>496</v>
      </c>
      <c r="D40" s="312"/>
      <c r="E40" s="346">
        <v>46064</v>
      </c>
      <c r="F40" s="292"/>
      <c r="G40" s="380" t="s">
        <v>500</v>
      </c>
      <c r="H40" s="641" t="s">
        <v>858</v>
      </c>
      <c r="I40" s="326" t="s">
        <v>444</v>
      </c>
      <c r="J40" s="388" t="s">
        <v>445</v>
      </c>
      <c r="K40" s="292"/>
      <c r="L40" s="326">
        <v>4</v>
      </c>
      <c r="M40" s="384">
        <v>601852.18999999994</v>
      </c>
      <c r="N40" s="309">
        <v>2407408.7599999998</v>
      </c>
      <c r="O40" s="309">
        <v>192592.70079999999</v>
      </c>
      <c r="P40" s="309">
        <v>2600001.4607999995</v>
      </c>
      <c r="Q40" s="309"/>
    </row>
    <row r="41" spans="1:17" ht="30">
      <c r="A41" s="296" t="s">
        <v>664</v>
      </c>
      <c r="B41" s="306" t="s">
        <v>692</v>
      </c>
      <c r="C41" s="346">
        <v>46055</v>
      </c>
      <c r="D41" s="312"/>
      <c r="E41" s="346">
        <v>46056</v>
      </c>
      <c r="F41" s="292"/>
      <c r="G41" s="402" t="s">
        <v>502</v>
      </c>
      <c r="H41" s="641" t="s">
        <v>858</v>
      </c>
      <c r="I41" s="326" t="s">
        <v>260</v>
      </c>
      <c r="J41" s="388" t="s">
        <v>503</v>
      </c>
      <c r="K41" s="292"/>
      <c r="L41" s="326">
        <v>8</v>
      </c>
      <c r="M41" s="384">
        <v>492592.59</v>
      </c>
      <c r="N41" s="309">
        <v>3940740.72</v>
      </c>
      <c r="O41" s="309">
        <v>315259.25760000001</v>
      </c>
      <c r="P41" s="309">
        <v>4255999.9775999999</v>
      </c>
      <c r="Q41" s="309"/>
    </row>
    <row r="42" spans="1:17">
      <c r="A42" s="296" t="s">
        <v>664</v>
      </c>
      <c r="B42" s="306" t="s">
        <v>692</v>
      </c>
      <c r="C42" s="346">
        <v>46055</v>
      </c>
      <c r="D42" s="312"/>
      <c r="E42" s="346">
        <v>46056</v>
      </c>
      <c r="F42" s="292"/>
      <c r="G42" s="402" t="s">
        <v>502</v>
      </c>
      <c r="H42" s="641" t="s">
        <v>858</v>
      </c>
      <c r="I42" s="326" t="s">
        <v>80</v>
      </c>
      <c r="J42" s="387" t="s">
        <v>81</v>
      </c>
      <c r="K42" s="292"/>
      <c r="L42" s="326">
        <v>4</v>
      </c>
      <c r="M42" s="384">
        <v>824074.07</v>
      </c>
      <c r="N42" s="309">
        <v>3296296.28</v>
      </c>
      <c r="O42" s="309">
        <v>263703.70240000001</v>
      </c>
      <c r="P42" s="309">
        <v>3559999.9823999996</v>
      </c>
      <c r="Q42" s="309"/>
    </row>
    <row r="43" spans="1:17" ht="30">
      <c r="A43" s="296" t="s">
        <v>664</v>
      </c>
      <c r="B43" s="306" t="s">
        <v>692</v>
      </c>
      <c r="C43" s="346">
        <v>46055</v>
      </c>
      <c r="D43" s="312"/>
      <c r="E43" s="346">
        <v>46056</v>
      </c>
      <c r="F43" s="292"/>
      <c r="G43" s="402" t="s">
        <v>502</v>
      </c>
      <c r="H43" s="641" t="s">
        <v>858</v>
      </c>
      <c r="I43" s="326" t="s">
        <v>21</v>
      </c>
      <c r="J43" s="388" t="s">
        <v>338</v>
      </c>
      <c r="K43" s="292"/>
      <c r="L43" s="326">
        <v>8</v>
      </c>
      <c r="M43" s="384">
        <v>937962.96</v>
      </c>
      <c r="N43" s="309">
        <v>7503703.6799999997</v>
      </c>
      <c r="O43" s="309">
        <v>600296.29440000001</v>
      </c>
      <c r="P43" s="309">
        <v>8103999.9743999997</v>
      </c>
      <c r="Q43" s="309"/>
    </row>
    <row r="44" spans="1:17" ht="45">
      <c r="A44" s="296" t="s">
        <v>664</v>
      </c>
      <c r="B44" s="306" t="s">
        <v>692</v>
      </c>
      <c r="C44" s="346">
        <v>46055</v>
      </c>
      <c r="D44" s="299"/>
      <c r="E44" s="346">
        <v>46056</v>
      </c>
      <c r="F44" s="298"/>
      <c r="G44" s="402" t="s">
        <v>502</v>
      </c>
      <c r="H44" s="641" t="s">
        <v>858</v>
      </c>
      <c r="I44" s="326" t="s">
        <v>38</v>
      </c>
      <c r="J44" s="388" t="s">
        <v>504</v>
      </c>
      <c r="K44" s="298"/>
      <c r="L44" s="326">
        <v>10</v>
      </c>
      <c r="M44" s="384">
        <v>277777.78000000003</v>
      </c>
      <c r="N44" s="309">
        <v>2777777.8000000003</v>
      </c>
      <c r="O44" s="309">
        <v>222222.22400000002</v>
      </c>
      <c r="P44" s="309">
        <v>3000000.0240000002</v>
      </c>
      <c r="Q44" s="309"/>
    </row>
    <row r="45" spans="1:17" ht="30">
      <c r="A45" s="296" t="s">
        <v>664</v>
      </c>
      <c r="B45" s="306" t="s">
        <v>692</v>
      </c>
      <c r="C45" s="346">
        <v>46055</v>
      </c>
      <c r="D45" s="299"/>
      <c r="E45" s="346">
        <v>46056</v>
      </c>
      <c r="F45" s="298"/>
      <c r="G45" s="402" t="s">
        <v>502</v>
      </c>
      <c r="H45" s="641" t="s">
        <v>858</v>
      </c>
      <c r="I45" s="326" t="s">
        <v>40</v>
      </c>
      <c r="J45" s="388" t="s">
        <v>505</v>
      </c>
      <c r="K45" s="298"/>
      <c r="L45" s="326">
        <v>2</v>
      </c>
      <c r="M45" s="384">
        <v>844444.44</v>
      </c>
      <c r="N45" s="309">
        <v>1688888.88</v>
      </c>
      <c r="O45" s="309">
        <v>135111.11040000001</v>
      </c>
      <c r="P45" s="309">
        <v>1823999.9904</v>
      </c>
      <c r="Q45" s="309"/>
    </row>
    <row r="46" spans="1:17">
      <c r="A46" s="296" t="s">
        <v>664</v>
      </c>
      <c r="B46" s="306" t="s">
        <v>692</v>
      </c>
      <c r="C46" s="346">
        <v>46055</v>
      </c>
      <c r="D46" s="299"/>
      <c r="E46" s="346">
        <v>46056</v>
      </c>
      <c r="F46" s="298"/>
      <c r="G46" s="402" t="s">
        <v>502</v>
      </c>
      <c r="H46" s="641" t="s">
        <v>858</v>
      </c>
      <c r="I46" s="326" t="s">
        <v>274</v>
      </c>
      <c r="J46" s="387" t="s">
        <v>297</v>
      </c>
      <c r="K46" s="298"/>
      <c r="L46" s="326">
        <v>20</v>
      </c>
      <c r="M46" s="384">
        <v>416666.67</v>
      </c>
      <c r="N46" s="309">
        <v>8333333.3999999994</v>
      </c>
      <c r="O46" s="309">
        <v>666666.67200000002</v>
      </c>
      <c r="P46" s="309">
        <v>9000000.0719999988</v>
      </c>
      <c r="Q46" s="309"/>
    </row>
    <row r="47" spans="1:17">
      <c r="A47" s="296" t="s">
        <v>664</v>
      </c>
      <c r="B47" s="306" t="s">
        <v>692</v>
      </c>
      <c r="C47" s="346">
        <v>46059</v>
      </c>
      <c r="D47" s="299"/>
      <c r="E47" s="346">
        <v>46062</v>
      </c>
      <c r="F47" s="298"/>
      <c r="G47" s="402" t="s">
        <v>506</v>
      </c>
      <c r="H47" s="641" t="s">
        <v>858</v>
      </c>
      <c r="I47" s="326" t="s">
        <v>204</v>
      </c>
      <c r="J47" s="387" t="s">
        <v>269</v>
      </c>
      <c r="K47" s="298"/>
      <c r="L47" s="326">
        <v>4</v>
      </c>
      <c r="M47" s="384">
        <v>480555.55</v>
      </c>
      <c r="N47" s="309">
        <v>1922222.2</v>
      </c>
      <c r="O47" s="309">
        <v>153777.77600000001</v>
      </c>
      <c r="P47" s="309">
        <v>2075999.976</v>
      </c>
      <c r="Q47" s="309"/>
    </row>
    <row r="48" spans="1:17">
      <c r="A48" s="296" t="s">
        <v>664</v>
      </c>
      <c r="B48" s="306" t="s">
        <v>692</v>
      </c>
      <c r="C48" s="346">
        <v>46059</v>
      </c>
      <c r="D48" s="299"/>
      <c r="E48" s="346">
        <v>46062</v>
      </c>
      <c r="F48" s="298"/>
      <c r="G48" s="402" t="s">
        <v>506</v>
      </c>
      <c r="H48" s="641" t="s">
        <v>858</v>
      </c>
      <c r="I48" s="326" t="s">
        <v>507</v>
      </c>
      <c r="J48" s="387" t="s">
        <v>320</v>
      </c>
      <c r="K48" s="298"/>
      <c r="L48" s="326">
        <v>8</v>
      </c>
      <c r="M48" s="384">
        <v>324074.07</v>
      </c>
      <c r="N48" s="309">
        <v>2592592.56</v>
      </c>
      <c r="O48" s="309">
        <v>207407.40480000002</v>
      </c>
      <c r="P48" s="309">
        <v>2799999.9648000002</v>
      </c>
      <c r="Q48" s="309"/>
    </row>
    <row r="49" spans="1:17">
      <c r="A49" s="296" t="s">
        <v>664</v>
      </c>
      <c r="B49" s="306" t="s">
        <v>692</v>
      </c>
      <c r="C49" s="346">
        <v>46059</v>
      </c>
      <c r="D49" s="299"/>
      <c r="E49" s="346">
        <v>46062</v>
      </c>
      <c r="F49" s="298"/>
      <c r="G49" s="402" t="s">
        <v>506</v>
      </c>
      <c r="H49" s="641" t="s">
        <v>858</v>
      </c>
      <c r="I49" s="326" t="s">
        <v>180</v>
      </c>
      <c r="J49" s="388" t="s">
        <v>181</v>
      </c>
      <c r="K49" s="298"/>
      <c r="L49" s="326">
        <v>10</v>
      </c>
      <c r="M49" s="384">
        <v>234259.3</v>
      </c>
      <c r="N49" s="309">
        <v>2342593</v>
      </c>
      <c r="O49" s="309">
        <v>187407.44</v>
      </c>
      <c r="P49" s="309">
        <v>2530000.44</v>
      </c>
      <c r="Q49" s="309"/>
    </row>
    <row r="50" spans="1:17">
      <c r="A50" s="296" t="s">
        <v>664</v>
      </c>
      <c r="B50" s="306" t="s">
        <v>692</v>
      </c>
      <c r="C50" s="346">
        <v>46059</v>
      </c>
      <c r="D50" s="299"/>
      <c r="E50" s="346">
        <v>46062</v>
      </c>
      <c r="F50" s="298"/>
      <c r="G50" s="402" t="s">
        <v>506</v>
      </c>
      <c r="H50" s="641" t="s">
        <v>858</v>
      </c>
      <c r="I50" s="326" t="s">
        <v>26</v>
      </c>
      <c r="J50" s="387" t="s">
        <v>27</v>
      </c>
      <c r="K50" s="298"/>
      <c r="L50" s="326">
        <v>10</v>
      </c>
      <c r="M50" s="384">
        <v>256481.5</v>
      </c>
      <c r="N50" s="309">
        <v>2564815</v>
      </c>
      <c r="O50" s="309">
        <v>205185.2</v>
      </c>
      <c r="P50" s="309">
        <v>2770000.2</v>
      </c>
      <c r="Q50" s="309"/>
    </row>
    <row r="51" spans="1:17">
      <c r="A51" s="296" t="s">
        <v>664</v>
      </c>
      <c r="B51" s="306" t="s">
        <v>692</v>
      </c>
      <c r="C51" s="346">
        <v>46059</v>
      </c>
      <c r="D51" s="299"/>
      <c r="E51" s="346">
        <v>46062</v>
      </c>
      <c r="F51" s="298"/>
      <c r="G51" s="402" t="s">
        <v>506</v>
      </c>
      <c r="H51" s="641" t="s">
        <v>858</v>
      </c>
      <c r="I51" s="326" t="s">
        <v>28</v>
      </c>
      <c r="J51" s="387" t="s">
        <v>29</v>
      </c>
      <c r="K51" s="298"/>
      <c r="L51" s="326">
        <v>10</v>
      </c>
      <c r="M51" s="384">
        <v>281481.5</v>
      </c>
      <c r="N51" s="309">
        <v>2814815</v>
      </c>
      <c r="O51" s="309">
        <v>225185.2</v>
      </c>
      <c r="P51" s="309">
        <v>3040000.2</v>
      </c>
      <c r="Q51" s="309"/>
    </row>
    <row r="52" spans="1:17" ht="45">
      <c r="A52" s="296" t="s">
        <v>664</v>
      </c>
      <c r="B52" s="306" t="s">
        <v>692</v>
      </c>
      <c r="C52" s="346">
        <v>46059</v>
      </c>
      <c r="D52" s="299"/>
      <c r="E52" s="346">
        <v>46062</v>
      </c>
      <c r="F52" s="298"/>
      <c r="G52" s="402" t="s">
        <v>506</v>
      </c>
      <c r="H52" s="641" t="s">
        <v>858</v>
      </c>
      <c r="I52" s="326" t="s">
        <v>184</v>
      </c>
      <c r="J52" s="388" t="s">
        <v>508</v>
      </c>
      <c r="K52" s="298"/>
      <c r="L52" s="326">
        <v>10</v>
      </c>
      <c r="M52" s="384">
        <v>240740.74</v>
      </c>
      <c r="N52" s="309">
        <v>2407407.4</v>
      </c>
      <c r="O52" s="309">
        <v>192592.592</v>
      </c>
      <c r="P52" s="309">
        <v>2599999.9920000001</v>
      </c>
      <c r="Q52" s="309"/>
    </row>
    <row r="53" spans="1:17">
      <c r="A53" s="296" t="s">
        <v>664</v>
      </c>
      <c r="B53" s="306" t="s">
        <v>692</v>
      </c>
      <c r="C53" s="346">
        <v>46059</v>
      </c>
      <c r="D53" s="299"/>
      <c r="E53" s="346">
        <v>46062</v>
      </c>
      <c r="F53" s="298"/>
      <c r="G53" s="402" t="s">
        <v>506</v>
      </c>
      <c r="H53" s="641" t="s">
        <v>858</v>
      </c>
      <c r="I53" s="326" t="s">
        <v>30</v>
      </c>
      <c r="J53" s="387" t="s">
        <v>31</v>
      </c>
      <c r="K53" s="298"/>
      <c r="L53" s="326">
        <v>10</v>
      </c>
      <c r="M53" s="384">
        <v>259259.25</v>
      </c>
      <c r="N53" s="309">
        <v>2592592.5</v>
      </c>
      <c r="O53" s="309">
        <v>207407.4</v>
      </c>
      <c r="P53" s="309">
        <v>2799999.9</v>
      </c>
      <c r="Q53" s="309"/>
    </row>
    <row r="54" spans="1:17">
      <c r="A54" s="296" t="s">
        <v>664</v>
      </c>
      <c r="B54" s="306" t="s">
        <v>692</v>
      </c>
      <c r="C54" s="346">
        <v>46059</v>
      </c>
      <c r="D54" s="299"/>
      <c r="E54" s="346">
        <v>46062</v>
      </c>
      <c r="F54" s="298"/>
      <c r="G54" s="402" t="s">
        <v>506</v>
      </c>
      <c r="H54" s="641" t="s">
        <v>858</v>
      </c>
      <c r="I54" s="326" t="s">
        <v>32</v>
      </c>
      <c r="J54" s="387" t="s">
        <v>33</v>
      </c>
      <c r="K54" s="298"/>
      <c r="L54" s="326">
        <v>10</v>
      </c>
      <c r="M54" s="384">
        <v>226851.85</v>
      </c>
      <c r="N54" s="309">
        <v>2268518.5</v>
      </c>
      <c r="O54" s="309">
        <v>181481.48</v>
      </c>
      <c r="P54" s="309">
        <v>2449999.98</v>
      </c>
      <c r="Q54" s="309"/>
    </row>
    <row r="55" spans="1:17">
      <c r="A55" s="296" t="s">
        <v>664</v>
      </c>
      <c r="B55" s="306" t="s">
        <v>692</v>
      </c>
      <c r="C55" s="346">
        <v>46059</v>
      </c>
      <c r="D55" s="299"/>
      <c r="E55" s="346">
        <v>46062</v>
      </c>
      <c r="F55" s="298"/>
      <c r="G55" s="402" t="s">
        <v>506</v>
      </c>
      <c r="H55" s="641" t="s">
        <v>858</v>
      </c>
      <c r="I55" s="326" t="s">
        <v>34</v>
      </c>
      <c r="J55" s="387" t="s">
        <v>35</v>
      </c>
      <c r="K55" s="298"/>
      <c r="L55" s="326">
        <v>10</v>
      </c>
      <c r="M55" s="384">
        <v>240740.74</v>
      </c>
      <c r="N55" s="309">
        <v>2407407.4</v>
      </c>
      <c r="O55" s="309">
        <v>192592.592</v>
      </c>
      <c r="P55" s="309">
        <v>2599999.9920000001</v>
      </c>
      <c r="Q55" s="309"/>
    </row>
    <row r="56" spans="1:17">
      <c r="A56" s="296" t="s">
        <v>664</v>
      </c>
      <c r="B56" s="306" t="s">
        <v>692</v>
      </c>
      <c r="C56" s="346">
        <v>46059</v>
      </c>
      <c r="D56" s="299"/>
      <c r="E56" s="346">
        <v>46062</v>
      </c>
      <c r="F56" s="298"/>
      <c r="G56" s="402" t="s">
        <v>506</v>
      </c>
      <c r="H56" s="641" t="s">
        <v>858</v>
      </c>
      <c r="I56" s="326" t="s">
        <v>36</v>
      </c>
      <c r="J56" s="387" t="s">
        <v>37</v>
      </c>
      <c r="K56" s="298"/>
      <c r="L56" s="326">
        <v>10</v>
      </c>
      <c r="M56" s="384">
        <v>259259.25</v>
      </c>
      <c r="N56" s="309">
        <v>2592592.5</v>
      </c>
      <c r="O56" s="309">
        <v>207407.4</v>
      </c>
      <c r="P56" s="309">
        <v>2799999.9</v>
      </c>
      <c r="Q56" s="309"/>
    </row>
    <row r="57" spans="1:17">
      <c r="A57" s="296" t="s">
        <v>664</v>
      </c>
      <c r="B57" s="306" t="s">
        <v>692</v>
      </c>
      <c r="C57" s="346">
        <v>46059</v>
      </c>
      <c r="D57" s="299"/>
      <c r="E57" s="346">
        <v>46062</v>
      </c>
      <c r="F57" s="298"/>
      <c r="G57" s="402" t="s">
        <v>506</v>
      </c>
      <c r="H57" s="641" t="s">
        <v>858</v>
      </c>
      <c r="I57" s="326" t="s">
        <v>38</v>
      </c>
      <c r="J57" s="387" t="s">
        <v>39</v>
      </c>
      <c r="K57" s="298"/>
      <c r="L57" s="326">
        <v>10</v>
      </c>
      <c r="M57" s="384">
        <v>277277.77</v>
      </c>
      <c r="N57" s="309">
        <v>2772777.7</v>
      </c>
      <c r="O57" s="309">
        <v>221822.21600000001</v>
      </c>
      <c r="P57" s="309">
        <v>2994599.9160000002</v>
      </c>
      <c r="Q57" s="309"/>
    </row>
    <row r="58" spans="1:17" ht="30">
      <c r="A58" s="296" t="s">
        <v>664</v>
      </c>
      <c r="B58" s="306" t="s">
        <v>692</v>
      </c>
      <c r="C58" s="346">
        <v>46059</v>
      </c>
      <c r="D58" s="299"/>
      <c r="E58" s="346">
        <v>46062</v>
      </c>
      <c r="F58" s="298"/>
      <c r="G58" s="402" t="s">
        <v>506</v>
      </c>
      <c r="H58" s="641" t="s">
        <v>858</v>
      </c>
      <c r="I58" s="326" t="s">
        <v>40</v>
      </c>
      <c r="J58" s="388" t="s">
        <v>505</v>
      </c>
      <c r="K58" s="298"/>
      <c r="L58" s="326">
        <v>4</v>
      </c>
      <c r="M58" s="384">
        <v>844444.44</v>
      </c>
      <c r="N58" s="309">
        <v>3377777.76</v>
      </c>
      <c r="O58" s="309">
        <v>270222.22080000001</v>
      </c>
      <c r="P58" s="309">
        <v>3647999.9808</v>
      </c>
      <c r="Q58" s="309"/>
    </row>
    <row r="59" spans="1:17" s="686" customFormat="1">
      <c r="A59" s="625" t="s">
        <v>664</v>
      </c>
      <c r="B59" s="306" t="s">
        <v>692</v>
      </c>
      <c r="C59" s="347">
        <v>46060</v>
      </c>
      <c r="D59" s="302"/>
      <c r="E59" s="347"/>
      <c r="F59" s="626"/>
      <c r="G59" s="333" t="s">
        <v>509</v>
      </c>
      <c r="H59" s="302" t="s">
        <v>672</v>
      </c>
      <c r="K59" s="626"/>
      <c r="N59" s="309"/>
      <c r="O59" s="309"/>
      <c r="P59" s="309"/>
      <c r="Q59" s="309">
        <v>50612004</v>
      </c>
    </row>
    <row r="60" spans="1:17">
      <c r="A60" s="296" t="s">
        <v>664</v>
      </c>
      <c r="B60" s="306" t="s">
        <v>692</v>
      </c>
      <c r="C60" s="347">
        <v>46094</v>
      </c>
      <c r="D60" s="299"/>
      <c r="E60" s="347">
        <v>46106</v>
      </c>
      <c r="F60" s="298"/>
      <c r="G60" s="403" t="s">
        <v>511</v>
      </c>
      <c r="H60" s="641" t="s">
        <v>858</v>
      </c>
      <c r="I60" s="325" t="s">
        <v>60</v>
      </c>
      <c r="J60" s="387" t="s">
        <v>61</v>
      </c>
      <c r="K60" s="298"/>
      <c r="L60" s="325">
        <v>8</v>
      </c>
      <c r="M60" s="343">
        <v>1138888.8799999999</v>
      </c>
      <c r="N60" s="309">
        <v>9111111.0399999991</v>
      </c>
      <c r="O60" s="309">
        <v>728888.88319999992</v>
      </c>
      <c r="P60" s="309">
        <v>9839999.9231999982</v>
      </c>
      <c r="Q60" s="309"/>
    </row>
    <row r="61" spans="1:17" ht="30">
      <c r="A61" s="296" t="s">
        <v>664</v>
      </c>
      <c r="B61" s="306" t="s">
        <v>692</v>
      </c>
      <c r="C61" s="347">
        <v>46094</v>
      </c>
      <c r="D61" s="299"/>
      <c r="E61" s="347">
        <v>46106</v>
      </c>
      <c r="F61" s="298"/>
      <c r="G61" s="403" t="s">
        <v>511</v>
      </c>
      <c r="H61" s="641" t="s">
        <v>858</v>
      </c>
      <c r="I61" s="325" t="s">
        <v>16</v>
      </c>
      <c r="J61" s="388" t="s">
        <v>17</v>
      </c>
      <c r="K61" s="298"/>
      <c r="L61" s="325">
        <v>8</v>
      </c>
      <c r="M61" s="343">
        <v>851851.85</v>
      </c>
      <c r="N61" s="309">
        <v>6814814.7999999998</v>
      </c>
      <c r="O61" s="309">
        <v>545185.18400000001</v>
      </c>
      <c r="P61" s="309">
        <v>7359999.9840000002</v>
      </c>
      <c r="Q61" s="309"/>
    </row>
    <row r="62" spans="1:17">
      <c r="A62" s="296" t="s">
        <v>664</v>
      </c>
      <c r="B62" s="306" t="s">
        <v>692</v>
      </c>
      <c r="C62" s="347">
        <v>46094</v>
      </c>
      <c r="D62" s="299"/>
      <c r="E62" s="347">
        <v>46106</v>
      </c>
      <c r="F62" s="298"/>
      <c r="G62" s="403" t="s">
        <v>511</v>
      </c>
      <c r="H62" s="641" t="s">
        <v>858</v>
      </c>
      <c r="I62" s="325" t="s">
        <v>54</v>
      </c>
      <c r="J62" s="388" t="s">
        <v>329</v>
      </c>
      <c r="K62" s="298"/>
      <c r="L62" s="325">
        <v>12</v>
      </c>
      <c r="M62" s="343">
        <v>324074.07</v>
      </c>
      <c r="N62" s="309">
        <v>3888888.84</v>
      </c>
      <c r="O62" s="309">
        <v>311111.10719999997</v>
      </c>
      <c r="P62" s="309">
        <v>4199999.9472000003</v>
      </c>
      <c r="Q62" s="309"/>
    </row>
    <row r="63" spans="1:17" ht="30">
      <c r="A63" s="296" t="s">
        <v>664</v>
      </c>
      <c r="B63" s="306" t="s">
        <v>692</v>
      </c>
      <c r="C63" s="347">
        <v>46094</v>
      </c>
      <c r="D63" s="299"/>
      <c r="E63" s="347">
        <v>46106</v>
      </c>
      <c r="F63" s="298"/>
      <c r="G63" s="403" t="s">
        <v>511</v>
      </c>
      <c r="H63" s="641" t="s">
        <v>858</v>
      </c>
      <c r="I63" s="325" t="s">
        <v>56</v>
      </c>
      <c r="J63" s="388" t="s">
        <v>512</v>
      </c>
      <c r="K63" s="298"/>
      <c r="L63" s="325">
        <v>12</v>
      </c>
      <c r="M63" s="343">
        <v>325925.92</v>
      </c>
      <c r="N63" s="309">
        <v>3911111.04</v>
      </c>
      <c r="O63" s="309">
        <v>312888.88319999998</v>
      </c>
      <c r="P63" s="309">
        <v>4223999.9232000001</v>
      </c>
      <c r="Q63" s="309"/>
    </row>
    <row r="64" spans="1:17">
      <c r="A64" s="296" t="s">
        <v>664</v>
      </c>
      <c r="B64" s="306" t="s">
        <v>692</v>
      </c>
      <c r="C64" s="347">
        <v>46094</v>
      </c>
      <c r="D64" s="299"/>
      <c r="E64" s="347">
        <v>46106</v>
      </c>
      <c r="F64" s="298"/>
      <c r="G64" s="403" t="s">
        <v>511</v>
      </c>
      <c r="H64" s="641" t="s">
        <v>858</v>
      </c>
      <c r="I64" s="325" t="s">
        <v>107</v>
      </c>
      <c r="J64" s="388" t="s">
        <v>108</v>
      </c>
      <c r="K64" s="298"/>
      <c r="L64" s="325">
        <v>12</v>
      </c>
      <c r="M64" s="343">
        <v>349074.07</v>
      </c>
      <c r="N64" s="309">
        <v>4188888.84</v>
      </c>
      <c r="O64" s="309">
        <v>335111.10719999997</v>
      </c>
      <c r="P64" s="309">
        <v>4523999.9472000003</v>
      </c>
      <c r="Q64" s="309"/>
    </row>
    <row r="65" spans="1:17">
      <c r="A65" s="296" t="s">
        <v>664</v>
      </c>
      <c r="B65" s="306" t="s">
        <v>692</v>
      </c>
      <c r="C65" s="347">
        <v>46094</v>
      </c>
      <c r="D65" s="299"/>
      <c r="E65" s="347">
        <v>46106</v>
      </c>
      <c r="F65" s="298"/>
      <c r="G65" s="403" t="s">
        <v>511</v>
      </c>
      <c r="H65" s="641" t="s">
        <v>858</v>
      </c>
      <c r="I65" s="325" t="s">
        <v>127</v>
      </c>
      <c r="J65" s="388" t="s">
        <v>128</v>
      </c>
      <c r="K65" s="298"/>
      <c r="L65" s="325">
        <v>12</v>
      </c>
      <c r="M65" s="343">
        <v>284259.25</v>
      </c>
      <c r="N65" s="309">
        <v>3411111</v>
      </c>
      <c r="O65" s="309">
        <v>272888.88</v>
      </c>
      <c r="P65" s="309">
        <v>3683999.88</v>
      </c>
      <c r="Q65" s="309"/>
    </row>
    <row r="66" spans="1:17">
      <c r="A66" s="296" t="s">
        <v>664</v>
      </c>
      <c r="B66" s="306" t="s">
        <v>692</v>
      </c>
      <c r="C66" s="347">
        <v>46094</v>
      </c>
      <c r="D66" s="299"/>
      <c r="E66" s="347">
        <v>46106</v>
      </c>
      <c r="F66" s="298"/>
      <c r="G66" s="403" t="s">
        <v>511</v>
      </c>
      <c r="H66" s="641" t="s">
        <v>858</v>
      </c>
      <c r="I66" s="325" t="s">
        <v>219</v>
      </c>
      <c r="J66" s="388" t="s">
        <v>483</v>
      </c>
      <c r="K66" s="298"/>
      <c r="L66" s="325">
        <v>12</v>
      </c>
      <c r="M66" s="343">
        <v>263888.89</v>
      </c>
      <c r="N66" s="309">
        <v>3166666.68</v>
      </c>
      <c r="O66" s="309">
        <v>253333.33440000002</v>
      </c>
      <c r="P66" s="309">
        <v>3420000.0144000002</v>
      </c>
      <c r="Q66" s="309"/>
    </row>
    <row r="67" spans="1:17">
      <c r="A67" s="296" t="s">
        <v>664</v>
      </c>
      <c r="B67" s="306" t="s">
        <v>692</v>
      </c>
      <c r="C67" s="347">
        <v>46094</v>
      </c>
      <c r="D67" s="299"/>
      <c r="E67" s="347">
        <v>46106</v>
      </c>
      <c r="F67" s="298"/>
      <c r="G67" s="403" t="s">
        <v>511</v>
      </c>
      <c r="H67" s="641" t="s">
        <v>858</v>
      </c>
      <c r="I67" s="325" t="s">
        <v>130</v>
      </c>
      <c r="J67" s="388" t="s">
        <v>131</v>
      </c>
      <c r="K67" s="298"/>
      <c r="L67" s="325">
        <v>12</v>
      </c>
      <c r="M67" s="343">
        <v>280555.55</v>
      </c>
      <c r="N67" s="309">
        <v>3366666.5999999996</v>
      </c>
      <c r="O67" s="309">
        <v>269333.32799999998</v>
      </c>
      <c r="P67" s="309">
        <v>3635999.9279999994</v>
      </c>
      <c r="Q67" s="309"/>
    </row>
    <row r="68" spans="1:17" ht="30">
      <c r="A68" s="296" t="s">
        <v>664</v>
      </c>
      <c r="B68" s="306" t="s">
        <v>692</v>
      </c>
      <c r="C68" s="347">
        <v>46094</v>
      </c>
      <c r="D68" s="299"/>
      <c r="E68" s="347">
        <v>46148</v>
      </c>
      <c r="F68" s="298"/>
      <c r="G68" s="381" t="s">
        <v>497</v>
      </c>
      <c r="H68" s="641" t="s">
        <v>858</v>
      </c>
      <c r="I68" s="325" t="s">
        <v>83</v>
      </c>
      <c r="J68" s="388" t="s">
        <v>84</v>
      </c>
      <c r="K68" s="298"/>
      <c r="L68" s="325">
        <v>8</v>
      </c>
      <c r="M68" s="343">
        <v>1097222.22</v>
      </c>
      <c r="N68" s="309">
        <v>8777777.7599999998</v>
      </c>
      <c r="O68" s="309">
        <v>702222.22080000001</v>
      </c>
      <c r="P68" s="309">
        <v>9479999.9807999991</v>
      </c>
      <c r="Q68" s="309"/>
    </row>
    <row r="69" spans="1:17" s="686" customFormat="1">
      <c r="A69" s="625" t="s">
        <v>664</v>
      </c>
      <c r="B69" s="306" t="s">
        <v>692</v>
      </c>
      <c r="C69" s="347">
        <v>46094</v>
      </c>
      <c r="D69" s="302"/>
      <c r="E69" s="347">
        <v>46148</v>
      </c>
      <c r="F69" s="626"/>
      <c r="G69" s="381" t="s">
        <v>497</v>
      </c>
      <c r="H69" s="394" t="s">
        <v>858</v>
      </c>
      <c r="I69" s="325" t="s">
        <v>74</v>
      </c>
      <c r="J69" s="388" t="s">
        <v>141</v>
      </c>
      <c r="K69" s="626"/>
      <c r="L69" s="325">
        <v>16</v>
      </c>
      <c r="M69" s="343">
        <v>361111.11</v>
      </c>
      <c r="N69" s="309">
        <v>5777777.7599999998</v>
      </c>
      <c r="O69" s="309">
        <v>462222.22080000001</v>
      </c>
      <c r="P69" s="309">
        <v>6239999.9808</v>
      </c>
      <c r="Q69" s="309"/>
    </row>
    <row r="70" spans="1:17" s="686" customFormat="1">
      <c r="A70" s="625" t="s">
        <v>664</v>
      </c>
      <c r="B70" s="306" t="s">
        <v>692</v>
      </c>
      <c r="C70" s="347">
        <v>46330</v>
      </c>
      <c r="D70" s="302"/>
      <c r="E70" s="347">
        <v>46148</v>
      </c>
      <c r="F70" s="626"/>
      <c r="G70" s="325"/>
      <c r="H70" s="302" t="s">
        <v>672</v>
      </c>
      <c r="I70" s="325"/>
      <c r="J70" s="388"/>
      <c r="K70" s="626"/>
      <c r="L70" s="325"/>
      <c r="M70" s="343"/>
      <c r="N70" s="309"/>
      <c r="O70" s="309"/>
      <c r="P70" s="309"/>
      <c r="Q70" s="309">
        <v>40000008</v>
      </c>
    </row>
    <row r="71" spans="1:17">
      <c r="A71" s="296" t="s">
        <v>664</v>
      </c>
      <c r="B71" s="306" t="s">
        <v>692</v>
      </c>
      <c r="C71" s="347" t="s">
        <v>513</v>
      </c>
      <c r="D71" s="299"/>
      <c r="E71" s="347">
        <v>46148</v>
      </c>
      <c r="F71" s="298"/>
      <c r="G71" s="381" t="s">
        <v>497</v>
      </c>
      <c r="H71" s="641" t="s">
        <v>858</v>
      </c>
      <c r="I71" s="325" t="s">
        <v>204</v>
      </c>
      <c r="J71" s="388" t="s">
        <v>269</v>
      </c>
      <c r="K71" s="298"/>
      <c r="L71" s="325">
        <v>10</v>
      </c>
      <c r="M71" s="343">
        <v>480555.55</v>
      </c>
      <c r="N71" s="309">
        <v>4805555.5</v>
      </c>
      <c r="O71" s="309">
        <v>384444.44</v>
      </c>
      <c r="P71" s="309">
        <v>5189999.9400000004</v>
      </c>
      <c r="Q71" s="309"/>
    </row>
    <row r="72" spans="1:17" ht="30">
      <c r="A72" s="296" t="s">
        <v>664</v>
      </c>
      <c r="B72" s="306" t="s">
        <v>692</v>
      </c>
      <c r="C72" s="347" t="s">
        <v>513</v>
      </c>
      <c r="D72" s="299"/>
      <c r="E72" s="347">
        <v>46148</v>
      </c>
      <c r="F72" s="298"/>
      <c r="G72" s="381" t="s">
        <v>497</v>
      </c>
      <c r="H72" s="641" t="s">
        <v>858</v>
      </c>
      <c r="I72" s="325" t="s">
        <v>36</v>
      </c>
      <c r="J72" s="388" t="s">
        <v>37</v>
      </c>
      <c r="K72" s="298"/>
      <c r="L72" s="325">
        <v>10</v>
      </c>
      <c r="M72" s="343">
        <v>259259.26</v>
      </c>
      <c r="N72" s="309">
        <v>2592592.6</v>
      </c>
      <c r="O72" s="309">
        <v>207407.40800000002</v>
      </c>
      <c r="P72" s="309">
        <v>2800000.0079999999</v>
      </c>
      <c r="Q72" s="309"/>
    </row>
    <row r="73" spans="1:17" ht="30">
      <c r="A73" s="296" t="s">
        <v>664</v>
      </c>
      <c r="B73" s="306" t="s">
        <v>692</v>
      </c>
      <c r="C73" s="347" t="s">
        <v>513</v>
      </c>
      <c r="D73" s="299"/>
      <c r="E73" s="347">
        <v>46148</v>
      </c>
      <c r="F73" s="298"/>
      <c r="G73" s="381" t="s">
        <v>497</v>
      </c>
      <c r="H73" s="641" t="s">
        <v>858</v>
      </c>
      <c r="I73" s="325" t="s">
        <v>34</v>
      </c>
      <c r="J73" s="388" t="s">
        <v>35</v>
      </c>
      <c r="K73" s="298"/>
      <c r="L73" s="325">
        <v>10</v>
      </c>
      <c r="M73" s="343">
        <v>240740.74</v>
      </c>
      <c r="N73" s="309">
        <v>2407407.4</v>
      </c>
      <c r="O73" s="309">
        <v>192592.592</v>
      </c>
      <c r="P73" s="309">
        <v>2599999.9920000001</v>
      </c>
      <c r="Q73" s="309"/>
    </row>
    <row r="74" spans="1:17">
      <c r="A74" s="296" t="s">
        <v>664</v>
      </c>
      <c r="B74" s="306" t="s">
        <v>692</v>
      </c>
      <c r="C74" s="347" t="s">
        <v>513</v>
      </c>
      <c r="D74" s="299"/>
      <c r="E74" s="347">
        <v>46148</v>
      </c>
      <c r="F74" s="298"/>
      <c r="G74" s="381" t="s">
        <v>497</v>
      </c>
      <c r="H74" s="641" t="s">
        <v>858</v>
      </c>
      <c r="I74" s="325" t="s">
        <v>74</v>
      </c>
      <c r="J74" s="388" t="s">
        <v>141</v>
      </c>
      <c r="K74" s="298"/>
      <c r="L74" s="325">
        <v>8</v>
      </c>
      <c r="M74" s="343">
        <v>361111.11</v>
      </c>
      <c r="N74" s="309">
        <v>2888888.88</v>
      </c>
      <c r="O74" s="309">
        <v>231111.11040000001</v>
      </c>
      <c r="P74" s="309">
        <v>3119999.9904</v>
      </c>
      <c r="Q74" s="309"/>
    </row>
    <row r="75" spans="1:17">
      <c r="A75" s="296" t="s">
        <v>664</v>
      </c>
      <c r="B75" s="306" t="s">
        <v>692</v>
      </c>
      <c r="C75" s="347" t="s">
        <v>513</v>
      </c>
      <c r="D75" s="299"/>
      <c r="E75" s="347">
        <v>46148</v>
      </c>
      <c r="F75" s="298"/>
      <c r="G75" s="381" t="s">
        <v>497</v>
      </c>
      <c r="H75" s="641" t="s">
        <v>858</v>
      </c>
      <c r="I75" s="325" t="s">
        <v>60</v>
      </c>
      <c r="J75" s="387" t="s">
        <v>61</v>
      </c>
      <c r="K75" s="298"/>
      <c r="L75" s="325">
        <v>8</v>
      </c>
      <c r="M75" s="343">
        <v>1138888.8799999999</v>
      </c>
      <c r="N75" s="309">
        <v>9111111.0399999991</v>
      </c>
      <c r="O75" s="309">
        <v>728888.88319999992</v>
      </c>
      <c r="P75" s="309">
        <v>9839999.9231999982</v>
      </c>
      <c r="Q75" s="309"/>
    </row>
    <row r="76" spans="1:17">
      <c r="A76" s="296" t="s">
        <v>664</v>
      </c>
      <c r="B76" s="306" t="s">
        <v>692</v>
      </c>
      <c r="C76" s="347" t="s">
        <v>513</v>
      </c>
      <c r="D76" s="299"/>
      <c r="E76" s="347">
        <v>46148</v>
      </c>
      <c r="F76" s="298"/>
      <c r="G76" s="381" t="s">
        <v>497</v>
      </c>
      <c r="H76" s="641" t="s">
        <v>858</v>
      </c>
      <c r="I76" s="325" t="s">
        <v>83</v>
      </c>
      <c r="J76" s="387" t="s">
        <v>84</v>
      </c>
      <c r="K76" s="298"/>
      <c r="L76" s="325">
        <v>8</v>
      </c>
      <c r="M76" s="343">
        <v>1097222.22</v>
      </c>
      <c r="N76" s="309">
        <v>8777777.7599999998</v>
      </c>
      <c r="O76" s="309">
        <v>702222.22080000001</v>
      </c>
      <c r="P76" s="309">
        <v>9479999.9807999991</v>
      </c>
      <c r="Q76" s="309"/>
    </row>
    <row r="77" spans="1:17" ht="30">
      <c r="A77" s="296" t="s">
        <v>664</v>
      </c>
      <c r="B77" s="306" t="s">
        <v>692</v>
      </c>
      <c r="C77" s="347" t="s">
        <v>513</v>
      </c>
      <c r="D77" s="299"/>
      <c r="E77" s="347">
        <v>46148</v>
      </c>
      <c r="F77" s="298"/>
      <c r="G77" s="381" t="s">
        <v>497</v>
      </c>
      <c r="H77" s="641" t="s">
        <v>858</v>
      </c>
      <c r="I77" s="325" t="s">
        <v>16</v>
      </c>
      <c r="J77" s="388" t="s">
        <v>17</v>
      </c>
      <c r="K77" s="298"/>
      <c r="L77" s="325">
        <v>8</v>
      </c>
      <c r="M77" s="343">
        <v>851851.85</v>
      </c>
      <c r="N77" s="309">
        <v>6814814.7999999998</v>
      </c>
      <c r="O77" s="309">
        <v>545185.18400000001</v>
      </c>
      <c r="P77" s="309">
        <v>7359999.9840000002</v>
      </c>
      <c r="Q77" s="309"/>
    </row>
    <row r="78" spans="1:17">
      <c r="A78" s="296" t="s">
        <v>664</v>
      </c>
      <c r="B78" s="306" t="s">
        <v>692</v>
      </c>
      <c r="C78" s="347" t="s">
        <v>514</v>
      </c>
      <c r="D78" s="299"/>
      <c r="E78" s="347">
        <v>46128</v>
      </c>
      <c r="F78" s="298"/>
      <c r="G78" s="381" t="s">
        <v>515</v>
      </c>
      <c r="H78" s="734" t="s">
        <v>516</v>
      </c>
      <c r="I78" s="331" t="s">
        <v>208</v>
      </c>
      <c r="J78" s="404" t="s">
        <v>209</v>
      </c>
      <c r="K78" s="298"/>
      <c r="L78" s="405">
        <v>-6</v>
      </c>
      <c r="M78" s="343">
        <v>647222.22</v>
      </c>
      <c r="N78" s="309">
        <v>-3883333.32</v>
      </c>
      <c r="O78" s="309">
        <v>-310666.66560000001</v>
      </c>
      <c r="P78" s="309">
        <v>-4193999.9855999998</v>
      </c>
      <c r="Q78" s="309"/>
    </row>
    <row r="79" spans="1:17">
      <c r="A79" s="296" t="s">
        <v>664</v>
      </c>
      <c r="B79" s="306" t="s">
        <v>692</v>
      </c>
      <c r="C79" s="347" t="s">
        <v>514</v>
      </c>
      <c r="D79" s="299"/>
      <c r="E79" s="347">
        <v>46128</v>
      </c>
      <c r="F79" s="298"/>
      <c r="G79" s="381" t="s">
        <v>517</v>
      </c>
      <c r="H79" s="734" t="s">
        <v>516</v>
      </c>
      <c r="I79" s="331" t="s">
        <v>444</v>
      </c>
      <c r="J79" s="401" t="s">
        <v>445</v>
      </c>
      <c r="K79" s="298"/>
      <c r="L79" s="405">
        <v>-4</v>
      </c>
      <c r="M79" s="343">
        <v>601852.18999999994</v>
      </c>
      <c r="N79" s="309">
        <v>-2407408.7599999998</v>
      </c>
      <c r="O79" s="309">
        <v>-192592.70079999999</v>
      </c>
      <c r="P79" s="309">
        <v>-2600001.4607999995</v>
      </c>
      <c r="Q79" s="309"/>
    </row>
    <row r="80" spans="1:17">
      <c r="A80" s="296" t="s">
        <v>664</v>
      </c>
      <c r="B80" s="306" t="s">
        <v>692</v>
      </c>
      <c r="C80" s="347" t="s">
        <v>514</v>
      </c>
      <c r="D80" s="299"/>
      <c r="E80" s="347">
        <v>46128</v>
      </c>
      <c r="F80" s="298"/>
      <c r="G80" s="381" t="s">
        <v>518</v>
      </c>
      <c r="H80" s="734" t="s">
        <v>516</v>
      </c>
      <c r="I80" s="331" t="s">
        <v>130</v>
      </c>
      <c r="J80" s="401" t="s">
        <v>131</v>
      </c>
      <c r="K80" s="298"/>
      <c r="L80" s="405">
        <v>-12</v>
      </c>
      <c r="M80" s="343">
        <v>280555.55</v>
      </c>
      <c r="N80" s="309">
        <v>-3366666.5999999996</v>
      </c>
      <c r="O80" s="309">
        <v>-269333.32799999998</v>
      </c>
      <c r="P80" s="309">
        <v>-3635999.9279999994</v>
      </c>
      <c r="Q80" s="309"/>
    </row>
    <row r="81" spans="1:17">
      <c r="A81" s="296" t="s">
        <v>664</v>
      </c>
      <c r="B81" s="306" t="s">
        <v>692</v>
      </c>
      <c r="C81" s="347">
        <v>46147</v>
      </c>
      <c r="D81" s="299"/>
      <c r="E81" s="347">
        <v>46153</v>
      </c>
      <c r="F81" s="298"/>
      <c r="G81" s="381" t="s">
        <v>519</v>
      </c>
      <c r="H81" s="641" t="s">
        <v>858</v>
      </c>
      <c r="I81" s="325" t="s">
        <v>77</v>
      </c>
      <c r="J81" s="387" t="s">
        <v>78</v>
      </c>
      <c r="K81" s="298"/>
      <c r="L81" s="325">
        <v>20</v>
      </c>
      <c r="M81" s="343">
        <v>324074.07</v>
      </c>
      <c r="N81" s="309">
        <v>6481481.4000000004</v>
      </c>
      <c r="O81" s="309">
        <v>518518.51200000005</v>
      </c>
      <c r="P81" s="309">
        <v>6999999.9120000005</v>
      </c>
      <c r="Q81" s="309"/>
    </row>
    <row r="82" spans="1:17">
      <c r="A82" s="296" t="s">
        <v>664</v>
      </c>
      <c r="B82" s="306" t="s">
        <v>692</v>
      </c>
      <c r="C82" s="347">
        <v>46147</v>
      </c>
      <c r="D82" s="299"/>
      <c r="E82" s="347">
        <v>46153</v>
      </c>
      <c r="F82" s="298"/>
      <c r="G82" s="381" t="s">
        <v>519</v>
      </c>
      <c r="H82" s="641" t="s">
        <v>858</v>
      </c>
      <c r="I82" s="325" t="s">
        <v>50</v>
      </c>
      <c r="J82" s="387" t="s">
        <v>51</v>
      </c>
      <c r="K82" s="298"/>
      <c r="L82" s="325">
        <v>12</v>
      </c>
      <c r="M82" s="343">
        <v>937962.96</v>
      </c>
      <c r="N82" s="309">
        <v>11255555.52</v>
      </c>
      <c r="O82" s="309">
        <v>900444.44160000002</v>
      </c>
      <c r="P82" s="309">
        <v>12155999.9616</v>
      </c>
      <c r="Q82" s="309"/>
    </row>
    <row r="83" spans="1:17">
      <c r="A83" s="296" t="s">
        <v>664</v>
      </c>
      <c r="B83" s="306" t="s">
        <v>692</v>
      </c>
      <c r="C83" s="347">
        <v>46147</v>
      </c>
      <c r="D83" s="299"/>
      <c r="E83" s="347">
        <v>46153</v>
      </c>
      <c r="F83" s="298"/>
      <c r="G83" s="381" t="s">
        <v>519</v>
      </c>
      <c r="H83" s="641" t="s">
        <v>858</v>
      </c>
      <c r="I83" s="325" t="s">
        <v>262</v>
      </c>
      <c r="J83" s="387" t="s">
        <v>263</v>
      </c>
      <c r="K83" s="298"/>
      <c r="L83" s="325">
        <v>4</v>
      </c>
      <c r="M83" s="343">
        <v>851851.85</v>
      </c>
      <c r="N83" s="309">
        <v>3407407.4</v>
      </c>
      <c r="O83" s="309">
        <v>272592.592</v>
      </c>
      <c r="P83" s="309">
        <v>3679999.9920000001</v>
      </c>
      <c r="Q83" s="309"/>
    </row>
    <row r="84" spans="1:17">
      <c r="A84" s="296" t="s">
        <v>664</v>
      </c>
      <c r="B84" s="306" t="s">
        <v>692</v>
      </c>
      <c r="C84" s="347">
        <v>46147</v>
      </c>
      <c r="D84" s="299"/>
      <c r="E84" s="347">
        <v>46153</v>
      </c>
      <c r="F84" s="298"/>
      <c r="G84" s="381" t="s">
        <v>519</v>
      </c>
      <c r="H84" s="641" t="s">
        <v>858</v>
      </c>
      <c r="I84" s="325" t="s">
        <v>52</v>
      </c>
      <c r="J84" s="387" t="s">
        <v>53</v>
      </c>
      <c r="K84" s="298"/>
      <c r="L84" s="325">
        <v>12</v>
      </c>
      <c r="M84" s="343">
        <v>1007407.41</v>
      </c>
      <c r="N84" s="309">
        <v>12088888.92</v>
      </c>
      <c r="O84" s="309">
        <v>967111.11360000004</v>
      </c>
      <c r="P84" s="309">
        <v>13056000.033600001</v>
      </c>
      <c r="Q84" s="309"/>
    </row>
    <row r="85" spans="1:17">
      <c r="A85" s="296" t="s">
        <v>664</v>
      </c>
      <c r="B85" s="306" t="s">
        <v>692</v>
      </c>
      <c r="C85" s="347">
        <v>46147</v>
      </c>
      <c r="D85" s="299"/>
      <c r="E85" s="347">
        <v>46153</v>
      </c>
      <c r="F85" s="298"/>
      <c r="G85" s="381" t="s">
        <v>519</v>
      </c>
      <c r="H85" s="641" t="s">
        <v>858</v>
      </c>
      <c r="I85" s="325" t="s">
        <v>23</v>
      </c>
      <c r="J85" s="387" t="s">
        <v>82</v>
      </c>
      <c r="K85" s="298"/>
      <c r="L85" s="325">
        <v>4</v>
      </c>
      <c r="M85" s="343">
        <v>1185185.19</v>
      </c>
      <c r="N85" s="309">
        <v>4740740.76</v>
      </c>
      <c r="O85" s="309">
        <v>379259.26079999999</v>
      </c>
      <c r="P85" s="309">
        <v>5120000.0208000001</v>
      </c>
      <c r="Q85" s="309"/>
    </row>
    <row r="86" spans="1:17">
      <c r="A86" s="296" t="s">
        <v>664</v>
      </c>
      <c r="B86" s="306" t="s">
        <v>692</v>
      </c>
      <c r="C86" s="347">
        <v>46147</v>
      </c>
      <c r="D86" s="299"/>
      <c r="E86" s="347">
        <v>46153</v>
      </c>
      <c r="F86" s="298"/>
      <c r="G86" s="381" t="s">
        <v>519</v>
      </c>
      <c r="H86" s="641" t="s">
        <v>858</v>
      </c>
      <c r="I86" s="325" t="s">
        <v>62</v>
      </c>
      <c r="J86" s="387" t="s">
        <v>63</v>
      </c>
      <c r="K86" s="298"/>
      <c r="L86" s="325">
        <v>24</v>
      </c>
      <c r="M86" s="343">
        <v>0</v>
      </c>
      <c r="N86" s="309">
        <v>0</v>
      </c>
      <c r="O86" s="309">
        <v>0</v>
      </c>
      <c r="P86" s="309">
        <v>0</v>
      </c>
      <c r="Q86" s="309"/>
    </row>
    <row r="87" spans="1:17" s="686" customFormat="1">
      <c r="A87" s="625" t="s">
        <v>664</v>
      </c>
      <c r="B87" s="306" t="s">
        <v>692</v>
      </c>
      <c r="C87" s="347">
        <v>46165</v>
      </c>
      <c r="D87" s="302"/>
      <c r="E87" s="347"/>
      <c r="F87" s="626"/>
      <c r="G87" s="325"/>
      <c r="H87" s="302" t="s">
        <v>672</v>
      </c>
      <c r="I87" s="325"/>
      <c r="J87" s="388"/>
      <c r="K87" s="626"/>
      <c r="L87" s="325"/>
      <c r="M87" s="343"/>
      <c r="N87" s="309"/>
      <c r="O87" s="309"/>
      <c r="P87" s="309"/>
      <c r="Q87" s="309">
        <v>40000000</v>
      </c>
    </row>
    <row r="88" spans="1:17">
      <c r="A88" s="296" t="s">
        <v>664</v>
      </c>
      <c r="B88" s="306" t="s">
        <v>692</v>
      </c>
      <c r="C88" s="347">
        <v>46182</v>
      </c>
      <c r="D88" s="299"/>
      <c r="E88" s="347">
        <v>46332</v>
      </c>
      <c r="F88" s="298"/>
      <c r="G88" s="381" t="s">
        <v>521</v>
      </c>
      <c r="H88" s="641" t="s">
        <v>858</v>
      </c>
      <c r="I88" s="326" t="s">
        <v>204</v>
      </c>
      <c r="J88" s="387" t="s">
        <v>269</v>
      </c>
      <c r="K88" s="298"/>
      <c r="L88" s="326">
        <v>10</v>
      </c>
      <c r="M88" s="384">
        <v>480555.56</v>
      </c>
      <c r="N88" s="309">
        <v>4805555.5999999996</v>
      </c>
      <c r="O88" s="309">
        <v>384444.44799999997</v>
      </c>
      <c r="P88" s="309">
        <v>5190000.0479999995</v>
      </c>
      <c r="Q88" s="309"/>
    </row>
    <row r="89" spans="1:17">
      <c r="A89" s="296" t="s">
        <v>664</v>
      </c>
      <c r="B89" s="306" t="s">
        <v>692</v>
      </c>
      <c r="C89" s="347">
        <v>46182</v>
      </c>
      <c r="D89" s="299"/>
      <c r="E89" s="347">
        <v>46332</v>
      </c>
      <c r="F89" s="298"/>
      <c r="G89" s="381" t="s">
        <v>521</v>
      </c>
      <c r="H89" s="641" t="s">
        <v>858</v>
      </c>
      <c r="I89" s="326" t="s">
        <v>507</v>
      </c>
      <c r="J89" s="387" t="s">
        <v>320</v>
      </c>
      <c r="K89" s="298"/>
      <c r="L89" s="326">
        <v>40</v>
      </c>
      <c r="M89" s="384">
        <v>324074.07</v>
      </c>
      <c r="N89" s="309">
        <v>12962962.800000001</v>
      </c>
      <c r="O89" s="309">
        <v>1037037.0240000001</v>
      </c>
      <c r="P89" s="309">
        <v>13999999.824000001</v>
      </c>
      <c r="Q89" s="309"/>
    </row>
    <row r="90" spans="1:17">
      <c r="A90" s="296" t="s">
        <v>664</v>
      </c>
      <c r="B90" s="306" t="s">
        <v>692</v>
      </c>
      <c r="C90" s="347">
        <v>46182</v>
      </c>
      <c r="D90" s="299"/>
      <c r="E90" s="347">
        <v>46332</v>
      </c>
      <c r="F90" s="298"/>
      <c r="G90" s="381" t="s">
        <v>521</v>
      </c>
      <c r="H90" s="641" t="s">
        <v>858</v>
      </c>
      <c r="I90" s="325" t="s">
        <v>355</v>
      </c>
      <c r="J90" s="387" t="s">
        <v>522</v>
      </c>
      <c r="K90" s="298"/>
      <c r="L90" s="325">
        <v>4</v>
      </c>
      <c r="M90" s="343">
        <v>1043518.52</v>
      </c>
      <c r="N90" s="309">
        <v>4174074.08</v>
      </c>
      <c r="O90" s="309">
        <v>333925.9264</v>
      </c>
      <c r="P90" s="309">
        <v>4508000.0064000003</v>
      </c>
      <c r="Q90" s="309"/>
    </row>
    <row r="91" spans="1:17">
      <c r="A91" s="296" t="s">
        <v>664</v>
      </c>
      <c r="B91" s="306" t="s">
        <v>692</v>
      </c>
      <c r="C91" s="347">
        <v>46182</v>
      </c>
      <c r="D91" s="299"/>
      <c r="E91" s="347">
        <v>46332</v>
      </c>
      <c r="F91" s="298"/>
      <c r="G91" s="381" t="s">
        <v>521</v>
      </c>
      <c r="H91" s="641" t="s">
        <v>858</v>
      </c>
      <c r="I91" s="325" t="s">
        <v>262</v>
      </c>
      <c r="J91" s="387" t="s">
        <v>263</v>
      </c>
      <c r="K91" s="298"/>
      <c r="L91" s="325">
        <v>10</v>
      </c>
      <c r="M91" s="343">
        <v>851851.85</v>
      </c>
      <c r="N91" s="309">
        <v>8518518.5</v>
      </c>
      <c r="O91" s="309">
        <v>681481.48</v>
      </c>
      <c r="P91" s="309">
        <v>9199999.9800000004</v>
      </c>
      <c r="Q91" s="309"/>
    </row>
    <row r="92" spans="1:17">
      <c r="A92" s="296" t="s">
        <v>664</v>
      </c>
      <c r="B92" s="306" t="s">
        <v>692</v>
      </c>
      <c r="C92" s="347">
        <v>46182</v>
      </c>
      <c r="D92" s="299"/>
      <c r="E92" s="347">
        <v>46332</v>
      </c>
      <c r="F92" s="298"/>
      <c r="G92" s="381" t="s">
        <v>521</v>
      </c>
      <c r="H92" s="641" t="s">
        <v>858</v>
      </c>
      <c r="I92" s="326" t="s">
        <v>26</v>
      </c>
      <c r="J92" s="387" t="s">
        <v>27</v>
      </c>
      <c r="K92" s="298"/>
      <c r="L92" s="325">
        <v>10</v>
      </c>
      <c r="M92" s="343">
        <v>256481.48</v>
      </c>
      <c r="N92" s="309">
        <v>2564814.8000000003</v>
      </c>
      <c r="O92" s="309">
        <v>205185.18400000004</v>
      </c>
      <c r="P92" s="309">
        <v>2769999.9840000002</v>
      </c>
      <c r="Q92" s="309"/>
    </row>
    <row r="93" spans="1:17">
      <c r="A93" s="296" t="s">
        <v>664</v>
      </c>
      <c r="B93" s="306" t="s">
        <v>692</v>
      </c>
      <c r="C93" s="347">
        <v>46182</v>
      </c>
      <c r="D93" s="299"/>
      <c r="E93" s="347">
        <v>46332</v>
      </c>
      <c r="F93" s="298"/>
      <c r="G93" s="381" t="s">
        <v>521</v>
      </c>
      <c r="H93" s="641" t="s">
        <v>858</v>
      </c>
      <c r="I93" s="326" t="s">
        <v>28</v>
      </c>
      <c r="J93" s="387" t="s">
        <v>29</v>
      </c>
      <c r="K93" s="298"/>
      <c r="L93" s="325">
        <v>10</v>
      </c>
      <c r="M93" s="343">
        <v>281481.48</v>
      </c>
      <c r="N93" s="309">
        <v>2814814.8</v>
      </c>
      <c r="O93" s="309">
        <v>225185.18399999998</v>
      </c>
      <c r="P93" s="309">
        <v>3039999.9839999997</v>
      </c>
      <c r="Q93" s="309"/>
    </row>
    <row r="94" spans="1:17">
      <c r="A94" s="296" t="s">
        <v>664</v>
      </c>
      <c r="B94" s="306" t="s">
        <v>692</v>
      </c>
      <c r="C94" s="347">
        <v>46182</v>
      </c>
      <c r="D94" s="299"/>
      <c r="E94" s="347">
        <v>46332</v>
      </c>
      <c r="F94" s="298"/>
      <c r="G94" s="381" t="s">
        <v>521</v>
      </c>
      <c r="H94" s="641" t="s">
        <v>858</v>
      </c>
      <c r="I94" s="326" t="s">
        <v>243</v>
      </c>
      <c r="J94" s="387" t="s">
        <v>357</v>
      </c>
      <c r="K94" s="298"/>
      <c r="L94" s="325">
        <v>10</v>
      </c>
      <c r="M94" s="343">
        <v>298148.15000000002</v>
      </c>
      <c r="N94" s="309">
        <v>2981481.5</v>
      </c>
      <c r="O94" s="309">
        <v>238518.52000000002</v>
      </c>
      <c r="P94" s="309">
        <v>3220000.02</v>
      </c>
      <c r="Q94" s="309"/>
    </row>
    <row r="95" spans="1:17">
      <c r="A95" s="296" t="s">
        <v>664</v>
      </c>
      <c r="B95" s="306" t="s">
        <v>692</v>
      </c>
      <c r="C95" s="347">
        <v>46182</v>
      </c>
      <c r="D95" s="299"/>
      <c r="E95" s="347">
        <v>46332</v>
      </c>
      <c r="F95" s="298"/>
      <c r="G95" s="381" t="s">
        <v>521</v>
      </c>
      <c r="H95" s="641" t="s">
        <v>858</v>
      </c>
      <c r="I95" s="325" t="s">
        <v>74</v>
      </c>
      <c r="J95" s="388" t="s">
        <v>141</v>
      </c>
      <c r="K95" s="298"/>
      <c r="L95" s="325">
        <v>24</v>
      </c>
      <c r="M95" s="343">
        <v>361111.11</v>
      </c>
      <c r="N95" s="309">
        <v>8666666.6400000006</v>
      </c>
      <c r="O95" s="309">
        <v>693333.33120000002</v>
      </c>
      <c r="P95" s="309">
        <v>9359999.9712000005</v>
      </c>
      <c r="Q95" s="309"/>
    </row>
    <row r="96" spans="1:17">
      <c r="A96" s="296" t="s">
        <v>664</v>
      </c>
      <c r="B96" s="306" t="s">
        <v>692</v>
      </c>
      <c r="C96" s="347">
        <v>46182</v>
      </c>
      <c r="D96" s="299"/>
      <c r="E96" s="347"/>
      <c r="F96" s="298"/>
      <c r="G96" s="381"/>
      <c r="H96" s="641" t="s">
        <v>858</v>
      </c>
      <c r="I96" s="339" t="s">
        <v>85</v>
      </c>
      <c r="J96" s="388" t="s">
        <v>86</v>
      </c>
      <c r="K96" s="298"/>
      <c r="L96" s="325">
        <v>100</v>
      </c>
      <c r="M96" s="328">
        <v>509259.26</v>
      </c>
      <c r="N96" s="309">
        <v>50925926</v>
      </c>
      <c r="O96" s="309">
        <v>4074074.08</v>
      </c>
      <c r="P96" s="309">
        <v>55000000.079999998</v>
      </c>
      <c r="Q96" s="309"/>
    </row>
    <row r="97" spans="1:17">
      <c r="A97" s="507" t="s">
        <v>664</v>
      </c>
      <c r="B97" s="508" t="s">
        <v>692</v>
      </c>
      <c r="C97" s="517">
        <v>46190</v>
      </c>
      <c r="D97" s="518"/>
      <c r="E97" s="517" t="s">
        <v>264</v>
      </c>
      <c r="F97" s="519"/>
      <c r="G97" s="520" t="s">
        <v>841</v>
      </c>
      <c r="H97" s="733" t="s">
        <v>858</v>
      </c>
      <c r="I97" s="521" t="s">
        <v>90</v>
      </c>
      <c r="J97" s="522" t="s">
        <v>91</v>
      </c>
      <c r="K97" s="519"/>
      <c r="L97" s="523">
        <v>10</v>
      </c>
      <c r="M97" s="524">
        <v>814814.81</v>
      </c>
      <c r="N97" s="516">
        <v>8148148.1000000006</v>
      </c>
      <c r="O97" s="516">
        <v>651851.84800000011</v>
      </c>
      <c r="P97" s="516">
        <v>8799999.9480000008</v>
      </c>
      <c r="Q97" s="516"/>
    </row>
    <row r="98" spans="1:17">
      <c r="A98" s="296" t="s">
        <v>664</v>
      </c>
      <c r="B98" s="306" t="s">
        <v>692</v>
      </c>
      <c r="C98" s="347">
        <v>46190</v>
      </c>
      <c r="D98" s="299"/>
      <c r="E98" s="347" t="s">
        <v>264</v>
      </c>
      <c r="F98" s="298"/>
      <c r="G98" s="381" t="s">
        <v>841</v>
      </c>
      <c r="H98" s="641" t="s">
        <v>858</v>
      </c>
      <c r="I98" s="325" t="s">
        <v>93</v>
      </c>
      <c r="J98" s="388" t="s">
        <v>94</v>
      </c>
      <c r="K98" s="298"/>
      <c r="L98" s="328">
        <v>10</v>
      </c>
      <c r="M98" s="345">
        <v>907407.41</v>
      </c>
      <c r="N98" s="309">
        <v>9074074.0999999996</v>
      </c>
      <c r="O98" s="309">
        <v>725925.92799999996</v>
      </c>
      <c r="P98" s="309">
        <v>9800000.027999999</v>
      </c>
      <c r="Q98" s="309"/>
    </row>
    <row r="99" spans="1:17" ht="30">
      <c r="A99" s="296" t="s">
        <v>664</v>
      </c>
      <c r="B99" s="306" t="s">
        <v>692</v>
      </c>
      <c r="C99" s="347">
        <v>46196</v>
      </c>
      <c r="D99" s="299"/>
      <c r="E99" s="347"/>
      <c r="F99" s="298"/>
      <c r="G99" s="381"/>
      <c r="H99" s="641" t="s">
        <v>858</v>
      </c>
      <c r="I99" s="339" t="s">
        <v>96</v>
      </c>
      <c r="J99" s="388" t="s">
        <v>97</v>
      </c>
      <c r="K99" s="298"/>
      <c r="L99" s="328">
        <v>10</v>
      </c>
      <c r="M99" s="345">
        <v>574074.06999999995</v>
      </c>
      <c r="N99" s="309">
        <v>5740740.6999999993</v>
      </c>
      <c r="O99" s="309">
        <v>459259.25599999994</v>
      </c>
      <c r="P99" s="309">
        <v>6199999.9559999993</v>
      </c>
      <c r="Q99" s="309"/>
    </row>
    <row r="100" spans="1:17">
      <c r="A100" s="507" t="s">
        <v>664</v>
      </c>
      <c r="B100" s="508" t="s">
        <v>692</v>
      </c>
      <c r="C100" s="347">
        <v>46196</v>
      </c>
      <c r="D100" s="518"/>
      <c r="E100" s="517">
        <v>46228</v>
      </c>
      <c r="F100" s="519"/>
      <c r="G100" s="520" t="s">
        <v>841</v>
      </c>
      <c r="H100" s="733" t="s">
        <v>858</v>
      </c>
      <c r="I100" s="521" t="s">
        <v>90</v>
      </c>
      <c r="J100" s="522" t="s">
        <v>91</v>
      </c>
      <c r="K100" s="519"/>
      <c r="L100" s="523">
        <v>20</v>
      </c>
      <c r="M100" s="524">
        <v>814814.81</v>
      </c>
      <c r="N100" s="516">
        <v>16296296.200000001</v>
      </c>
      <c r="O100" s="516">
        <v>1303703.6960000002</v>
      </c>
      <c r="P100" s="516">
        <v>17599999.896000002</v>
      </c>
      <c r="Q100" s="516"/>
    </row>
    <row r="101" spans="1:17">
      <c r="A101" s="296" t="s">
        <v>664</v>
      </c>
      <c r="B101" s="306" t="s">
        <v>692</v>
      </c>
      <c r="C101" s="347">
        <v>46196</v>
      </c>
      <c r="D101" s="299"/>
      <c r="E101" s="347">
        <v>46204</v>
      </c>
      <c r="F101" s="298"/>
      <c r="G101" s="381" t="s">
        <v>523</v>
      </c>
      <c r="H101" s="641" t="s">
        <v>858</v>
      </c>
      <c r="I101" s="339" t="s">
        <v>98</v>
      </c>
      <c r="J101" s="388" t="s">
        <v>251</v>
      </c>
      <c r="K101" s="298"/>
      <c r="L101" s="328">
        <v>30</v>
      </c>
      <c r="M101" s="345">
        <v>694444.44</v>
      </c>
      <c r="N101" s="309">
        <v>20833333.199999999</v>
      </c>
      <c r="O101" s="309">
        <v>1666666.656</v>
      </c>
      <c r="P101" s="309">
        <v>22499999.855999999</v>
      </c>
      <c r="Q101" s="309"/>
    </row>
    <row r="102" spans="1:17" s="686" customFormat="1">
      <c r="A102" s="741" t="s">
        <v>664</v>
      </c>
      <c r="B102" s="508" t="s">
        <v>692</v>
      </c>
      <c r="C102" s="517">
        <v>46199</v>
      </c>
      <c r="D102" s="742"/>
      <c r="E102" s="517"/>
      <c r="F102" s="743"/>
      <c r="G102" s="521"/>
      <c r="H102" s="742" t="s">
        <v>672</v>
      </c>
      <c r="I102" s="521"/>
      <c r="J102" s="522"/>
      <c r="K102" s="743"/>
      <c r="L102" s="521"/>
      <c r="M102" s="526"/>
      <c r="N102" s="516"/>
      <c r="O102" s="516"/>
      <c r="P102" s="516"/>
      <c r="Q102" s="516">
        <v>50000000</v>
      </c>
    </row>
    <row r="103" spans="1:17">
      <c r="A103" s="296" t="s">
        <v>664</v>
      </c>
      <c r="B103" s="306" t="s">
        <v>692</v>
      </c>
      <c r="C103" s="347">
        <v>46200</v>
      </c>
      <c r="D103" s="299"/>
      <c r="E103" s="347">
        <v>46204</v>
      </c>
      <c r="F103" s="298"/>
      <c r="G103" s="381" t="s">
        <v>523</v>
      </c>
      <c r="H103" s="641" t="s">
        <v>858</v>
      </c>
      <c r="I103" s="339" t="s">
        <v>161</v>
      </c>
      <c r="J103" s="388" t="s">
        <v>162</v>
      </c>
      <c r="K103" s="298"/>
      <c r="L103" s="406">
        <v>18</v>
      </c>
      <c r="M103" s="407">
        <v>231481.48</v>
      </c>
      <c r="N103" s="309">
        <v>4166666.64</v>
      </c>
      <c r="O103" s="309">
        <v>333333.33120000002</v>
      </c>
      <c r="P103" s="309">
        <v>4499999.9712000005</v>
      </c>
      <c r="Q103" s="309"/>
    </row>
    <row r="104" spans="1:17" ht="30">
      <c r="A104" s="296" t="s">
        <v>664</v>
      </c>
      <c r="B104" s="306" t="s">
        <v>692</v>
      </c>
      <c r="C104" s="347">
        <v>46200</v>
      </c>
      <c r="D104" s="299"/>
      <c r="E104" s="347">
        <v>46204</v>
      </c>
      <c r="F104" s="298"/>
      <c r="G104" s="381" t="s">
        <v>523</v>
      </c>
      <c r="H104" s="641" t="s">
        <v>858</v>
      </c>
      <c r="I104" s="339" t="s">
        <v>165</v>
      </c>
      <c r="J104" s="388" t="s">
        <v>409</v>
      </c>
      <c r="K104" s="298"/>
      <c r="L104" s="406">
        <v>60</v>
      </c>
      <c r="M104" s="407">
        <v>203703.7</v>
      </c>
      <c r="N104" s="309">
        <v>12222222</v>
      </c>
      <c r="O104" s="309">
        <v>977777.76</v>
      </c>
      <c r="P104" s="309">
        <v>13199999.76</v>
      </c>
      <c r="Q104" s="309"/>
    </row>
    <row r="105" spans="1:17" ht="30">
      <c r="A105" s="296" t="s">
        <v>664</v>
      </c>
      <c r="B105" s="306" t="s">
        <v>692</v>
      </c>
      <c r="C105" s="347">
        <v>46200</v>
      </c>
      <c r="D105" s="299"/>
      <c r="E105" s="347">
        <v>46204</v>
      </c>
      <c r="F105" s="298"/>
      <c r="G105" s="381" t="s">
        <v>523</v>
      </c>
      <c r="H105" s="641" t="s">
        <v>858</v>
      </c>
      <c r="I105" s="339" t="s">
        <v>167</v>
      </c>
      <c r="J105" s="388" t="s">
        <v>410</v>
      </c>
      <c r="K105" s="298"/>
      <c r="L105" s="406">
        <v>30</v>
      </c>
      <c r="M105" s="407">
        <v>231481.48</v>
      </c>
      <c r="N105" s="309">
        <v>6944444.4000000004</v>
      </c>
      <c r="O105" s="309">
        <v>555555.55200000003</v>
      </c>
      <c r="P105" s="309">
        <v>7499999.9520000005</v>
      </c>
      <c r="Q105" s="309"/>
    </row>
    <row r="106" spans="1:17">
      <c r="A106" s="296" t="s">
        <v>664</v>
      </c>
      <c r="B106" s="306" t="s">
        <v>692</v>
      </c>
      <c r="C106" s="347">
        <v>46200</v>
      </c>
      <c r="D106" s="299"/>
      <c r="E106" s="347"/>
      <c r="F106" s="298"/>
      <c r="G106" s="381"/>
      <c r="H106" s="641" t="s">
        <v>858</v>
      </c>
      <c r="I106" s="339" t="s">
        <v>163</v>
      </c>
      <c r="J106" s="388" t="s">
        <v>164</v>
      </c>
      <c r="K106" s="298"/>
      <c r="L106" s="406">
        <v>20</v>
      </c>
      <c r="M106" s="407">
        <v>231481.48</v>
      </c>
      <c r="N106" s="309">
        <v>4629629.6000000006</v>
      </c>
      <c r="O106" s="309">
        <v>370370.36800000007</v>
      </c>
      <c r="P106" s="309">
        <v>4999999.9680000003</v>
      </c>
      <c r="Q106" s="309"/>
    </row>
    <row r="107" spans="1:17">
      <c r="A107" s="296" t="s">
        <v>664</v>
      </c>
      <c r="B107" s="306" t="s">
        <v>692</v>
      </c>
      <c r="C107" s="347">
        <v>46200</v>
      </c>
      <c r="D107" s="299"/>
      <c r="E107" s="347"/>
      <c r="F107" s="298"/>
      <c r="G107" s="381"/>
      <c r="H107" s="641" t="s">
        <v>858</v>
      </c>
      <c r="I107" s="339" t="s">
        <v>169</v>
      </c>
      <c r="J107" s="388" t="s">
        <v>170</v>
      </c>
      <c r="K107" s="298"/>
      <c r="L107" s="406">
        <v>20</v>
      </c>
      <c r="M107" s="407">
        <v>425925.93</v>
      </c>
      <c r="N107" s="309">
        <v>8518518.5999999996</v>
      </c>
      <c r="O107" s="309">
        <v>681481.48800000001</v>
      </c>
      <c r="P107" s="309">
        <v>9200000.0879999995</v>
      </c>
      <c r="Q107" s="309"/>
    </row>
    <row r="108" spans="1:17">
      <c r="A108" s="507" t="s">
        <v>664</v>
      </c>
      <c r="B108" s="508" t="s">
        <v>692</v>
      </c>
      <c r="C108" s="517">
        <v>46202</v>
      </c>
      <c r="D108" s="518"/>
      <c r="E108" s="347">
        <v>46204</v>
      </c>
      <c r="F108" s="519"/>
      <c r="G108" s="520" t="s">
        <v>523</v>
      </c>
      <c r="H108" s="733" t="s">
        <v>858</v>
      </c>
      <c r="I108" s="521" t="s">
        <v>258</v>
      </c>
      <c r="J108" s="525" t="s">
        <v>259</v>
      </c>
      <c r="K108" s="519"/>
      <c r="L108" s="521">
        <v>8</v>
      </c>
      <c r="M108" s="526">
        <v>472222.22</v>
      </c>
      <c r="N108" s="516">
        <v>3777777.76</v>
      </c>
      <c r="O108" s="516">
        <v>302222.22080000001</v>
      </c>
      <c r="P108" s="516">
        <v>4079999.9808</v>
      </c>
      <c r="Q108" s="516"/>
    </row>
    <row r="109" spans="1:17">
      <c r="A109" s="296" t="s">
        <v>664</v>
      </c>
      <c r="B109" s="306" t="s">
        <v>692</v>
      </c>
      <c r="C109" s="517">
        <v>46202</v>
      </c>
      <c r="D109" s="299"/>
      <c r="E109" s="347">
        <v>46204</v>
      </c>
      <c r="F109" s="298"/>
      <c r="G109" s="381" t="s">
        <v>523</v>
      </c>
      <c r="H109" s="641" t="s">
        <v>858</v>
      </c>
      <c r="I109" s="325" t="s">
        <v>260</v>
      </c>
      <c r="J109" s="387" t="s">
        <v>261</v>
      </c>
      <c r="K109" s="298"/>
      <c r="L109" s="325">
        <v>8</v>
      </c>
      <c r="M109" s="343">
        <v>492592.59</v>
      </c>
      <c r="N109" s="309">
        <v>3940740.72</v>
      </c>
      <c r="O109" s="309">
        <v>315259.25760000001</v>
      </c>
      <c r="P109" s="309">
        <v>4255999.9775999999</v>
      </c>
      <c r="Q109" s="309"/>
    </row>
    <row r="110" spans="1:17">
      <c r="A110" s="296" t="s">
        <v>664</v>
      </c>
      <c r="B110" s="306" t="s">
        <v>692</v>
      </c>
      <c r="C110" s="517">
        <v>46202</v>
      </c>
      <c r="D110" s="299"/>
      <c r="E110" s="347">
        <v>46204</v>
      </c>
      <c r="F110" s="298"/>
      <c r="G110" s="381" t="s">
        <v>523</v>
      </c>
      <c r="H110" s="641" t="s">
        <v>858</v>
      </c>
      <c r="I110" s="325" t="s">
        <v>80</v>
      </c>
      <c r="J110" s="387" t="s">
        <v>81</v>
      </c>
      <c r="K110" s="298"/>
      <c r="L110" s="325">
        <v>12</v>
      </c>
      <c r="M110" s="343">
        <v>824074.07</v>
      </c>
      <c r="N110" s="309">
        <v>9888888.8399999999</v>
      </c>
      <c r="O110" s="309">
        <v>791111.10719999997</v>
      </c>
      <c r="P110" s="309">
        <v>10679999.9472</v>
      </c>
      <c r="Q110" s="309"/>
    </row>
    <row r="111" spans="1:17" ht="30">
      <c r="A111" s="296" t="s">
        <v>664</v>
      </c>
      <c r="B111" s="306" t="s">
        <v>692</v>
      </c>
      <c r="C111" s="517">
        <v>46202</v>
      </c>
      <c r="D111" s="299"/>
      <c r="E111" s="347">
        <v>46204</v>
      </c>
      <c r="F111" s="298"/>
      <c r="G111" s="381" t="s">
        <v>523</v>
      </c>
      <c r="H111" s="641" t="s">
        <v>858</v>
      </c>
      <c r="I111" s="325" t="s">
        <v>21</v>
      </c>
      <c r="J111" s="388" t="s">
        <v>338</v>
      </c>
      <c r="K111" s="298"/>
      <c r="L111" s="325">
        <v>12</v>
      </c>
      <c r="M111" s="343">
        <v>937962.96</v>
      </c>
      <c r="N111" s="309">
        <v>11255555.52</v>
      </c>
      <c r="O111" s="309">
        <v>900444.44160000002</v>
      </c>
      <c r="P111" s="309">
        <v>12155999.9616</v>
      </c>
      <c r="Q111" s="309"/>
    </row>
    <row r="112" spans="1:17">
      <c r="A112" s="296" t="s">
        <v>664</v>
      </c>
      <c r="B112" s="306" t="s">
        <v>692</v>
      </c>
      <c r="C112" s="517">
        <v>46202</v>
      </c>
      <c r="D112" s="299"/>
      <c r="E112" s="347">
        <v>46204</v>
      </c>
      <c r="F112" s="298"/>
      <c r="G112" s="381" t="s">
        <v>523</v>
      </c>
      <c r="H112" s="641" t="s">
        <v>858</v>
      </c>
      <c r="I112" s="325" t="s">
        <v>355</v>
      </c>
      <c r="J112" s="387" t="s">
        <v>522</v>
      </c>
      <c r="K112" s="298"/>
      <c r="L112" s="325">
        <v>10</v>
      </c>
      <c r="M112" s="343">
        <v>1043518.52</v>
      </c>
      <c r="N112" s="309">
        <v>10435185.199999999</v>
      </c>
      <c r="O112" s="309">
        <v>834814.81599999999</v>
      </c>
      <c r="P112" s="309">
        <v>11270000.015999999</v>
      </c>
      <c r="Q112" s="309"/>
    </row>
    <row r="113" spans="1:17">
      <c r="A113" s="296" t="s">
        <v>664</v>
      </c>
      <c r="B113" s="306" t="s">
        <v>692</v>
      </c>
      <c r="C113" s="517">
        <v>46202</v>
      </c>
      <c r="D113" s="299"/>
      <c r="E113" s="347">
        <v>46204</v>
      </c>
      <c r="F113" s="298"/>
      <c r="G113" s="381" t="s">
        <v>523</v>
      </c>
      <c r="H113" s="641" t="s">
        <v>858</v>
      </c>
      <c r="I113" s="325" t="s">
        <v>262</v>
      </c>
      <c r="J113" s="387" t="s">
        <v>263</v>
      </c>
      <c r="K113" s="298"/>
      <c r="L113" s="325">
        <v>20</v>
      </c>
      <c r="M113" s="343">
        <v>851851.85</v>
      </c>
      <c r="N113" s="309">
        <v>17037037</v>
      </c>
      <c r="O113" s="309">
        <v>1362962.96</v>
      </c>
      <c r="P113" s="309">
        <v>18399999.960000001</v>
      </c>
      <c r="Q113" s="309"/>
    </row>
    <row r="114" spans="1:17">
      <c r="A114" s="296" t="s">
        <v>664</v>
      </c>
      <c r="B114" s="306" t="s">
        <v>692</v>
      </c>
      <c r="C114" s="517">
        <v>46202</v>
      </c>
      <c r="D114" s="299"/>
      <c r="E114" s="347">
        <v>46204</v>
      </c>
      <c r="F114" s="298"/>
      <c r="G114" s="381" t="s">
        <v>523</v>
      </c>
      <c r="H114" s="641" t="s">
        <v>858</v>
      </c>
      <c r="I114" s="325" t="s">
        <v>180</v>
      </c>
      <c r="J114" s="388" t="s">
        <v>181</v>
      </c>
      <c r="K114" s="298"/>
      <c r="L114" s="325">
        <v>10</v>
      </c>
      <c r="M114" s="343">
        <v>234259.3</v>
      </c>
      <c r="N114" s="309">
        <v>2342593</v>
      </c>
      <c r="O114" s="309">
        <v>187407.44</v>
      </c>
      <c r="P114" s="309">
        <v>2530000.44</v>
      </c>
      <c r="Q114" s="309"/>
    </row>
    <row r="115" spans="1:17" ht="45">
      <c r="A115" s="296" t="s">
        <v>664</v>
      </c>
      <c r="B115" s="306" t="s">
        <v>692</v>
      </c>
      <c r="C115" s="517">
        <v>46202</v>
      </c>
      <c r="D115" s="299"/>
      <c r="E115" s="347">
        <v>46204</v>
      </c>
      <c r="F115" s="298"/>
      <c r="G115" s="381" t="s">
        <v>523</v>
      </c>
      <c r="H115" s="641" t="s">
        <v>858</v>
      </c>
      <c r="I115" s="325" t="s">
        <v>184</v>
      </c>
      <c r="J115" s="388" t="s">
        <v>508</v>
      </c>
      <c r="K115" s="298"/>
      <c r="L115" s="325">
        <v>20</v>
      </c>
      <c r="M115" s="343">
        <v>227777.78</v>
      </c>
      <c r="N115" s="309">
        <v>4555555.5999999996</v>
      </c>
      <c r="O115" s="309">
        <v>364444.44799999997</v>
      </c>
      <c r="P115" s="309">
        <v>4920000.0479999995</v>
      </c>
      <c r="Q115" s="309"/>
    </row>
    <row r="116" spans="1:17">
      <c r="A116" s="296" t="s">
        <v>664</v>
      </c>
      <c r="B116" s="306" t="s">
        <v>692</v>
      </c>
      <c r="C116" s="517">
        <v>46202</v>
      </c>
      <c r="D116" s="299"/>
      <c r="E116" s="347">
        <v>46204</v>
      </c>
      <c r="F116" s="298"/>
      <c r="G116" s="381" t="s">
        <v>523</v>
      </c>
      <c r="H116" s="641" t="s">
        <v>858</v>
      </c>
      <c r="I116" s="325" t="s">
        <v>30</v>
      </c>
      <c r="J116" s="387" t="s">
        <v>31</v>
      </c>
      <c r="K116" s="298"/>
      <c r="L116" s="325">
        <v>20</v>
      </c>
      <c r="M116" s="343">
        <v>252777.78</v>
      </c>
      <c r="N116" s="309">
        <v>5055555.5999999996</v>
      </c>
      <c r="O116" s="309">
        <v>404444.44799999997</v>
      </c>
      <c r="P116" s="309">
        <v>5460000.0479999995</v>
      </c>
      <c r="Q116" s="309"/>
    </row>
    <row r="117" spans="1:17">
      <c r="A117" s="296" t="s">
        <v>664</v>
      </c>
      <c r="B117" s="306" t="s">
        <v>692</v>
      </c>
      <c r="C117" s="517">
        <v>46202</v>
      </c>
      <c r="D117" s="299"/>
      <c r="E117" s="347">
        <v>46204</v>
      </c>
      <c r="F117" s="298"/>
      <c r="G117" s="381" t="s">
        <v>523</v>
      </c>
      <c r="H117" s="641" t="s">
        <v>858</v>
      </c>
      <c r="I117" s="325" t="s">
        <v>40</v>
      </c>
      <c r="J117" s="387" t="s">
        <v>41</v>
      </c>
      <c r="K117" s="298"/>
      <c r="L117" s="325">
        <v>8</v>
      </c>
      <c r="M117" s="343">
        <v>844444.44</v>
      </c>
      <c r="N117" s="309">
        <v>6755555.5199999996</v>
      </c>
      <c r="O117" s="309">
        <v>540444.44160000002</v>
      </c>
      <c r="P117" s="309">
        <v>7295999.9616</v>
      </c>
      <c r="Q117" s="309"/>
    </row>
    <row r="118" spans="1:17">
      <c r="A118" s="296" t="s">
        <v>664</v>
      </c>
      <c r="B118" s="306" t="s">
        <v>692</v>
      </c>
      <c r="C118" s="517">
        <v>46202</v>
      </c>
      <c r="D118" s="299"/>
      <c r="E118" s="347">
        <v>46204</v>
      </c>
      <c r="F118" s="298"/>
      <c r="G118" s="381" t="s">
        <v>523</v>
      </c>
      <c r="H118" s="641" t="s">
        <v>858</v>
      </c>
      <c r="I118" s="325" t="s">
        <v>107</v>
      </c>
      <c r="J118" s="388" t="s">
        <v>108</v>
      </c>
      <c r="K118" s="298"/>
      <c r="L118" s="325">
        <v>4</v>
      </c>
      <c r="M118" s="343">
        <v>0</v>
      </c>
      <c r="N118" s="309">
        <v>0</v>
      </c>
      <c r="O118" s="309">
        <v>0</v>
      </c>
      <c r="P118" s="309">
        <v>0</v>
      </c>
      <c r="Q118" s="309"/>
    </row>
    <row r="119" spans="1:17">
      <c r="A119" s="296" t="s">
        <v>664</v>
      </c>
      <c r="B119" s="306" t="s">
        <v>692</v>
      </c>
      <c r="C119" s="517">
        <v>46202</v>
      </c>
      <c r="D119" s="299"/>
      <c r="E119" s="347">
        <v>46204</v>
      </c>
      <c r="F119" s="298"/>
      <c r="G119" s="381" t="s">
        <v>523</v>
      </c>
      <c r="H119" s="641" t="s">
        <v>858</v>
      </c>
      <c r="I119" s="339" t="s">
        <v>98</v>
      </c>
      <c r="J119" s="388" t="s">
        <v>251</v>
      </c>
      <c r="K119" s="298"/>
      <c r="L119" s="325">
        <v>20</v>
      </c>
      <c r="M119" s="343">
        <v>694444.44</v>
      </c>
      <c r="N119" s="309">
        <v>13888888.799999999</v>
      </c>
      <c r="O119" s="309">
        <v>1111111.1039999998</v>
      </c>
      <c r="P119" s="309">
        <v>14999999.903999999</v>
      </c>
      <c r="Q119" s="309"/>
    </row>
    <row r="120" spans="1:17">
      <c r="A120" s="507" t="s">
        <v>664</v>
      </c>
      <c r="B120" s="508" t="s">
        <v>692</v>
      </c>
      <c r="C120" s="517">
        <v>46216</v>
      </c>
      <c r="D120" s="518"/>
      <c r="E120" s="517">
        <v>46220</v>
      </c>
      <c r="F120" s="519"/>
      <c r="G120" s="520" t="s">
        <v>526</v>
      </c>
      <c r="H120" s="733" t="s">
        <v>858</v>
      </c>
      <c r="I120" s="521" t="s">
        <v>32</v>
      </c>
      <c r="J120" s="525" t="s">
        <v>33</v>
      </c>
      <c r="K120" s="519"/>
      <c r="L120" s="521">
        <v>10</v>
      </c>
      <c r="M120" s="526">
        <v>226851.85</v>
      </c>
      <c r="N120" s="516">
        <v>2268518.5</v>
      </c>
      <c r="O120" s="516">
        <v>181481.48</v>
      </c>
      <c r="P120" s="516">
        <v>2449999.98</v>
      </c>
      <c r="Q120" s="516"/>
    </row>
    <row r="121" spans="1:17">
      <c r="A121" s="296" t="s">
        <v>664</v>
      </c>
      <c r="B121" s="306" t="s">
        <v>692</v>
      </c>
      <c r="C121" s="517">
        <v>46216</v>
      </c>
      <c r="D121" s="299"/>
      <c r="E121" s="517">
        <v>46220</v>
      </c>
      <c r="F121" s="298"/>
      <c r="G121" s="381" t="s">
        <v>526</v>
      </c>
      <c r="H121" s="641" t="s">
        <v>858</v>
      </c>
      <c r="I121" s="325" t="s">
        <v>34</v>
      </c>
      <c r="J121" s="387" t="s">
        <v>35</v>
      </c>
      <c r="K121" s="298"/>
      <c r="L121" s="325">
        <v>10</v>
      </c>
      <c r="M121" s="343">
        <v>240740.74</v>
      </c>
      <c r="N121" s="309">
        <v>2407407.4</v>
      </c>
      <c r="O121" s="309">
        <v>192592.592</v>
      </c>
      <c r="P121" s="309">
        <v>2599999.9920000001</v>
      </c>
      <c r="Q121" s="309"/>
    </row>
    <row r="122" spans="1:17">
      <c r="A122" s="296" t="s">
        <v>664</v>
      </c>
      <c r="B122" s="306" t="s">
        <v>692</v>
      </c>
      <c r="C122" s="517">
        <v>46216</v>
      </c>
      <c r="D122" s="299"/>
      <c r="E122" s="517">
        <v>46220</v>
      </c>
      <c r="F122" s="298"/>
      <c r="G122" s="381" t="s">
        <v>526</v>
      </c>
      <c r="H122" s="641" t="s">
        <v>858</v>
      </c>
      <c r="I122" s="325" t="s">
        <v>36</v>
      </c>
      <c r="J122" s="387" t="s">
        <v>37</v>
      </c>
      <c r="K122" s="298"/>
      <c r="L122" s="325">
        <v>10</v>
      </c>
      <c r="M122" s="343">
        <v>259259.25</v>
      </c>
      <c r="N122" s="309">
        <v>2592592.5</v>
      </c>
      <c r="O122" s="309">
        <v>207407.4</v>
      </c>
      <c r="P122" s="309">
        <v>2799999.9</v>
      </c>
      <c r="Q122" s="309"/>
    </row>
    <row r="123" spans="1:17">
      <c r="A123" s="296" t="s">
        <v>664</v>
      </c>
      <c r="B123" s="306" t="s">
        <v>692</v>
      </c>
      <c r="C123" s="517">
        <v>46216</v>
      </c>
      <c r="D123" s="299"/>
      <c r="E123" s="517">
        <v>46220</v>
      </c>
      <c r="F123" s="298"/>
      <c r="G123" s="381" t="s">
        <v>526</v>
      </c>
      <c r="H123" s="641" t="s">
        <v>858</v>
      </c>
      <c r="I123" s="325" t="s">
        <v>38</v>
      </c>
      <c r="J123" s="387" t="s">
        <v>39</v>
      </c>
      <c r="K123" s="298"/>
      <c r="L123" s="325">
        <v>10</v>
      </c>
      <c r="M123" s="343">
        <v>277277.77</v>
      </c>
      <c r="N123" s="309">
        <v>2772777.7</v>
      </c>
      <c r="O123" s="309">
        <v>221822.21600000001</v>
      </c>
      <c r="P123" s="309">
        <v>2994599.9160000002</v>
      </c>
      <c r="Q123" s="309"/>
    </row>
    <row r="124" spans="1:17">
      <c r="A124" s="296" t="s">
        <v>664</v>
      </c>
      <c r="B124" s="306" t="s">
        <v>692</v>
      </c>
      <c r="C124" s="517">
        <v>46216</v>
      </c>
      <c r="D124" s="299"/>
      <c r="E124" s="517">
        <v>46220</v>
      </c>
      <c r="F124" s="298"/>
      <c r="G124" s="381" t="s">
        <v>526</v>
      </c>
      <c r="H124" s="641" t="s">
        <v>858</v>
      </c>
      <c r="I124" s="325" t="s">
        <v>262</v>
      </c>
      <c r="J124" s="387" t="s">
        <v>263</v>
      </c>
      <c r="K124" s="298"/>
      <c r="L124" s="325">
        <v>10</v>
      </c>
      <c r="M124" s="343">
        <v>851851.85</v>
      </c>
      <c r="N124" s="309">
        <v>8518518.5</v>
      </c>
      <c r="O124" s="309">
        <v>681481.48</v>
      </c>
      <c r="P124" s="309">
        <v>9199999.9800000004</v>
      </c>
      <c r="Q124" s="309"/>
    </row>
    <row r="125" spans="1:17">
      <c r="A125" s="296" t="s">
        <v>664</v>
      </c>
      <c r="B125" s="306" t="s">
        <v>692</v>
      </c>
      <c r="C125" s="517">
        <v>46216</v>
      </c>
      <c r="D125" s="299"/>
      <c r="E125" s="517">
        <v>46220</v>
      </c>
      <c r="F125" s="298"/>
      <c r="G125" s="381" t="s">
        <v>526</v>
      </c>
      <c r="H125" s="641" t="s">
        <v>858</v>
      </c>
      <c r="I125" s="325" t="s">
        <v>204</v>
      </c>
      <c r="J125" s="387" t="s">
        <v>269</v>
      </c>
      <c r="K125" s="298"/>
      <c r="L125" s="325">
        <v>10</v>
      </c>
      <c r="M125" s="343">
        <v>480555.56</v>
      </c>
      <c r="N125" s="309">
        <v>4805555.5999999996</v>
      </c>
      <c r="O125" s="309">
        <v>384444.44799999997</v>
      </c>
      <c r="P125" s="309">
        <v>5190000.0479999995</v>
      </c>
      <c r="Q125" s="309"/>
    </row>
    <row r="126" spans="1:17">
      <c r="A126" s="296" t="s">
        <v>664</v>
      </c>
      <c r="B126" s="306" t="s">
        <v>692</v>
      </c>
      <c r="C126" s="517">
        <v>46216</v>
      </c>
      <c r="D126" s="299"/>
      <c r="E126" s="517">
        <v>46220</v>
      </c>
      <c r="F126" s="298"/>
      <c r="G126" s="381" t="s">
        <v>526</v>
      </c>
      <c r="H126" s="641" t="s">
        <v>858</v>
      </c>
      <c r="I126" s="325" t="s">
        <v>119</v>
      </c>
      <c r="J126" s="388" t="s">
        <v>527</v>
      </c>
      <c r="K126" s="298"/>
      <c r="L126" s="325">
        <v>1</v>
      </c>
      <c r="M126" s="343">
        <v>659259.26</v>
      </c>
      <c r="N126" s="309">
        <v>659259.26</v>
      </c>
      <c r="O126" s="309">
        <v>52740.7408</v>
      </c>
      <c r="P126" s="309">
        <v>712000.00080000004</v>
      </c>
      <c r="Q126" s="309"/>
    </row>
    <row r="127" spans="1:17">
      <c r="A127" s="296" t="s">
        <v>664</v>
      </c>
      <c r="B127" s="306" t="s">
        <v>692</v>
      </c>
      <c r="C127" s="517">
        <v>46216</v>
      </c>
      <c r="D127" s="299"/>
      <c r="E127" s="517">
        <v>46220</v>
      </c>
      <c r="F127" s="298"/>
      <c r="G127" s="381" t="s">
        <v>526</v>
      </c>
      <c r="H127" s="641" t="s">
        <v>858</v>
      </c>
      <c r="I127" s="325" t="s">
        <v>42</v>
      </c>
      <c r="J127" s="388" t="s">
        <v>528</v>
      </c>
      <c r="K127" s="298"/>
      <c r="L127" s="325">
        <v>1</v>
      </c>
      <c r="M127" s="343">
        <v>569444.43999999994</v>
      </c>
      <c r="N127" s="309">
        <v>569444.43999999994</v>
      </c>
      <c r="O127" s="309">
        <v>45555.555199999995</v>
      </c>
      <c r="P127" s="309">
        <v>614999.99519999989</v>
      </c>
      <c r="Q127" s="309"/>
    </row>
    <row r="128" spans="1:17">
      <c r="A128" s="296" t="s">
        <v>664</v>
      </c>
      <c r="B128" s="306" t="s">
        <v>692</v>
      </c>
      <c r="C128" s="517">
        <v>46216</v>
      </c>
      <c r="D128" s="299"/>
      <c r="E128" s="517">
        <v>46220</v>
      </c>
      <c r="F128" s="298"/>
      <c r="G128" s="381" t="s">
        <v>526</v>
      </c>
      <c r="H128" s="641" t="s">
        <v>858</v>
      </c>
      <c r="I128" s="325" t="s">
        <v>44</v>
      </c>
      <c r="J128" s="388" t="s">
        <v>529</v>
      </c>
      <c r="K128" s="298"/>
      <c r="L128" s="325">
        <v>1</v>
      </c>
      <c r="M128" s="343">
        <v>564814.81000000006</v>
      </c>
      <c r="N128" s="309">
        <v>564814.81000000006</v>
      </c>
      <c r="O128" s="309">
        <v>45185.184800000003</v>
      </c>
      <c r="P128" s="309">
        <v>609999.9948000001</v>
      </c>
      <c r="Q128" s="309"/>
    </row>
    <row r="129" spans="1:17">
      <c r="A129" s="296" t="s">
        <v>664</v>
      </c>
      <c r="B129" s="306" t="s">
        <v>692</v>
      </c>
      <c r="C129" s="517">
        <v>46216</v>
      </c>
      <c r="D129" s="299"/>
      <c r="E129" s="517">
        <v>46220</v>
      </c>
      <c r="F129" s="298"/>
      <c r="G129" s="381" t="s">
        <v>526</v>
      </c>
      <c r="H129" s="641" t="s">
        <v>858</v>
      </c>
      <c r="I129" s="325" t="s">
        <v>46</v>
      </c>
      <c r="J129" s="388" t="s">
        <v>530</v>
      </c>
      <c r="K129" s="298"/>
      <c r="L129" s="325">
        <v>3</v>
      </c>
      <c r="M129" s="343">
        <v>194444.44</v>
      </c>
      <c r="N129" s="309">
        <v>583333.32000000007</v>
      </c>
      <c r="O129" s="309">
        <v>46666.665600000008</v>
      </c>
      <c r="P129" s="309">
        <v>629999.98560000001</v>
      </c>
      <c r="Q129" s="309"/>
    </row>
    <row r="130" spans="1:17">
      <c r="A130" s="296" t="s">
        <v>664</v>
      </c>
      <c r="B130" s="306" t="s">
        <v>692</v>
      </c>
      <c r="C130" s="517">
        <v>46216</v>
      </c>
      <c r="D130" s="299"/>
      <c r="E130" s="347"/>
      <c r="F130" s="298"/>
      <c r="G130" s="381"/>
      <c r="H130" s="641" t="s">
        <v>858</v>
      </c>
      <c r="I130" s="325" t="s">
        <v>101</v>
      </c>
      <c r="J130" s="388" t="s">
        <v>102</v>
      </c>
      <c r="K130" s="298"/>
      <c r="L130" s="325">
        <v>8</v>
      </c>
      <c r="M130" s="343">
        <v>861111.11</v>
      </c>
      <c r="N130" s="309">
        <v>6888888.8799999999</v>
      </c>
      <c r="O130" s="309">
        <v>551111.11040000001</v>
      </c>
      <c r="P130" s="309">
        <v>7439999.9903999995</v>
      </c>
      <c r="Q130" s="309"/>
    </row>
    <row r="131" spans="1:17">
      <c r="A131" s="296" t="s">
        <v>664</v>
      </c>
      <c r="B131" s="306" t="s">
        <v>692</v>
      </c>
      <c r="C131" s="517">
        <v>46216</v>
      </c>
      <c r="D131" s="299"/>
      <c r="E131" s="347" t="s">
        <v>264</v>
      </c>
      <c r="F131" s="298"/>
      <c r="G131" s="381" t="s">
        <v>841</v>
      </c>
      <c r="H131" s="641" t="s">
        <v>858</v>
      </c>
      <c r="I131" s="325" t="s">
        <v>90</v>
      </c>
      <c r="J131" s="388" t="s">
        <v>91</v>
      </c>
      <c r="K131" s="298"/>
      <c r="L131" s="325">
        <v>20</v>
      </c>
      <c r="M131" s="343">
        <v>814814.81</v>
      </c>
      <c r="N131" s="309">
        <v>16296296.200000001</v>
      </c>
      <c r="O131" s="309">
        <v>1303703.6960000002</v>
      </c>
      <c r="P131" s="309">
        <v>17599999.896000002</v>
      </c>
      <c r="Q131" s="309"/>
    </row>
    <row r="132" spans="1:17">
      <c r="A132" s="296" t="s">
        <v>664</v>
      </c>
      <c r="B132" s="306" t="s">
        <v>692</v>
      </c>
      <c r="C132" s="517">
        <v>46216</v>
      </c>
      <c r="D132" s="299"/>
      <c r="E132" s="347"/>
      <c r="F132" s="298"/>
      <c r="G132" s="381"/>
      <c r="H132" s="641" t="s">
        <v>858</v>
      </c>
      <c r="I132" s="325" t="s">
        <v>103</v>
      </c>
      <c r="J132" s="388" t="s">
        <v>104</v>
      </c>
      <c r="K132" s="298"/>
      <c r="L132" s="325">
        <v>12</v>
      </c>
      <c r="M132" s="343">
        <v>675925.93</v>
      </c>
      <c r="N132" s="309">
        <v>8111111.1600000001</v>
      </c>
      <c r="O132" s="309">
        <v>648888.89280000003</v>
      </c>
      <c r="P132" s="309">
        <v>8760000.0527999997</v>
      </c>
      <c r="Q132" s="309"/>
    </row>
    <row r="133" spans="1:17">
      <c r="A133" s="296" t="s">
        <v>664</v>
      </c>
      <c r="B133" s="306" t="s">
        <v>692</v>
      </c>
      <c r="C133" s="517">
        <v>46216</v>
      </c>
      <c r="D133" s="299"/>
      <c r="E133" s="347"/>
      <c r="F133" s="298"/>
      <c r="G133" s="381"/>
      <c r="H133" s="641" t="s">
        <v>858</v>
      </c>
      <c r="I133" s="325" t="s">
        <v>62</v>
      </c>
      <c r="J133" s="388" t="s">
        <v>63</v>
      </c>
      <c r="K133" s="298"/>
      <c r="L133" s="325">
        <v>12</v>
      </c>
      <c r="M133" s="343">
        <v>0</v>
      </c>
      <c r="N133" s="309">
        <v>0</v>
      </c>
      <c r="O133" s="309">
        <v>0</v>
      </c>
      <c r="P133" s="309">
        <v>0</v>
      </c>
      <c r="Q133" s="309"/>
    </row>
    <row r="134" spans="1:17">
      <c r="A134" s="296" t="s">
        <v>664</v>
      </c>
      <c r="B134" s="306" t="s">
        <v>692</v>
      </c>
      <c r="C134" s="347">
        <v>46223</v>
      </c>
      <c r="D134" s="299"/>
      <c r="E134" s="347"/>
      <c r="F134" s="298"/>
      <c r="G134" s="381"/>
      <c r="H134" s="641" t="s">
        <v>858</v>
      </c>
      <c r="I134" s="325" t="s">
        <v>101</v>
      </c>
      <c r="J134" s="388" t="s">
        <v>102</v>
      </c>
      <c r="K134" s="298"/>
      <c r="L134" s="325">
        <v>20</v>
      </c>
      <c r="M134" s="343">
        <v>861111.11</v>
      </c>
      <c r="N134" s="309">
        <v>17222222.199999999</v>
      </c>
      <c r="O134" s="309">
        <v>1377777.7760000001</v>
      </c>
      <c r="P134" s="309">
        <v>18599999.976</v>
      </c>
      <c r="Q134" s="309"/>
    </row>
    <row r="135" spans="1:17" s="686" customFormat="1">
      <c r="A135" s="625" t="s">
        <v>664</v>
      </c>
      <c r="B135" s="306" t="s">
        <v>692</v>
      </c>
      <c r="C135" s="347">
        <v>46228</v>
      </c>
      <c r="D135" s="302"/>
      <c r="E135" s="347"/>
      <c r="F135" s="626"/>
      <c r="G135" s="325"/>
      <c r="H135" s="302" t="s">
        <v>672</v>
      </c>
      <c r="I135" s="325"/>
      <c r="J135" s="388"/>
      <c r="K135" s="626"/>
      <c r="L135" s="325"/>
      <c r="M135" s="343"/>
      <c r="N135" s="309"/>
      <c r="O135" s="309"/>
      <c r="P135" s="309"/>
      <c r="Q135" s="309">
        <v>45000000</v>
      </c>
    </row>
    <row r="136" spans="1:17">
      <c r="A136" s="296" t="s">
        <v>664</v>
      </c>
      <c r="B136" s="306" t="s">
        <v>692</v>
      </c>
      <c r="C136" s="348">
        <v>46232</v>
      </c>
      <c r="D136" s="299"/>
      <c r="E136" s="336"/>
      <c r="F136" s="298"/>
      <c r="G136" s="381"/>
      <c r="H136" s="641" t="s">
        <v>858</v>
      </c>
      <c r="I136" s="325" t="s">
        <v>639</v>
      </c>
      <c r="J136" s="337" t="s">
        <v>640</v>
      </c>
      <c r="K136" s="298"/>
      <c r="L136" s="338">
        <v>15</v>
      </c>
      <c r="M136" s="328">
        <v>542592.59</v>
      </c>
      <c r="N136" s="309">
        <v>8138888.8499999996</v>
      </c>
      <c r="O136" s="309">
        <v>651111.10800000001</v>
      </c>
      <c r="P136" s="309">
        <v>8789999.9580000006</v>
      </c>
      <c r="Q136" s="309"/>
    </row>
    <row r="137" spans="1:17">
      <c r="A137" s="296" t="s">
        <v>664</v>
      </c>
      <c r="B137" s="306" t="s">
        <v>692</v>
      </c>
      <c r="C137" s="348">
        <v>46232</v>
      </c>
      <c r="D137" s="299"/>
      <c r="E137" s="336"/>
      <c r="F137" s="298"/>
      <c r="G137" s="381"/>
      <c r="H137" s="641" t="s">
        <v>858</v>
      </c>
      <c r="I137" s="325" t="s">
        <v>641</v>
      </c>
      <c r="J137" s="337" t="s">
        <v>657</v>
      </c>
      <c r="K137" s="298"/>
      <c r="L137" s="338">
        <v>15</v>
      </c>
      <c r="M137" s="328">
        <v>644444.43999999994</v>
      </c>
      <c r="N137" s="309">
        <v>9666666.5999999996</v>
      </c>
      <c r="O137" s="309">
        <v>773333.32799999998</v>
      </c>
      <c r="P137" s="309">
        <v>10439999.927999999</v>
      </c>
      <c r="Q137" s="309"/>
    </row>
    <row r="138" spans="1:17">
      <c r="A138" s="296" t="s">
        <v>664</v>
      </c>
      <c r="B138" s="306" t="s">
        <v>692</v>
      </c>
      <c r="C138" s="348">
        <v>46232</v>
      </c>
      <c r="D138" s="299"/>
      <c r="E138" s="336"/>
      <c r="F138" s="298"/>
      <c r="G138" s="381"/>
      <c r="H138" s="641" t="s">
        <v>858</v>
      </c>
      <c r="I138" s="325" t="s">
        <v>643</v>
      </c>
      <c r="J138" s="337" t="s">
        <v>644</v>
      </c>
      <c r="K138" s="298"/>
      <c r="L138" s="338">
        <v>45</v>
      </c>
      <c r="M138" s="328">
        <v>527777.78</v>
      </c>
      <c r="N138" s="309">
        <v>23750000.100000001</v>
      </c>
      <c r="O138" s="309">
        <v>1900000.0080000001</v>
      </c>
      <c r="P138" s="309">
        <v>25650000.108000003</v>
      </c>
      <c r="Q138" s="309"/>
    </row>
    <row r="139" spans="1:17">
      <c r="A139" s="296" t="s">
        <v>664</v>
      </c>
      <c r="B139" s="306" t="s">
        <v>692</v>
      </c>
      <c r="C139" s="348">
        <v>46232</v>
      </c>
      <c r="D139" s="299"/>
      <c r="E139" s="336"/>
      <c r="F139" s="298"/>
      <c r="G139" s="381"/>
      <c r="H139" s="641" t="s">
        <v>858</v>
      </c>
      <c r="I139" s="325" t="s">
        <v>645</v>
      </c>
      <c r="J139" s="337" t="s">
        <v>646</v>
      </c>
      <c r="K139" s="298"/>
      <c r="L139" s="338">
        <v>45</v>
      </c>
      <c r="M139" s="328">
        <v>629629.63</v>
      </c>
      <c r="N139" s="309">
        <v>28333333.350000001</v>
      </c>
      <c r="O139" s="309">
        <v>2266666.6680000001</v>
      </c>
      <c r="P139" s="309">
        <v>30600000.018000003</v>
      </c>
      <c r="Q139" s="309"/>
    </row>
    <row r="140" spans="1:17">
      <c r="A140" s="296" t="s">
        <v>664</v>
      </c>
      <c r="B140" s="306" t="s">
        <v>692</v>
      </c>
      <c r="C140" s="348">
        <v>46232</v>
      </c>
      <c r="D140" s="299"/>
      <c r="E140" s="336"/>
      <c r="F140" s="298"/>
      <c r="G140" s="381"/>
      <c r="H140" s="641" t="s">
        <v>858</v>
      </c>
      <c r="I140" s="325" t="s">
        <v>649</v>
      </c>
      <c r="J140" s="337" t="s">
        <v>650</v>
      </c>
      <c r="K140" s="298"/>
      <c r="L140" s="338">
        <v>15</v>
      </c>
      <c r="M140" s="328">
        <v>574074.06999999995</v>
      </c>
      <c r="N140" s="309">
        <v>8611111.0499999989</v>
      </c>
      <c r="O140" s="309">
        <v>688888.88399999996</v>
      </c>
      <c r="P140" s="309">
        <v>9299999.9339999985</v>
      </c>
      <c r="Q140" s="309"/>
    </row>
    <row r="141" spans="1:17">
      <c r="A141" s="296" t="s">
        <v>664</v>
      </c>
      <c r="B141" s="306" t="s">
        <v>692</v>
      </c>
      <c r="C141" s="348">
        <v>46232</v>
      </c>
      <c r="D141" s="299"/>
      <c r="E141" s="336"/>
      <c r="F141" s="298"/>
      <c r="G141" s="381"/>
      <c r="H141" s="641" t="s">
        <v>858</v>
      </c>
      <c r="I141" s="325" t="s">
        <v>651</v>
      </c>
      <c r="J141" s="337" t="s">
        <v>652</v>
      </c>
      <c r="K141" s="298"/>
      <c r="L141" s="338">
        <v>15</v>
      </c>
      <c r="M141" s="328">
        <v>694444.44</v>
      </c>
      <c r="N141" s="309">
        <v>10416666.6</v>
      </c>
      <c r="O141" s="309">
        <v>833333.32799999998</v>
      </c>
      <c r="P141" s="309">
        <v>11249999.927999999</v>
      </c>
      <c r="Q141" s="309"/>
    </row>
    <row r="142" spans="1:17">
      <c r="A142" s="296" t="s">
        <v>664</v>
      </c>
      <c r="B142" s="306" t="s">
        <v>692</v>
      </c>
      <c r="C142" s="348">
        <v>46232</v>
      </c>
      <c r="D142" s="299"/>
      <c r="E142" s="336"/>
      <c r="F142" s="298"/>
      <c r="G142" s="381"/>
      <c r="H142" s="641" t="s">
        <v>858</v>
      </c>
      <c r="I142" s="325" t="s">
        <v>653</v>
      </c>
      <c r="J142" s="337" t="s">
        <v>654</v>
      </c>
      <c r="K142" s="298"/>
      <c r="L142" s="338">
        <v>15</v>
      </c>
      <c r="M142" s="328">
        <v>481481.48</v>
      </c>
      <c r="N142" s="309">
        <v>7222222.1999999993</v>
      </c>
      <c r="O142" s="309">
        <v>577777.77599999995</v>
      </c>
      <c r="P142" s="309">
        <v>7799999.9759999989</v>
      </c>
      <c r="Q142" s="309"/>
    </row>
    <row r="143" spans="1:17">
      <c r="A143" s="296" t="s">
        <v>664</v>
      </c>
      <c r="B143" s="306" t="s">
        <v>692</v>
      </c>
      <c r="C143" s="348">
        <v>46232</v>
      </c>
      <c r="D143" s="299"/>
      <c r="E143" s="336"/>
      <c r="F143" s="298"/>
      <c r="G143" s="381"/>
      <c r="H143" s="641" t="s">
        <v>858</v>
      </c>
      <c r="I143" s="325" t="s">
        <v>655</v>
      </c>
      <c r="J143" s="337" t="s">
        <v>656</v>
      </c>
      <c r="K143" s="298"/>
      <c r="L143" s="338">
        <v>15</v>
      </c>
      <c r="M143" s="328">
        <v>574074.06999999995</v>
      </c>
      <c r="N143" s="309">
        <v>8611111.0499999989</v>
      </c>
      <c r="O143" s="309">
        <v>688888.88399999996</v>
      </c>
      <c r="P143" s="309">
        <v>9299999.9339999985</v>
      </c>
      <c r="Q143" s="309"/>
    </row>
    <row r="144" spans="1:17">
      <c r="A144" s="296" t="s">
        <v>664</v>
      </c>
      <c r="B144" s="306" t="s">
        <v>692</v>
      </c>
      <c r="C144" s="348">
        <v>46232</v>
      </c>
      <c r="D144" s="299"/>
      <c r="E144" s="336"/>
      <c r="F144" s="298"/>
      <c r="G144" s="381"/>
      <c r="H144" s="641" t="s">
        <v>858</v>
      </c>
      <c r="I144" s="325" t="s">
        <v>647</v>
      </c>
      <c r="J144" s="337" t="s">
        <v>648</v>
      </c>
      <c r="K144" s="298"/>
      <c r="L144" s="338">
        <v>4</v>
      </c>
      <c r="M144" s="328">
        <v>601851.85</v>
      </c>
      <c r="N144" s="309">
        <v>2407407.4</v>
      </c>
      <c r="O144" s="309">
        <v>192592.592</v>
      </c>
      <c r="P144" s="309">
        <v>2599999.9920000001</v>
      </c>
      <c r="Q144" s="309"/>
    </row>
    <row r="145" spans="1:17">
      <c r="A145" s="296" t="s">
        <v>664</v>
      </c>
      <c r="B145" s="306" t="s">
        <v>692</v>
      </c>
      <c r="C145" s="348">
        <v>46232</v>
      </c>
      <c r="D145" s="299"/>
      <c r="E145" s="336"/>
      <c r="F145" s="298"/>
      <c r="G145" s="381"/>
      <c r="H145" s="641" t="s">
        <v>858</v>
      </c>
      <c r="I145" s="325" t="s">
        <v>639</v>
      </c>
      <c r="J145" s="337" t="s">
        <v>640</v>
      </c>
      <c r="K145" s="298"/>
      <c r="L145" s="338">
        <v>1</v>
      </c>
      <c r="M145" s="328">
        <v>0</v>
      </c>
      <c r="N145" s="309">
        <v>0</v>
      </c>
      <c r="O145" s="309">
        <v>0</v>
      </c>
      <c r="P145" s="309">
        <v>0</v>
      </c>
      <c r="Q145" s="309"/>
    </row>
    <row r="146" spans="1:17">
      <c r="A146" s="296" t="s">
        <v>664</v>
      </c>
      <c r="B146" s="306" t="s">
        <v>692</v>
      </c>
      <c r="C146" s="348">
        <v>46232</v>
      </c>
      <c r="D146" s="299"/>
      <c r="E146" s="336"/>
      <c r="F146" s="298"/>
      <c r="G146" s="381"/>
      <c r="H146" s="641" t="s">
        <v>858</v>
      </c>
      <c r="I146" s="325" t="s">
        <v>641</v>
      </c>
      <c r="J146" s="337" t="s">
        <v>657</v>
      </c>
      <c r="K146" s="298"/>
      <c r="L146" s="338">
        <v>1</v>
      </c>
      <c r="M146" s="328">
        <v>0</v>
      </c>
      <c r="N146" s="309">
        <v>0</v>
      </c>
      <c r="O146" s="309">
        <v>0</v>
      </c>
      <c r="P146" s="309">
        <v>0</v>
      </c>
      <c r="Q146" s="309"/>
    </row>
    <row r="147" spans="1:17">
      <c r="A147" s="296" t="s">
        <v>664</v>
      </c>
      <c r="B147" s="306" t="s">
        <v>692</v>
      </c>
      <c r="C147" s="348">
        <v>46232</v>
      </c>
      <c r="D147" s="299"/>
      <c r="E147" s="336"/>
      <c r="F147" s="298"/>
      <c r="G147" s="381"/>
      <c r="H147" s="641" t="s">
        <v>858</v>
      </c>
      <c r="I147" s="325" t="s">
        <v>643</v>
      </c>
      <c r="J147" s="337" t="s">
        <v>644</v>
      </c>
      <c r="K147" s="298"/>
      <c r="L147" s="338">
        <v>3</v>
      </c>
      <c r="M147" s="328">
        <v>0</v>
      </c>
      <c r="N147" s="309">
        <v>0</v>
      </c>
      <c r="O147" s="309">
        <v>0</v>
      </c>
      <c r="P147" s="309">
        <v>0</v>
      </c>
      <c r="Q147" s="309"/>
    </row>
    <row r="148" spans="1:17">
      <c r="A148" s="296" t="s">
        <v>664</v>
      </c>
      <c r="B148" s="306" t="s">
        <v>692</v>
      </c>
      <c r="C148" s="348">
        <v>46232</v>
      </c>
      <c r="D148" s="299"/>
      <c r="E148" s="336"/>
      <c r="F148" s="298"/>
      <c r="G148" s="381"/>
      <c r="H148" s="641" t="s">
        <v>858</v>
      </c>
      <c r="I148" s="325" t="s">
        <v>645</v>
      </c>
      <c r="J148" s="337" t="s">
        <v>646</v>
      </c>
      <c r="K148" s="298"/>
      <c r="L148" s="338">
        <v>3</v>
      </c>
      <c r="M148" s="328">
        <v>0</v>
      </c>
      <c r="N148" s="309">
        <v>0</v>
      </c>
      <c r="O148" s="309">
        <v>0</v>
      </c>
      <c r="P148" s="309">
        <v>0</v>
      </c>
      <c r="Q148" s="309"/>
    </row>
    <row r="149" spans="1:17">
      <c r="A149" s="296" t="s">
        <v>664</v>
      </c>
      <c r="B149" s="306" t="s">
        <v>692</v>
      </c>
      <c r="C149" s="348">
        <v>46232</v>
      </c>
      <c r="D149" s="299"/>
      <c r="E149" s="336"/>
      <c r="F149" s="298"/>
      <c r="G149" s="381"/>
      <c r="H149" s="641" t="s">
        <v>858</v>
      </c>
      <c r="I149" s="325" t="s">
        <v>649</v>
      </c>
      <c r="J149" s="337" t="s">
        <v>650</v>
      </c>
      <c r="K149" s="298"/>
      <c r="L149" s="338">
        <v>1</v>
      </c>
      <c r="M149" s="328">
        <v>0</v>
      </c>
      <c r="N149" s="309">
        <v>0</v>
      </c>
      <c r="O149" s="309">
        <v>0</v>
      </c>
      <c r="P149" s="309">
        <v>0</v>
      </c>
      <c r="Q149" s="309"/>
    </row>
    <row r="150" spans="1:17">
      <c r="A150" s="296" t="s">
        <v>664</v>
      </c>
      <c r="B150" s="306" t="s">
        <v>692</v>
      </c>
      <c r="C150" s="348">
        <v>46232</v>
      </c>
      <c r="D150" s="299"/>
      <c r="E150" s="336"/>
      <c r="F150" s="298"/>
      <c r="G150" s="381"/>
      <c r="H150" s="641" t="s">
        <v>858</v>
      </c>
      <c r="I150" s="325" t="s">
        <v>651</v>
      </c>
      <c r="J150" s="337" t="s">
        <v>652</v>
      </c>
      <c r="K150" s="298"/>
      <c r="L150" s="338">
        <v>1</v>
      </c>
      <c r="M150" s="328">
        <v>0</v>
      </c>
      <c r="N150" s="309">
        <v>0</v>
      </c>
      <c r="O150" s="309">
        <v>0</v>
      </c>
      <c r="P150" s="309">
        <v>0</v>
      </c>
      <c r="Q150" s="309"/>
    </row>
    <row r="151" spans="1:17">
      <c r="A151" s="296" t="s">
        <v>664</v>
      </c>
      <c r="B151" s="306" t="s">
        <v>692</v>
      </c>
      <c r="C151" s="348">
        <v>46232</v>
      </c>
      <c r="D151" s="299"/>
      <c r="E151" s="336"/>
      <c r="F151" s="298"/>
      <c r="G151" s="381"/>
      <c r="H151" s="641" t="s">
        <v>858</v>
      </c>
      <c r="I151" s="325" t="s">
        <v>653</v>
      </c>
      <c r="J151" s="337" t="s">
        <v>654</v>
      </c>
      <c r="K151" s="298"/>
      <c r="L151" s="338">
        <v>1</v>
      </c>
      <c r="M151" s="328">
        <v>0</v>
      </c>
      <c r="N151" s="309">
        <v>0</v>
      </c>
      <c r="O151" s="309">
        <v>0</v>
      </c>
      <c r="P151" s="309">
        <v>0</v>
      </c>
      <c r="Q151" s="309"/>
    </row>
    <row r="152" spans="1:17">
      <c r="A152" s="296" t="s">
        <v>664</v>
      </c>
      <c r="B152" s="306" t="s">
        <v>692</v>
      </c>
      <c r="C152" s="348">
        <v>46232</v>
      </c>
      <c r="D152" s="299"/>
      <c r="E152" s="336"/>
      <c r="F152" s="298"/>
      <c r="G152" s="381"/>
      <c r="H152" s="641" t="s">
        <v>858</v>
      </c>
      <c r="I152" s="325" t="s">
        <v>655</v>
      </c>
      <c r="J152" s="337" t="s">
        <v>656</v>
      </c>
      <c r="K152" s="298"/>
      <c r="L152" s="338">
        <v>1</v>
      </c>
      <c r="M152" s="328">
        <v>0</v>
      </c>
      <c r="N152" s="309">
        <v>0</v>
      </c>
      <c r="O152" s="309">
        <v>0</v>
      </c>
      <c r="P152" s="309">
        <v>0</v>
      </c>
      <c r="Q152" s="309"/>
    </row>
    <row r="153" spans="1:17">
      <c r="A153" s="296" t="s">
        <v>664</v>
      </c>
      <c r="B153" s="306" t="s">
        <v>692</v>
      </c>
      <c r="C153" s="348">
        <v>46233</v>
      </c>
      <c r="D153" s="299"/>
      <c r="E153" s="348">
        <v>46233</v>
      </c>
      <c r="F153" s="298"/>
      <c r="G153" s="381" t="s">
        <v>842</v>
      </c>
      <c r="H153" s="394" t="s">
        <v>843</v>
      </c>
      <c r="I153" s="339" t="s">
        <v>161</v>
      </c>
      <c r="J153" s="388" t="s">
        <v>162</v>
      </c>
      <c r="K153" s="298"/>
      <c r="L153" s="344">
        <v>-14</v>
      </c>
      <c r="M153" s="309">
        <v>231481.48</v>
      </c>
      <c r="N153" s="309">
        <v>-3240740.72</v>
      </c>
      <c r="O153" s="309">
        <v>-259259.25760000001</v>
      </c>
      <c r="P153" s="309">
        <v>-3499999.9776000003</v>
      </c>
      <c r="Q153" s="309"/>
    </row>
    <row r="154" spans="1:17" ht="30">
      <c r="A154" s="296" t="s">
        <v>664</v>
      </c>
      <c r="B154" s="306" t="s">
        <v>692</v>
      </c>
      <c r="C154" s="348">
        <v>46233</v>
      </c>
      <c r="D154" s="299"/>
      <c r="E154" s="348">
        <v>46233</v>
      </c>
      <c r="F154" s="298"/>
      <c r="G154" s="381" t="s">
        <v>842</v>
      </c>
      <c r="H154" s="394" t="s">
        <v>843</v>
      </c>
      <c r="I154" s="339" t="s">
        <v>165</v>
      </c>
      <c r="J154" s="388" t="s">
        <v>409</v>
      </c>
      <c r="K154" s="298"/>
      <c r="L154" s="344">
        <v>-57</v>
      </c>
      <c r="M154" s="309">
        <v>203703.7</v>
      </c>
      <c r="N154" s="309">
        <v>-11611110.9</v>
      </c>
      <c r="O154" s="309">
        <v>-928888.87200000009</v>
      </c>
      <c r="P154" s="309">
        <v>-12539999.772</v>
      </c>
      <c r="Q154" s="309"/>
    </row>
    <row r="155" spans="1:17" ht="30">
      <c r="A155" s="296" t="s">
        <v>664</v>
      </c>
      <c r="B155" s="306" t="s">
        <v>692</v>
      </c>
      <c r="C155" s="348">
        <v>46233</v>
      </c>
      <c r="D155" s="299"/>
      <c r="E155" s="348">
        <v>46233</v>
      </c>
      <c r="F155" s="298"/>
      <c r="G155" s="381" t="s">
        <v>842</v>
      </c>
      <c r="H155" s="394" t="s">
        <v>843</v>
      </c>
      <c r="I155" s="339" t="s">
        <v>167</v>
      </c>
      <c r="J155" s="388" t="s">
        <v>410</v>
      </c>
      <c r="K155" s="298"/>
      <c r="L155" s="344">
        <v>-25</v>
      </c>
      <c r="M155" s="309">
        <v>231481.48</v>
      </c>
      <c r="N155" s="309">
        <v>-5787037</v>
      </c>
      <c r="O155" s="309">
        <v>-462962.96</v>
      </c>
      <c r="P155" s="309">
        <v>-6249999.96</v>
      </c>
      <c r="Q155" s="309"/>
    </row>
    <row r="156" spans="1:17">
      <c r="A156" s="296" t="s">
        <v>664</v>
      </c>
      <c r="B156" s="306" t="s">
        <v>692</v>
      </c>
      <c r="C156" s="348">
        <v>46233</v>
      </c>
      <c r="D156" s="299"/>
      <c r="E156" s="336"/>
      <c r="F156" s="298"/>
      <c r="G156" s="381"/>
      <c r="H156" s="394" t="s">
        <v>516</v>
      </c>
      <c r="I156" s="339" t="s">
        <v>163</v>
      </c>
      <c r="J156" s="388" t="s">
        <v>164</v>
      </c>
      <c r="K156" s="298"/>
      <c r="L156" s="344">
        <v>-19</v>
      </c>
      <c r="M156" s="309">
        <v>231481.48</v>
      </c>
      <c r="N156" s="309">
        <v>-4398148.12</v>
      </c>
      <c r="O156" s="309">
        <v>-351851.84960000002</v>
      </c>
      <c r="P156" s="309">
        <v>-4749999.9696000004</v>
      </c>
      <c r="Q156" s="309"/>
    </row>
    <row r="157" spans="1:17">
      <c r="A157" s="296" t="s">
        <v>664</v>
      </c>
      <c r="B157" s="306" t="s">
        <v>692</v>
      </c>
      <c r="C157" s="348">
        <v>46233</v>
      </c>
      <c r="D157" s="299"/>
      <c r="E157" s="336"/>
      <c r="F157" s="298"/>
      <c r="G157" s="381"/>
      <c r="H157" s="394" t="s">
        <v>516</v>
      </c>
      <c r="I157" s="339" t="s">
        <v>169</v>
      </c>
      <c r="J157" s="388" t="s">
        <v>170</v>
      </c>
      <c r="K157" s="298"/>
      <c r="L157" s="344">
        <v>-20</v>
      </c>
      <c r="M157" s="309">
        <v>425925.93</v>
      </c>
      <c r="N157" s="309">
        <v>-8518518.5999999996</v>
      </c>
      <c r="O157" s="309">
        <v>-681481.48800000001</v>
      </c>
      <c r="P157" s="309">
        <v>-9200000.0879999995</v>
      </c>
      <c r="Q157" s="309"/>
    </row>
    <row r="158" spans="1:17">
      <c r="A158" s="296" t="s">
        <v>664</v>
      </c>
      <c r="B158" s="306" t="s">
        <v>692</v>
      </c>
      <c r="C158" s="348">
        <v>46237</v>
      </c>
      <c r="D158" s="299" t="s">
        <v>663</v>
      </c>
      <c r="E158" s="297"/>
      <c r="F158" s="298"/>
      <c r="G158" s="298"/>
      <c r="H158" s="299" t="s">
        <v>671</v>
      </c>
      <c r="I158" s="300" t="s">
        <v>85</v>
      </c>
      <c r="J158" s="303" t="s">
        <v>86</v>
      </c>
      <c r="K158" s="298" t="s">
        <v>113</v>
      </c>
      <c r="L158" s="301">
        <v>-100</v>
      </c>
      <c r="M158" s="309">
        <v>509259.26</v>
      </c>
      <c r="N158" s="309">
        <v>-50925926</v>
      </c>
      <c r="O158" s="309">
        <v>-4074074.08</v>
      </c>
      <c r="P158" s="309">
        <v>-55000000.079999998</v>
      </c>
      <c r="Q158" s="309"/>
    </row>
    <row r="159" spans="1:17">
      <c r="A159" s="711" t="s">
        <v>1003</v>
      </c>
      <c r="B159" s="306" t="s">
        <v>692</v>
      </c>
      <c r="C159" s="348">
        <v>46284</v>
      </c>
      <c r="D159" s="490"/>
      <c r="E159" s="450"/>
      <c r="F159" s="443"/>
      <c r="G159" s="443"/>
      <c r="H159" s="299" t="s">
        <v>672</v>
      </c>
      <c r="I159" s="687"/>
      <c r="J159" s="740"/>
      <c r="K159" s="687"/>
      <c r="L159" s="635"/>
      <c r="M159" s="328"/>
      <c r="N159" s="301">
        <f t="shared" ref="N159:N177" si="0">L159*M159</f>
        <v>0</v>
      </c>
      <c r="O159" s="301">
        <f t="shared" ref="O159:O177" si="1">N159*8%</f>
        <v>0</v>
      </c>
      <c r="P159" s="345">
        <f t="shared" ref="P159:P177" si="2">N159+O159</f>
        <v>0</v>
      </c>
      <c r="Q159" s="652">
        <v>50000000</v>
      </c>
    </row>
    <row r="160" spans="1:17" ht="30">
      <c r="A160" s="711" t="s">
        <v>1003</v>
      </c>
      <c r="B160" s="306" t="s">
        <v>692</v>
      </c>
      <c r="C160" s="348">
        <v>46284</v>
      </c>
      <c r="D160" s="490"/>
      <c r="E160" s="450"/>
      <c r="F160" s="443"/>
      <c r="G160" s="443"/>
      <c r="H160" s="299" t="s">
        <v>671</v>
      </c>
      <c r="I160" s="739" t="s">
        <v>96</v>
      </c>
      <c r="J160" s="388" t="s">
        <v>97</v>
      </c>
      <c r="K160" s="298"/>
      <c r="L160" s="635">
        <v>-7</v>
      </c>
      <c r="M160" s="328">
        <v>574074.06999999995</v>
      </c>
      <c r="N160" s="301">
        <f t="shared" si="0"/>
        <v>-4018518.4899999998</v>
      </c>
      <c r="O160" s="301">
        <f t="shared" si="1"/>
        <v>-321481.4792</v>
      </c>
      <c r="P160" s="345">
        <f t="shared" si="2"/>
        <v>-4339999.9692000002</v>
      </c>
      <c r="Q160" s="652"/>
    </row>
    <row r="161" spans="1:17">
      <c r="A161" s="711" t="s">
        <v>1003</v>
      </c>
      <c r="B161" s="306" t="s">
        <v>692</v>
      </c>
      <c r="C161" s="446">
        <v>46286</v>
      </c>
      <c r="D161" s="752" t="s">
        <v>1265</v>
      </c>
      <c r="E161" s="446"/>
      <c r="F161" s="447"/>
      <c r="G161" s="447"/>
      <c r="H161" s="299" t="s">
        <v>1228</v>
      </c>
      <c r="I161" s="317" t="s">
        <v>643</v>
      </c>
      <c r="J161" s="320" t="s">
        <v>644</v>
      </c>
      <c r="K161" s="317" t="s">
        <v>18</v>
      </c>
      <c r="L161" s="315">
        <v>30</v>
      </c>
      <c r="M161" s="316">
        <v>527777.78</v>
      </c>
      <c r="N161" s="319">
        <f t="shared" si="0"/>
        <v>15833333.4</v>
      </c>
      <c r="O161" s="301">
        <f t="shared" si="1"/>
        <v>1266666.672</v>
      </c>
      <c r="P161" s="756">
        <f t="shared" si="2"/>
        <v>17100000.072000001</v>
      </c>
      <c r="Q161" s="652"/>
    </row>
    <row r="162" spans="1:17">
      <c r="A162" s="711" t="s">
        <v>1003</v>
      </c>
      <c r="B162" s="306" t="s">
        <v>692</v>
      </c>
      <c r="C162" s="446">
        <v>46286</v>
      </c>
      <c r="D162" s="752" t="s">
        <v>1265</v>
      </c>
      <c r="E162" s="446"/>
      <c r="F162" s="447"/>
      <c r="G162" s="447"/>
      <c r="H162" s="299" t="s">
        <v>1228</v>
      </c>
      <c r="I162" s="317" t="s">
        <v>653</v>
      </c>
      <c r="J162" s="320" t="s">
        <v>654</v>
      </c>
      <c r="K162" s="317" t="s">
        <v>18</v>
      </c>
      <c r="L162" s="315">
        <v>30</v>
      </c>
      <c r="M162" s="316">
        <v>481481.48</v>
      </c>
      <c r="N162" s="319">
        <f t="shared" si="0"/>
        <v>14444444.399999999</v>
      </c>
      <c r="O162" s="301">
        <f t="shared" si="1"/>
        <v>1155555.5519999999</v>
      </c>
      <c r="P162" s="756">
        <f t="shared" si="2"/>
        <v>15599999.951999998</v>
      </c>
      <c r="Q162" s="652"/>
    </row>
    <row r="163" spans="1:17">
      <c r="A163" s="711" t="s">
        <v>1003</v>
      </c>
      <c r="B163" s="306" t="s">
        <v>692</v>
      </c>
      <c r="C163" s="446">
        <v>46286</v>
      </c>
      <c r="D163" s="752" t="s">
        <v>1265</v>
      </c>
      <c r="E163" s="446"/>
      <c r="F163" s="447"/>
      <c r="G163" s="447"/>
      <c r="H163" s="299" t="s">
        <v>1228</v>
      </c>
      <c r="I163" s="317" t="s">
        <v>655</v>
      </c>
      <c r="J163" s="320" t="s">
        <v>656</v>
      </c>
      <c r="K163" s="317" t="s">
        <v>18</v>
      </c>
      <c r="L163" s="315">
        <v>30</v>
      </c>
      <c r="M163" s="316">
        <v>574074.06999999995</v>
      </c>
      <c r="N163" s="319">
        <f t="shared" si="0"/>
        <v>17222222.099999998</v>
      </c>
      <c r="O163" s="301">
        <f t="shared" si="1"/>
        <v>1377777.7679999999</v>
      </c>
      <c r="P163" s="756">
        <f t="shared" si="2"/>
        <v>18599999.867999997</v>
      </c>
      <c r="Q163" s="652"/>
    </row>
    <row r="164" spans="1:17">
      <c r="A164" s="711" t="s">
        <v>1003</v>
      </c>
      <c r="B164" s="306" t="s">
        <v>692</v>
      </c>
      <c r="C164" s="446">
        <v>46286</v>
      </c>
      <c r="D164" s="752" t="s">
        <v>1265</v>
      </c>
      <c r="E164" s="446"/>
      <c r="F164" s="447"/>
      <c r="G164" s="447"/>
      <c r="H164" s="299" t="s">
        <v>1228</v>
      </c>
      <c r="I164" s="317" t="s">
        <v>80</v>
      </c>
      <c r="J164" s="320" t="s">
        <v>81</v>
      </c>
      <c r="K164" s="317" t="s">
        <v>18</v>
      </c>
      <c r="L164" s="315">
        <v>10</v>
      </c>
      <c r="M164" s="316">
        <v>824074.07</v>
      </c>
      <c r="N164" s="319">
        <f t="shared" si="0"/>
        <v>8240740.6999999993</v>
      </c>
      <c r="O164" s="301">
        <f t="shared" si="1"/>
        <v>659259.25599999994</v>
      </c>
      <c r="P164" s="756">
        <f t="shared" si="2"/>
        <v>8899999.9559999984</v>
      </c>
      <c r="Q164" s="652"/>
    </row>
    <row r="165" spans="1:17">
      <c r="A165" s="711" t="s">
        <v>1003</v>
      </c>
      <c r="B165" s="306" t="s">
        <v>692</v>
      </c>
      <c r="C165" s="446">
        <v>46286</v>
      </c>
      <c r="D165" s="752" t="s">
        <v>1265</v>
      </c>
      <c r="E165" s="446"/>
      <c r="F165" s="447"/>
      <c r="G165" s="447"/>
      <c r="H165" s="299" t="s">
        <v>1228</v>
      </c>
      <c r="I165" s="317" t="s">
        <v>21</v>
      </c>
      <c r="J165" s="320" t="s">
        <v>22</v>
      </c>
      <c r="K165" s="317" t="s">
        <v>18</v>
      </c>
      <c r="L165" s="315">
        <v>16</v>
      </c>
      <c r="M165" s="316">
        <v>937962.96</v>
      </c>
      <c r="N165" s="319">
        <f t="shared" si="0"/>
        <v>15007407.359999999</v>
      </c>
      <c r="O165" s="301">
        <f t="shared" si="1"/>
        <v>1200592.5888</v>
      </c>
      <c r="P165" s="756">
        <f t="shared" si="2"/>
        <v>16207999.948799999</v>
      </c>
      <c r="Q165" s="652"/>
    </row>
    <row r="166" spans="1:17">
      <c r="A166" s="711" t="s">
        <v>1003</v>
      </c>
      <c r="B166" s="306" t="s">
        <v>692</v>
      </c>
      <c r="C166" s="446">
        <v>46286</v>
      </c>
      <c r="D166" s="752" t="s">
        <v>1265</v>
      </c>
      <c r="E166" s="446"/>
      <c r="F166" s="447"/>
      <c r="G166" s="447"/>
      <c r="H166" s="299" t="s">
        <v>1228</v>
      </c>
      <c r="I166" s="317" t="s">
        <v>262</v>
      </c>
      <c r="J166" s="320" t="s">
        <v>435</v>
      </c>
      <c r="K166" s="317" t="s">
        <v>18</v>
      </c>
      <c r="L166" s="315">
        <v>10</v>
      </c>
      <c r="M166" s="316">
        <v>851851.85</v>
      </c>
      <c r="N166" s="319">
        <f t="shared" si="0"/>
        <v>8518518.5</v>
      </c>
      <c r="O166" s="301">
        <f t="shared" si="1"/>
        <v>681481.48</v>
      </c>
      <c r="P166" s="756">
        <f t="shared" si="2"/>
        <v>9199999.9800000004</v>
      </c>
      <c r="Q166" s="652"/>
    </row>
    <row r="167" spans="1:17">
      <c r="A167" s="711" t="s">
        <v>1003</v>
      </c>
      <c r="B167" s="306" t="s">
        <v>692</v>
      </c>
      <c r="C167" s="446">
        <v>46286</v>
      </c>
      <c r="D167" s="752" t="s">
        <v>1265</v>
      </c>
      <c r="E167" s="446"/>
      <c r="F167" s="447"/>
      <c r="G167" s="447"/>
      <c r="H167" s="299" t="s">
        <v>1228</v>
      </c>
      <c r="I167" s="317" t="s">
        <v>23</v>
      </c>
      <c r="J167" s="320" t="s">
        <v>82</v>
      </c>
      <c r="K167" s="317" t="s">
        <v>18</v>
      </c>
      <c r="L167" s="315">
        <v>4</v>
      </c>
      <c r="M167" s="316">
        <v>1185185.19</v>
      </c>
      <c r="N167" s="319">
        <f t="shared" si="0"/>
        <v>4740740.76</v>
      </c>
      <c r="O167" s="301">
        <f t="shared" si="1"/>
        <v>379259.26079999999</v>
      </c>
      <c r="P167" s="756">
        <f t="shared" si="2"/>
        <v>5120000.0208000001</v>
      </c>
      <c r="Q167" s="652"/>
    </row>
    <row r="168" spans="1:17">
      <c r="A168" s="711" t="s">
        <v>1003</v>
      </c>
      <c r="B168" s="306" t="s">
        <v>692</v>
      </c>
      <c r="C168" s="446">
        <v>46286</v>
      </c>
      <c r="D168" s="752" t="s">
        <v>1265</v>
      </c>
      <c r="E168" s="446"/>
      <c r="F168" s="447"/>
      <c r="G168" s="447"/>
      <c r="H168" s="299" t="s">
        <v>1228</v>
      </c>
      <c r="I168" s="317" t="s">
        <v>796</v>
      </c>
      <c r="J168" s="320" t="s">
        <v>797</v>
      </c>
      <c r="K168" s="317" t="s">
        <v>18</v>
      </c>
      <c r="L168" s="315">
        <v>50</v>
      </c>
      <c r="M168" s="316">
        <v>292592.59000000003</v>
      </c>
      <c r="N168" s="319">
        <f t="shared" si="0"/>
        <v>14629629.500000002</v>
      </c>
      <c r="O168" s="301">
        <f t="shared" si="1"/>
        <v>1170370.3600000001</v>
      </c>
      <c r="P168" s="756">
        <f t="shared" si="2"/>
        <v>15799999.860000001</v>
      </c>
      <c r="Q168" s="652"/>
    </row>
    <row r="169" spans="1:17">
      <c r="A169" s="711" t="s">
        <v>1003</v>
      </c>
      <c r="B169" s="306" t="s">
        <v>692</v>
      </c>
      <c r="C169" s="446">
        <v>46286</v>
      </c>
      <c r="D169" s="752" t="s">
        <v>1265</v>
      </c>
      <c r="E169" s="446"/>
      <c r="F169" s="447"/>
      <c r="G169" s="447"/>
      <c r="H169" s="299" t="s">
        <v>1228</v>
      </c>
      <c r="I169" s="317" t="s">
        <v>798</v>
      </c>
      <c r="J169" s="320" t="s">
        <v>799</v>
      </c>
      <c r="K169" s="317" t="s">
        <v>18</v>
      </c>
      <c r="L169" s="315">
        <v>50</v>
      </c>
      <c r="M169" s="316">
        <v>231481.48</v>
      </c>
      <c r="N169" s="319">
        <f t="shared" si="0"/>
        <v>11574074</v>
      </c>
      <c r="O169" s="301">
        <f t="shared" si="1"/>
        <v>925925.92</v>
      </c>
      <c r="P169" s="756">
        <f t="shared" si="2"/>
        <v>12499999.92</v>
      </c>
      <c r="Q169" s="652"/>
    </row>
    <row r="170" spans="1:17">
      <c r="A170" s="711" t="s">
        <v>1003</v>
      </c>
      <c r="B170" s="306" t="s">
        <v>692</v>
      </c>
      <c r="C170" s="446">
        <v>46286</v>
      </c>
      <c r="D170" s="752" t="s">
        <v>1265</v>
      </c>
      <c r="E170" s="446"/>
      <c r="F170" s="447"/>
      <c r="G170" s="447"/>
      <c r="H170" s="299" t="s">
        <v>1228</v>
      </c>
      <c r="I170" s="317" t="s">
        <v>74</v>
      </c>
      <c r="J170" s="320" t="s">
        <v>141</v>
      </c>
      <c r="K170" s="317" t="s">
        <v>18</v>
      </c>
      <c r="L170" s="315">
        <v>8</v>
      </c>
      <c r="M170" s="316">
        <v>382407.41</v>
      </c>
      <c r="N170" s="319">
        <f t="shared" si="0"/>
        <v>3059259.28</v>
      </c>
      <c r="O170" s="301">
        <f t="shared" si="1"/>
        <v>244740.74239999999</v>
      </c>
      <c r="P170" s="756">
        <f t="shared" si="2"/>
        <v>3304000.0223999997</v>
      </c>
      <c r="Q170" s="652"/>
    </row>
    <row r="171" spans="1:17">
      <c r="A171" s="711" t="s">
        <v>1003</v>
      </c>
      <c r="B171" s="306" t="s">
        <v>692</v>
      </c>
      <c r="C171" s="446">
        <v>46286</v>
      </c>
      <c r="D171" s="752" t="s">
        <v>1265</v>
      </c>
      <c r="E171" s="446"/>
      <c r="F171" s="447"/>
      <c r="G171" s="447"/>
      <c r="H171" s="299" t="s">
        <v>1228</v>
      </c>
      <c r="I171" s="317" t="s">
        <v>56</v>
      </c>
      <c r="J171" s="320" t="s">
        <v>57</v>
      </c>
      <c r="K171" s="317" t="s">
        <v>18</v>
      </c>
      <c r="L171" s="315">
        <v>40</v>
      </c>
      <c r="M171" s="316">
        <v>325925.93</v>
      </c>
      <c r="N171" s="319">
        <f t="shared" si="0"/>
        <v>13037037.199999999</v>
      </c>
      <c r="O171" s="301">
        <f t="shared" si="1"/>
        <v>1042962.9759999999</v>
      </c>
      <c r="P171" s="756">
        <f t="shared" si="2"/>
        <v>14080000.175999999</v>
      </c>
      <c r="Q171" s="652"/>
    </row>
    <row r="172" spans="1:17">
      <c r="A172" s="711" t="s">
        <v>1003</v>
      </c>
      <c r="B172" s="306" t="s">
        <v>692</v>
      </c>
      <c r="C172" s="446">
        <v>46286</v>
      </c>
      <c r="D172" s="752" t="s">
        <v>1265</v>
      </c>
      <c r="E172" s="446"/>
      <c r="F172" s="447"/>
      <c r="G172" s="447"/>
      <c r="H172" s="299" t="s">
        <v>1228</v>
      </c>
      <c r="I172" s="317" t="s">
        <v>103</v>
      </c>
      <c r="J172" s="320" t="s">
        <v>104</v>
      </c>
      <c r="K172" s="317" t="s">
        <v>18</v>
      </c>
      <c r="L172" s="315">
        <v>12</v>
      </c>
      <c r="M172" s="316">
        <v>675925.93</v>
      </c>
      <c r="N172" s="319">
        <f t="shared" si="0"/>
        <v>8111111.1600000001</v>
      </c>
      <c r="O172" s="301">
        <f t="shared" si="1"/>
        <v>648888.89280000003</v>
      </c>
      <c r="P172" s="756">
        <f t="shared" si="2"/>
        <v>8760000.0527999997</v>
      </c>
      <c r="Q172" s="652"/>
    </row>
    <row r="173" spans="1:17">
      <c r="A173" s="711" t="s">
        <v>1003</v>
      </c>
      <c r="B173" s="306" t="s">
        <v>692</v>
      </c>
      <c r="C173" s="446">
        <v>46286</v>
      </c>
      <c r="D173" s="752" t="s">
        <v>1265</v>
      </c>
      <c r="E173" s="446"/>
      <c r="F173" s="447"/>
      <c r="G173" s="447"/>
      <c r="H173" s="299" t="s">
        <v>892</v>
      </c>
      <c r="I173" s="317" t="s">
        <v>643</v>
      </c>
      <c r="J173" s="320" t="s">
        <v>644</v>
      </c>
      <c r="K173" s="317" t="s">
        <v>18</v>
      </c>
      <c r="L173" s="315">
        <v>2</v>
      </c>
      <c r="M173" s="316">
        <v>0</v>
      </c>
      <c r="N173" s="319">
        <f t="shared" si="0"/>
        <v>0</v>
      </c>
      <c r="O173" s="301">
        <f t="shared" si="1"/>
        <v>0</v>
      </c>
      <c r="P173" s="756">
        <f t="shared" si="2"/>
        <v>0</v>
      </c>
      <c r="Q173" s="652"/>
    </row>
    <row r="174" spans="1:17">
      <c r="A174" s="711" t="s">
        <v>1003</v>
      </c>
      <c r="B174" s="306" t="s">
        <v>692</v>
      </c>
      <c r="C174" s="446">
        <v>46286</v>
      </c>
      <c r="D174" s="752" t="s">
        <v>1265</v>
      </c>
      <c r="E174" s="446"/>
      <c r="F174" s="447"/>
      <c r="G174" s="447"/>
      <c r="H174" s="299" t="s">
        <v>892</v>
      </c>
      <c r="I174" s="317" t="s">
        <v>653</v>
      </c>
      <c r="J174" s="320" t="s">
        <v>654</v>
      </c>
      <c r="K174" s="317" t="s">
        <v>18</v>
      </c>
      <c r="L174" s="315">
        <v>2</v>
      </c>
      <c r="M174" s="316">
        <v>0</v>
      </c>
      <c r="N174" s="319">
        <f t="shared" si="0"/>
        <v>0</v>
      </c>
      <c r="O174" s="301">
        <f t="shared" si="1"/>
        <v>0</v>
      </c>
      <c r="P174" s="756">
        <f t="shared" si="2"/>
        <v>0</v>
      </c>
      <c r="Q174" s="652"/>
    </row>
    <row r="175" spans="1:17">
      <c r="A175" s="711" t="s">
        <v>1003</v>
      </c>
      <c r="B175" s="306" t="s">
        <v>692</v>
      </c>
      <c r="C175" s="446">
        <v>46286</v>
      </c>
      <c r="D175" s="752" t="s">
        <v>1265</v>
      </c>
      <c r="E175" s="446"/>
      <c r="F175" s="447"/>
      <c r="G175" s="447"/>
      <c r="H175" s="299" t="s">
        <v>892</v>
      </c>
      <c r="I175" s="317" t="s">
        <v>655</v>
      </c>
      <c r="J175" s="320" t="s">
        <v>656</v>
      </c>
      <c r="K175" s="317" t="s">
        <v>18</v>
      </c>
      <c r="L175" s="315">
        <v>2</v>
      </c>
      <c r="M175" s="316">
        <v>0</v>
      </c>
      <c r="N175" s="319">
        <f t="shared" si="0"/>
        <v>0</v>
      </c>
      <c r="O175" s="301">
        <f t="shared" si="1"/>
        <v>0</v>
      </c>
      <c r="P175" s="756">
        <f t="shared" si="2"/>
        <v>0</v>
      </c>
      <c r="Q175" s="652"/>
    </row>
    <row r="176" spans="1:17">
      <c r="A176" s="711" t="s">
        <v>1003</v>
      </c>
      <c r="B176" s="306" t="s">
        <v>692</v>
      </c>
      <c r="C176" s="446">
        <v>46286</v>
      </c>
      <c r="D176" s="752" t="s">
        <v>1265</v>
      </c>
      <c r="E176" s="446"/>
      <c r="F176" s="447"/>
      <c r="G176" s="447"/>
      <c r="H176" s="299" t="s">
        <v>1211</v>
      </c>
      <c r="I176" s="317" t="s">
        <v>56</v>
      </c>
      <c r="J176" s="320" t="s">
        <v>57</v>
      </c>
      <c r="K176" s="317" t="s">
        <v>18</v>
      </c>
      <c r="L176" s="315">
        <v>4</v>
      </c>
      <c r="M176" s="316">
        <v>0</v>
      </c>
      <c r="N176" s="319">
        <f t="shared" si="0"/>
        <v>0</v>
      </c>
      <c r="O176" s="301">
        <f t="shared" si="1"/>
        <v>0</v>
      </c>
      <c r="P176" s="756">
        <f t="shared" si="2"/>
        <v>0</v>
      </c>
      <c r="Q176" s="652"/>
    </row>
    <row r="177" spans="1:17">
      <c r="A177" s="711" t="s">
        <v>1003</v>
      </c>
      <c r="B177" s="306" t="s">
        <v>692</v>
      </c>
      <c r="C177" s="446">
        <v>46286</v>
      </c>
      <c r="D177" s="752" t="s">
        <v>1265</v>
      </c>
      <c r="E177" s="446"/>
      <c r="F177" s="447"/>
      <c r="G177" s="447"/>
      <c r="H177" s="299" t="s">
        <v>862</v>
      </c>
      <c r="I177" s="317" t="s">
        <v>959</v>
      </c>
      <c r="J177" s="320" t="s">
        <v>960</v>
      </c>
      <c r="K177" s="317" t="s">
        <v>18</v>
      </c>
      <c r="L177" s="315">
        <v>12</v>
      </c>
      <c r="M177" s="316">
        <v>0</v>
      </c>
      <c r="N177" s="319">
        <f t="shared" si="0"/>
        <v>0</v>
      </c>
      <c r="O177" s="301">
        <f t="shared" si="1"/>
        <v>0</v>
      </c>
      <c r="P177" s="756">
        <f t="shared" si="2"/>
        <v>0</v>
      </c>
      <c r="Q177" s="652"/>
    </row>
    <row r="178" spans="1:17">
      <c r="A178" s="711" t="s">
        <v>1003</v>
      </c>
      <c r="B178" s="306" t="s">
        <v>692</v>
      </c>
      <c r="C178" s="446">
        <v>46304</v>
      </c>
      <c r="D178" s="444" t="s">
        <v>1410</v>
      </c>
      <c r="E178" s="446"/>
      <c r="F178" s="447"/>
      <c r="G178" s="447"/>
      <c r="H178" s="299" t="s">
        <v>1112</v>
      </c>
      <c r="I178" s="687" t="s">
        <v>194</v>
      </c>
      <c r="J178" s="687" t="s">
        <v>1170</v>
      </c>
      <c r="K178" s="687" t="s">
        <v>18</v>
      </c>
      <c r="L178" s="730">
        <v>-4</v>
      </c>
      <c r="M178" s="758">
        <v>1203703.75</v>
      </c>
      <c r="N178" s="753">
        <v>-4814815</v>
      </c>
      <c r="O178" s="753">
        <v>-385185.2</v>
      </c>
      <c r="P178" s="753">
        <v>-5200000.2</v>
      </c>
      <c r="Q178" s="652"/>
    </row>
    <row r="179" spans="1:17">
      <c r="A179" s="711" t="s">
        <v>1003</v>
      </c>
      <c r="B179" s="306" t="s">
        <v>692</v>
      </c>
      <c r="C179" s="446">
        <v>46304</v>
      </c>
      <c r="D179" s="444"/>
      <c r="E179" s="446"/>
      <c r="F179" s="447"/>
      <c r="G179" s="447"/>
      <c r="H179" s="299" t="s">
        <v>672</v>
      </c>
      <c r="I179" s="447"/>
      <c r="J179" s="322"/>
      <c r="K179" s="298"/>
      <c r="L179" s="635"/>
      <c r="M179" s="612"/>
      <c r="N179" s="613"/>
      <c r="O179" s="613"/>
      <c r="P179" s="613"/>
      <c r="Q179" s="652">
        <v>60000000</v>
      </c>
    </row>
    <row r="180" spans="1:17" ht="15" customHeight="1">
      <c r="A180" s="490"/>
      <c r="B180" s="490"/>
      <c r="C180" s="348"/>
      <c r="D180" s="490"/>
      <c r="E180" s="490"/>
      <c r="F180" s="490"/>
      <c r="G180" s="490"/>
      <c r="H180" s="442"/>
      <c r="I180" s="490"/>
      <c r="J180" s="490"/>
      <c r="K180" s="490"/>
      <c r="L180" s="490"/>
      <c r="M180" s="490"/>
      <c r="N180" s="309"/>
      <c r="O180" s="309"/>
      <c r="P180" s="506">
        <f>SUM(P3:P179)</f>
        <v>888542203.43519998</v>
      </c>
      <c r="Q180" s="506">
        <f>SUM(Q3:Q179)</f>
        <v>385612012</v>
      </c>
    </row>
    <row r="181" spans="1:17" ht="15.75" thickBot="1"/>
    <row r="182" spans="1:17" ht="15" customHeight="1">
      <c r="H182" s="736" t="s">
        <v>894</v>
      </c>
      <c r="I182" s="491">
        <f>P180</f>
        <v>888542203.43519998</v>
      </c>
    </row>
    <row r="183" spans="1:17" ht="15" customHeight="1">
      <c r="H183" s="737" t="s">
        <v>895</v>
      </c>
      <c r="I183" s="492">
        <f>Q180</f>
        <v>385612012</v>
      </c>
    </row>
    <row r="184" spans="1:17" ht="15" customHeight="1">
      <c r="H184" s="737" t="s">
        <v>901</v>
      </c>
      <c r="I184" s="492">
        <f>SUM(P96+P99+P101+SUM(P103:P107)+P119+SUM(P153:P158)+P160)</f>
        <v>42519999.718799993</v>
      </c>
    </row>
    <row r="185" spans="1:17" ht="15" customHeight="1">
      <c r="H185" s="737" t="s">
        <v>898</v>
      </c>
      <c r="I185" s="492">
        <f>I182-I183</f>
        <v>502930191.43519998</v>
      </c>
    </row>
    <row r="186" spans="1:17" ht="15.75" customHeight="1" thickBot="1">
      <c r="H186" s="738" t="s">
        <v>902</v>
      </c>
      <c r="I186" s="493">
        <f>I185-I184</f>
        <v>460410191.71639997</v>
      </c>
    </row>
    <row r="188" spans="1:17">
      <c r="H188" s="993" t="s">
        <v>900</v>
      </c>
      <c r="I188" s="994"/>
      <c r="J188" s="994"/>
      <c r="K188" s="994"/>
      <c r="L188" s="994"/>
    </row>
    <row r="189" spans="1:17">
      <c r="H189" s="994"/>
      <c r="I189" s="994"/>
      <c r="J189" s="994"/>
      <c r="K189" s="994"/>
      <c r="L189" s="994"/>
    </row>
    <row r="190" spans="1:17">
      <c r="H190" s="994"/>
      <c r="I190" s="994"/>
      <c r="J190" s="994"/>
      <c r="K190" s="994"/>
      <c r="L190" s="994"/>
    </row>
    <row r="191" spans="1:17">
      <c r="H191" s="994"/>
      <c r="I191" s="994"/>
      <c r="J191" s="994"/>
      <c r="K191" s="994"/>
      <c r="L191" s="994"/>
    </row>
    <row r="192" spans="1:17">
      <c r="H192" s="994"/>
      <c r="I192" s="994"/>
      <c r="J192" s="994"/>
      <c r="K192" s="994"/>
      <c r="L192" s="994"/>
    </row>
    <row r="193" spans="8:12">
      <c r="H193" s="994"/>
      <c r="I193" s="994"/>
      <c r="J193" s="994"/>
      <c r="K193" s="994"/>
      <c r="L193" s="994"/>
    </row>
    <row r="194" spans="8:12">
      <c r="H194" s="994"/>
      <c r="I194" s="994"/>
      <c r="J194" s="994"/>
      <c r="K194" s="994"/>
      <c r="L194" s="994"/>
    </row>
    <row r="195" spans="8:12">
      <c r="H195" s="994"/>
      <c r="I195" s="994"/>
      <c r="J195" s="994"/>
      <c r="K195" s="994"/>
      <c r="L195" s="994"/>
    </row>
    <row r="196" spans="8:12">
      <c r="H196" s="994"/>
      <c r="I196" s="994"/>
      <c r="J196" s="994"/>
      <c r="K196" s="994"/>
      <c r="L196" s="994"/>
    </row>
    <row r="197" spans="8:12">
      <c r="H197" s="994"/>
      <c r="I197" s="994"/>
      <c r="J197" s="994"/>
      <c r="K197" s="994"/>
      <c r="L197" s="994"/>
    </row>
    <row r="198" spans="8:12">
      <c r="H198" s="994"/>
      <c r="I198" s="994"/>
      <c r="J198" s="994"/>
      <c r="K198" s="994"/>
      <c r="L198" s="994"/>
    </row>
    <row r="199" spans="8:12">
      <c r="H199" s="994"/>
      <c r="I199" s="994"/>
      <c r="J199" s="994"/>
      <c r="K199" s="994"/>
      <c r="L199" s="994"/>
    </row>
  </sheetData>
  <autoFilter ref="A2:Q180" xr:uid="{A212A2AF-5609-49F3-94B6-F66B98F6E41B}"/>
  <mergeCells count="1">
    <mergeCell ref="H188:L19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7803-150C-4B6F-AD60-710F76D67E9A}">
  <dimension ref="A3:Q46"/>
  <sheetViews>
    <sheetView topLeftCell="B17" workbookViewId="0">
      <selection activeCell="I29" sqref="I29"/>
    </sheetView>
  </sheetViews>
  <sheetFormatPr defaultRowHeight="15"/>
  <cols>
    <col min="1" max="1" width="8.140625" customWidth="1"/>
    <col min="2" max="2" width="36.28515625" bestFit="1" customWidth="1"/>
    <col min="3" max="3" width="11.5703125" bestFit="1" customWidth="1"/>
    <col min="4" max="4" width="15.42578125" bestFit="1" customWidth="1"/>
    <col min="5" max="5" width="11.5703125" bestFit="1" customWidth="1"/>
    <col min="6" max="6" width="9" bestFit="1" customWidth="1"/>
    <col min="7" max="7" width="14.28515625" bestFit="1" customWidth="1"/>
    <col min="8" max="8" width="44.5703125" customWidth="1"/>
    <col min="9" max="9" width="8.85546875" bestFit="1" customWidth="1"/>
    <col min="10" max="10" width="24.140625" bestFit="1" customWidth="1"/>
    <col min="11" max="11" width="15" bestFit="1" customWidth="1"/>
    <col min="12" max="12" width="7.85546875" bestFit="1" customWidth="1"/>
    <col min="13" max="13" width="13.140625" bestFit="1" customWidth="1"/>
    <col min="14" max="14" width="15.42578125" bestFit="1" customWidth="1"/>
    <col min="15" max="15" width="13.140625" bestFit="1" customWidth="1"/>
    <col min="16" max="16" width="15.42578125" bestFit="1" customWidth="1"/>
    <col min="17" max="17" width="13.85546875" bestFit="1" customWidth="1"/>
  </cols>
  <sheetData>
    <row r="3" spans="1:17" ht="74.25">
      <c r="A3" s="836" t="s">
        <v>1219</v>
      </c>
      <c r="B3" s="674" t="s">
        <v>1220</v>
      </c>
      <c r="C3" s="674" t="s">
        <v>994</v>
      </c>
      <c r="D3" s="833" t="s">
        <v>1221</v>
      </c>
      <c r="E3" s="674" t="s">
        <v>1222</v>
      </c>
      <c r="F3" s="675" t="s">
        <v>1223</v>
      </c>
      <c r="G3" s="675" t="s">
        <v>1224</v>
      </c>
      <c r="H3" s="834" t="s">
        <v>1225</v>
      </c>
      <c r="I3" s="675" t="s">
        <v>995</v>
      </c>
      <c r="J3" s="835" t="s">
        <v>1226</v>
      </c>
      <c r="K3" s="676" t="s">
        <v>996</v>
      </c>
      <c r="L3" s="677" t="s">
        <v>997</v>
      </c>
      <c r="M3" s="678" t="s">
        <v>998</v>
      </c>
      <c r="N3" s="678" t="s">
        <v>999</v>
      </c>
      <c r="O3" s="678" t="s">
        <v>1000</v>
      </c>
      <c r="P3" s="678" t="s">
        <v>913</v>
      </c>
      <c r="Q3" s="679" t="s">
        <v>1001</v>
      </c>
    </row>
    <row r="4" spans="1:17">
      <c r="A4" s="711" t="s">
        <v>964</v>
      </c>
      <c r="B4" s="307" t="s">
        <v>852</v>
      </c>
      <c r="C4" s="639" t="s">
        <v>585</v>
      </c>
      <c r="D4" s="322"/>
      <c r="E4" s="748" t="s">
        <v>585</v>
      </c>
      <c r="F4" s="298"/>
      <c r="G4" s="754" t="s">
        <v>586</v>
      </c>
      <c r="H4" s="299" t="s">
        <v>587</v>
      </c>
      <c r="I4" s="643" t="s">
        <v>194</v>
      </c>
      <c r="J4" s="322" t="s">
        <v>720</v>
      </c>
      <c r="K4" s="298" t="s">
        <v>113</v>
      </c>
      <c r="L4" s="635">
        <v>10</v>
      </c>
      <c r="M4" s="750">
        <v>1203703.7</v>
      </c>
      <c r="N4" s="761">
        <v>12037037</v>
      </c>
      <c r="O4" s="761">
        <v>962962.96</v>
      </c>
      <c r="P4" s="761">
        <v>12999999.960000001</v>
      </c>
      <c r="Q4" s="763"/>
    </row>
    <row r="5" spans="1:17">
      <c r="A5" s="711" t="s">
        <v>964</v>
      </c>
      <c r="B5" s="307" t="s">
        <v>852</v>
      </c>
      <c r="C5" s="639" t="s">
        <v>585</v>
      </c>
      <c r="D5" s="322"/>
      <c r="E5" s="748" t="s">
        <v>585</v>
      </c>
      <c r="F5" s="298"/>
      <c r="G5" s="754" t="s">
        <v>586</v>
      </c>
      <c r="H5" s="299" t="s">
        <v>587</v>
      </c>
      <c r="I5" s="643" t="s">
        <v>58</v>
      </c>
      <c r="J5" s="767" t="s">
        <v>59</v>
      </c>
      <c r="K5" s="298" t="s">
        <v>113</v>
      </c>
      <c r="L5" s="635">
        <v>10</v>
      </c>
      <c r="M5" s="750">
        <v>1361111.11</v>
      </c>
      <c r="N5" s="761">
        <v>13611111.100000001</v>
      </c>
      <c r="O5" s="761">
        <v>1088888.888</v>
      </c>
      <c r="P5" s="761">
        <v>14699999.988000002</v>
      </c>
      <c r="Q5" s="763"/>
    </row>
    <row r="6" spans="1:17" ht="42.75">
      <c r="A6" s="711" t="s">
        <v>964</v>
      </c>
      <c r="B6" s="307" t="s">
        <v>852</v>
      </c>
      <c r="C6" s="639" t="s">
        <v>588</v>
      </c>
      <c r="D6" s="322"/>
      <c r="E6" s="748" t="s">
        <v>590</v>
      </c>
      <c r="F6" s="298"/>
      <c r="G6" s="754" t="s">
        <v>589</v>
      </c>
      <c r="H6" s="299" t="s">
        <v>587</v>
      </c>
      <c r="I6" s="643" t="s">
        <v>60</v>
      </c>
      <c r="J6" s="767" t="s">
        <v>374</v>
      </c>
      <c r="K6" s="298" t="s">
        <v>113</v>
      </c>
      <c r="L6" s="635">
        <v>12</v>
      </c>
      <c r="M6" s="750">
        <v>1138888.8899999999</v>
      </c>
      <c r="N6" s="761">
        <v>13666666.68</v>
      </c>
      <c r="O6" s="761">
        <v>1093333.3344000001</v>
      </c>
      <c r="P6" s="761">
        <v>14760000.0144</v>
      </c>
      <c r="Q6" s="763"/>
    </row>
    <row r="7" spans="1:17" ht="42.75">
      <c r="A7" s="711" t="s">
        <v>964</v>
      </c>
      <c r="B7" s="307" t="s">
        <v>852</v>
      </c>
      <c r="C7" s="639" t="s">
        <v>588</v>
      </c>
      <c r="D7" s="322"/>
      <c r="E7" s="748"/>
      <c r="F7" s="298"/>
      <c r="G7" s="754" t="s">
        <v>252</v>
      </c>
      <c r="H7" s="302" t="s">
        <v>587</v>
      </c>
      <c r="I7" s="643" t="s">
        <v>83</v>
      </c>
      <c r="J7" s="768" t="s">
        <v>84</v>
      </c>
      <c r="K7" s="626" t="s">
        <v>113</v>
      </c>
      <c r="L7" s="637">
        <v>12</v>
      </c>
      <c r="M7" s="750">
        <v>1097222.22</v>
      </c>
      <c r="N7" s="762">
        <v>13166666.640000001</v>
      </c>
      <c r="O7" s="762">
        <v>1053333.3312000001</v>
      </c>
      <c r="P7" s="762">
        <v>14219999.9712</v>
      </c>
      <c r="Q7" s="763"/>
    </row>
    <row r="8" spans="1:17" ht="42.75">
      <c r="A8" s="711" t="s">
        <v>964</v>
      </c>
      <c r="B8" s="307" t="s">
        <v>852</v>
      </c>
      <c r="C8" s="639" t="s">
        <v>588</v>
      </c>
      <c r="D8" s="322"/>
      <c r="E8" s="748" t="s">
        <v>590</v>
      </c>
      <c r="F8" s="298"/>
      <c r="G8" s="754" t="s">
        <v>589</v>
      </c>
      <c r="H8" s="299" t="s">
        <v>587</v>
      </c>
      <c r="I8" s="643" t="s">
        <v>16</v>
      </c>
      <c r="J8" s="767" t="s">
        <v>17</v>
      </c>
      <c r="K8" s="298" t="s">
        <v>113</v>
      </c>
      <c r="L8" s="635">
        <v>12</v>
      </c>
      <c r="M8" s="750">
        <v>851851.85</v>
      </c>
      <c r="N8" s="761">
        <v>10222222.199999999</v>
      </c>
      <c r="O8" s="761">
        <v>817777.77599999995</v>
      </c>
      <c r="P8" s="761">
        <v>11039999.976</v>
      </c>
      <c r="Q8" s="763"/>
    </row>
    <row r="9" spans="1:17" s="686" customFormat="1">
      <c r="A9" s="307" t="s">
        <v>964</v>
      </c>
      <c r="B9" s="307" t="s">
        <v>852</v>
      </c>
      <c r="C9" s="639" t="s">
        <v>154</v>
      </c>
      <c r="D9" s="713"/>
      <c r="E9" s="748"/>
      <c r="F9" s="626"/>
      <c r="G9" s="754"/>
      <c r="H9" s="302" t="s">
        <v>672</v>
      </c>
      <c r="I9" s="668"/>
      <c r="J9" s="768"/>
      <c r="K9" s="626"/>
      <c r="L9" s="637"/>
      <c r="M9" s="750"/>
      <c r="N9" s="762"/>
      <c r="O9" s="762"/>
      <c r="P9" s="762"/>
      <c r="Q9" s="763">
        <v>27700000</v>
      </c>
    </row>
    <row r="10" spans="1:17">
      <c r="A10" s="711" t="s">
        <v>964</v>
      </c>
      <c r="B10" s="307" t="s">
        <v>852</v>
      </c>
      <c r="C10" s="639">
        <v>46332</v>
      </c>
      <c r="D10" s="322"/>
      <c r="E10" s="748">
        <v>46276</v>
      </c>
      <c r="F10" s="298" t="s">
        <v>1159</v>
      </c>
      <c r="G10" s="754" t="s">
        <v>1158</v>
      </c>
      <c r="H10" s="302" t="s">
        <v>587</v>
      </c>
      <c r="I10" s="739" t="s">
        <v>85</v>
      </c>
      <c r="J10" s="769" t="s">
        <v>86</v>
      </c>
      <c r="K10" s="626" t="s">
        <v>113</v>
      </c>
      <c r="L10" s="637">
        <v>200</v>
      </c>
      <c r="M10" s="750">
        <v>509259.26</v>
      </c>
      <c r="N10" s="762">
        <v>101851852</v>
      </c>
      <c r="O10" s="762">
        <v>8148148.1600000001</v>
      </c>
      <c r="P10" s="762">
        <v>110000000.16</v>
      </c>
      <c r="Q10" s="763"/>
    </row>
    <row r="11" spans="1:17">
      <c r="A11" s="711" t="s">
        <v>964</v>
      </c>
      <c r="B11" s="307" t="s">
        <v>852</v>
      </c>
      <c r="C11" s="446">
        <v>46290</v>
      </c>
      <c r="D11" s="752" t="s">
        <v>1281</v>
      </c>
      <c r="E11" s="446">
        <v>46295</v>
      </c>
      <c r="F11" s="447" t="s">
        <v>1407</v>
      </c>
      <c r="G11" s="757" t="s">
        <v>1408</v>
      </c>
      <c r="H11" s="302" t="s">
        <v>587</v>
      </c>
      <c r="I11" s="317" t="s">
        <v>77</v>
      </c>
      <c r="J11" s="317" t="s">
        <v>320</v>
      </c>
      <c r="K11" s="314" t="s">
        <v>18</v>
      </c>
      <c r="L11" s="828">
        <v>40</v>
      </c>
      <c r="M11" s="829">
        <v>324074.07</v>
      </c>
      <c r="N11" s="830">
        <v>12962962.800000001</v>
      </c>
      <c r="O11" s="613">
        <v>1037037.0240000001</v>
      </c>
      <c r="P11" s="613">
        <v>13999999.824000001</v>
      </c>
      <c r="Q11" s="652"/>
    </row>
    <row r="12" spans="1:17">
      <c r="A12" s="711" t="s">
        <v>964</v>
      </c>
      <c r="B12" s="307" t="s">
        <v>852</v>
      </c>
      <c r="C12" s="446">
        <v>46290</v>
      </c>
      <c r="D12" s="752" t="s">
        <v>1281</v>
      </c>
      <c r="E12" s="446">
        <v>46295</v>
      </c>
      <c r="F12" s="447" t="s">
        <v>1407</v>
      </c>
      <c r="G12" s="757" t="s">
        <v>1408</v>
      </c>
      <c r="H12" s="302" t="s">
        <v>587</v>
      </c>
      <c r="I12" s="317" t="s">
        <v>206</v>
      </c>
      <c r="J12" s="317" t="s">
        <v>835</v>
      </c>
      <c r="K12" s="314" t="s">
        <v>18</v>
      </c>
      <c r="L12" s="828">
        <v>10</v>
      </c>
      <c r="M12" s="829">
        <v>483333.33</v>
      </c>
      <c r="N12" s="830">
        <v>4833333.3</v>
      </c>
      <c r="O12" s="613">
        <v>386666.66399999999</v>
      </c>
      <c r="P12" s="613">
        <v>5219999.9639999997</v>
      </c>
      <c r="Q12" s="652"/>
    </row>
    <row r="13" spans="1:17">
      <c r="A13" s="711" t="s">
        <v>964</v>
      </c>
      <c r="B13" s="307" t="s">
        <v>852</v>
      </c>
      <c r="C13" s="446">
        <v>46290</v>
      </c>
      <c r="D13" s="752" t="s">
        <v>1281</v>
      </c>
      <c r="E13" s="446">
        <v>46295</v>
      </c>
      <c r="F13" s="447" t="s">
        <v>1407</v>
      </c>
      <c r="G13" s="757" t="s">
        <v>1408</v>
      </c>
      <c r="H13" s="302" t="s">
        <v>587</v>
      </c>
      <c r="I13" s="317" t="s">
        <v>23</v>
      </c>
      <c r="J13" s="317" t="s">
        <v>82</v>
      </c>
      <c r="K13" s="314" t="s">
        <v>18</v>
      </c>
      <c r="L13" s="828">
        <v>10</v>
      </c>
      <c r="M13" s="829">
        <v>1185185.19</v>
      </c>
      <c r="N13" s="830">
        <v>11851851.899999999</v>
      </c>
      <c r="O13" s="613">
        <v>948148.15199999989</v>
      </c>
      <c r="P13" s="613">
        <v>12800000.051999999</v>
      </c>
      <c r="Q13" s="652"/>
    </row>
    <row r="14" spans="1:17" ht="30">
      <c r="A14" s="711" t="s">
        <v>964</v>
      </c>
      <c r="B14" s="307" t="s">
        <v>852</v>
      </c>
      <c r="C14" s="446">
        <v>46290</v>
      </c>
      <c r="D14" s="752" t="s">
        <v>1281</v>
      </c>
      <c r="E14" s="446">
        <v>46295</v>
      </c>
      <c r="F14" s="447" t="s">
        <v>1407</v>
      </c>
      <c r="G14" s="757" t="s">
        <v>1408</v>
      </c>
      <c r="H14" s="302" t="s">
        <v>587</v>
      </c>
      <c r="I14" s="317" t="s">
        <v>74</v>
      </c>
      <c r="J14" s="317" t="s">
        <v>141</v>
      </c>
      <c r="K14" s="314" t="s">
        <v>18</v>
      </c>
      <c r="L14" s="451">
        <v>16</v>
      </c>
      <c r="M14" s="316">
        <v>382407.41</v>
      </c>
      <c r="N14" s="319">
        <v>6118518.5599999996</v>
      </c>
      <c r="O14" s="613">
        <v>489481.48479999998</v>
      </c>
      <c r="P14" s="613">
        <v>6608000.0447999993</v>
      </c>
      <c r="Q14" s="652"/>
    </row>
    <row r="15" spans="1:17" ht="45">
      <c r="A15" s="711" t="s">
        <v>964</v>
      </c>
      <c r="B15" s="307" t="s">
        <v>852</v>
      </c>
      <c r="C15" s="446">
        <v>46290</v>
      </c>
      <c r="D15" s="752" t="s">
        <v>1281</v>
      </c>
      <c r="E15" s="446">
        <v>46295</v>
      </c>
      <c r="F15" s="447" t="s">
        <v>1407</v>
      </c>
      <c r="G15" s="757" t="s">
        <v>1408</v>
      </c>
      <c r="H15" s="302" t="s">
        <v>587</v>
      </c>
      <c r="I15" s="317" t="s">
        <v>60</v>
      </c>
      <c r="J15" s="317" t="s">
        <v>61</v>
      </c>
      <c r="K15" s="314" t="s">
        <v>18</v>
      </c>
      <c r="L15" s="451">
        <v>20</v>
      </c>
      <c r="M15" s="316">
        <v>1138888.8899999999</v>
      </c>
      <c r="N15" s="319">
        <v>22777777.799999997</v>
      </c>
      <c r="O15" s="613">
        <v>1822222.2239999997</v>
      </c>
      <c r="P15" s="613">
        <v>24600000.023999996</v>
      </c>
      <c r="Q15" s="652"/>
    </row>
    <row r="16" spans="1:17" ht="45">
      <c r="A16" s="711" t="s">
        <v>964</v>
      </c>
      <c r="B16" s="307" t="s">
        <v>852</v>
      </c>
      <c r="C16" s="446">
        <v>46290</v>
      </c>
      <c r="D16" s="752" t="s">
        <v>1281</v>
      </c>
      <c r="E16" s="446">
        <v>46295</v>
      </c>
      <c r="F16" s="447" t="s">
        <v>1407</v>
      </c>
      <c r="G16" s="757" t="s">
        <v>1408</v>
      </c>
      <c r="H16" s="302" t="s">
        <v>587</v>
      </c>
      <c r="I16" s="317" t="s">
        <v>83</v>
      </c>
      <c r="J16" s="317" t="s">
        <v>84</v>
      </c>
      <c r="K16" s="314" t="s">
        <v>18</v>
      </c>
      <c r="L16" s="451">
        <v>20</v>
      </c>
      <c r="M16" s="316">
        <v>1097222.22</v>
      </c>
      <c r="N16" s="319">
        <v>21944444.399999999</v>
      </c>
      <c r="O16" s="613">
        <v>1755555.5519999999</v>
      </c>
      <c r="P16" s="613">
        <v>23699999.952</v>
      </c>
      <c r="Q16" s="652"/>
    </row>
    <row r="17" spans="1:17" ht="45">
      <c r="A17" s="711" t="s">
        <v>964</v>
      </c>
      <c r="B17" s="307" t="s">
        <v>852</v>
      </c>
      <c r="C17" s="446">
        <v>46290</v>
      </c>
      <c r="D17" s="752" t="s">
        <v>1281</v>
      </c>
      <c r="E17" s="446">
        <v>46295</v>
      </c>
      <c r="F17" s="447" t="s">
        <v>1407</v>
      </c>
      <c r="G17" s="757" t="s">
        <v>1408</v>
      </c>
      <c r="H17" s="302" t="s">
        <v>587</v>
      </c>
      <c r="I17" s="317" t="s">
        <v>16</v>
      </c>
      <c r="J17" s="317" t="s">
        <v>17</v>
      </c>
      <c r="K17" s="314" t="s">
        <v>18</v>
      </c>
      <c r="L17" s="828">
        <v>12</v>
      </c>
      <c r="M17" s="829">
        <v>851851.85</v>
      </c>
      <c r="N17" s="830">
        <v>10222222.199999999</v>
      </c>
      <c r="O17" s="613">
        <v>817777.77599999995</v>
      </c>
      <c r="P17" s="613">
        <v>11039999.976</v>
      </c>
      <c r="Q17" s="652"/>
    </row>
    <row r="18" spans="1:17" ht="30">
      <c r="A18" s="711" t="s">
        <v>964</v>
      </c>
      <c r="B18" s="307" t="s">
        <v>852</v>
      </c>
      <c r="C18" s="446">
        <v>46290</v>
      </c>
      <c r="D18" s="752" t="s">
        <v>1281</v>
      </c>
      <c r="E18" s="446">
        <v>46295</v>
      </c>
      <c r="F18" s="447" t="s">
        <v>1407</v>
      </c>
      <c r="G18" s="757" t="s">
        <v>1408</v>
      </c>
      <c r="H18" s="302" t="s">
        <v>587</v>
      </c>
      <c r="I18" s="317" t="s">
        <v>645</v>
      </c>
      <c r="J18" s="317" t="s">
        <v>646</v>
      </c>
      <c r="K18" s="314" t="s">
        <v>18</v>
      </c>
      <c r="L18" s="828">
        <v>15</v>
      </c>
      <c r="M18" s="829">
        <v>629629.63</v>
      </c>
      <c r="N18" s="830">
        <v>9444444.4499999993</v>
      </c>
      <c r="O18" s="613">
        <v>755555.55599999998</v>
      </c>
      <c r="P18" s="613">
        <v>10200000.005999999</v>
      </c>
      <c r="Q18" s="652"/>
    </row>
    <row r="19" spans="1:17" ht="30">
      <c r="A19" s="711" t="s">
        <v>964</v>
      </c>
      <c r="B19" s="307" t="s">
        <v>852</v>
      </c>
      <c r="C19" s="446">
        <v>46290</v>
      </c>
      <c r="D19" s="752" t="s">
        <v>1281</v>
      </c>
      <c r="E19" s="446">
        <v>46295</v>
      </c>
      <c r="F19" s="447" t="s">
        <v>1407</v>
      </c>
      <c r="G19" s="757" t="s">
        <v>1408</v>
      </c>
      <c r="H19" s="302" t="s">
        <v>587</v>
      </c>
      <c r="I19" s="317" t="s">
        <v>651</v>
      </c>
      <c r="J19" s="317" t="s">
        <v>652</v>
      </c>
      <c r="K19" s="314" t="s">
        <v>18</v>
      </c>
      <c r="L19" s="828">
        <v>15</v>
      </c>
      <c r="M19" s="829">
        <v>694444.44</v>
      </c>
      <c r="N19" s="830">
        <v>10416666.6</v>
      </c>
      <c r="O19" s="613">
        <v>833333.32799999998</v>
      </c>
      <c r="P19" s="613">
        <v>11249999.927999999</v>
      </c>
      <c r="Q19" s="652"/>
    </row>
    <row r="20" spans="1:17">
      <c r="A20" s="711" t="s">
        <v>964</v>
      </c>
      <c r="B20" s="307" t="s">
        <v>852</v>
      </c>
      <c r="C20" s="446">
        <v>46290</v>
      </c>
      <c r="D20" s="752" t="s">
        <v>1281</v>
      </c>
      <c r="E20" s="446"/>
      <c r="F20" s="447"/>
      <c r="G20" s="447"/>
      <c r="H20" s="302" t="s">
        <v>587</v>
      </c>
      <c r="I20" s="317" t="s">
        <v>103</v>
      </c>
      <c r="J20" s="317" t="s">
        <v>104</v>
      </c>
      <c r="K20" s="314" t="s">
        <v>18</v>
      </c>
      <c r="L20" s="828">
        <v>6</v>
      </c>
      <c r="M20" s="829">
        <v>675925.93</v>
      </c>
      <c r="N20" s="830">
        <v>4055555.58</v>
      </c>
      <c r="O20" s="613">
        <v>324444.44640000002</v>
      </c>
      <c r="P20" s="613">
        <v>4380000.0263999999</v>
      </c>
      <c r="Q20" s="652"/>
    </row>
    <row r="21" spans="1:17" ht="30">
      <c r="A21" s="711" t="s">
        <v>964</v>
      </c>
      <c r="B21" s="307" t="s">
        <v>852</v>
      </c>
      <c r="C21" s="446">
        <v>46290</v>
      </c>
      <c r="D21" s="752" t="s">
        <v>1281</v>
      </c>
      <c r="E21" s="446">
        <v>46295</v>
      </c>
      <c r="F21" s="447" t="s">
        <v>1407</v>
      </c>
      <c r="G21" s="757" t="s">
        <v>1408</v>
      </c>
      <c r="H21" s="302" t="s">
        <v>587</v>
      </c>
      <c r="I21" s="317" t="s">
        <v>54</v>
      </c>
      <c r="J21" s="317" t="s">
        <v>329</v>
      </c>
      <c r="K21" s="314" t="s">
        <v>18</v>
      </c>
      <c r="L21" s="828">
        <v>36</v>
      </c>
      <c r="M21" s="829">
        <v>324074.07</v>
      </c>
      <c r="N21" s="830">
        <v>11666666.52</v>
      </c>
      <c r="O21" s="613">
        <v>933333.32160000002</v>
      </c>
      <c r="P21" s="613">
        <v>12599999.841599999</v>
      </c>
      <c r="Q21" s="652"/>
    </row>
    <row r="22" spans="1:17" ht="30">
      <c r="A22" s="711" t="s">
        <v>964</v>
      </c>
      <c r="B22" s="307" t="s">
        <v>852</v>
      </c>
      <c r="C22" s="446">
        <v>46290</v>
      </c>
      <c r="D22" s="752" t="s">
        <v>1281</v>
      </c>
      <c r="E22" s="446">
        <v>46295</v>
      </c>
      <c r="F22" s="447" t="s">
        <v>1407</v>
      </c>
      <c r="G22" s="757" t="s">
        <v>1408</v>
      </c>
      <c r="H22" s="302" t="s">
        <v>587</v>
      </c>
      <c r="I22" s="317" t="s">
        <v>56</v>
      </c>
      <c r="J22" s="317" t="s">
        <v>57</v>
      </c>
      <c r="K22" s="314" t="s">
        <v>18</v>
      </c>
      <c r="L22" s="828">
        <v>36</v>
      </c>
      <c r="M22" s="829">
        <v>325925.93</v>
      </c>
      <c r="N22" s="830">
        <v>11733333.48</v>
      </c>
      <c r="O22" s="613">
        <v>938666.67840000009</v>
      </c>
      <c r="P22" s="613">
        <v>12672000.158400001</v>
      </c>
      <c r="Q22" s="652"/>
    </row>
    <row r="23" spans="1:17" ht="30">
      <c r="A23" s="711" t="s">
        <v>964</v>
      </c>
      <c r="B23" s="307" t="s">
        <v>852</v>
      </c>
      <c r="C23" s="446">
        <v>46290</v>
      </c>
      <c r="D23" s="752" t="s">
        <v>1281</v>
      </c>
      <c r="E23" s="446">
        <v>46295</v>
      </c>
      <c r="F23" s="447" t="s">
        <v>1407</v>
      </c>
      <c r="G23" s="757" t="s">
        <v>1408</v>
      </c>
      <c r="H23" s="302" t="s">
        <v>587</v>
      </c>
      <c r="I23" s="317" t="s">
        <v>127</v>
      </c>
      <c r="J23" s="317" t="s">
        <v>128</v>
      </c>
      <c r="K23" s="314" t="s">
        <v>18</v>
      </c>
      <c r="L23" s="828">
        <v>24</v>
      </c>
      <c r="M23" s="829">
        <v>284259.26</v>
      </c>
      <c r="N23" s="830">
        <v>6822222.2400000002</v>
      </c>
      <c r="O23" s="613">
        <v>545777.77919999999</v>
      </c>
      <c r="P23" s="613">
        <v>7368000.0192</v>
      </c>
      <c r="Q23" s="652"/>
    </row>
    <row r="24" spans="1:17">
      <c r="A24" s="711" t="s">
        <v>964</v>
      </c>
      <c r="B24" s="307" t="s">
        <v>852</v>
      </c>
      <c r="C24" s="446">
        <v>46290</v>
      </c>
      <c r="D24" s="752" t="s">
        <v>1281</v>
      </c>
      <c r="E24" s="446">
        <v>46295</v>
      </c>
      <c r="F24" s="447" t="s">
        <v>1407</v>
      </c>
      <c r="G24" s="757" t="s">
        <v>1408</v>
      </c>
      <c r="H24" s="302" t="s">
        <v>587</v>
      </c>
      <c r="I24" s="317" t="s">
        <v>101</v>
      </c>
      <c r="J24" s="317" t="s">
        <v>102</v>
      </c>
      <c r="K24" s="314" t="s">
        <v>18</v>
      </c>
      <c r="L24" s="828">
        <v>20</v>
      </c>
      <c r="M24" s="829">
        <v>861111.11</v>
      </c>
      <c r="N24" s="830">
        <v>17222222.199999999</v>
      </c>
      <c r="O24" s="613">
        <v>1377777.7760000001</v>
      </c>
      <c r="P24" s="613">
        <v>18599999.976</v>
      </c>
      <c r="Q24" s="652"/>
    </row>
    <row r="25" spans="1:17">
      <c r="A25" s="711" t="s">
        <v>964</v>
      </c>
      <c r="B25" s="307" t="s">
        <v>852</v>
      </c>
      <c r="C25" s="446">
        <v>46290</v>
      </c>
      <c r="D25" s="752" t="s">
        <v>1281</v>
      </c>
      <c r="E25" s="446">
        <v>46295</v>
      </c>
      <c r="F25" s="447" t="s">
        <v>1407</v>
      </c>
      <c r="G25" s="757" t="s">
        <v>1408</v>
      </c>
      <c r="H25" s="302" t="s">
        <v>587</v>
      </c>
      <c r="I25" s="317" t="s">
        <v>93</v>
      </c>
      <c r="J25" s="317" t="s">
        <v>94</v>
      </c>
      <c r="K25" s="314" t="s">
        <v>18</v>
      </c>
      <c r="L25" s="828">
        <v>6</v>
      </c>
      <c r="M25" s="829">
        <v>907407.41</v>
      </c>
      <c r="N25" s="830">
        <v>5444444.46</v>
      </c>
      <c r="O25" s="613">
        <v>435555.55680000002</v>
      </c>
      <c r="P25" s="613">
        <v>5880000.0168000003</v>
      </c>
      <c r="Q25" s="652"/>
    </row>
    <row r="26" spans="1:17" ht="30">
      <c r="A26" s="711" t="s">
        <v>964</v>
      </c>
      <c r="B26" s="307" t="s">
        <v>852</v>
      </c>
      <c r="C26" s="446">
        <v>46290</v>
      </c>
      <c r="D26" s="752" t="s">
        <v>1281</v>
      </c>
      <c r="E26" s="446">
        <v>46295</v>
      </c>
      <c r="F26" s="447" t="s">
        <v>1407</v>
      </c>
      <c r="G26" s="757" t="s">
        <v>1408</v>
      </c>
      <c r="H26" s="302" t="s">
        <v>689</v>
      </c>
      <c r="I26" s="317" t="s">
        <v>645</v>
      </c>
      <c r="J26" s="317" t="s">
        <v>646</v>
      </c>
      <c r="K26" s="314" t="s">
        <v>18</v>
      </c>
      <c r="L26" s="828">
        <v>1</v>
      </c>
      <c r="M26" s="829">
        <v>0</v>
      </c>
      <c r="N26" s="830">
        <v>0</v>
      </c>
      <c r="O26" s="613">
        <v>0</v>
      </c>
      <c r="P26" s="613">
        <v>0</v>
      </c>
      <c r="Q26" s="652"/>
    </row>
    <row r="27" spans="1:17" ht="30">
      <c r="A27" s="711" t="s">
        <v>964</v>
      </c>
      <c r="B27" s="307" t="s">
        <v>852</v>
      </c>
      <c r="C27" s="446">
        <v>46290</v>
      </c>
      <c r="D27" s="752" t="s">
        <v>1281</v>
      </c>
      <c r="E27" s="446">
        <v>46295</v>
      </c>
      <c r="F27" s="447" t="s">
        <v>1407</v>
      </c>
      <c r="G27" s="757" t="s">
        <v>1408</v>
      </c>
      <c r="H27" s="302" t="s">
        <v>689</v>
      </c>
      <c r="I27" s="317" t="s">
        <v>651</v>
      </c>
      <c r="J27" s="317" t="s">
        <v>652</v>
      </c>
      <c r="K27" s="314" t="s">
        <v>18</v>
      </c>
      <c r="L27" s="828">
        <v>1</v>
      </c>
      <c r="M27" s="829">
        <v>0</v>
      </c>
      <c r="N27" s="830">
        <v>0</v>
      </c>
      <c r="O27" s="613">
        <v>0</v>
      </c>
      <c r="P27" s="613">
        <v>0</v>
      </c>
      <c r="Q27" s="652"/>
    </row>
    <row r="28" spans="1:17" ht="30">
      <c r="A28" s="711" t="s">
        <v>964</v>
      </c>
      <c r="B28" s="307" t="s">
        <v>852</v>
      </c>
      <c r="C28" s="446">
        <v>46290</v>
      </c>
      <c r="D28" s="752" t="s">
        <v>1281</v>
      </c>
      <c r="E28" s="446">
        <v>46295</v>
      </c>
      <c r="F28" s="447" t="s">
        <v>1407</v>
      </c>
      <c r="G28" s="757" t="s">
        <v>1408</v>
      </c>
      <c r="H28" s="299" t="s">
        <v>1282</v>
      </c>
      <c r="I28" s="317" t="s">
        <v>54</v>
      </c>
      <c r="J28" s="317" t="s">
        <v>329</v>
      </c>
      <c r="K28" s="314" t="s">
        <v>18</v>
      </c>
      <c r="L28" s="828">
        <v>3</v>
      </c>
      <c r="M28" s="829">
        <v>0</v>
      </c>
      <c r="N28" s="830">
        <v>0</v>
      </c>
      <c r="O28" s="613">
        <v>0</v>
      </c>
      <c r="P28" s="613">
        <v>0</v>
      </c>
      <c r="Q28" s="652"/>
    </row>
    <row r="29" spans="1:17" ht="30">
      <c r="A29" s="711" t="s">
        <v>964</v>
      </c>
      <c r="B29" s="307" t="s">
        <v>852</v>
      </c>
      <c r="C29" s="446">
        <v>46290</v>
      </c>
      <c r="D29" s="752" t="s">
        <v>1281</v>
      </c>
      <c r="E29" s="446">
        <v>46295</v>
      </c>
      <c r="F29" s="447" t="s">
        <v>1407</v>
      </c>
      <c r="G29" s="757" t="s">
        <v>1408</v>
      </c>
      <c r="H29" s="299" t="s">
        <v>1282</v>
      </c>
      <c r="I29" s="317" t="s">
        <v>56</v>
      </c>
      <c r="J29" s="317" t="s">
        <v>57</v>
      </c>
      <c r="K29" s="314" t="s">
        <v>18</v>
      </c>
      <c r="L29" s="828">
        <v>3</v>
      </c>
      <c r="M29" s="829">
        <v>0</v>
      </c>
      <c r="N29" s="830">
        <v>0</v>
      </c>
      <c r="O29" s="613">
        <v>0</v>
      </c>
      <c r="P29" s="613">
        <v>0</v>
      </c>
      <c r="Q29" s="652"/>
    </row>
    <row r="30" spans="1:17" ht="30">
      <c r="A30" s="711" t="s">
        <v>964</v>
      </c>
      <c r="B30" s="307" t="s">
        <v>852</v>
      </c>
      <c r="C30" s="446">
        <v>46290</v>
      </c>
      <c r="D30" s="752" t="s">
        <v>1281</v>
      </c>
      <c r="E30" s="446">
        <v>46295</v>
      </c>
      <c r="F30" s="447" t="s">
        <v>1407</v>
      </c>
      <c r="G30" s="757" t="s">
        <v>1408</v>
      </c>
      <c r="H30" s="299" t="s">
        <v>1282</v>
      </c>
      <c r="I30" s="317" t="s">
        <v>127</v>
      </c>
      <c r="J30" s="317" t="s">
        <v>128</v>
      </c>
      <c r="K30" s="314" t="s">
        <v>18</v>
      </c>
      <c r="L30" s="828">
        <v>2</v>
      </c>
      <c r="M30" s="829">
        <v>0</v>
      </c>
      <c r="N30" s="830">
        <v>0</v>
      </c>
      <c r="O30" s="613">
        <v>0</v>
      </c>
      <c r="P30" s="613">
        <v>0</v>
      </c>
      <c r="Q30" s="652"/>
    </row>
    <row r="31" spans="1:17">
      <c r="A31" s="711" t="s">
        <v>964</v>
      </c>
      <c r="B31" s="307" t="s">
        <v>852</v>
      </c>
      <c r="C31" s="446">
        <v>46290</v>
      </c>
      <c r="D31" s="752" t="s">
        <v>1281</v>
      </c>
      <c r="E31" s="446"/>
      <c r="F31" s="447"/>
      <c r="G31" s="447"/>
      <c r="H31" s="299" t="s">
        <v>862</v>
      </c>
      <c r="I31" s="831" t="s">
        <v>959</v>
      </c>
      <c r="J31" s="831" t="s">
        <v>960</v>
      </c>
      <c r="K31" s="314" t="s">
        <v>18</v>
      </c>
      <c r="L31" s="828">
        <v>6</v>
      </c>
      <c r="M31" s="829">
        <v>0</v>
      </c>
      <c r="N31" s="830">
        <v>0</v>
      </c>
      <c r="O31" s="613">
        <v>0</v>
      </c>
      <c r="P31" s="613">
        <v>0</v>
      </c>
      <c r="Q31" s="652"/>
    </row>
    <row r="32" spans="1:17">
      <c r="A32" s="711" t="s">
        <v>964</v>
      </c>
      <c r="B32" s="307" t="s">
        <v>852</v>
      </c>
      <c r="C32" s="446">
        <v>46300</v>
      </c>
      <c r="D32" s="444" t="s">
        <v>1394</v>
      </c>
      <c r="E32" s="446"/>
      <c r="F32" s="447"/>
      <c r="G32" s="447"/>
      <c r="H32" s="302" t="s">
        <v>587</v>
      </c>
      <c r="I32" s="317" t="s">
        <v>77</v>
      </c>
      <c r="J32" s="320" t="s">
        <v>320</v>
      </c>
      <c r="K32" s="314" t="s">
        <v>18</v>
      </c>
      <c r="L32" s="888">
        <v>60</v>
      </c>
      <c r="M32" s="889">
        <v>333333.33</v>
      </c>
      <c r="N32" s="890">
        <v>19999999.800000001</v>
      </c>
      <c r="O32" s="613">
        <v>1599999.9840000002</v>
      </c>
      <c r="P32" s="612">
        <v>21599999.784000002</v>
      </c>
      <c r="Q32" s="652"/>
    </row>
    <row r="33" spans="1:17" ht="30">
      <c r="A33" s="711" t="s">
        <v>964</v>
      </c>
      <c r="B33" s="307" t="s">
        <v>852</v>
      </c>
      <c r="C33" s="446">
        <v>46300</v>
      </c>
      <c r="D33" s="444" t="s">
        <v>1394</v>
      </c>
      <c r="E33" s="446"/>
      <c r="F33" s="447"/>
      <c r="G33" s="447"/>
      <c r="H33" s="302" t="s">
        <v>587</v>
      </c>
      <c r="I33" s="317" t="s">
        <v>645</v>
      </c>
      <c r="J33" s="320" t="s">
        <v>646</v>
      </c>
      <c r="K33" s="314" t="s">
        <v>18</v>
      </c>
      <c r="L33" s="888">
        <v>60</v>
      </c>
      <c r="M33" s="889">
        <v>629629.63</v>
      </c>
      <c r="N33" s="890">
        <v>37777777.799999997</v>
      </c>
      <c r="O33" s="613">
        <v>3022222.2239999999</v>
      </c>
      <c r="P33" s="612">
        <v>40800000.023999996</v>
      </c>
      <c r="Q33" s="652"/>
    </row>
    <row r="34" spans="1:17">
      <c r="A34" s="711" t="s">
        <v>964</v>
      </c>
      <c r="B34" s="307" t="s">
        <v>852</v>
      </c>
      <c r="C34" s="446">
        <v>46300</v>
      </c>
      <c r="D34" s="444" t="s">
        <v>1394</v>
      </c>
      <c r="E34" s="446"/>
      <c r="F34" s="447"/>
      <c r="G34" s="447"/>
      <c r="H34" s="302" t="s">
        <v>587</v>
      </c>
      <c r="I34" s="317" t="s">
        <v>103</v>
      </c>
      <c r="J34" s="320" t="s">
        <v>104</v>
      </c>
      <c r="K34" s="314" t="s">
        <v>18</v>
      </c>
      <c r="L34" s="888">
        <v>30</v>
      </c>
      <c r="M34" s="889">
        <v>675925.93</v>
      </c>
      <c r="N34" s="890">
        <v>20277777.900000002</v>
      </c>
      <c r="O34" s="613">
        <v>1622222.2320000003</v>
      </c>
      <c r="P34" s="612">
        <v>21900000.132000003</v>
      </c>
      <c r="Q34" s="652"/>
    </row>
    <row r="35" spans="1:17" ht="30">
      <c r="A35" s="711" t="s">
        <v>964</v>
      </c>
      <c r="B35" s="307" t="s">
        <v>852</v>
      </c>
      <c r="C35" s="446">
        <v>46300</v>
      </c>
      <c r="D35" s="444" t="s">
        <v>1394</v>
      </c>
      <c r="E35" s="446"/>
      <c r="F35" s="447"/>
      <c r="G35" s="447"/>
      <c r="H35" s="302" t="s">
        <v>689</v>
      </c>
      <c r="I35" s="317" t="s">
        <v>645</v>
      </c>
      <c r="J35" s="320" t="s">
        <v>646</v>
      </c>
      <c r="K35" s="314" t="s">
        <v>18</v>
      </c>
      <c r="L35" s="888">
        <v>4</v>
      </c>
      <c r="M35" s="889">
        <v>0</v>
      </c>
      <c r="N35" s="890">
        <v>0</v>
      </c>
      <c r="O35" s="613">
        <v>0</v>
      </c>
      <c r="P35" s="612">
        <v>0</v>
      </c>
      <c r="Q35" s="652"/>
    </row>
    <row r="36" spans="1:17">
      <c r="A36" s="711" t="s">
        <v>964</v>
      </c>
      <c r="B36" s="307" t="s">
        <v>852</v>
      </c>
      <c r="C36" s="446">
        <v>46300</v>
      </c>
      <c r="D36" s="444" t="s">
        <v>1394</v>
      </c>
      <c r="E36" s="446"/>
      <c r="F36" s="447"/>
      <c r="G36" s="447"/>
      <c r="H36" s="299" t="s">
        <v>862</v>
      </c>
      <c r="I36" s="831" t="s">
        <v>959</v>
      </c>
      <c r="J36" s="831" t="s">
        <v>960</v>
      </c>
      <c r="K36" s="314" t="s">
        <v>18</v>
      </c>
      <c r="L36" s="888">
        <v>30</v>
      </c>
      <c r="M36" s="889">
        <v>0</v>
      </c>
      <c r="N36" s="890">
        <v>0</v>
      </c>
      <c r="O36" s="613">
        <v>0</v>
      </c>
      <c r="P36" s="612">
        <v>0</v>
      </c>
      <c r="Q36" s="652"/>
    </row>
    <row r="37" spans="1:17">
      <c r="A37" s="711" t="s">
        <v>964</v>
      </c>
      <c r="B37" s="307" t="s">
        <v>852</v>
      </c>
      <c r="C37" s="446">
        <v>46303</v>
      </c>
      <c r="D37" s="444"/>
      <c r="E37" s="446"/>
      <c r="F37" s="447"/>
      <c r="G37" s="447"/>
      <c r="H37" s="299" t="s">
        <v>672</v>
      </c>
      <c r="I37" s="447"/>
      <c r="J37" s="322"/>
      <c r="K37" s="298"/>
      <c r="L37" s="635"/>
      <c r="M37" s="612"/>
      <c r="N37" s="613"/>
      <c r="O37" s="613"/>
      <c r="P37" s="613"/>
      <c r="Q37" s="652">
        <v>100000000</v>
      </c>
    </row>
    <row r="38" spans="1:17">
      <c r="A38" s="490"/>
      <c r="B38" s="490"/>
      <c r="C38" s="490"/>
      <c r="D38" s="490"/>
      <c r="E38" s="490"/>
      <c r="F38" s="490"/>
      <c r="G38" s="490"/>
      <c r="H38" s="490"/>
      <c r="I38" s="490"/>
      <c r="J38" s="490"/>
      <c r="K38" s="490"/>
      <c r="L38" s="490"/>
      <c r="M38" s="490"/>
      <c r="N38" s="490"/>
      <c r="O38" s="589">
        <f>SUM(O4:O37)</f>
        <v>32810222.20880001</v>
      </c>
      <c r="P38" s="589">
        <f>SUM(P4:P37)</f>
        <v>442937999.81879997</v>
      </c>
      <c r="Q38" s="589">
        <f>SUM(Q4:Q37)</f>
        <v>127700000</v>
      </c>
    </row>
    <row r="41" spans="1:17" ht="15.75" thickBot="1"/>
    <row r="42" spans="1:17">
      <c r="J42" s="601" t="s">
        <v>894</v>
      </c>
      <c r="K42" s="491">
        <f>P38</f>
        <v>442937999.81879997</v>
      </c>
    </row>
    <row r="43" spans="1:17">
      <c r="J43" s="602" t="s">
        <v>895</v>
      </c>
      <c r="K43" s="492">
        <f>Q38</f>
        <v>127700000</v>
      </c>
    </row>
    <row r="44" spans="1:17">
      <c r="J44" s="602" t="s">
        <v>1286</v>
      </c>
      <c r="K44" s="492">
        <f>P10</f>
        <v>110000000.16</v>
      </c>
    </row>
    <row r="45" spans="1:17">
      <c r="J45" s="602" t="s">
        <v>1287</v>
      </c>
      <c r="K45" s="492">
        <f>K42-K43</f>
        <v>315237999.81879997</v>
      </c>
    </row>
    <row r="46" spans="1:17">
      <c r="J46" s="602" t="s">
        <v>1288</v>
      </c>
      <c r="K46" s="554">
        <f>K45-K44</f>
        <v>205237999.65879998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EF54-E878-42A6-BB73-B80E6E5A6A5F}">
  <sheetPr>
    <tabColor rgb="FF00B050"/>
  </sheetPr>
  <dimension ref="A2:S99"/>
  <sheetViews>
    <sheetView topLeftCell="B1" workbookViewId="0">
      <pane ySplit="2" topLeftCell="A69" activePane="bottomLeft" state="frozen"/>
      <selection activeCell="B1" sqref="B1"/>
      <selection pane="bottomLeft" activeCell="M88" sqref="M88:Q99"/>
    </sheetView>
  </sheetViews>
  <sheetFormatPr defaultColWidth="9.140625" defaultRowHeight="12.75"/>
  <cols>
    <col min="1" max="1" width="21.140625" style="527" bestFit="1" customWidth="1"/>
    <col min="2" max="2" width="56.42578125" style="527" customWidth="1"/>
    <col min="3" max="3" width="12.85546875" style="527" bestFit="1" customWidth="1"/>
    <col min="4" max="4" width="13.7109375" style="527" bestFit="1" customWidth="1"/>
    <col min="5" max="5" width="10.140625" style="527" bestFit="1" customWidth="1"/>
    <col min="6" max="6" width="9" style="527" bestFit="1" customWidth="1"/>
    <col min="7" max="7" width="11.5703125" style="527" bestFit="1" customWidth="1"/>
    <col min="8" max="8" width="32.42578125" style="527" customWidth="1"/>
    <col min="9" max="9" width="8" style="527" bestFit="1" customWidth="1"/>
    <col min="10" max="10" width="25.5703125" style="527" bestFit="1" customWidth="1"/>
    <col min="11" max="11" width="15" style="527" bestFit="1" customWidth="1"/>
    <col min="12" max="12" width="7.85546875" style="527" bestFit="1" customWidth="1"/>
    <col min="13" max="13" width="11.28515625" style="527" bestFit="1" customWidth="1"/>
    <col min="14" max="14" width="12.85546875" style="527" bestFit="1" customWidth="1"/>
    <col min="15" max="15" width="11.85546875" style="527" bestFit="1" customWidth="1"/>
    <col min="16" max="17" width="12.85546875" style="527" bestFit="1" customWidth="1"/>
    <col min="18" max="18" width="11.28515625" style="527" bestFit="1" customWidth="1"/>
    <col min="19" max="19" width="5.42578125" style="527" bestFit="1" customWidth="1"/>
    <col min="20" max="16384" width="9.140625" style="527"/>
  </cols>
  <sheetData>
    <row r="2" spans="1:19" ht="53.25">
      <c r="A2" s="470" t="s">
        <v>666</v>
      </c>
      <c r="B2" s="471" t="s">
        <v>916</v>
      </c>
      <c r="C2" s="471" t="s">
        <v>624</v>
      </c>
      <c r="D2" s="472" t="s">
        <v>636</v>
      </c>
      <c r="E2" s="471" t="s">
        <v>635</v>
      </c>
      <c r="F2" s="473" t="s">
        <v>637</v>
      </c>
      <c r="G2" s="473" t="s">
        <v>634</v>
      </c>
      <c r="H2" s="474" t="s">
        <v>625</v>
      </c>
      <c r="I2" s="473" t="s">
        <v>626</v>
      </c>
      <c r="J2" s="473" t="s">
        <v>627</v>
      </c>
      <c r="K2" s="473" t="s">
        <v>628</v>
      </c>
      <c r="L2" s="475" t="s">
        <v>629</v>
      </c>
      <c r="M2" s="476" t="s">
        <v>630</v>
      </c>
      <c r="N2" s="476" t="s">
        <v>631</v>
      </c>
      <c r="O2" s="476" t="s">
        <v>632</v>
      </c>
      <c r="P2" s="476" t="s">
        <v>917</v>
      </c>
      <c r="Q2" s="476" t="s">
        <v>918</v>
      </c>
      <c r="R2" s="550" t="s">
        <v>622</v>
      </c>
      <c r="S2" s="550" t="s">
        <v>623</v>
      </c>
    </row>
    <row r="3" spans="1:19" ht="25.5">
      <c r="A3" s="528" t="s">
        <v>768</v>
      </c>
      <c r="B3" s="529" t="s">
        <v>770</v>
      </c>
      <c r="C3" s="530" t="s">
        <v>19</v>
      </c>
      <c r="D3" s="531"/>
      <c r="E3" s="530" t="s">
        <v>19</v>
      </c>
      <c r="F3" s="532"/>
      <c r="G3" s="533" t="s">
        <v>531</v>
      </c>
      <c r="H3" s="534" t="s">
        <v>820</v>
      </c>
      <c r="I3" s="329" t="s">
        <v>38</v>
      </c>
      <c r="J3" s="329" t="s">
        <v>39</v>
      </c>
      <c r="K3" s="458" t="s">
        <v>113</v>
      </c>
      <c r="L3" s="535">
        <v>10</v>
      </c>
      <c r="M3" s="539">
        <v>277778</v>
      </c>
      <c r="N3" s="539">
        <v>2777780</v>
      </c>
      <c r="O3" s="539">
        <v>222222.4</v>
      </c>
      <c r="P3" s="539">
        <v>3000002.4</v>
      </c>
      <c r="Q3" s="539"/>
      <c r="R3" s="539"/>
      <c r="S3" s="536"/>
    </row>
    <row r="4" spans="1:19" ht="25.5">
      <c r="A4" s="528" t="s">
        <v>768</v>
      </c>
      <c r="B4" s="529" t="s">
        <v>770</v>
      </c>
      <c r="C4" s="530" t="s">
        <v>19</v>
      </c>
      <c r="D4" s="531"/>
      <c r="E4" s="530" t="s">
        <v>19</v>
      </c>
      <c r="F4" s="532"/>
      <c r="G4" s="533" t="s">
        <v>531</v>
      </c>
      <c r="H4" s="534" t="s">
        <v>820</v>
      </c>
      <c r="I4" s="329" t="s">
        <v>40</v>
      </c>
      <c r="J4" s="329" t="s">
        <v>41</v>
      </c>
      <c r="K4" s="458" t="s">
        <v>113</v>
      </c>
      <c r="L4" s="535">
        <v>4</v>
      </c>
      <c r="M4" s="539">
        <v>844444</v>
      </c>
      <c r="N4" s="539">
        <v>3377776</v>
      </c>
      <c r="O4" s="539">
        <v>270222.08000000002</v>
      </c>
      <c r="P4" s="539">
        <v>3647998.08</v>
      </c>
      <c r="Q4" s="539"/>
      <c r="R4" s="539"/>
      <c r="S4" s="536"/>
    </row>
    <row r="5" spans="1:19">
      <c r="A5" s="528" t="s">
        <v>768</v>
      </c>
      <c r="B5" s="529" t="s">
        <v>770</v>
      </c>
      <c r="C5" s="530" t="s">
        <v>19</v>
      </c>
      <c r="D5" s="531"/>
      <c r="E5" s="530" t="s">
        <v>19</v>
      </c>
      <c r="F5" s="532"/>
      <c r="G5" s="533" t="s">
        <v>531</v>
      </c>
      <c r="H5" s="534" t="s">
        <v>820</v>
      </c>
      <c r="I5" s="329" t="s">
        <v>46</v>
      </c>
      <c r="J5" s="329" t="s">
        <v>47</v>
      </c>
      <c r="K5" s="458" t="s">
        <v>113</v>
      </c>
      <c r="L5" s="535">
        <v>24</v>
      </c>
      <c r="M5" s="539">
        <v>194444</v>
      </c>
      <c r="N5" s="539">
        <v>4666656</v>
      </c>
      <c r="O5" s="539">
        <v>373332.47999999998</v>
      </c>
      <c r="P5" s="539">
        <v>5039988.4800000004</v>
      </c>
      <c r="Q5" s="539"/>
      <c r="R5" s="539"/>
      <c r="S5" s="536"/>
    </row>
    <row r="6" spans="1:19">
      <c r="A6" s="528" t="s">
        <v>768</v>
      </c>
      <c r="B6" s="529" t="s">
        <v>770</v>
      </c>
      <c r="C6" s="530" t="s">
        <v>19</v>
      </c>
      <c r="D6" s="531"/>
      <c r="E6" s="530" t="s">
        <v>19</v>
      </c>
      <c r="F6" s="532"/>
      <c r="G6" s="533" t="s">
        <v>531</v>
      </c>
      <c r="H6" s="534" t="s">
        <v>820</v>
      </c>
      <c r="I6" s="329" t="s">
        <v>77</v>
      </c>
      <c r="J6" s="329" t="s">
        <v>78</v>
      </c>
      <c r="K6" s="458" t="s">
        <v>113</v>
      </c>
      <c r="L6" s="535">
        <v>12</v>
      </c>
      <c r="M6" s="539">
        <v>314815</v>
      </c>
      <c r="N6" s="539">
        <v>3777780</v>
      </c>
      <c r="O6" s="539">
        <v>302222.40000000002</v>
      </c>
      <c r="P6" s="539">
        <v>4080002.4</v>
      </c>
      <c r="Q6" s="539"/>
      <c r="R6" s="539"/>
      <c r="S6" s="536"/>
    </row>
    <row r="7" spans="1:19">
      <c r="A7" s="528" t="s">
        <v>768</v>
      </c>
      <c r="B7" s="529" t="s">
        <v>770</v>
      </c>
      <c r="C7" s="530" t="s">
        <v>19</v>
      </c>
      <c r="D7" s="531"/>
      <c r="E7" s="530" t="s">
        <v>19</v>
      </c>
      <c r="F7" s="532"/>
      <c r="G7" s="533" t="s">
        <v>531</v>
      </c>
      <c r="H7" s="534" t="s">
        <v>820</v>
      </c>
      <c r="I7" s="329" t="s">
        <v>62</v>
      </c>
      <c r="J7" s="329" t="s">
        <v>63</v>
      </c>
      <c r="K7" s="458" t="s">
        <v>113</v>
      </c>
      <c r="L7" s="535">
        <v>10</v>
      </c>
      <c r="M7" s="539">
        <v>78704</v>
      </c>
      <c r="N7" s="539">
        <v>787040</v>
      </c>
      <c r="O7" s="539">
        <v>62963.200000000004</v>
      </c>
      <c r="P7" s="539">
        <v>850003.2</v>
      </c>
      <c r="Q7" s="539"/>
      <c r="R7" s="539"/>
      <c r="S7" s="536"/>
    </row>
    <row r="8" spans="1:19" ht="25.5">
      <c r="A8" s="528" t="s">
        <v>768</v>
      </c>
      <c r="B8" s="529" t="s">
        <v>770</v>
      </c>
      <c r="C8" s="530" t="s">
        <v>19</v>
      </c>
      <c r="D8" s="531"/>
      <c r="E8" s="530" t="s">
        <v>19</v>
      </c>
      <c r="F8" s="532"/>
      <c r="G8" s="533" t="s">
        <v>531</v>
      </c>
      <c r="H8" s="534" t="s">
        <v>820</v>
      </c>
      <c r="I8" s="329" t="s">
        <v>180</v>
      </c>
      <c r="J8" s="329" t="s">
        <v>181</v>
      </c>
      <c r="K8" s="458" t="s">
        <v>113</v>
      </c>
      <c r="L8" s="535">
        <v>10</v>
      </c>
      <c r="M8" s="539">
        <v>234259</v>
      </c>
      <c r="N8" s="539">
        <v>2342590</v>
      </c>
      <c r="O8" s="539">
        <v>187407.2</v>
      </c>
      <c r="P8" s="539">
        <v>2529997.2000000002</v>
      </c>
      <c r="Q8" s="539"/>
      <c r="R8" s="539"/>
      <c r="S8" s="536"/>
    </row>
    <row r="9" spans="1:19" ht="25.5">
      <c r="A9" s="528" t="s">
        <v>768</v>
      </c>
      <c r="B9" s="529" t="s">
        <v>770</v>
      </c>
      <c r="C9" s="530" t="s">
        <v>19</v>
      </c>
      <c r="D9" s="531"/>
      <c r="E9" s="530" t="s">
        <v>19</v>
      </c>
      <c r="F9" s="532"/>
      <c r="G9" s="533" t="s">
        <v>531</v>
      </c>
      <c r="H9" s="534" t="s">
        <v>820</v>
      </c>
      <c r="I9" s="329" t="s">
        <v>26</v>
      </c>
      <c r="J9" s="329" t="s">
        <v>27</v>
      </c>
      <c r="K9" s="458" t="s">
        <v>113</v>
      </c>
      <c r="L9" s="535">
        <v>10</v>
      </c>
      <c r="M9" s="539">
        <v>256481</v>
      </c>
      <c r="N9" s="539">
        <v>2564810</v>
      </c>
      <c r="O9" s="539">
        <v>205184.80000000002</v>
      </c>
      <c r="P9" s="539">
        <v>2769994.8</v>
      </c>
      <c r="Q9" s="539"/>
      <c r="R9" s="539"/>
      <c r="S9" s="536"/>
    </row>
    <row r="10" spans="1:19" ht="25.5">
      <c r="A10" s="528" t="s">
        <v>768</v>
      </c>
      <c r="B10" s="529" t="s">
        <v>770</v>
      </c>
      <c r="C10" s="530" t="s">
        <v>19</v>
      </c>
      <c r="D10" s="531"/>
      <c r="E10" s="530" t="s">
        <v>19</v>
      </c>
      <c r="F10" s="532"/>
      <c r="G10" s="533" t="s">
        <v>531</v>
      </c>
      <c r="H10" s="534" t="s">
        <v>820</v>
      </c>
      <c r="I10" s="329" t="s">
        <v>28</v>
      </c>
      <c r="J10" s="329" t="s">
        <v>29</v>
      </c>
      <c r="K10" s="458" t="s">
        <v>113</v>
      </c>
      <c r="L10" s="535">
        <v>10</v>
      </c>
      <c r="M10" s="539">
        <v>281481</v>
      </c>
      <c r="N10" s="539">
        <v>2814810</v>
      </c>
      <c r="O10" s="539">
        <v>225184.80000000002</v>
      </c>
      <c r="P10" s="539">
        <v>3039994.8</v>
      </c>
      <c r="Q10" s="539"/>
      <c r="R10" s="539"/>
      <c r="S10" s="536"/>
    </row>
    <row r="11" spans="1:19" ht="25.5">
      <c r="A11" s="528" t="s">
        <v>768</v>
      </c>
      <c r="B11" s="529" t="s">
        <v>770</v>
      </c>
      <c r="C11" s="530" t="s">
        <v>19</v>
      </c>
      <c r="D11" s="531"/>
      <c r="E11" s="530" t="s">
        <v>19</v>
      </c>
      <c r="F11" s="532"/>
      <c r="G11" s="533" t="s">
        <v>531</v>
      </c>
      <c r="H11" s="534" t="s">
        <v>820</v>
      </c>
      <c r="I11" s="329" t="s">
        <v>184</v>
      </c>
      <c r="J11" s="329" t="s">
        <v>272</v>
      </c>
      <c r="K11" s="458" t="s">
        <v>113</v>
      </c>
      <c r="L11" s="535">
        <v>10</v>
      </c>
      <c r="M11" s="539">
        <v>227778</v>
      </c>
      <c r="N11" s="539">
        <v>2277780</v>
      </c>
      <c r="O11" s="539">
        <v>182222.4</v>
      </c>
      <c r="P11" s="539">
        <v>2460002.4</v>
      </c>
      <c r="Q11" s="539"/>
      <c r="R11" s="539"/>
      <c r="S11" s="536"/>
    </row>
    <row r="12" spans="1:19" ht="25.5">
      <c r="A12" s="528" t="s">
        <v>768</v>
      </c>
      <c r="B12" s="529" t="s">
        <v>770</v>
      </c>
      <c r="C12" s="530" t="s">
        <v>19</v>
      </c>
      <c r="D12" s="531"/>
      <c r="E12" s="530" t="s">
        <v>19</v>
      </c>
      <c r="F12" s="532"/>
      <c r="G12" s="533" t="s">
        <v>531</v>
      </c>
      <c r="H12" s="534" t="s">
        <v>820</v>
      </c>
      <c r="I12" s="329" t="s">
        <v>30</v>
      </c>
      <c r="J12" s="329" t="s">
        <v>31</v>
      </c>
      <c r="K12" s="458" t="s">
        <v>113</v>
      </c>
      <c r="L12" s="535">
        <v>10</v>
      </c>
      <c r="M12" s="539">
        <v>252778</v>
      </c>
      <c r="N12" s="539">
        <v>2527780</v>
      </c>
      <c r="O12" s="539">
        <v>202222.4</v>
      </c>
      <c r="P12" s="539">
        <v>2730002.4</v>
      </c>
      <c r="Q12" s="539"/>
      <c r="R12" s="539"/>
      <c r="S12" s="536"/>
    </row>
    <row r="13" spans="1:19" ht="25.5">
      <c r="A13" s="528" t="s">
        <v>768</v>
      </c>
      <c r="B13" s="529" t="s">
        <v>770</v>
      </c>
      <c r="C13" s="530" t="s">
        <v>19</v>
      </c>
      <c r="D13" s="531"/>
      <c r="E13" s="530" t="s">
        <v>19</v>
      </c>
      <c r="F13" s="532"/>
      <c r="G13" s="533" t="s">
        <v>531</v>
      </c>
      <c r="H13" s="534" t="s">
        <v>820</v>
      </c>
      <c r="I13" s="329" t="s">
        <v>32</v>
      </c>
      <c r="J13" s="329" t="s">
        <v>33</v>
      </c>
      <c r="K13" s="458" t="s">
        <v>113</v>
      </c>
      <c r="L13" s="535">
        <v>10</v>
      </c>
      <c r="M13" s="539">
        <v>256481</v>
      </c>
      <c r="N13" s="539">
        <v>2564810</v>
      </c>
      <c r="O13" s="539">
        <v>205184.80000000002</v>
      </c>
      <c r="P13" s="539">
        <v>2769994.8</v>
      </c>
      <c r="Q13" s="539"/>
      <c r="R13" s="539"/>
      <c r="S13" s="536"/>
    </row>
    <row r="14" spans="1:19" ht="25.5">
      <c r="A14" s="528" t="s">
        <v>768</v>
      </c>
      <c r="B14" s="529" t="s">
        <v>770</v>
      </c>
      <c r="C14" s="530" t="s">
        <v>19</v>
      </c>
      <c r="D14" s="531"/>
      <c r="E14" s="530" t="s">
        <v>19</v>
      </c>
      <c r="F14" s="532"/>
      <c r="G14" s="533" t="s">
        <v>531</v>
      </c>
      <c r="H14" s="534" t="s">
        <v>820</v>
      </c>
      <c r="I14" s="329" t="s">
        <v>34</v>
      </c>
      <c r="J14" s="329" t="s">
        <v>35</v>
      </c>
      <c r="K14" s="458" t="s">
        <v>113</v>
      </c>
      <c r="L14" s="535">
        <v>10</v>
      </c>
      <c r="M14" s="539">
        <v>227778</v>
      </c>
      <c r="N14" s="539">
        <v>2277780</v>
      </c>
      <c r="O14" s="539">
        <v>182222.4</v>
      </c>
      <c r="P14" s="539">
        <v>2460002.4</v>
      </c>
      <c r="Q14" s="539"/>
      <c r="R14" s="539"/>
      <c r="S14" s="536"/>
    </row>
    <row r="15" spans="1:19" ht="25.5">
      <c r="A15" s="528" t="s">
        <v>768</v>
      </c>
      <c r="B15" s="529" t="s">
        <v>770</v>
      </c>
      <c r="C15" s="530" t="s">
        <v>19</v>
      </c>
      <c r="D15" s="531"/>
      <c r="E15" s="530" t="s">
        <v>19</v>
      </c>
      <c r="F15" s="532"/>
      <c r="G15" s="533" t="s">
        <v>531</v>
      </c>
      <c r="H15" s="534" t="s">
        <v>820</v>
      </c>
      <c r="I15" s="329" t="s">
        <v>36</v>
      </c>
      <c r="J15" s="329" t="s">
        <v>37</v>
      </c>
      <c r="K15" s="458" t="s">
        <v>113</v>
      </c>
      <c r="L15" s="535">
        <v>10</v>
      </c>
      <c r="M15" s="539">
        <v>252778</v>
      </c>
      <c r="N15" s="539">
        <v>2527780</v>
      </c>
      <c r="O15" s="539">
        <v>202222.4</v>
      </c>
      <c r="P15" s="539">
        <v>2730002.4</v>
      </c>
      <c r="Q15" s="539"/>
      <c r="R15" s="539"/>
      <c r="S15" s="536"/>
    </row>
    <row r="16" spans="1:19" ht="38.25">
      <c r="A16" s="528" t="s">
        <v>768</v>
      </c>
      <c r="B16" s="529" t="s">
        <v>770</v>
      </c>
      <c r="C16" s="530" t="s">
        <v>19</v>
      </c>
      <c r="D16" s="531"/>
      <c r="E16" s="530">
        <v>46297</v>
      </c>
      <c r="F16" s="532"/>
      <c r="G16" s="537" t="s">
        <v>533</v>
      </c>
      <c r="H16" s="534" t="s">
        <v>820</v>
      </c>
      <c r="I16" s="329" t="s">
        <v>60</v>
      </c>
      <c r="J16" s="329" t="s">
        <v>534</v>
      </c>
      <c r="K16" s="458" t="s">
        <v>113</v>
      </c>
      <c r="L16" s="535">
        <v>2</v>
      </c>
      <c r="M16" s="539">
        <v>1138889</v>
      </c>
      <c r="N16" s="539">
        <v>2277778</v>
      </c>
      <c r="O16" s="539">
        <v>182222.24</v>
      </c>
      <c r="P16" s="539">
        <v>2460000.2400000002</v>
      </c>
      <c r="Q16" s="539"/>
      <c r="R16" s="539"/>
      <c r="S16" s="536"/>
    </row>
    <row r="17" spans="1:19" ht="38.25">
      <c r="A17" s="528" t="s">
        <v>768</v>
      </c>
      <c r="B17" s="529" t="s">
        <v>770</v>
      </c>
      <c r="C17" s="530" t="s">
        <v>19</v>
      </c>
      <c r="D17" s="531"/>
      <c r="E17" s="530">
        <v>46297</v>
      </c>
      <c r="F17" s="532"/>
      <c r="G17" s="537" t="s">
        <v>533</v>
      </c>
      <c r="H17" s="534" t="s">
        <v>820</v>
      </c>
      <c r="I17" s="329" t="s">
        <v>16</v>
      </c>
      <c r="J17" s="329" t="s">
        <v>535</v>
      </c>
      <c r="K17" s="458" t="s">
        <v>113</v>
      </c>
      <c r="L17" s="535">
        <v>2</v>
      </c>
      <c r="M17" s="539">
        <v>851852</v>
      </c>
      <c r="N17" s="539">
        <v>1703704</v>
      </c>
      <c r="O17" s="539">
        <v>136296.32000000001</v>
      </c>
      <c r="P17" s="539">
        <v>1840000.32</v>
      </c>
      <c r="Q17" s="539"/>
      <c r="R17" s="539"/>
      <c r="S17" s="536"/>
    </row>
    <row r="18" spans="1:19" ht="38.25">
      <c r="A18" s="528" t="s">
        <v>768</v>
      </c>
      <c r="B18" s="529" t="s">
        <v>770</v>
      </c>
      <c r="C18" s="530" t="s">
        <v>19</v>
      </c>
      <c r="D18" s="531"/>
      <c r="E18" s="530" t="s">
        <v>536</v>
      </c>
      <c r="F18" s="532"/>
      <c r="G18" s="537" t="s">
        <v>537</v>
      </c>
      <c r="H18" s="534" t="s">
        <v>820</v>
      </c>
      <c r="I18" s="329" t="s">
        <v>48</v>
      </c>
      <c r="J18" s="329" t="s">
        <v>538</v>
      </c>
      <c r="K18" s="458" t="s">
        <v>113</v>
      </c>
      <c r="L18" s="535">
        <v>12</v>
      </c>
      <c r="M18" s="539">
        <v>601852</v>
      </c>
      <c r="N18" s="539">
        <v>7222224</v>
      </c>
      <c r="O18" s="539">
        <v>577777.92000000004</v>
      </c>
      <c r="P18" s="539">
        <v>7800001.9199999999</v>
      </c>
      <c r="Q18" s="539"/>
      <c r="R18" s="539"/>
      <c r="S18" s="536"/>
    </row>
    <row r="19" spans="1:19" ht="25.5">
      <c r="A19" s="528" t="s">
        <v>768</v>
      </c>
      <c r="B19" s="529" t="s">
        <v>770</v>
      </c>
      <c r="C19" s="530" t="s">
        <v>19</v>
      </c>
      <c r="D19" s="534"/>
      <c r="E19" s="530" t="s">
        <v>536</v>
      </c>
      <c r="F19" s="538"/>
      <c r="G19" s="537" t="s">
        <v>537</v>
      </c>
      <c r="H19" s="534" t="s">
        <v>820</v>
      </c>
      <c r="I19" s="329" t="s">
        <v>540</v>
      </c>
      <c r="J19" s="329" t="s">
        <v>229</v>
      </c>
      <c r="K19" s="458" t="s">
        <v>113</v>
      </c>
      <c r="L19" s="535">
        <v>12</v>
      </c>
      <c r="M19" s="539">
        <v>324074</v>
      </c>
      <c r="N19" s="539">
        <v>3888888</v>
      </c>
      <c r="O19" s="539">
        <v>311111.03999999998</v>
      </c>
      <c r="P19" s="539">
        <v>4199999.04</v>
      </c>
      <c r="Q19" s="539"/>
      <c r="R19" s="539"/>
      <c r="S19" s="539"/>
    </row>
    <row r="20" spans="1:19" ht="25.5">
      <c r="A20" s="528" t="s">
        <v>768</v>
      </c>
      <c r="B20" s="529" t="s">
        <v>770</v>
      </c>
      <c r="C20" s="530" t="s">
        <v>19</v>
      </c>
      <c r="D20" s="534"/>
      <c r="E20" s="530" t="s">
        <v>536</v>
      </c>
      <c r="F20" s="538"/>
      <c r="G20" s="537" t="s">
        <v>537</v>
      </c>
      <c r="H20" s="534" t="s">
        <v>820</v>
      </c>
      <c r="I20" s="329" t="s">
        <v>56</v>
      </c>
      <c r="J20" s="329" t="s">
        <v>541</v>
      </c>
      <c r="K20" s="458" t="s">
        <v>113</v>
      </c>
      <c r="L20" s="535">
        <v>24</v>
      </c>
      <c r="M20" s="539">
        <v>325926</v>
      </c>
      <c r="N20" s="539">
        <v>7822224</v>
      </c>
      <c r="O20" s="539">
        <v>625777.92000000004</v>
      </c>
      <c r="P20" s="539">
        <v>8448001.9199999999</v>
      </c>
      <c r="Q20" s="539"/>
      <c r="R20" s="539"/>
      <c r="S20" s="539"/>
    </row>
    <row r="21" spans="1:19">
      <c r="A21" s="528" t="s">
        <v>768</v>
      </c>
      <c r="B21" s="529" t="s">
        <v>770</v>
      </c>
      <c r="C21" s="530" t="s">
        <v>19</v>
      </c>
      <c r="D21" s="534"/>
      <c r="E21" s="530" t="s">
        <v>19</v>
      </c>
      <c r="F21" s="538"/>
      <c r="G21" s="533" t="s">
        <v>531</v>
      </c>
      <c r="H21" s="534" t="s">
        <v>862</v>
      </c>
      <c r="I21" s="329" t="s">
        <v>62</v>
      </c>
      <c r="J21" s="329" t="s">
        <v>63</v>
      </c>
      <c r="K21" s="458" t="s">
        <v>113</v>
      </c>
      <c r="L21" s="535">
        <v>12</v>
      </c>
      <c r="M21" s="539"/>
      <c r="N21" s="539"/>
      <c r="O21" s="539"/>
      <c r="P21" s="539"/>
      <c r="Q21" s="539"/>
      <c r="R21" s="539"/>
      <c r="S21" s="539"/>
    </row>
    <row r="22" spans="1:19">
      <c r="A22" s="528" t="s">
        <v>768</v>
      </c>
      <c r="B22" s="529" t="s">
        <v>770</v>
      </c>
      <c r="C22" s="530"/>
      <c r="D22" s="534"/>
      <c r="E22" s="530"/>
      <c r="F22" s="538"/>
      <c r="G22" s="533"/>
      <c r="H22" s="534" t="s">
        <v>868</v>
      </c>
      <c r="I22" s="329"/>
      <c r="J22" s="329"/>
      <c r="K22" s="458"/>
      <c r="L22" s="535"/>
      <c r="M22" s="539"/>
      <c r="N22" s="539"/>
      <c r="O22" s="539"/>
      <c r="P22" s="539"/>
      <c r="Q22" s="539"/>
      <c r="R22" s="539">
        <v>1257119.784</v>
      </c>
      <c r="S22" s="539"/>
    </row>
    <row r="23" spans="1:19">
      <c r="A23" s="528" t="s">
        <v>768</v>
      </c>
      <c r="B23" s="802" t="s">
        <v>770</v>
      </c>
      <c r="C23" s="530">
        <v>46054</v>
      </c>
      <c r="D23" s="534"/>
      <c r="E23" s="530"/>
      <c r="F23" s="538"/>
      <c r="G23" s="879" t="s">
        <v>542</v>
      </c>
      <c r="H23" s="534" t="s">
        <v>919</v>
      </c>
      <c r="I23" s="839"/>
      <c r="J23" s="839"/>
      <c r="K23" s="458"/>
      <c r="L23" s="535"/>
      <c r="M23" s="539"/>
      <c r="N23" s="539">
        <v>0</v>
      </c>
      <c r="O23" s="539">
        <v>0</v>
      </c>
      <c r="P23" s="539">
        <v>0</v>
      </c>
      <c r="Q23" s="539">
        <v>18656000</v>
      </c>
      <c r="R23" s="539"/>
      <c r="S23" s="539"/>
    </row>
    <row r="24" spans="1:19">
      <c r="A24" s="528" t="s">
        <v>768</v>
      </c>
      <c r="B24" s="529" t="s">
        <v>770</v>
      </c>
      <c r="C24" s="530">
        <v>46083</v>
      </c>
      <c r="D24" s="534"/>
      <c r="E24" s="530">
        <v>46114</v>
      </c>
      <c r="F24" s="538"/>
      <c r="G24" s="533" t="s">
        <v>544</v>
      </c>
      <c r="H24" s="534" t="s">
        <v>820</v>
      </c>
      <c r="I24" s="329" t="s">
        <v>260</v>
      </c>
      <c r="J24" s="329" t="s">
        <v>261</v>
      </c>
      <c r="K24" s="458" t="s">
        <v>113</v>
      </c>
      <c r="L24" s="535">
        <v>4</v>
      </c>
      <c r="M24" s="539">
        <v>492592.59</v>
      </c>
      <c r="N24" s="539">
        <v>1970370.36</v>
      </c>
      <c r="O24" s="539">
        <v>157629.62880000001</v>
      </c>
      <c r="P24" s="539">
        <v>2127999.9887999999</v>
      </c>
      <c r="Q24" s="539"/>
      <c r="R24" s="539"/>
      <c r="S24" s="539"/>
    </row>
    <row r="25" spans="1:19">
      <c r="A25" s="528" t="s">
        <v>768</v>
      </c>
      <c r="B25" s="529" t="s">
        <v>770</v>
      </c>
      <c r="C25" s="530">
        <v>46083</v>
      </c>
      <c r="D25" s="534"/>
      <c r="E25" s="530">
        <v>46114</v>
      </c>
      <c r="F25" s="538"/>
      <c r="G25" s="533" t="s">
        <v>544</v>
      </c>
      <c r="H25" s="534" t="s">
        <v>820</v>
      </c>
      <c r="I25" s="329" t="s">
        <v>62</v>
      </c>
      <c r="J25" s="329" t="s">
        <v>63</v>
      </c>
      <c r="K25" s="458" t="s">
        <v>113</v>
      </c>
      <c r="L25" s="535">
        <v>10</v>
      </c>
      <c r="M25" s="539">
        <v>78703.7</v>
      </c>
      <c r="N25" s="539">
        <v>787037</v>
      </c>
      <c r="O25" s="539">
        <v>62962.96</v>
      </c>
      <c r="P25" s="539">
        <v>849999.96</v>
      </c>
      <c r="Q25" s="539"/>
      <c r="R25" s="539"/>
      <c r="S25" s="539"/>
    </row>
    <row r="26" spans="1:19" ht="25.5">
      <c r="A26" s="528" t="s">
        <v>768</v>
      </c>
      <c r="B26" s="529" t="s">
        <v>770</v>
      </c>
      <c r="C26" s="530">
        <v>46083</v>
      </c>
      <c r="D26" s="534"/>
      <c r="E26" s="530">
        <v>46114</v>
      </c>
      <c r="F26" s="538"/>
      <c r="G26" s="533" t="s">
        <v>544</v>
      </c>
      <c r="H26" s="534" t="s">
        <v>820</v>
      </c>
      <c r="I26" s="329" t="s">
        <v>38</v>
      </c>
      <c r="J26" s="329" t="s">
        <v>39</v>
      </c>
      <c r="K26" s="458" t="s">
        <v>113</v>
      </c>
      <c r="L26" s="535">
        <v>10</v>
      </c>
      <c r="M26" s="539">
        <v>277777.77</v>
      </c>
      <c r="N26" s="539">
        <v>2777777.7</v>
      </c>
      <c r="O26" s="539">
        <v>222222.21600000001</v>
      </c>
      <c r="P26" s="539">
        <v>2999999.9160000002</v>
      </c>
      <c r="Q26" s="539"/>
      <c r="R26" s="539"/>
      <c r="S26" s="539"/>
    </row>
    <row r="27" spans="1:19" ht="25.5">
      <c r="A27" s="528" t="s">
        <v>768</v>
      </c>
      <c r="B27" s="529" t="s">
        <v>770</v>
      </c>
      <c r="C27" s="530">
        <v>46083</v>
      </c>
      <c r="D27" s="534"/>
      <c r="E27" s="530">
        <v>46114</v>
      </c>
      <c r="F27" s="538"/>
      <c r="G27" s="533" t="s">
        <v>544</v>
      </c>
      <c r="H27" s="534" t="s">
        <v>820</v>
      </c>
      <c r="I27" s="329" t="s">
        <v>40</v>
      </c>
      <c r="J27" s="329" t="s">
        <v>41</v>
      </c>
      <c r="K27" s="458" t="s">
        <v>113</v>
      </c>
      <c r="L27" s="535">
        <v>2</v>
      </c>
      <c r="M27" s="539">
        <v>844444.44</v>
      </c>
      <c r="N27" s="539">
        <v>1688888.88</v>
      </c>
      <c r="O27" s="539">
        <v>135111.11040000001</v>
      </c>
      <c r="P27" s="539">
        <v>1823999.9904</v>
      </c>
      <c r="Q27" s="539"/>
      <c r="R27" s="539"/>
      <c r="S27" s="539"/>
    </row>
    <row r="28" spans="1:19" ht="38.25">
      <c r="A28" s="528" t="s">
        <v>768</v>
      </c>
      <c r="B28" s="529" t="s">
        <v>770</v>
      </c>
      <c r="C28" s="530">
        <v>46083</v>
      </c>
      <c r="D28" s="534"/>
      <c r="E28" s="530">
        <v>46297</v>
      </c>
      <c r="F28" s="538"/>
      <c r="G28" s="537" t="s">
        <v>533</v>
      </c>
      <c r="H28" s="534" t="s">
        <v>820</v>
      </c>
      <c r="I28" s="329" t="s">
        <v>16</v>
      </c>
      <c r="J28" s="329" t="s">
        <v>535</v>
      </c>
      <c r="K28" s="458" t="s">
        <v>113</v>
      </c>
      <c r="L28" s="535">
        <v>4</v>
      </c>
      <c r="M28" s="539">
        <v>851852</v>
      </c>
      <c r="N28" s="539">
        <v>3407408</v>
      </c>
      <c r="O28" s="539">
        <v>272592.64000000001</v>
      </c>
      <c r="P28" s="539">
        <v>3680000.64</v>
      </c>
      <c r="Q28" s="539"/>
      <c r="R28" s="539"/>
      <c r="S28" s="539"/>
    </row>
    <row r="29" spans="1:19">
      <c r="A29" s="528" t="s">
        <v>768</v>
      </c>
      <c r="B29" s="802" t="s">
        <v>770</v>
      </c>
      <c r="C29" s="530" t="s">
        <v>545</v>
      </c>
      <c r="D29" s="534"/>
      <c r="E29" s="530" t="s">
        <v>546</v>
      </c>
      <c r="F29" s="538"/>
      <c r="G29" s="879"/>
      <c r="H29" s="534" t="s">
        <v>919</v>
      </c>
      <c r="I29" s="839"/>
      <c r="J29" s="839"/>
      <c r="K29" s="458"/>
      <c r="L29" s="535"/>
      <c r="M29" s="539"/>
      <c r="N29" s="539">
        <v>0</v>
      </c>
      <c r="O29" s="539">
        <v>0</v>
      </c>
      <c r="P29" s="539">
        <v>0</v>
      </c>
      <c r="Q29" s="539">
        <v>35233986</v>
      </c>
      <c r="R29" s="539"/>
      <c r="S29" s="539"/>
    </row>
    <row r="30" spans="1:19" ht="25.5">
      <c r="A30" s="528" t="s">
        <v>768</v>
      </c>
      <c r="B30" s="529" t="s">
        <v>770</v>
      </c>
      <c r="C30" s="530">
        <v>46083</v>
      </c>
      <c r="D30" s="534"/>
      <c r="E30" s="530" t="s">
        <v>536</v>
      </c>
      <c r="F30" s="538"/>
      <c r="G30" s="537" t="s">
        <v>537</v>
      </c>
      <c r="H30" s="458" t="s">
        <v>532</v>
      </c>
      <c r="I30" s="329" t="s">
        <v>54</v>
      </c>
      <c r="J30" s="329" t="s">
        <v>229</v>
      </c>
      <c r="K30" s="458" t="s">
        <v>113</v>
      </c>
      <c r="L30" s="535">
        <v>12</v>
      </c>
      <c r="M30" s="539">
        <v>324074.07</v>
      </c>
      <c r="N30" s="539">
        <v>3888888.84</v>
      </c>
      <c r="O30" s="539">
        <v>311111.10719999997</v>
      </c>
      <c r="P30" s="539">
        <v>4199999.9472000003</v>
      </c>
      <c r="Q30" s="539"/>
      <c r="R30" s="539"/>
      <c r="S30" s="539"/>
    </row>
    <row r="31" spans="1:19">
      <c r="A31" s="528" t="s">
        <v>768</v>
      </c>
      <c r="B31" s="802" t="s">
        <v>770</v>
      </c>
      <c r="C31" s="530"/>
      <c r="D31" s="534"/>
      <c r="E31" s="530">
        <v>46147</v>
      </c>
      <c r="F31" s="538"/>
      <c r="G31" s="879"/>
      <c r="H31" s="534" t="s">
        <v>919</v>
      </c>
      <c r="I31" s="839"/>
      <c r="J31" s="839"/>
      <c r="K31" s="458"/>
      <c r="L31" s="535"/>
      <c r="M31" s="539"/>
      <c r="N31" s="539">
        <v>0</v>
      </c>
      <c r="O31" s="539">
        <v>0</v>
      </c>
      <c r="P31" s="539">
        <v>0</v>
      </c>
      <c r="Q31" s="539">
        <v>23390844</v>
      </c>
      <c r="R31" s="539"/>
      <c r="S31" s="539"/>
    </row>
    <row r="32" spans="1:19">
      <c r="A32" s="528" t="s">
        <v>768</v>
      </c>
      <c r="B32" s="529" t="s">
        <v>770</v>
      </c>
      <c r="C32" s="530"/>
      <c r="D32" s="534"/>
      <c r="E32" s="530">
        <v>46208</v>
      </c>
      <c r="F32" s="538"/>
      <c r="G32" s="541"/>
      <c r="H32" s="468" t="s">
        <v>547</v>
      </c>
      <c r="I32" s="329" t="s">
        <v>46</v>
      </c>
      <c r="J32" s="329" t="s">
        <v>47</v>
      </c>
      <c r="K32" s="458" t="s">
        <v>113</v>
      </c>
      <c r="L32" s="542">
        <v>-18</v>
      </c>
      <c r="M32" s="539">
        <v>194444</v>
      </c>
      <c r="N32" s="539">
        <v>-3499992</v>
      </c>
      <c r="O32" s="539">
        <v>-279999.35999999999</v>
      </c>
      <c r="P32" s="539">
        <v>-3779991.36</v>
      </c>
      <c r="Q32" s="539"/>
      <c r="R32" s="539"/>
      <c r="S32" s="539"/>
    </row>
    <row r="33" spans="1:19" ht="25.5">
      <c r="A33" s="528" t="s">
        <v>768</v>
      </c>
      <c r="B33" s="529" t="s">
        <v>770</v>
      </c>
      <c r="C33" s="530"/>
      <c r="D33" s="534"/>
      <c r="E33" s="530">
        <v>46208</v>
      </c>
      <c r="F33" s="538"/>
      <c r="G33" s="541"/>
      <c r="H33" s="468" t="s">
        <v>547</v>
      </c>
      <c r="I33" s="329" t="s">
        <v>180</v>
      </c>
      <c r="J33" s="329" t="s">
        <v>181</v>
      </c>
      <c r="K33" s="458" t="s">
        <v>113</v>
      </c>
      <c r="L33" s="542">
        <v>-10</v>
      </c>
      <c r="M33" s="539">
        <v>234259</v>
      </c>
      <c r="N33" s="539">
        <v>-2342590</v>
      </c>
      <c r="O33" s="539">
        <v>-187407.2</v>
      </c>
      <c r="P33" s="539">
        <v>-2529997.2000000002</v>
      </c>
      <c r="Q33" s="539"/>
      <c r="R33" s="539"/>
      <c r="S33" s="539"/>
    </row>
    <row r="34" spans="1:19" ht="25.5">
      <c r="A34" s="528" t="s">
        <v>768</v>
      </c>
      <c r="B34" s="529" t="s">
        <v>770</v>
      </c>
      <c r="C34" s="530"/>
      <c r="D34" s="534"/>
      <c r="E34" s="530">
        <v>46208</v>
      </c>
      <c r="F34" s="538"/>
      <c r="G34" s="541"/>
      <c r="H34" s="468" t="s">
        <v>547</v>
      </c>
      <c r="I34" s="329" t="s">
        <v>26</v>
      </c>
      <c r="J34" s="329" t="s">
        <v>27</v>
      </c>
      <c r="K34" s="458" t="s">
        <v>113</v>
      </c>
      <c r="L34" s="542">
        <v>-10</v>
      </c>
      <c r="M34" s="539">
        <v>256481</v>
      </c>
      <c r="N34" s="539">
        <v>-2564810</v>
      </c>
      <c r="O34" s="539">
        <v>-205184.80000000002</v>
      </c>
      <c r="P34" s="539">
        <v>-2769994.8</v>
      </c>
      <c r="Q34" s="539"/>
      <c r="R34" s="539"/>
      <c r="S34" s="539"/>
    </row>
    <row r="35" spans="1:19" ht="25.5">
      <c r="A35" s="528" t="s">
        <v>768</v>
      </c>
      <c r="B35" s="529" t="s">
        <v>770</v>
      </c>
      <c r="C35" s="530"/>
      <c r="D35" s="534"/>
      <c r="E35" s="530">
        <v>46208</v>
      </c>
      <c r="F35" s="538"/>
      <c r="G35" s="541"/>
      <c r="H35" s="468" t="s">
        <v>547</v>
      </c>
      <c r="I35" s="329" t="s">
        <v>184</v>
      </c>
      <c r="J35" s="329" t="s">
        <v>272</v>
      </c>
      <c r="K35" s="458" t="s">
        <v>113</v>
      </c>
      <c r="L35" s="542">
        <v>-10</v>
      </c>
      <c r="M35" s="539">
        <v>227778</v>
      </c>
      <c r="N35" s="539">
        <v>-2277780</v>
      </c>
      <c r="O35" s="539">
        <v>-182222.4</v>
      </c>
      <c r="P35" s="539">
        <v>-2460002.4</v>
      </c>
      <c r="Q35" s="539"/>
      <c r="R35" s="539"/>
      <c r="S35" s="539"/>
    </row>
    <row r="36" spans="1:19" ht="25.5">
      <c r="A36" s="528" t="s">
        <v>768</v>
      </c>
      <c r="B36" s="529" t="s">
        <v>770</v>
      </c>
      <c r="C36" s="530">
        <v>46117</v>
      </c>
      <c r="D36" s="534"/>
      <c r="E36" s="530">
        <v>46208</v>
      </c>
      <c r="F36" s="538"/>
      <c r="G36" s="537" t="s">
        <v>548</v>
      </c>
      <c r="H36" s="534" t="s">
        <v>820</v>
      </c>
      <c r="I36" s="329" t="s">
        <v>355</v>
      </c>
      <c r="J36" s="329" t="s">
        <v>356</v>
      </c>
      <c r="K36" s="458" t="s">
        <v>25</v>
      </c>
      <c r="L36" s="535">
        <v>2</v>
      </c>
      <c r="M36" s="539">
        <v>1043518.52</v>
      </c>
      <c r="N36" s="539">
        <v>2087037.04</v>
      </c>
      <c r="O36" s="539">
        <v>166962.9632</v>
      </c>
      <c r="P36" s="539">
        <v>2254000.0032000002</v>
      </c>
      <c r="Q36" s="539"/>
      <c r="R36" s="539"/>
      <c r="S36" s="539"/>
    </row>
    <row r="37" spans="1:19">
      <c r="A37" s="528" t="s">
        <v>768</v>
      </c>
      <c r="B37" s="529" t="s">
        <v>770</v>
      </c>
      <c r="C37" s="530">
        <v>46117</v>
      </c>
      <c r="D37" s="534"/>
      <c r="E37" s="530">
        <v>46208</v>
      </c>
      <c r="F37" s="538"/>
      <c r="G37" s="537" t="s">
        <v>548</v>
      </c>
      <c r="H37" s="534" t="s">
        <v>820</v>
      </c>
      <c r="I37" s="329" t="s">
        <v>262</v>
      </c>
      <c r="J37" s="329" t="s">
        <v>263</v>
      </c>
      <c r="K37" s="458" t="s">
        <v>25</v>
      </c>
      <c r="L37" s="535">
        <v>2</v>
      </c>
      <c r="M37" s="539">
        <v>851851.85</v>
      </c>
      <c r="N37" s="539">
        <v>1703703.7</v>
      </c>
      <c r="O37" s="539">
        <v>136296.296</v>
      </c>
      <c r="P37" s="539">
        <v>1839999.996</v>
      </c>
      <c r="Q37" s="539"/>
      <c r="R37" s="539"/>
      <c r="S37" s="539"/>
    </row>
    <row r="38" spans="1:19" ht="25.5">
      <c r="A38" s="528" t="s">
        <v>768</v>
      </c>
      <c r="B38" s="529" t="s">
        <v>770</v>
      </c>
      <c r="C38" s="530">
        <v>46117</v>
      </c>
      <c r="D38" s="534"/>
      <c r="E38" s="530">
        <v>46208</v>
      </c>
      <c r="F38" s="538"/>
      <c r="G38" s="537" t="s">
        <v>548</v>
      </c>
      <c r="H38" s="534" t="s">
        <v>820</v>
      </c>
      <c r="I38" s="329" t="s">
        <v>30</v>
      </c>
      <c r="J38" s="329" t="s">
        <v>31</v>
      </c>
      <c r="K38" s="458" t="s">
        <v>113</v>
      </c>
      <c r="L38" s="535">
        <v>20</v>
      </c>
      <c r="M38" s="539">
        <v>252777.78</v>
      </c>
      <c r="N38" s="539">
        <v>5055555.5999999996</v>
      </c>
      <c r="O38" s="539">
        <v>404444.44799999997</v>
      </c>
      <c r="P38" s="539">
        <v>5460000.0479999995</v>
      </c>
      <c r="Q38" s="539"/>
      <c r="R38" s="539"/>
      <c r="S38" s="539"/>
    </row>
    <row r="39" spans="1:19" ht="25.5">
      <c r="A39" s="528" t="s">
        <v>768</v>
      </c>
      <c r="B39" s="529" t="s">
        <v>770</v>
      </c>
      <c r="C39" s="530">
        <v>46117</v>
      </c>
      <c r="D39" s="534"/>
      <c r="E39" s="530">
        <v>46208</v>
      </c>
      <c r="F39" s="538"/>
      <c r="G39" s="537" t="s">
        <v>548</v>
      </c>
      <c r="H39" s="534" t="s">
        <v>820</v>
      </c>
      <c r="I39" s="329" t="s">
        <v>36</v>
      </c>
      <c r="J39" s="329" t="s">
        <v>37</v>
      </c>
      <c r="K39" s="458" t="s">
        <v>113</v>
      </c>
      <c r="L39" s="535">
        <v>20</v>
      </c>
      <c r="M39" s="539">
        <v>252777.78</v>
      </c>
      <c r="N39" s="539">
        <v>5055555.5999999996</v>
      </c>
      <c r="O39" s="539">
        <v>404444.44799999997</v>
      </c>
      <c r="P39" s="539">
        <v>5460000.0479999995</v>
      </c>
      <c r="Q39" s="539"/>
      <c r="R39" s="539"/>
      <c r="S39" s="539"/>
    </row>
    <row r="40" spans="1:19" ht="25.5">
      <c r="A40" s="528" t="s">
        <v>768</v>
      </c>
      <c r="B40" s="529" t="s">
        <v>770</v>
      </c>
      <c r="C40" s="530">
        <v>46117</v>
      </c>
      <c r="D40" s="534"/>
      <c r="E40" s="530">
        <v>46208</v>
      </c>
      <c r="F40" s="538"/>
      <c r="G40" s="537" t="s">
        <v>548</v>
      </c>
      <c r="H40" s="534" t="s">
        <v>820</v>
      </c>
      <c r="I40" s="329" t="s">
        <v>38</v>
      </c>
      <c r="J40" s="329" t="s">
        <v>39</v>
      </c>
      <c r="K40" s="458" t="s">
        <v>113</v>
      </c>
      <c r="L40" s="535">
        <v>20</v>
      </c>
      <c r="M40" s="539">
        <v>277777.78000000003</v>
      </c>
      <c r="N40" s="539">
        <v>5555555.6000000006</v>
      </c>
      <c r="O40" s="539">
        <v>444444.44800000003</v>
      </c>
      <c r="P40" s="539">
        <v>6000000.0480000004</v>
      </c>
      <c r="Q40" s="539"/>
      <c r="R40" s="539"/>
      <c r="S40" s="539"/>
    </row>
    <row r="41" spans="1:19" ht="25.5">
      <c r="A41" s="528" t="s">
        <v>768</v>
      </c>
      <c r="B41" s="529" t="s">
        <v>770</v>
      </c>
      <c r="C41" s="530">
        <v>46117</v>
      </c>
      <c r="D41" s="534"/>
      <c r="E41" s="530">
        <v>46208</v>
      </c>
      <c r="F41" s="538"/>
      <c r="G41" s="537" t="s">
        <v>548</v>
      </c>
      <c r="H41" s="534" t="s">
        <v>820</v>
      </c>
      <c r="I41" s="329" t="s">
        <v>60</v>
      </c>
      <c r="J41" s="329" t="s">
        <v>61</v>
      </c>
      <c r="K41" s="458" t="s">
        <v>113</v>
      </c>
      <c r="L41" s="535">
        <v>4</v>
      </c>
      <c r="M41" s="539">
        <v>1138889</v>
      </c>
      <c r="N41" s="539">
        <v>4555556</v>
      </c>
      <c r="O41" s="539">
        <v>364444.48</v>
      </c>
      <c r="P41" s="539">
        <v>4920000.4800000004</v>
      </c>
      <c r="Q41" s="539"/>
      <c r="R41" s="539"/>
      <c r="S41" s="539"/>
    </row>
    <row r="42" spans="1:19" ht="25.5">
      <c r="A42" s="528" t="s">
        <v>768</v>
      </c>
      <c r="B42" s="529" t="s">
        <v>770</v>
      </c>
      <c r="C42" s="530">
        <v>46117</v>
      </c>
      <c r="D42" s="534"/>
      <c r="E42" s="530">
        <v>46208</v>
      </c>
      <c r="F42" s="538"/>
      <c r="G42" s="537" t="s">
        <v>548</v>
      </c>
      <c r="H42" s="534" t="s">
        <v>820</v>
      </c>
      <c r="I42" s="329" t="s">
        <v>83</v>
      </c>
      <c r="J42" s="329" t="s">
        <v>84</v>
      </c>
      <c r="K42" s="458" t="s">
        <v>113</v>
      </c>
      <c r="L42" s="535">
        <v>4</v>
      </c>
      <c r="M42" s="539">
        <v>1097222.22</v>
      </c>
      <c r="N42" s="539">
        <v>4388888.88</v>
      </c>
      <c r="O42" s="539">
        <v>351111.11040000001</v>
      </c>
      <c r="P42" s="539">
        <v>4739999.9903999995</v>
      </c>
      <c r="Q42" s="539"/>
      <c r="R42" s="539"/>
      <c r="S42" s="539"/>
    </row>
    <row r="43" spans="1:19" ht="25.5">
      <c r="A43" s="528" t="s">
        <v>768</v>
      </c>
      <c r="B43" s="529" t="s">
        <v>770</v>
      </c>
      <c r="C43" s="530">
        <v>46117</v>
      </c>
      <c r="D43" s="534"/>
      <c r="E43" s="530">
        <v>46208</v>
      </c>
      <c r="F43" s="538"/>
      <c r="G43" s="537" t="s">
        <v>548</v>
      </c>
      <c r="H43" s="534" t="s">
        <v>820</v>
      </c>
      <c r="I43" s="329" t="s">
        <v>56</v>
      </c>
      <c r="J43" s="329" t="s">
        <v>57</v>
      </c>
      <c r="K43" s="458" t="s">
        <v>113</v>
      </c>
      <c r="L43" s="535">
        <v>60</v>
      </c>
      <c r="M43" s="539">
        <v>325925.93</v>
      </c>
      <c r="N43" s="539">
        <v>19555555.800000001</v>
      </c>
      <c r="O43" s="539">
        <v>1564444.4640000002</v>
      </c>
      <c r="P43" s="539">
        <v>21120000.264000002</v>
      </c>
      <c r="Q43" s="539"/>
      <c r="R43" s="539"/>
      <c r="S43" s="539"/>
    </row>
    <row r="44" spans="1:19">
      <c r="A44" s="528" t="s">
        <v>768</v>
      </c>
      <c r="B44" s="529" t="s">
        <v>770</v>
      </c>
      <c r="C44" s="530">
        <v>46117</v>
      </c>
      <c r="D44" s="534"/>
      <c r="E44" s="530">
        <v>46208</v>
      </c>
      <c r="F44" s="538"/>
      <c r="G44" s="537" t="s">
        <v>548</v>
      </c>
      <c r="H44" s="534" t="s">
        <v>820</v>
      </c>
      <c r="I44" s="329" t="s">
        <v>62</v>
      </c>
      <c r="J44" s="329" t="s">
        <v>63</v>
      </c>
      <c r="K44" s="458" t="s">
        <v>113</v>
      </c>
      <c r="L44" s="535">
        <v>10</v>
      </c>
      <c r="M44" s="539">
        <v>78703.7</v>
      </c>
      <c r="N44" s="539">
        <v>787037</v>
      </c>
      <c r="O44" s="539">
        <v>62962.96</v>
      </c>
      <c r="P44" s="539">
        <v>849999.96</v>
      </c>
      <c r="Q44" s="539"/>
      <c r="R44" s="539"/>
      <c r="S44" s="539"/>
    </row>
    <row r="45" spans="1:19">
      <c r="A45" s="528" t="s">
        <v>768</v>
      </c>
      <c r="B45" s="529" t="s">
        <v>770</v>
      </c>
      <c r="C45" s="530">
        <v>46117</v>
      </c>
      <c r="D45" s="534"/>
      <c r="E45" s="530">
        <v>46208</v>
      </c>
      <c r="F45" s="538"/>
      <c r="G45" s="537" t="s">
        <v>548</v>
      </c>
      <c r="H45" s="534" t="s">
        <v>820</v>
      </c>
      <c r="I45" s="329" t="s">
        <v>74</v>
      </c>
      <c r="J45" s="329" t="s">
        <v>141</v>
      </c>
      <c r="K45" s="458" t="s">
        <v>113</v>
      </c>
      <c r="L45" s="535">
        <v>8</v>
      </c>
      <c r="M45" s="539">
        <v>361111.11</v>
      </c>
      <c r="N45" s="539">
        <v>2888888.88</v>
      </c>
      <c r="O45" s="539">
        <v>231111.11040000001</v>
      </c>
      <c r="P45" s="539">
        <v>3119999.9904</v>
      </c>
      <c r="Q45" s="539"/>
      <c r="R45" s="539"/>
      <c r="S45" s="539"/>
    </row>
    <row r="46" spans="1:19">
      <c r="A46" s="528" t="s">
        <v>768</v>
      </c>
      <c r="B46" s="529" t="s">
        <v>770</v>
      </c>
      <c r="C46" s="530">
        <v>46117</v>
      </c>
      <c r="D46" s="534"/>
      <c r="E46" s="530">
        <v>46208</v>
      </c>
      <c r="F46" s="538"/>
      <c r="G46" s="537" t="s">
        <v>548</v>
      </c>
      <c r="H46" s="534" t="s">
        <v>820</v>
      </c>
      <c r="I46" s="329" t="s">
        <v>274</v>
      </c>
      <c r="J46" s="329" t="s">
        <v>297</v>
      </c>
      <c r="K46" s="458" t="s">
        <v>25</v>
      </c>
      <c r="L46" s="535">
        <v>20</v>
      </c>
      <c r="M46" s="539">
        <v>416666.66</v>
      </c>
      <c r="N46" s="539">
        <v>8333333.1999999993</v>
      </c>
      <c r="O46" s="539">
        <v>666666.65599999996</v>
      </c>
      <c r="P46" s="539">
        <v>8999999.8559999987</v>
      </c>
      <c r="Q46" s="539"/>
      <c r="R46" s="539"/>
      <c r="S46" s="539"/>
    </row>
    <row r="47" spans="1:19">
      <c r="A47" s="528" t="s">
        <v>768</v>
      </c>
      <c r="B47" s="529" t="s">
        <v>770</v>
      </c>
      <c r="C47" s="530">
        <v>46117</v>
      </c>
      <c r="D47" s="534"/>
      <c r="E47" s="530">
        <v>46208</v>
      </c>
      <c r="F47" s="538"/>
      <c r="G47" s="537" t="s">
        <v>548</v>
      </c>
      <c r="H47" s="534" t="s">
        <v>820</v>
      </c>
      <c r="I47" s="329" t="s">
        <v>77</v>
      </c>
      <c r="J47" s="329" t="s">
        <v>78</v>
      </c>
      <c r="K47" s="458" t="s">
        <v>25</v>
      </c>
      <c r="L47" s="535">
        <v>11</v>
      </c>
      <c r="M47" s="539">
        <v>324074.07</v>
      </c>
      <c r="N47" s="539">
        <v>3564814.77</v>
      </c>
      <c r="O47" s="539">
        <v>285185.18160000001</v>
      </c>
      <c r="P47" s="539">
        <v>3849999.9516000003</v>
      </c>
      <c r="Q47" s="539"/>
      <c r="R47" s="539"/>
      <c r="S47" s="539"/>
    </row>
    <row r="48" spans="1:19" ht="25.5">
      <c r="A48" s="528" t="s">
        <v>768</v>
      </c>
      <c r="B48" s="529" t="s">
        <v>770</v>
      </c>
      <c r="C48" s="540">
        <v>46117</v>
      </c>
      <c r="D48" s="534"/>
      <c r="E48" s="540" t="s">
        <v>331</v>
      </c>
      <c r="F48" s="538"/>
      <c r="G48" s="537" t="s">
        <v>549</v>
      </c>
      <c r="H48" s="534" t="s">
        <v>820</v>
      </c>
      <c r="I48" s="327" t="s">
        <v>301</v>
      </c>
      <c r="J48" s="327" t="s">
        <v>302</v>
      </c>
      <c r="K48" s="463" t="s">
        <v>113</v>
      </c>
      <c r="L48" s="543">
        <v>20</v>
      </c>
      <c r="M48" s="539">
        <v>268518.52</v>
      </c>
      <c r="N48" s="539">
        <v>5370370.4000000004</v>
      </c>
      <c r="O48" s="539">
        <v>429629.63200000004</v>
      </c>
      <c r="P48" s="539">
        <v>5800000.0320000006</v>
      </c>
      <c r="Q48" s="539"/>
      <c r="R48" s="539"/>
      <c r="S48" s="539"/>
    </row>
    <row r="49" spans="1:19" ht="25.5">
      <c r="A49" s="528" t="s">
        <v>768</v>
      </c>
      <c r="B49" s="529" t="s">
        <v>770</v>
      </c>
      <c r="C49" s="540">
        <v>46059</v>
      </c>
      <c r="D49" s="534"/>
      <c r="E49" s="540">
        <v>46059</v>
      </c>
      <c r="F49" s="538"/>
      <c r="G49" s="537" t="s">
        <v>550</v>
      </c>
      <c r="H49" s="534" t="s">
        <v>820</v>
      </c>
      <c r="I49" s="327" t="s">
        <v>301</v>
      </c>
      <c r="J49" s="327" t="s">
        <v>302</v>
      </c>
      <c r="K49" s="463" t="s">
        <v>113</v>
      </c>
      <c r="L49" s="543">
        <v>20</v>
      </c>
      <c r="M49" s="539">
        <v>268518.52</v>
      </c>
      <c r="N49" s="539">
        <v>5370370.4000000004</v>
      </c>
      <c r="O49" s="539">
        <v>429629.63200000004</v>
      </c>
      <c r="P49" s="539">
        <v>5800000.0320000006</v>
      </c>
      <c r="Q49" s="539"/>
      <c r="R49" s="539"/>
      <c r="S49" s="539"/>
    </row>
    <row r="50" spans="1:19">
      <c r="A50" s="528" t="s">
        <v>768</v>
      </c>
      <c r="B50" s="802" t="s">
        <v>770</v>
      </c>
      <c r="C50" s="530"/>
      <c r="D50" s="534"/>
      <c r="E50" s="530">
        <v>46271</v>
      </c>
      <c r="F50" s="538"/>
      <c r="G50" s="879"/>
      <c r="H50" s="534" t="s">
        <v>919</v>
      </c>
      <c r="I50" s="839"/>
      <c r="J50" s="839"/>
      <c r="K50" s="458"/>
      <c r="L50" s="535"/>
      <c r="M50" s="539"/>
      <c r="N50" s="539">
        <v>0</v>
      </c>
      <c r="O50" s="539">
        <v>0</v>
      </c>
      <c r="P50" s="539">
        <v>0</v>
      </c>
      <c r="Q50" s="539">
        <v>68674055</v>
      </c>
      <c r="R50" s="539"/>
      <c r="S50" s="539"/>
    </row>
    <row r="51" spans="1:19">
      <c r="A51" s="528" t="s">
        <v>768</v>
      </c>
      <c r="B51" s="802" t="s">
        <v>770</v>
      </c>
      <c r="C51" s="530">
        <v>46301</v>
      </c>
      <c r="D51" s="534"/>
      <c r="E51" s="530">
        <v>46362</v>
      </c>
      <c r="F51" s="538"/>
      <c r="G51" s="533" t="s">
        <v>551</v>
      </c>
      <c r="H51" s="534" t="s">
        <v>820</v>
      </c>
      <c r="I51" s="839" t="s">
        <v>274</v>
      </c>
      <c r="J51" s="839" t="s">
        <v>297</v>
      </c>
      <c r="K51" s="458" t="s">
        <v>25</v>
      </c>
      <c r="L51" s="535">
        <v>20</v>
      </c>
      <c r="M51" s="539">
        <v>416666.66</v>
      </c>
      <c r="N51" s="539">
        <v>8333333.1999999993</v>
      </c>
      <c r="O51" s="539">
        <v>666666.65599999996</v>
      </c>
      <c r="P51" s="539">
        <v>8999999.8559999987</v>
      </c>
      <c r="Q51" s="539"/>
      <c r="R51" s="539"/>
      <c r="S51" s="539"/>
    </row>
    <row r="52" spans="1:19">
      <c r="A52" s="528" t="s">
        <v>768</v>
      </c>
      <c r="B52" s="529" t="s">
        <v>770</v>
      </c>
      <c r="C52" s="540">
        <v>46301</v>
      </c>
      <c r="D52" s="534"/>
      <c r="E52" s="540">
        <v>46362</v>
      </c>
      <c r="F52" s="538"/>
      <c r="G52" s="541" t="s">
        <v>551</v>
      </c>
      <c r="H52" s="534" t="s">
        <v>820</v>
      </c>
      <c r="I52" s="329" t="s">
        <v>74</v>
      </c>
      <c r="J52" s="329" t="s">
        <v>141</v>
      </c>
      <c r="K52" s="458" t="s">
        <v>113</v>
      </c>
      <c r="L52" s="535">
        <v>24</v>
      </c>
      <c r="M52" s="539">
        <v>361111.11</v>
      </c>
      <c r="N52" s="539">
        <v>8666666.6400000006</v>
      </c>
      <c r="O52" s="539">
        <v>693333.33120000002</v>
      </c>
      <c r="P52" s="539">
        <v>9359999.9712000005</v>
      </c>
      <c r="Q52" s="539"/>
      <c r="R52" s="539"/>
      <c r="S52" s="539"/>
    </row>
    <row r="53" spans="1:19">
      <c r="A53" s="528" t="s">
        <v>768</v>
      </c>
      <c r="B53" s="529" t="s">
        <v>770</v>
      </c>
      <c r="C53" s="540">
        <v>46301</v>
      </c>
      <c r="D53" s="534"/>
      <c r="E53" s="540"/>
      <c r="F53" s="538"/>
      <c r="G53" s="879"/>
      <c r="H53" s="534" t="s">
        <v>820</v>
      </c>
      <c r="I53" s="392" t="s">
        <v>85</v>
      </c>
      <c r="J53" s="392" t="s">
        <v>86</v>
      </c>
      <c r="K53" s="467" t="s">
        <v>113</v>
      </c>
      <c r="L53" s="544">
        <v>30</v>
      </c>
      <c r="M53" s="539">
        <v>509259.26</v>
      </c>
      <c r="N53" s="539">
        <v>15277777.800000001</v>
      </c>
      <c r="O53" s="539">
        <v>1222222.2240000002</v>
      </c>
      <c r="P53" s="539">
        <v>16500000.024</v>
      </c>
      <c r="Q53" s="539"/>
      <c r="R53" s="539"/>
      <c r="S53" s="539"/>
    </row>
    <row r="54" spans="1:19">
      <c r="A54" s="528" t="s">
        <v>768</v>
      </c>
      <c r="B54" s="529" t="s">
        <v>770</v>
      </c>
      <c r="C54" s="540" t="s">
        <v>405</v>
      </c>
      <c r="D54" s="534"/>
      <c r="E54" s="540" t="s">
        <v>829</v>
      </c>
      <c r="F54" s="538"/>
      <c r="G54" s="537" t="s">
        <v>836</v>
      </c>
      <c r="H54" s="534" t="s">
        <v>820</v>
      </c>
      <c r="I54" s="329" t="s">
        <v>90</v>
      </c>
      <c r="J54" s="329" t="s">
        <v>91</v>
      </c>
      <c r="K54" s="458" t="s">
        <v>92</v>
      </c>
      <c r="L54" s="535">
        <v>20</v>
      </c>
      <c r="M54" s="539">
        <v>814814.81</v>
      </c>
      <c r="N54" s="539">
        <v>16296296.200000001</v>
      </c>
      <c r="O54" s="539">
        <v>1303703.6960000002</v>
      </c>
      <c r="P54" s="539">
        <v>17599999.896000002</v>
      </c>
      <c r="Q54" s="539"/>
      <c r="R54" s="539"/>
      <c r="S54" s="539"/>
    </row>
    <row r="55" spans="1:19">
      <c r="A55" s="528" t="s">
        <v>768</v>
      </c>
      <c r="B55" s="529" t="s">
        <v>770</v>
      </c>
      <c r="C55" s="540" t="s">
        <v>405</v>
      </c>
      <c r="D55" s="534"/>
      <c r="E55" s="540" t="s">
        <v>829</v>
      </c>
      <c r="F55" s="538"/>
      <c r="G55" s="537" t="s">
        <v>836</v>
      </c>
      <c r="H55" s="534" t="s">
        <v>820</v>
      </c>
      <c r="I55" s="329" t="s">
        <v>93</v>
      </c>
      <c r="J55" s="329" t="s">
        <v>94</v>
      </c>
      <c r="K55" s="458" t="s">
        <v>92</v>
      </c>
      <c r="L55" s="535">
        <v>2</v>
      </c>
      <c r="M55" s="539">
        <v>907407.41</v>
      </c>
      <c r="N55" s="539">
        <v>1814814.82</v>
      </c>
      <c r="O55" s="539">
        <v>145185.1856</v>
      </c>
      <c r="P55" s="539">
        <v>1960000.0056</v>
      </c>
      <c r="Q55" s="539"/>
      <c r="R55" s="539"/>
      <c r="S55" s="539"/>
    </row>
    <row r="56" spans="1:19">
      <c r="A56" s="528" t="s">
        <v>768</v>
      </c>
      <c r="B56" s="802" t="s">
        <v>770</v>
      </c>
      <c r="C56" s="530" t="s">
        <v>485</v>
      </c>
      <c r="D56" s="534"/>
      <c r="E56" s="530"/>
      <c r="F56" s="538"/>
      <c r="G56" s="879"/>
      <c r="H56" s="534" t="s">
        <v>760</v>
      </c>
      <c r="I56" s="839"/>
      <c r="J56" s="839"/>
      <c r="K56" s="458"/>
      <c r="L56" s="535"/>
      <c r="M56" s="539"/>
      <c r="N56" s="539"/>
      <c r="O56" s="539"/>
      <c r="P56" s="539"/>
      <c r="Q56" s="539"/>
      <c r="R56" s="539">
        <v>220000</v>
      </c>
      <c r="S56" s="539"/>
    </row>
    <row r="57" spans="1:19">
      <c r="A57" s="528" t="s">
        <v>768</v>
      </c>
      <c r="B57" s="529" t="s">
        <v>770</v>
      </c>
      <c r="C57" s="540">
        <v>46210</v>
      </c>
      <c r="D57" s="534"/>
      <c r="E57" s="540" t="s">
        <v>829</v>
      </c>
      <c r="F57" s="538"/>
      <c r="G57" s="537" t="s">
        <v>836</v>
      </c>
      <c r="H57" s="534" t="s">
        <v>820</v>
      </c>
      <c r="I57" s="329" t="s">
        <v>90</v>
      </c>
      <c r="J57" s="329" t="s">
        <v>91</v>
      </c>
      <c r="K57" s="458" t="s">
        <v>92</v>
      </c>
      <c r="L57" s="535">
        <v>30</v>
      </c>
      <c r="M57" s="539">
        <v>814814.81</v>
      </c>
      <c r="N57" s="539">
        <v>24444444.300000001</v>
      </c>
      <c r="O57" s="539">
        <v>1955555.544</v>
      </c>
      <c r="P57" s="539">
        <v>26399999.844000001</v>
      </c>
      <c r="Q57" s="539"/>
      <c r="R57" s="539"/>
      <c r="S57" s="539"/>
    </row>
    <row r="58" spans="1:19">
      <c r="A58" s="528" t="s">
        <v>768</v>
      </c>
      <c r="B58" s="529" t="s">
        <v>770</v>
      </c>
      <c r="C58" s="540">
        <v>46210</v>
      </c>
      <c r="D58" s="534"/>
      <c r="E58" s="540" t="s">
        <v>552</v>
      </c>
      <c r="F58" s="538"/>
      <c r="G58" s="537" t="s">
        <v>553</v>
      </c>
      <c r="H58" s="534" t="s">
        <v>820</v>
      </c>
      <c r="I58" s="392" t="s">
        <v>98</v>
      </c>
      <c r="J58" s="392" t="s">
        <v>251</v>
      </c>
      <c r="K58" s="467" t="s">
        <v>113</v>
      </c>
      <c r="L58" s="544">
        <v>2</v>
      </c>
      <c r="M58" s="539">
        <v>694444.44</v>
      </c>
      <c r="N58" s="539">
        <v>1388888.88</v>
      </c>
      <c r="O58" s="539">
        <v>111111.11039999999</v>
      </c>
      <c r="P58" s="539">
        <v>1499999.9903999998</v>
      </c>
      <c r="Q58" s="539"/>
      <c r="R58" s="539"/>
      <c r="S58" s="539"/>
    </row>
    <row r="59" spans="1:19">
      <c r="A59" s="528" t="s">
        <v>768</v>
      </c>
      <c r="B59" s="802" t="s">
        <v>770</v>
      </c>
      <c r="C59" s="530">
        <v>46241</v>
      </c>
      <c r="D59" s="534"/>
      <c r="E59" s="530"/>
      <c r="F59" s="538"/>
      <c r="G59" s="879"/>
      <c r="H59" s="534" t="s">
        <v>760</v>
      </c>
      <c r="I59" s="839"/>
      <c r="J59" s="839"/>
      <c r="K59" s="458"/>
      <c r="L59" s="535"/>
      <c r="M59" s="539"/>
      <c r="N59" s="539"/>
      <c r="O59" s="539"/>
      <c r="P59" s="539"/>
      <c r="Q59" s="539"/>
      <c r="R59" s="539">
        <v>425000</v>
      </c>
      <c r="S59" s="539"/>
    </row>
    <row r="60" spans="1:19">
      <c r="A60" s="528" t="s">
        <v>768</v>
      </c>
      <c r="B60" s="529" t="s">
        <v>770</v>
      </c>
      <c r="C60" s="545">
        <v>46248</v>
      </c>
      <c r="D60" s="534" t="s">
        <v>769</v>
      </c>
      <c r="E60" s="545"/>
      <c r="F60" s="538"/>
      <c r="G60" s="538"/>
      <c r="H60" s="534" t="s">
        <v>820</v>
      </c>
      <c r="I60" s="538" t="s">
        <v>103</v>
      </c>
      <c r="J60" s="538" t="s">
        <v>104</v>
      </c>
      <c r="K60" s="538" t="s">
        <v>18</v>
      </c>
      <c r="L60" s="451">
        <v>6</v>
      </c>
      <c r="M60" s="539">
        <v>675925.93</v>
      </c>
      <c r="N60" s="539">
        <v>4055555.58</v>
      </c>
      <c r="O60" s="539">
        <v>324444.44640000002</v>
      </c>
      <c r="P60" s="539">
        <v>4380000.0263999999</v>
      </c>
      <c r="Q60" s="539"/>
      <c r="R60" s="539"/>
      <c r="S60" s="539"/>
    </row>
    <row r="61" spans="1:19">
      <c r="A61" s="528" t="s">
        <v>768</v>
      </c>
      <c r="B61" s="529" t="s">
        <v>770</v>
      </c>
      <c r="C61" s="545">
        <v>46248</v>
      </c>
      <c r="D61" s="534" t="s">
        <v>769</v>
      </c>
      <c r="E61" s="545"/>
      <c r="F61" s="538"/>
      <c r="G61" s="538"/>
      <c r="H61" s="534" t="s">
        <v>820</v>
      </c>
      <c r="I61" s="538" t="s">
        <v>645</v>
      </c>
      <c r="J61" s="538" t="s">
        <v>646</v>
      </c>
      <c r="K61" s="538" t="s">
        <v>18</v>
      </c>
      <c r="L61" s="451">
        <v>15</v>
      </c>
      <c r="M61" s="539">
        <v>629629.63</v>
      </c>
      <c r="N61" s="539">
        <v>9444444.4499999993</v>
      </c>
      <c r="O61" s="539">
        <v>755555.55599999998</v>
      </c>
      <c r="P61" s="539">
        <v>10200000.005999999</v>
      </c>
      <c r="Q61" s="539"/>
      <c r="R61" s="539"/>
      <c r="S61" s="539"/>
    </row>
    <row r="62" spans="1:19">
      <c r="A62" s="528" t="s">
        <v>768</v>
      </c>
      <c r="B62" s="529" t="s">
        <v>770</v>
      </c>
      <c r="C62" s="545">
        <v>46248</v>
      </c>
      <c r="D62" s="534" t="s">
        <v>769</v>
      </c>
      <c r="E62" s="545"/>
      <c r="F62" s="538"/>
      <c r="G62" s="538"/>
      <c r="H62" s="534" t="s">
        <v>820</v>
      </c>
      <c r="I62" s="538" t="s">
        <v>651</v>
      </c>
      <c r="J62" s="538" t="s">
        <v>652</v>
      </c>
      <c r="K62" s="538" t="s">
        <v>18</v>
      </c>
      <c r="L62" s="451">
        <v>15</v>
      </c>
      <c r="M62" s="539">
        <v>694444.44</v>
      </c>
      <c r="N62" s="539">
        <v>10416666.6</v>
      </c>
      <c r="O62" s="539">
        <v>833333.32799999998</v>
      </c>
      <c r="P62" s="539">
        <v>11249999.927999999</v>
      </c>
      <c r="Q62" s="539"/>
      <c r="R62" s="539"/>
      <c r="S62" s="539"/>
    </row>
    <row r="63" spans="1:19">
      <c r="A63" s="528" t="s">
        <v>768</v>
      </c>
      <c r="B63" s="529" t="s">
        <v>770</v>
      </c>
      <c r="C63" s="545">
        <v>46248</v>
      </c>
      <c r="D63" s="534" t="s">
        <v>769</v>
      </c>
      <c r="E63" s="545"/>
      <c r="F63" s="538"/>
      <c r="G63" s="538"/>
      <c r="H63" s="534" t="s">
        <v>820</v>
      </c>
      <c r="I63" s="538" t="s">
        <v>655</v>
      </c>
      <c r="J63" s="538" t="s">
        <v>656</v>
      </c>
      <c r="K63" s="538" t="s">
        <v>18</v>
      </c>
      <c r="L63" s="451">
        <v>15</v>
      </c>
      <c r="M63" s="539">
        <v>574074.06999999995</v>
      </c>
      <c r="N63" s="539">
        <v>8611111.0499999989</v>
      </c>
      <c r="O63" s="539">
        <v>688888.88399999996</v>
      </c>
      <c r="P63" s="539">
        <v>9299999.9339999985</v>
      </c>
      <c r="Q63" s="539"/>
      <c r="R63" s="539"/>
      <c r="S63" s="539"/>
    </row>
    <row r="64" spans="1:19">
      <c r="A64" s="528" t="s">
        <v>768</v>
      </c>
      <c r="B64" s="529" t="s">
        <v>770</v>
      </c>
      <c r="C64" s="545">
        <v>46248</v>
      </c>
      <c r="D64" s="534" t="s">
        <v>769</v>
      </c>
      <c r="E64" s="545"/>
      <c r="F64" s="538"/>
      <c r="G64" s="538"/>
      <c r="H64" s="534" t="s">
        <v>820</v>
      </c>
      <c r="I64" s="538" t="s">
        <v>62</v>
      </c>
      <c r="J64" s="538" t="s">
        <v>63</v>
      </c>
      <c r="K64" s="538" t="s">
        <v>18</v>
      </c>
      <c r="L64" s="451">
        <v>10</v>
      </c>
      <c r="M64" s="539">
        <v>111111.11</v>
      </c>
      <c r="N64" s="539">
        <v>1111111.1000000001</v>
      </c>
      <c r="O64" s="539">
        <v>88888.888000000006</v>
      </c>
      <c r="P64" s="539">
        <v>1199999.9880000001</v>
      </c>
      <c r="Q64" s="539"/>
      <c r="R64" s="539"/>
      <c r="S64" s="539"/>
    </row>
    <row r="65" spans="1:19">
      <c r="A65" s="528" t="s">
        <v>768</v>
      </c>
      <c r="B65" s="529" t="s">
        <v>770</v>
      </c>
      <c r="C65" s="545">
        <v>46248</v>
      </c>
      <c r="D65" s="534" t="s">
        <v>769</v>
      </c>
      <c r="E65" s="545"/>
      <c r="F65" s="538"/>
      <c r="G65" s="538"/>
      <c r="H65" s="547" t="s">
        <v>920</v>
      </c>
      <c r="I65" s="538" t="s">
        <v>62</v>
      </c>
      <c r="J65" s="538" t="s">
        <v>63</v>
      </c>
      <c r="K65" s="538" t="s">
        <v>18</v>
      </c>
      <c r="L65" s="451">
        <v>6</v>
      </c>
      <c r="M65" s="539">
        <v>0</v>
      </c>
      <c r="N65" s="539">
        <v>0</v>
      </c>
      <c r="O65" s="539">
        <v>0</v>
      </c>
      <c r="P65" s="539">
        <v>0</v>
      </c>
      <c r="Q65" s="539"/>
      <c r="R65" s="539"/>
      <c r="S65" s="539"/>
    </row>
    <row r="66" spans="1:19">
      <c r="A66" s="528" t="s">
        <v>768</v>
      </c>
      <c r="B66" s="529" t="s">
        <v>770</v>
      </c>
      <c r="C66" s="545">
        <v>46253</v>
      </c>
      <c r="D66" s="548"/>
      <c r="E66" s="548"/>
      <c r="F66" s="548"/>
      <c r="G66" s="548"/>
      <c r="H66" s="534" t="s">
        <v>760</v>
      </c>
      <c r="I66" s="548"/>
      <c r="J66" s="548"/>
      <c r="K66" s="548"/>
      <c r="L66" s="548"/>
      <c r="M66" s="546"/>
      <c r="N66" s="546"/>
      <c r="O66" s="546"/>
      <c r="P66" s="546"/>
      <c r="Q66" s="548"/>
      <c r="R66" s="539">
        <v>580000</v>
      </c>
      <c r="S66" s="548"/>
    </row>
    <row r="67" spans="1:19">
      <c r="A67" s="528" t="s">
        <v>768</v>
      </c>
      <c r="B67" s="529" t="s">
        <v>770</v>
      </c>
      <c r="C67" s="545"/>
      <c r="D67" s="548"/>
      <c r="E67" s="548"/>
      <c r="F67" s="548"/>
      <c r="G67" s="548"/>
      <c r="H67" s="534"/>
      <c r="I67" s="548"/>
      <c r="J67" s="548"/>
      <c r="K67" s="548"/>
      <c r="L67" s="548"/>
      <c r="M67" s="546"/>
      <c r="N67" s="546"/>
      <c r="O67" s="546"/>
      <c r="P67" s="546"/>
      <c r="Q67" s="548"/>
      <c r="R67" s="539"/>
      <c r="S67" s="548"/>
    </row>
    <row r="68" spans="1:19">
      <c r="A68" s="528" t="s">
        <v>768</v>
      </c>
      <c r="B68" s="529" t="s">
        <v>770</v>
      </c>
      <c r="C68" s="545">
        <v>46262</v>
      </c>
      <c r="D68" s="548" t="s">
        <v>989</v>
      </c>
      <c r="E68" s="548"/>
      <c r="F68" s="548"/>
      <c r="G68" s="548"/>
      <c r="H68" s="534" t="s">
        <v>820</v>
      </c>
      <c r="I68" s="548" t="s">
        <v>103</v>
      </c>
      <c r="J68" s="548" t="s">
        <v>104</v>
      </c>
      <c r="K68" s="548" t="s">
        <v>18</v>
      </c>
      <c r="L68" s="548">
        <v>30</v>
      </c>
      <c r="M68" s="546">
        <v>675925.93</v>
      </c>
      <c r="N68" s="546">
        <v>20277777.900000002</v>
      </c>
      <c r="O68" s="546">
        <v>1622222.2320000003</v>
      </c>
      <c r="P68" s="546">
        <v>21900000.132000003</v>
      </c>
      <c r="Q68" s="548"/>
      <c r="R68" s="539"/>
      <c r="S68" s="548"/>
    </row>
    <row r="69" spans="1:19">
      <c r="A69" s="528" t="s">
        <v>768</v>
      </c>
      <c r="B69" s="529" t="s">
        <v>770</v>
      </c>
      <c r="C69" s="545">
        <v>46262</v>
      </c>
      <c r="D69" s="548" t="s">
        <v>989</v>
      </c>
      <c r="E69" s="548"/>
      <c r="F69" s="548"/>
      <c r="G69" s="548"/>
      <c r="H69" s="534" t="s">
        <v>820</v>
      </c>
      <c r="I69" s="548" t="s">
        <v>643</v>
      </c>
      <c r="J69" s="548" t="s">
        <v>644</v>
      </c>
      <c r="K69" s="548" t="s">
        <v>18</v>
      </c>
      <c r="L69" s="548">
        <v>15</v>
      </c>
      <c r="M69" s="546">
        <v>527777.78</v>
      </c>
      <c r="N69" s="546">
        <v>7916666.7000000002</v>
      </c>
      <c r="O69" s="546">
        <v>633333.33600000001</v>
      </c>
      <c r="P69" s="546">
        <v>8550000.0360000003</v>
      </c>
      <c r="Q69" s="548"/>
      <c r="R69" s="539"/>
      <c r="S69" s="548"/>
    </row>
    <row r="70" spans="1:19">
      <c r="A70" s="528" t="s">
        <v>768</v>
      </c>
      <c r="B70" s="529" t="s">
        <v>770</v>
      </c>
      <c r="C70" s="545">
        <v>46262</v>
      </c>
      <c r="D70" s="548" t="s">
        <v>989</v>
      </c>
      <c r="E70" s="548"/>
      <c r="F70" s="548"/>
      <c r="G70" s="548"/>
      <c r="H70" s="534" t="s">
        <v>820</v>
      </c>
      <c r="I70" s="548" t="s">
        <v>653</v>
      </c>
      <c r="J70" s="548" t="s">
        <v>654</v>
      </c>
      <c r="K70" s="548" t="s">
        <v>18</v>
      </c>
      <c r="L70" s="548">
        <v>15</v>
      </c>
      <c r="M70" s="546">
        <v>481481.48</v>
      </c>
      <c r="N70" s="546">
        <v>7222222.1999999993</v>
      </c>
      <c r="O70" s="546">
        <v>577777.77599999995</v>
      </c>
      <c r="P70" s="546">
        <v>7799999.9759999989</v>
      </c>
      <c r="Q70" s="548"/>
      <c r="R70" s="539"/>
      <c r="S70" s="548"/>
    </row>
    <row r="71" spans="1:19">
      <c r="A71" s="528" t="s">
        <v>768</v>
      </c>
      <c r="B71" s="529" t="s">
        <v>770</v>
      </c>
      <c r="C71" s="545">
        <v>46262</v>
      </c>
      <c r="D71" s="548" t="s">
        <v>989</v>
      </c>
      <c r="E71" s="548"/>
      <c r="F71" s="548"/>
      <c r="G71" s="548"/>
      <c r="H71" s="534" t="s">
        <v>820</v>
      </c>
      <c r="I71" s="548" t="s">
        <v>959</v>
      </c>
      <c r="J71" s="548" t="s">
        <v>960</v>
      </c>
      <c r="K71" s="548" t="s">
        <v>18</v>
      </c>
      <c r="L71" s="548">
        <v>20</v>
      </c>
      <c r="M71" s="546">
        <v>111111.11</v>
      </c>
      <c r="N71" s="546">
        <v>2222222.2000000002</v>
      </c>
      <c r="O71" s="546">
        <v>177777.77600000001</v>
      </c>
      <c r="P71" s="546">
        <v>2399999.9760000003</v>
      </c>
      <c r="Q71" s="548"/>
      <c r="R71" s="539"/>
      <c r="S71" s="548"/>
    </row>
    <row r="72" spans="1:19">
      <c r="A72" s="528" t="s">
        <v>768</v>
      </c>
      <c r="B72" s="529" t="s">
        <v>770</v>
      </c>
      <c r="C72" s="545">
        <v>46262</v>
      </c>
      <c r="D72" s="548" t="s">
        <v>989</v>
      </c>
      <c r="E72" s="548"/>
      <c r="F72" s="548"/>
      <c r="G72" s="548"/>
      <c r="H72" s="534" t="s">
        <v>820</v>
      </c>
      <c r="I72" s="548" t="s">
        <v>643</v>
      </c>
      <c r="J72" s="548" t="s">
        <v>644</v>
      </c>
      <c r="K72" s="548" t="s">
        <v>18</v>
      </c>
      <c r="L72" s="548">
        <v>1</v>
      </c>
      <c r="M72" s="546">
        <v>0</v>
      </c>
      <c r="N72" s="546">
        <v>0</v>
      </c>
      <c r="O72" s="546">
        <v>0</v>
      </c>
      <c r="P72" s="546">
        <v>0</v>
      </c>
      <c r="Q72" s="548"/>
      <c r="R72" s="539"/>
      <c r="S72" s="548"/>
    </row>
    <row r="73" spans="1:19">
      <c r="A73" s="528" t="s">
        <v>768</v>
      </c>
      <c r="B73" s="529" t="s">
        <v>770</v>
      </c>
      <c r="C73" s="545">
        <v>46262</v>
      </c>
      <c r="D73" s="548" t="s">
        <v>989</v>
      </c>
      <c r="E73" s="548"/>
      <c r="F73" s="548"/>
      <c r="G73" s="548"/>
      <c r="H73" s="534" t="s">
        <v>820</v>
      </c>
      <c r="I73" s="548" t="s">
        <v>653</v>
      </c>
      <c r="J73" s="548" t="s">
        <v>654</v>
      </c>
      <c r="K73" s="548" t="s">
        <v>18</v>
      </c>
      <c r="L73" s="548">
        <v>1</v>
      </c>
      <c r="M73" s="546">
        <v>0</v>
      </c>
      <c r="N73" s="546">
        <v>0</v>
      </c>
      <c r="O73" s="546">
        <v>0</v>
      </c>
      <c r="P73" s="546">
        <v>0</v>
      </c>
      <c r="Q73" s="548"/>
      <c r="R73" s="539"/>
      <c r="S73" s="548"/>
    </row>
    <row r="74" spans="1:19">
      <c r="A74" s="528" t="s">
        <v>768</v>
      </c>
      <c r="B74" s="529" t="s">
        <v>770</v>
      </c>
      <c r="C74" s="545">
        <v>46262</v>
      </c>
      <c r="D74" s="548" t="s">
        <v>989</v>
      </c>
      <c r="E74" s="548"/>
      <c r="F74" s="548"/>
      <c r="G74" s="548"/>
      <c r="H74" s="534" t="s">
        <v>820</v>
      </c>
      <c r="I74" s="548" t="s">
        <v>959</v>
      </c>
      <c r="J74" s="548" t="s">
        <v>960</v>
      </c>
      <c r="K74" s="548" t="s">
        <v>18</v>
      </c>
      <c r="L74" s="548">
        <v>30</v>
      </c>
      <c r="M74" s="546">
        <v>0</v>
      </c>
      <c r="N74" s="546">
        <v>0</v>
      </c>
      <c r="O74" s="546">
        <v>0</v>
      </c>
      <c r="P74" s="546">
        <v>0</v>
      </c>
      <c r="Q74" s="548"/>
      <c r="R74" s="539"/>
      <c r="S74" s="548"/>
    </row>
    <row r="75" spans="1:19" ht="15">
      <c r="A75" s="528" t="s">
        <v>768</v>
      </c>
      <c r="B75" s="529" t="s">
        <v>770</v>
      </c>
      <c r="C75" s="545">
        <v>46263</v>
      </c>
      <c r="D75" s="548"/>
      <c r="E75" s="548"/>
      <c r="F75" s="548"/>
      <c r="G75" s="548"/>
      <c r="H75" s="534" t="s">
        <v>1234</v>
      </c>
      <c r="I75" s="548"/>
      <c r="J75" s="548"/>
      <c r="K75" s="548"/>
      <c r="L75" s="548"/>
      <c r="M75" s="546"/>
      <c r="N75" s="546"/>
      <c r="O75" s="546">
        <v>0</v>
      </c>
      <c r="P75" s="546">
        <v>0</v>
      </c>
      <c r="Q75" s="548"/>
      <c r="R75" s="539">
        <v>600000</v>
      </c>
      <c r="S75" s="548"/>
    </row>
    <row r="76" spans="1:19" ht="13.5">
      <c r="A76" s="528" t="s">
        <v>768</v>
      </c>
      <c r="B76" s="529" t="s">
        <v>770</v>
      </c>
      <c r="C76" s="545">
        <v>46263</v>
      </c>
      <c r="D76" s="548"/>
      <c r="E76" s="548"/>
      <c r="F76" s="548"/>
      <c r="G76" s="548"/>
      <c r="H76" s="534" t="s">
        <v>672</v>
      </c>
      <c r="I76" s="548"/>
      <c r="J76" s="548"/>
      <c r="K76" s="548"/>
      <c r="L76" s="548"/>
      <c r="M76" s="546"/>
      <c r="N76" s="546"/>
      <c r="O76" s="546">
        <v>0</v>
      </c>
      <c r="P76" s="546">
        <v>0</v>
      </c>
      <c r="Q76" s="548">
        <v>50000000</v>
      </c>
      <c r="R76" s="539"/>
      <c r="S76" s="548"/>
    </row>
    <row r="77" spans="1:19">
      <c r="A77" s="528" t="s">
        <v>768</v>
      </c>
      <c r="B77" s="529" t="s">
        <v>770</v>
      </c>
      <c r="C77" s="545">
        <v>46293</v>
      </c>
      <c r="D77" s="548" t="s">
        <v>1296</v>
      </c>
      <c r="E77" s="548"/>
      <c r="F77" s="548"/>
      <c r="G77" s="548"/>
      <c r="H77" s="534"/>
      <c r="I77" s="548"/>
      <c r="J77" s="548"/>
      <c r="K77" s="548"/>
      <c r="L77" s="548"/>
      <c r="M77" s="546"/>
      <c r="N77" s="546"/>
      <c r="O77" s="546">
        <v>0</v>
      </c>
      <c r="P77" s="546">
        <v>0</v>
      </c>
      <c r="Q77" s="548"/>
      <c r="R77" s="539"/>
      <c r="S77" s="548"/>
    </row>
    <row r="78" spans="1:19">
      <c r="A78" s="528" t="s">
        <v>768</v>
      </c>
      <c r="B78" s="529" t="s">
        <v>770</v>
      </c>
      <c r="C78" s="545">
        <v>46293</v>
      </c>
      <c r="D78" s="548" t="s">
        <v>1296</v>
      </c>
      <c r="E78" s="548"/>
      <c r="F78" s="548"/>
      <c r="G78" s="548"/>
      <c r="H78" s="534" t="s">
        <v>820</v>
      </c>
      <c r="I78" s="548" t="s">
        <v>103</v>
      </c>
      <c r="J78" s="548" t="s">
        <v>104</v>
      </c>
      <c r="K78" s="548" t="s">
        <v>18</v>
      </c>
      <c r="L78" s="548">
        <v>12</v>
      </c>
      <c r="M78" s="546">
        <v>675925.93</v>
      </c>
      <c r="N78" s="546">
        <v>8111111.1600000001</v>
      </c>
      <c r="O78" s="546">
        <v>648888.89280000003</v>
      </c>
      <c r="P78" s="546">
        <v>8760000.0527999997</v>
      </c>
      <c r="Q78" s="548"/>
      <c r="R78" s="539"/>
      <c r="S78" s="548"/>
    </row>
    <row r="79" spans="1:19">
      <c r="A79" s="528" t="s">
        <v>768</v>
      </c>
      <c r="B79" s="529" t="s">
        <v>770</v>
      </c>
      <c r="C79" s="545">
        <v>46293</v>
      </c>
      <c r="D79" s="548" t="s">
        <v>1296</v>
      </c>
      <c r="E79" s="548"/>
      <c r="F79" s="548"/>
      <c r="G79" s="548"/>
      <c r="H79" s="534" t="s">
        <v>820</v>
      </c>
      <c r="I79" s="548" t="s">
        <v>655</v>
      </c>
      <c r="J79" s="548" t="s">
        <v>656</v>
      </c>
      <c r="K79" s="548" t="s">
        <v>18</v>
      </c>
      <c r="L79" s="548">
        <v>15</v>
      </c>
      <c r="M79" s="546">
        <v>574074.06999999995</v>
      </c>
      <c r="N79" s="546">
        <v>8611111.0499999989</v>
      </c>
      <c r="O79" s="546">
        <v>688888.88399999996</v>
      </c>
      <c r="P79" s="546">
        <v>9299999.9339999985</v>
      </c>
      <c r="Q79" s="548"/>
      <c r="R79" s="539"/>
      <c r="S79" s="548"/>
    </row>
    <row r="80" spans="1:19">
      <c r="A80" s="528" t="s">
        <v>768</v>
      </c>
      <c r="B80" s="529" t="s">
        <v>770</v>
      </c>
      <c r="C80" s="545">
        <v>46293</v>
      </c>
      <c r="D80" s="548" t="s">
        <v>1296</v>
      </c>
      <c r="E80" s="548"/>
      <c r="F80" s="548"/>
      <c r="G80" s="548"/>
      <c r="H80" s="534" t="s">
        <v>820</v>
      </c>
      <c r="I80" s="548" t="s">
        <v>90</v>
      </c>
      <c r="J80" s="548" t="s">
        <v>91</v>
      </c>
      <c r="K80" s="548" t="s">
        <v>18</v>
      </c>
      <c r="L80" s="548">
        <v>15</v>
      </c>
      <c r="M80" s="546">
        <v>814814.81</v>
      </c>
      <c r="N80" s="546">
        <v>12222222.15</v>
      </c>
      <c r="O80" s="546">
        <v>977777.772</v>
      </c>
      <c r="P80" s="546">
        <v>13199999.922</v>
      </c>
      <c r="Q80" s="548"/>
      <c r="R80" s="539"/>
      <c r="S80" s="548"/>
    </row>
    <row r="81" spans="1:19">
      <c r="A81" s="528" t="s">
        <v>768</v>
      </c>
      <c r="B81" s="529" t="s">
        <v>770</v>
      </c>
      <c r="C81" s="545">
        <v>46293</v>
      </c>
      <c r="D81" s="548" t="s">
        <v>1296</v>
      </c>
      <c r="E81" s="548"/>
      <c r="F81" s="548"/>
      <c r="G81" s="548"/>
      <c r="H81" s="534" t="s">
        <v>820</v>
      </c>
      <c r="I81" s="548" t="s">
        <v>219</v>
      </c>
      <c r="J81" s="548" t="s">
        <v>220</v>
      </c>
      <c r="K81" s="548" t="s">
        <v>18</v>
      </c>
      <c r="L81" s="548">
        <v>20</v>
      </c>
      <c r="M81" s="546">
        <v>263888.89</v>
      </c>
      <c r="N81" s="546">
        <v>5277777.8000000007</v>
      </c>
      <c r="O81" s="546">
        <v>422222.22400000005</v>
      </c>
      <c r="P81" s="546">
        <v>5700000.0240000011</v>
      </c>
      <c r="Q81" s="548"/>
      <c r="R81" s="539"/>
      <c r="S81" s="548"/>
    </row>
    <row r="82" spans="1:19" ht="14.25">
      <c r="A82" s="528" t="s">
        <v>768</v>
      </c>
      <c r="B82" s="529" t="s">
        <v>770</v>
      </c>
      <c r="C82" s="545">
        <v>46293</v>
      </c>
      <c r="D82" s="548" t="s">
        <v>1296</v>
      </c>
      <c r="E82" s="548"/>
      <c r="F82" s="548"/>
      <c r="G82" s="548"/>
      <c r="H82" s="534" t="s">
        <v>691</v>
      </c>
      <c r="I82" s="548" t="s">
        <v>655</v>
      </c>
      <c r="J82" s="548" t="s">
        <v>656</v>
      </c>
      <c r="K82" s="548" t="s">
        <v>18</v>
      </c>
      <c r="L82" s="548">
        <v>1</v>
      </c>
      <c r="M82" s="546">
        <v>0</v>
      </c>
      <c r="N82" s="546">
        <v>0</v>
      </c>
      <c r="O82" s="546">
        <v>0</v>
      </c>
      <c r="P82" s="546">
        <v>0</v>
      </c>
      <c r="Q82" s="548"/>
      <c r="R82" s="539"/>
      <c r="S82" s="548"/>
    </row>
    <row r="83" spans="1:19">
      <c r="A83" s="528" t="s">
        <v>768</v>
      </c>
      <c r="B83" s="529" t="s">
        <v>770</v>
      </c>
      <c r="C83" s="545">
        <v>46293</v>
      </c>
      <c r="D83" s="548" t="s">
        <v>1296</v>
      </c>
      <c r="E83" s="548"/>
      <c r="F83" s="548"/>
      <c r="G83" s="548"/>
      <c r="H83" s="534" t="s">
        <v>862</v>
      </c>
      <c r="I83" s="548" t="s">
        <v>959</v>
      </c>
      <c r="J83" s="548" t="s">
        <v>960</v>
      </c>
      <c r="K83" s="548" t="s">
        <v>18</v>
      </c>
      <c r="L83" s="548">
        <v>12</v>
      </c>
      <c r="M83" s="546">
        <v>0</v>
      </c>
      <c r="N83" s="546">
        <v>0</v>
      </c>
      <c r="O83" s="546">
        <v>0</v>
      </c>
      <c r="P83" s="546">
        <v>0</v>
      </c>
      <c r="Q83" s="548"/>
      <c r="R83" s="539"/>
      <c r="S83" s="548"/>
    </row>
    <row r="84" spans="1:19">
      <c r="A84" s="528" t="s">
        <v>768</v>
      </c>
      <c r="B84" s="529" t="s">
        <v>770</v>
      </c>
      <c r="C84" s="545">
        <v>46293</v>
      </c>
      <c r="D84" s="548" t="s">
        <v>1296</v>
      </c>
      <c r="E84" s="548"/>
      <c r="F84" s="548"/>
      <c r="G84" s="548"/>
      <c r="H84" s="534" t="s">
        <v>1282</v>
      </c>
      <c r="I84" s="548" t="s">
        <v>219</v>
      </c>
      <c r="J84" s="548" t="s">
        <v>220</v>
      </c>
      <c r="K84" s="548" t="s">
        <v>18</v>
      </c>
      <c r="L84" s="548">
        <v>2</v>
      </c>
      <c r="M84" s="546">
        <v>0</v>
      </c>
      <c r="N84" s="546">
        <v>0</v>
      </c>
      <c r="O84" s="546">
        <v>0</v>
      </c>
      <c r="P84" s="546">
        <v>0</v>
      </c>
      <c r="Q84" s="548"/>
      <c r="R84" s="539"/>
      <c r="S84" s="548"/>
    </row>
    <row r="85" spans="1:19" ht="15">
      <c r="A85" s="528" t="s">
        <v>768</v>
      </c>
      <c r="B85" s="529" t="s">
        <v>770</v>
      </c>
      <c r="C85" s="545">
        <v>46294</v>
      </c>
      <c r="D85" s="548"/>
      <c r="E85" s="548"/>
      <c r="F85" s="548"/>
      <c r="G85" s="548"/>
      <c r="H85" s="534" t="s">
        <v>1234</v>
      </c>
      <c r="I85" s="548"/>
      <c r="J85" s="548"/>
      <c r="K85" s="548"/>
      <c r="L85" s="548"/>
      <c r="M85" s="546"/>
      <c r="N85" s="546"/>
      <c r="O85" s="546"/>
      <c r="P85" s="546"/>
      <c r="Q85" s="548"/>
      <c r="R85" s="539">
        <v>550000</v>
      </c>
      <c r="S85" s="548"/>
    </row>
    <row r="86" spans="1:19">
      <c r="A86" s="548"/>
      <c r="B86" s="548"/>
      <c r="C86" s="548"/>
      <c r="D86" s="548"/>
      <c r="E86" s="548"/>
      <c r="F86" s="548"/>
      <c r="G86" s="548"/>
      <c r="H86" s="548"/>
      <c r="I86" s="548"/>
      <c r="J86" s="548"/>
      <c r="K86" s="548"/>
      <c r="L86" s="548"/>
      <c r="M86" s="548"/>
      <c r="N86" s="551">
        <f>SUM(N3:N85)</f>
        <v>318029633.42999995</v>
      </c>
      <c r="O86" s="551">
        <f>SUM(O3:O85)</f>
        <v>25442370.674400002</v>
      </c>
      <c r="P86" s="551">
        <f>N86+O86</f>
        <v>343472004.10439992</v>
      </c>
      <c r="Q86" s="551">
        <f>SUM(Q3:Q85)</f>
        <v>195954885</v>
      </c>
      <c r="R86" s="551">
        <f>SUM(R3:R85)</f>
        <v>3632119.784</v>
      </c>
      <c r="S86" s="548"/>
    </row>
    <row r="87" spans="1:19" ht="13.5" thickBot="1">
      <c r="N87" s="549"/>
      <c r="O87" s="549"/>
      <c r="P87" s="549"/>
      <c r="Q87" s="549"/>
      <c r="R87" s="549"/>
    </row>
    <row r="88" spans="1:19" ht="15">
      <c r="J88" s="477" t="s">
        <v>894</v>
      </c>
      <c r="K88" s="491">
        <f>P86</f>
        <v>343472004.10439992</v>
      </c>
      <c r="L88" s="452"/>
      <c r="M88" s="993" t="s">
        <v>900</v>
      </c>
      <c r="N88" s="994"/>
      <c r="O88" s="994"/>
      <c r="P88" s="994"/>
      <c r="Q88" s="994"/>
    </row>
    <row r="89" spans="1:19" ht="15">
      <c r="J89" s="478" t="s">
        <v>895</v>
      </c>
      <c r="K89" s="492">
        <f>Q86</f>
        <v>195954885</v>
      </c>
      <c r="L89" s="452"/>
      <c r="M89" s="994"/>
      <c r="N89" s="994"/>
      <c r="O89" s="994"/>
      <c r="P89" s="994"/>
      <c r="Q89" s="994"/>
    </row>
    <row r="90" spans="1:19" ht="15">
      <c r="J90" s="478" t="s">
        <v>896</v>
      </c>
      <c r="K90" s="492">
        <f>R86</f>
        <v>3632119.784</v>
      </c>
      <c r="L90" s="452"/>
      <c r="M90" s="994"/>
      <c r="N90" s="994"/>
      <c r="O90" s="994"/>
      <c r="P90" s="994"/>
      <c r="Q90" s="994"/>
    </row>
    <row r="91" spans="1:19" ht="15">
      <c r="J91" s="478" t="s">
        <v>901</v>
      </c>
      <c r="K91" s="492">
        <f>P53+P58</f>
        <v>18000000.014400002</v>
      </c>
      <c r="L91" s="452"/>
      <c r="M91" s="994"/>
      <c r="N91" s="994"/>
      <c r="O91" s="994"/>
      <c r="P91" s="994"/>
      <c r="Q91" s="994"/>
    </row>
    <row r="92" spans="1:19" ht="15">
      <c r="J92" s="478" t="s">
        <v>898</v>
      </c>
      <c r="K92" s="492">
        <f>K88-K89-K90</f>
        <v>143884999.32039991</v>
      </c>
      <c r="L92" s="452"/>
      <c r="M92" s="994"/>
      <c r="N92" s="994"/>
      <c r="O92" s="994"/>
      <c r="P92" s="994"/>
      <c r="Q92" s="994"/>
    </row>
    <row r="93" spans="1:19" ht="15.75" thickBot="1">
      <c r="J93" s="480" t="s">
        <v>902</v>
      </c>
      <c r="K93" s="493">
        <f>K92-K91</f>
        <v>125884999.3059999</v>
      </c>
      <c r="L93" s="452"/>
      <c r="M93" s="994"/>
      <c r="N93" s="994"/>
      <c r="O93" s="994"/>
      <c r="P93" s="994"/>
      <c r="Q93" s="994"/>
    </row>
    <row r="94" spans="1:19">
      <c r="J94" s="452"/>
      <c r="K94" s="452"/>
      <c r="L94" s="452"/>
      <c r="M94" s="994"/>
      <c r="N94" s="994"/>
      <c r="O94" s="994"/>
      <c r="P94" s="994"/>
      <c r="Q94" s="994"/>
    </row>
    <row r="95" spans="1:19">
      <c r="J95" s="452"/>
      <c r="K95" s="452"/>
      <c r="L95" s="452"/>
      <c r="M95" s="994"/>
      <c r="N95" s="994"/>
      <c r="O95" s="994"/>
      <c r="P95" s="994"/>
      <c r="Q95" s="994"/>
    </row>
    <row r="96" spans="1:19">
      <c r="J96" s="452"/>
      <c r="K96" s="452"/>
      <c r="L96" s="452"/>
      <c r="M96" s="994"/>
      <c r="N96" s="994"/>
      <c r="O96" s="994"/>
      <c r="P96" s="994"/>
      <c r="Q96" s="994"/>
    </row>
    <row r="97" spans="10:17">
      <c r="J97" s="452"/>
      <c r="K97" s="452"/>
      <c r="L97" s="452"/>
      <c r="M97" s="994"/>
      <c r="N97" s="994"/>
      <c r="O97" s="994"/>
      <c r="P97" s="994"/>
      <c r="Q97" s="994"/>
    </row>
    <row r="98" spans="10:17">
      <c r="J98" s="452"/>
      <c r="K98" s="452"/>
      <c r="L98" s="452"/>
      <c r="M98" s="994"/>
      <c r="N98" s="994"/>
      <c r="O98" s="994"/>
      <c r="P98" s="994"/>
      <c r="Q98" s="994"/>
    </row>
    <row r="99" spans="10:17">
      <c r="J99" s="452"/>
      <c r="K99" s="452"/>
      <c r="L99" s="452"/>
      <c r="M99" s="994"/>
      <c r="N99" s="994"/>
      <c r="O99" s="994"/>
      <c r="P99" s="994"/>
      <c r="Q99" s="994"/>
    </row>
  </sheetData>
  <autoFilter ref="A2:S2" xr:uid="{D99AEF54-E878-42A6-BB73-B80E6E5A6A5F}"/>
  <mergeCells count="1">
    <mergeCell ref="M88:Q99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E642-EA1C-41F5-A6EB-D6C5E112CF04}">
  <sheetPr>
    <tabColor rgb="FF00B050"/>
  </sheetPr>
  <dimension ref="A1:S195"/>
  <sheetViews>
    <sheetView workbookViewId="0">
      <pane ySplit="1" topLeftCell="A138" activePane="bottomLeft" state="frozen"/>
      <selection activeCell="H118" sqref="H118:O128"/>
      <selection pane="bottomLeft" activeCell="P138" sqref="P138:P152"/>
    </sheetView>
  </sheetViews>
  <sheetFormatPr defaultRowHeight="15"/>
  <cols>
    <col min="2" max="2" width="48.28515625" customWidth="1"/>
    <col min="3" max="3" width="12.85546875" bestFit="1" customWidth="1"/>
    <col min="4" max="4" width="15.42578125" bestFit="1" customWidth="1"/>
    <col min="5" max="5" width="11.5703125" bestFit="1" customWidth="1"/>
    <col min="7" max="7" width="13.28515625" bestFit="1" customWidth="1"/>
    <col min="8" max="8" width="58.85546875" customWidth="1"/>
    <col min="9" max="9" width="15" bestFit="1" customWidth="1"/>
    <col min="10" max="10" width="60.5703125" bestFit="1" customWidth="1"/>
    <col min="13" max="13" width="13.7109375" bestFit="1" customWidth="1"/>
    <col min="14" max="14" width="14.5703125" bestFit="1" customWidth="1"/>
    <col min="15" max="15" width="13.42578125" bestFit="1" customWidth="1"/>
    <col min="16" max="16" width="14.5703125" bestFit="1" customWidth="1"/>
    <col min="17" max="17" width="13.85546875" bestFit="1" customWidth="1"/>
  </cols>
  <sheetData>
    <row r="1" spans="1:19" ht="80.25">
      <c r="A1" s="433" t="s">
        <v>666</v>
      </c>
      <c r="B1" s="431" t="s">
        <v>866</v>
      </c>
      <c r="C1" s="431" t="s">
        <v>624</v>
      </c>
      <c r="D1" s="432" t="s">
        <v>636</v>
      </c>
      <c r="E1" s="431" t="s">
        <v>635</v>
      </c>
      <c r="F1" s="433" t="s">
        <v>637</v>
      </c>
      <c r="G1" s="433" t="s">
        <v>634</v>
      </c>
      <c r="H1" s="568" t="s">
        <v>625</v>
      </c>
      <c r="I1" s="433" t="s">
        <v>626</v>
      </c>
      <c r="J1" s="433" t="s">
        <v>627</v>
      </c>
      <c r="K1" s="321" t="s">
        <v>628</v>
      </c>
      <c r="L1" s="435" t="s">
        <v>629</v>
      </c>
      <c r="M1" s="436" t="s">
        <v>630</v>
      </c>
      <c r="N1" s="436" t="s">
        <v>631</v>
      </c>
      <c r="O1" s="436" t="s">
        <v>632</v>
      </c>
      <c r="P1" s="436" t="s">
        <v>633</v>
      </c>
      <c r="Q1" s="436" t="s">
        <v>1250</v>
      </c>
      <c r="R1" s="437" t="s">
        <v>622</v>
      </c>
      <c r="S1" s="437" t="s">
        <v>623</v>
      </c>
    </row>
    <row r="2" spans="1:19">
      <c r="A2" s="586" t="s">
        <v>934</v>
      </c>
      <c r="B2" s="307" t="s">
        <v>865</v>
      </c>
      <c r="C2" s="346" t="s">
        <v>554</v>
      </c>
      <c r="D2" s="299"/>
      <c r="E2" s="297" t="s">
        <v>393</v>
      </c>
      <c r="F2" s="298"/>
      <c r="G2" s="313" t="s">
        <v>555</v>
      </c>
      <c r="H2" s="299" t="s">
        <v>867</v>
      </c>
      <c r="I2" s="298" t="s">
        <v>204</v>
      </c>
      <c r="J2" s="298" t="s">
        <v>269</v>
      </c>
      <c r="K2" s="322" t="s">
        <v>25</v>
      </c>
      <c r="L2" s="298">
        <v>10</v>
      </c>
      <c r="M2" s="310">
        <v>480555.55</v>
      </c>
      <c r="N2" s="309">
        <v>4805555.5</v>
      </c>
      <c r="O2" s="309">
        <v>384444.44</v>
      </c>
      <c r="P2" s="309">
        <v>5189999.9400000004</v>
      </c>
      <c r="Q2" s="310"/>
      <c r="R2" s="310"/>
      <c r="S2" s="310"/>
    </row>
    <row r="3" spans="1:19">
      <c r="A3" s="586" t="s">
        <v>934</v>
      </c>
      <c r="B3" s="307" t="s">
        <v>865</v>
      </c>
      <c r="C3" s="346" t="s">
        <v>554</v>
      </c>
      <c r="D3" s="299"/>
      <c r="E3" s="297" t="s">
        <v>393</v>
      </c>
      <c r="F3" s="298"/>
      <c r="G3" s="313" t="s">
        <v>555</v>
      </c>
      <c r="H3" s="299" t="s">
        <v>867</v>
      </c>
      <c r="I3" s="298" t="s">
        <v>557</v>
      </c>
      <c r="J3" s="298" t="s">
        <v>209</v>
      </c>
      <c r="K3" s="322" t="s">
        <v>113</v>
      </c>
      <c r="L3" s="298">
        <v>10</v>
      </c>
      <c r="M3" s="310">
        <v>647222.22</v>
      </c>
      <c r="N3" s="309">
        <v>6472222.1999999993</v>
      </c>
      <c r="O3" s="309">
        <v>517777.77599999995</v>
      </c>
      <c r="P3" s="309">
        <v>6989999.9759999989</v>
      </c>
      <c r="Q3" s="310"/>
      <c r="R3" s="310"/>
      <c r="S3" s="310"/>
    </row>
    <row r="4" spans="1:19">
      <c r="A4" s="586" t="s">
        <v>934</v>
      </c>
      <c r="B4" s="307" t="s">
        <v>865</v>
      </c>
      <c r="C4" s="346" t="s">
        <v>554</v>
      </c>
      <c r="D4" s="299"/>
      <c r="E4" s="297" t="s">
        <v>393</v>
      </c>
      <c r="F4" s="298"/>
      <c r="G4" s="313" t="s">
        <v>555</v>
      </c>
      <c r="H4" s="299" t="s">
        <v>867</v>
      </c>
      <c r="I4" s="298" t="s">
        <v>77</v>
      </c>
      <c r="J4" s="298" t="s">
        <v>78</v>
      </c>
      <c r="K4" s="322" t="s">
        <v>113</v>
      </c>
      <c r="L4" s="298">
        <v>30</v>
      </c>
      <c r="M4" s="310">
        <v>314814.81</v>
      </c>
      <c r="N4" s="309">
        <v>9444444.3000000007</v>
      </c>
      <c r="O4" s="309">
        <v>755555.54400000011</v>
      </c>
      <c r="P4" s="309">
        <v>10199999.844000001</v>
      </c>
      <c r="Q4" s="310"/>
      <c r="R4" s="310"/>
      <c r="S4" s="310"/>
    </row>
    <row r="5" spans="1:19">
      <c r="A5" s="586" t="s">
        <v>934</v>
      </c>
      <c r="B5" s="307" t="s">
        <v>865</v>
      </c>
      <c r="C5" s="346" t="s">
        <v>554</v>
      </c>
      <c r="D5" s="299"/>
      <c r="E5" s="297" t="s">
        <v>393</v>
      </c>
      <c r="F5" s="298"/>
      <c r="G5" s="313" t="s">
        <v>555</v>
      </c>
      <c r="H5" s="299" t="s">
        <v>867</v>
      </c>
      <c r="I5" s="298" t="s">
        <v>206</v>
      </c>
      <c r="J5" s="298" t="s">
        <v>369</v>
      </c>
      <c r="K5" s="322" t="s">
        <v>113</v>
      </c>
      <c r="L5" s="298">
        <v>10</v>
      </c>
      <c r="M5" s="310">
        <v>483333.33</v>
      </c>
      <c r="N5" s="309">
        <v>4833333.3</v>
      </c>
      <c r="O5" s="309">
        <v>386666.66399999999</v>
      </c>
      <c r="P5" s="309">
        <v>5219999.9639999997</v>
      </c>
      <c r="Q5" s="310"/>
      <c r="R5" s="310"/>
      <c r="S5" s="310"/>
    </row>
    <row r="6" spans="1:19">
      <c r="A6" s="586" t="s">
        <v>934</v>
      </c>
      <c r="B6" s="307" t="s">
        <v>865</v>
      </c>
      <c r="C6" s="347" t="s">
        <v>554</v>
      </c>
      <c r="D6" s="299"/>
      <c r="E6" s="297" t="s">
        <v>393</v>
      </c>
      <c r="F6" s="298"/>
      <c r="G6" s="313" t="s">
        <v>555</v>
      </c>
      <c r="H6" s="299" t="s">
        <v>867</v>
      </c>
      <c r="I6" s="298" t="s">
        <v>80</v>
      </c>
      <c r="J6" s="298" t="s">
        <v>81</v>
      </c>
      <c r="K6" s="322" t="s">
        <v>113</v>
      </c>
      <c r="L6" s="298">
        <v>10</v>
      </c>
      <c r="M6" s="310">
        <v>824074.07</v>
      </c>
      <c r="N6" s="309">
        <v>8240740.6999999993</v>
      </c>
      <c r="O6" s="309">
        <v>659259.25599999994</v>
      </c>
      <c r="P6" s="309">
        <v>8899999.9559999984</v>
      </c>
      <c r="Q6" s="310"/>
      <c r="R6" s="310"/>
      <c r="S6" s="310"/>
    </row>
    <row r="7" spans="1:19">
      <c r="A7" s="586" t="s">
        <v>934</v>
      </c>
      <c r="B7" s="307" t="s">
        <v>865</v>
      </c>
      <c r="C7" s="347" t="s">
        <v>554</v>
      </c>
      <c r="D7" s="299"/>
      <c r="E7" s="297" t="s">
        <v>393</v>
      </c>
      <c r="F7" s="298"/>
      <c r="G7" s="313" t="s">
        <v>555</v>
      </c>
      <c r="H7" s="299" t="s">
        <v>867</v>
      </c>
      <c r="I7" s="298" t="s">
        <v>21</v>
      </c>
      <c r="J7" s="298" t="s">
        <v>22</v>
      </c>
      <c r="K7" s="322" t="s">
        <v>113</v>
      </c>
      <c r="L7" s="298">
        <v>10</v>
      </c>
      <c r="M7" s="310">
        <v>937962.96</v>
      </c>
      <c r="N7" s="309">
        <v>9379629.5999999996</v>
      </c>
      <c r="O7" s="309">
        <v>750370.36800000002</v>
      </c>
      <c r="P7" s="309">
        <v>10129999.968</v>
      </c>
      <c r="Q7" s="310"/>
      <c r="R7" s="310"/>
      <c r="S7" s="310"/>
    </row>
    <row r="8" spans="1:19">
      <c r="A8" s="586" t="s">
        <v>934</v>
      </c>
      <c r="B8" s="307" t="s">
        <v>865</v>
      </c>
      <c r="C8" s="347" t="s">
        <v>554</v>
      </c>
      <c r="D8" s="299"/>
      <c r="E8" s="297" t="s">
        <v>393</v>
      </c>
      <c r="F8" s="298"/>
      <c r="G8" s="313" t="s">
        <v>555</v>
      </c>
      <c r="H8" s="299" t="s">
        <v>867</v>
      </c>
      <c r="I8" s="298" t="s">
        <v>68</v>
      </c>
      <c r="J8" s="298" t="s">
        <v>69</v>
      </c>
      <c r="K8" s="322" t="s">
        <v>113</v>
      </c>
      <c r="L8" s="298">
        <v>12</v>
      </c>
      <c r="M8" s="310">
        <v>111111.11</v>
      </c>
      <c r="N8" s="309">
        <v>1333333.32</v>
      </c>
      <c r="O8" s="309">
        <v>106666.66560000001</v>
      </c>
      <c r="P8" s="309">
        <v>1439999.9856</v>
      </c>
      <c r="Q8" s="310"/>
      <c r="R8" s="310"/>
      <c r="S8" s="310"/>
    </row>
    <row r="9" spans="1:19">
      <c r="A9" s="586" t="s">
        <v>934</v>
      </c>
      <c r="B9" s="307" t="s">
        <v>865</v>
      </c>
      <c r="C9" s="346" t="s">
        <v>554</v>
      </c>
      <c r="D9" s="299"/>
      <c r="E9" s="297" t="s">
        <v>393</v>
      </c>
      <c r="F9" s="298"/>
      <c r="G9" s="313" t="s">
        <v>555</v>
      </c>
      <c r="H9" s="299" t="s">
        <v>867</v>
      </c>
      <c r="I9" s="298" t="s">
        <v>70</v>
      </c>
      <c r="J9" s="298" t="s">
        <v>71</v>
      </c>
      <c r="K9" s="322" t="s">
        <v>113</v>
      </c>
      <c r="L9" s="298">
        <v>12</v>
      </c>
      <c r="M9" s="310">
        <v>120370.37</v>
      </c>
      <c r="N9" s="309">
        <v>1444444.44</v>
      </c>
      <c r="O9" s="309">
        <v>115555.5552</v>
      </c>
      <c r="P9" s="309">
        <v>1559999.9952</v>
      </c>
      <c r="Q9" s="310"/>
      <c r="R9" s="310"/>
      <c r="S9" s="310"/>
    </row>
    <row r="10" spans="1:19">
      <c r="A10" s="586" t="s">
        <v>934</v>
      </c>
      <c r="B10" s="307" t="s">
        <v>865</v>
      </c>
      <c r="C10" s="346" t="s">
        <v>554</v>
      </c>
      <c r="D10" s="299"/>
      <c r="E10" s="297" t="s">
        <v>393</v>
      </c>
      <c r="F10" s="298"/>
      <c r="G10" s="313" t="s">
        <v>555</v>
      </c>
      <c r="H10" s="299" t="s">
        <v>867</v>
      </c>
      <c r="I10" s="298" t="s">
        <v>72</v>
      </c>
      <c r="J10" s="298" t="s">
        <v>73</v>
      </c>
      <c r="K10" s="322" t="s">
        <v>113</v>
      </c>
      <c r="L10" s="298">
        <v>12</v>
      </c>
      <c r="M10" s="310">
        <v>129629.62</v>
      </c>
      <c r="N10" s="309">
        <v>1555555.44</v>
      </c>
      <c r="O10" s="309">
        <v>124444.43519999999</v>
      </c>
      <c r="P10" s="309">
        <v>1679999.8751999999</v>
      </c>
      <c r="Q10" s="310"/>
      <c r="R10" s="310"/>
      <c r="S10" s="310"/>
    </row>
    <row r="11" spans="1:19">
      <c r="A11" s="586" t="s">
        <v>934</v>
      </c>
      <c r="B11" s="307" t="s">
        <v>865</v>
      </c>
      <c r="C11" s="346" t="s">
        <v>554</v>
      </c>
      <c r="D11" s="299"/>
      <c r="E11" s="297" t="s">
        <v>393</v>
      </c>
      <c r="F11" s="298"/>
      <c r="G11" s="313" t="s">
        <v>555</v>
      </c>
      <c r="H11" s="299" t="s">
        <v>867</v>
      </c>
      <c r="I11" s="298" t="s">
        <v>23</v>
      </c>
      <c r="J11" s="298" t="s">
        <v>82</v>
      </c>
      <c r="K11" s="322" t="s">
        <v>277</v>
      </c>
      <c r="L11" s="298">
        <v>10</v>
      </c>
      <c r="M11" s="310">
        <v>1185185.18</v>
      </c>
      <c r="N11" s="309">
        <v>11851851.799999999</v>
      </c>
      <c r="O11" s="309">
        <v>948148.14399999997</v>
      </c>
      <c r="P11" s="309">
        <v>12799999.943999998</v>
      </c>
      <c r="Q11" s="310"/>
      <c r="R11" s="310"/>
      <c r="S11" s="310"/>
    </row>
    <row r="12" spans="1:19">
      <c r="A12" s="586" t="s">
        <v>934</v>
      </c>
      <c r="B12" s="307" t="s">
        <v>865</v>
      </c>
      <c r="C12" s="346" t="s">
        <v>554</v>
      </c>
      <c r="D12" s="299"/>
      <c r="E12" s="297" t="s">
        <v>393</v>
      </c>
      <c r="F12" s="298"/>
      <c r="G12" s="313" t="s">
        <v>555</v>
      </c>
      <c r="H12" s="299" t="s">
        <v>867</v>
      </c>
      <c r="I12" s="298" t="s">
        <v>180</v>
      </c>
      <c r="J12" s="298" t="s">
        <v>181</v>
      </c>
      <c r="K12" s="322" t="s">
        <v>113</v>
      </c>
      <c r="L12" s="298">
        <v>20</v>
      </c>
      <c r="M12" s="310">
        <v>234259.25</v>
      </c>
      <c r="N12" s="309">
        <v>4685185</v>
      </c>
      <c r="O12" s="309">
        <v>374814.8</v>
      </c>
      <c r="P12" s="309">
        <v>5059999.8</v>
      </c>
      <c r="Q12" s="310"/>
      <c r="R12" s="310"/>
      <c r="S12" s="310"/>
    </row>
    <row r="13" spans="1:19">
      <c r="A13" s="586" t="s">
        <v>934</v>
      </c>
      <c r="B13" s="307" t="s">
        <v>865</v>
      </c>
      <c r="C13" s="346" t="s">
        <v>554</v>
      </c>
      <c r="D13" s="299"/>
      <c r="E13" s="297" t="s">
        <v>393</v>
      </c>
      <c r="F13" s="298"/>
      <c r="G13" s="313" t="s">
        <v>555</v>
      </c>
      <c r="H13" s="299" t="s">
        <v>867</v>
      </c>
      <c r="I13" s="298" t="s">
        <v>26</v>
      </c>
      <c r="J13" s="298" t="s">
        <v>27</v>
      </c>
      <c r="K13" s="322" t="s">
        <v>113</v>
      </c>
      <c r="L13" s="298">
        <v>20</v>
      </c>
      <c r="M13" s="310">
        <v>256481.48</v>
      </c>
      <c r="N13" s="309">
        <v>5129629.6000000006</v>
      </c>
      <c r="O13" s="309">
        <v>410370.36800000007</v>
      </c>
      <c r="P13" s="309">
        <v>5539999.9680000003</v>
      </c>
      <c r="Q13" s="310"/>
      <c r="R13" s="310"/>
      <c r="S13" s="310"/>
    </row>
    <row r="14" spans="1:19">
      <c r="A14" s="586" t="s">
        <v>934</v>
      </c>
      <c r="B14" s="307" t="s">
        <v>865</v>
      </c>
      <c r="C14" s="346" t="s">
        <v>554</v>
      </c>
      <c r="D14" s="299"/>
      <c r="E14" s="297" t="s">
        <v>393</v>
      </c>
      <c r="F14" s="298"/>
      <c r="G14" s="313" t="s">
        <v>555</v>
      </c>
      <c r="H14" s="299" t="s">
        <v>867</v>
      </c>
      <c r="I14" s="298" t="s">
        <v>28</v>
      </c>
      <c r="J14" s="298" t="s">
        <v>29</v>
      </c>
      <c r="K14" s="322" t="s">
        <v>113</v>
      </c>
      <c r="L14" s="298">
        <v>20</v>
      </c>
      <c r="M14" s="310">
        <v>281481.48</v>
      </c>
      <c r="N14" s="309">
        <v>5629629.5999999996</v>
      </c>
      <c r="O14" s="309">
        <v>450370.36799999996</v>
      </c>
      <c r="P14" s="309">
        <v>6079999.9679999994</v>
      </c>
      <c r="Q14" s="310"/>
      <c r="R14" s="310"/>
      <c r="S14" s="310"/>
    </row>
    <row r="15" spans="1:19">
      <c r="A15" s="586" t="s">
        <v>934</v>
      </c>
      <c r="B15" s="307" t="s">
        <v>865</v>
      </c>
      <c r="C15" s="346" t="s">
        <v>554</v>
      </c>
      <c r="D15" s="299"/>
      <c r="E15" s="297" t="s">
        <v>393</v>
      </c>
      <c r="F15" s="298"/>
      <c r="G15" s="313" t="s">
        <v>555</v>
      </c>
      <c r="H15" s="299" t="s">
        <v>867</v>
      </c>
      <c r="I15" s="298" t="s">
        <v>184</v>
      </c>
      <c r="J15" s="298" t="s">
        <v>272</v>
      </c>
      <c r="K15" s="322" t="s">
        <v>113</v>
      </c>
      <c r="L15" s="298">
        <v>20</v>
      </c>
      <c r="M15" s="310">
        <v>240740.74</v>
      </c>
      <c r="N15" s="309">
        <v>4814814.8</v>
      </c>
      <c r="O15" s="309">
        <v>385185.18400000001</v>
      </c>
      <c r="P15" s="309">
        <v>5199999.9840000002</v>
      </c>
      <c r="Q15" s="310"/>
      <c r="R15" s="310"/>
      <c r="S15" s="310"/>
    </row>
    <row r="16" spans="1:19">
      <c r="A16" s="586" t="s">
        <v>934</v>
      </c>
      <c r="B16" s="307" t="s">
        <v>865</v>
      </c>
      <c r="C16" s="346" t="s">
        <v>554</v>
      </c>
      <c r="D16" s="299"/>
      <c r="E16" s="297" t="s">
        <v>393</v>
      </c>
      <c r="F16" s="298"/>
      <c r="G16" s="313" t="s">
        <v>555</v>
      </c>
      <c r="H16" s="299" t="s">
        <v>867</v>
      </c>
      <c r="I16" s="298" t="s">
        <v>30</v>
      </c>
      <c r="J16" s="298" t="s">
        <v>31</v>
      </c>
      <c r="K16" s="322" t="s">
        <v>113</v>
      </c>
      <c r="L16" s="298">
        <v>20</v>
      </c>
      <c r="M16" s="310">
        <v>259259.25</v>
      </c>
      <c r="N16" s="309">
        <v>5185185</v>
      </c>
      <c r="O16" s="309">
        <v>414814.8</v>
      </c>
      <c r="P16" s="309">
        <v>5599999.7999999998</v>
      </c>
      <c r="Q16" s="310"/>
      <c r="R16" s="310"/>
      <c r="S16" s="310"/>
    </row>
    <row r="17" spans="1:19">
      <c r="A17" s="586" t="s">
        <v>934</v>
      </c>
      <c r="B17" s="307" t="s">
        <v>865</v>
      </c>
      <c r="C17" s="346" t="s">
        <v>554</v>
      </c>
      <c r="D17" s="299"/>
      <c r="E17" s="297" t="s">
        <v>393</v>
      </c>
      <c r="F17" s="298"/>
      <c r="G17" s="313" t="s">
        <v>555</v>
      </c>
      <c r="H17" s="299" t="s">
        <v>867</v>
      </c>
      <c r="I17" s="298" t="s">
        <v>32</v>
      </c>
      <c r="J17" s="298" t="s">
        <v>33</v>
      </c>
      <c r="K17" s="322" t="s">
        <v>113</v>
      </c>
      <c r="L17" s="298">
        <v>20</v>
      </c>
      <c r="M17" s="310">
        <v>226851.85</v>
      </c>
      <c r="N17" s="309">
        <v>4537037</v>
      </c>
      <c r="O17" s="309">
        <v>362962.96</v>
      </c>
      <c r="P17" s="309">
        <v>4899999.96</v>
      </c>
      <c r="Q17" s="310"/>
      <c r="R17" s="310"/>
      <c r="S17" s="310"/>
    </row>
    <row r="18" spans="1:19">
      <c r="A18" s="586" t="s">
        <v>934</v>
      </c>
      <c r="B18" s="307" t="s">
        <v>865</v>
      </c>
      <c r="C18" s="346" t="s">
        <v>554</v>
      </c>
      <c r="D18" s="299"/>
      <c r="E18" s="297" t="s">
        <v>393</v>
      </c>
      <c r="F18" s="298"/>
      <c r="G18" s="313" t="s">
        <v>555</v>
      </c>
      <c r="H18" s="299" t="s">
        <v>867</v>
      </c>
      <c r="I18" s="298" t="s">
        <v>34</v>
      </c>
      <c r="J18" s="298" t="s">
        <v>35</v>
      </c>
      <c r="K18" s="322" t="s">
        <v>113</v>
      </c>
      <c r="L18" s="298">
        <v>20</v>
      </c>
      <c r="M18" s="310">
        <v>240740.74</v>
      </c>
      <c r="N18" s="309">
        <v>4814814.8</v>
      </c>
      <c r="O18" s="309">
        <v>385185.18400000001</v>
      </c>
      <c r="P18" s="309">
        <v>5199999.9840000002</v>
      </c>
      <c r="Q18" s="310"/>
      <c r="R18" s="310"/>
      <c r="S18" s="310"/>
    </row>
    <row r="19" spans="1:19">
      <c r="A19" s="586" t="s">
        <v>934</v>
      </c>
      <c r="B19" s="307" t="s">
        <v>865</v>
      </c>
      <c r="C19" s="346" t="s">
        <v>554</v>
      </c>
      <c r="D19" s="299"/>
      <c r="E19" s="297" t="s">
        <v>393</v>
      </c>
      <c r="F19" s="298"/>
      <c r="G19" s="313" t="s">
        <v>555</v>
      </c>
      <c r="H19" s="299" t="s">
        <v>867</v>
      </c>
      <c r="I19" s="298" t="s">
        <v>36</v>
      </c>
      <c r="J19" s="298" t="s">
        <v>37</v>
      </c>
      <c r="K19" s="322" t="s">
        <v>113</v>
      </c>
      <c r="L19" s="298">
        <v>20</v>
      </c>
      <c r="M19" s="310">
        <v>259259.25</v>
      </c>
      <c r="N19" s="309">
        <v>5185185</v>
      </c>
      <c r="O19" s="309">
        <v>414814.8</v>
      </c>
      <c r="P19" s="309">
        <v>5599999.7999999998</v>
      </c>
      <c r="Q19" s="310"/>
      <c r="R19" s="310"/>
      <c r="S19" s="310"/>
    </row>
    <row r="20" spans="1:19">
      <c r="A20" s="586" t="s">
        <v>934</v>
      </c>
      <c r="B20" s="307" t="s">
        <v>865</v>
      </c>
      <c r="C20" s="346" t="s">
        <v>554</v>
      </c>
      <c r="D20" s="299"/>
      <c r="E20" s="297" t="s">
        <v>393</v>
      </c>
      <c r="F20" s="298"/>
      <c r="G20" s="313" t="s">
        <v>555</v>
      </c>
      <c r="H20" s="299" t="s">
        <v>867</v>
      </c>
      <c r="I20" s="298" t="s">
        <v>38</v>
      </c>
      <c r="J20" s="298" t="s">
        <v>39</v>
      </c>
      <c r="K20" s="322" t="s">
        <v>113</v>
      </c>
      <c r="L20" s="298">
        <v>20</v>
      </c>
      <c r="M20" s="310">
        <v>277777.77</v>
      </c>
      <c r="N20" s="309">
        <v>5555555.4000000004</v>
      </c>
      <c r="O20" s="309">
        <v>444444.43200000003</v>
      </c>
      <c r="P20" s="309">
        <v>5999999.8320000004</v>
      </c>
      <c r="Q20" s="310"/>
      <c r="R20" s="310"/>
      <c r="S20" s="310"/>
    </row>
    <row r="21" spans="1:19">
      <c r="A21" s="586" t="s">
        <v>934</v>
      </c>
      <c r="B21" s="307" t="s">
        <v>865</v>
      </c>
      <c r="C21" s="346" t="s">
        <v>554</v>
      </c>
      <c r="D21" s="299"/>
      <c r="E21" s="297" t="s">
        <v>393</v>
      </c>
      <c r="F21" s="298"/>
      <c r="G21" s="313" t="s">
        <v>555</v>
      </c>
      <c r="H21" s="299" t="s">
        <v>867</v>
      </c>
      <c r="I21" s="298" t="s">
        <v>40</v>
      </c>
      <c r="J21" s="298" t="s">
        <v>41</v>
      </c>
      <c r="K21" s="322" t="s">
        <v>113</v>
      </c>
      <c r="L21" s="298">
        <v>10</v>
      </c>
      <c r="M21" s="310">
        <v>844444.44</v>
      </c>
      <c r="N21" s="309">
        <v>8444444.3999999985</v>
      </c>
      <c r="O21" s="309">
        <v>675555.55199999991</v>
      </c>
      <c r="P21" s="309">
        <v>9119999.9519999977</v>
      </c>
      <c r="Q21" s="310"/>
      <c r="R21" s="310"/>
      <c r="S21" s="310"/>
    </row>
    <row r="22" spans="1:19">
      <c r="A22" s="586" t="s">
        <v>934</v>
      </c>
      <c r="B22" s="307" t="s">
        <v>865</v>
      </c>
      <c r="C22" s="346" t="s">
        <v>554</v>
      </c>
      <c r="D22" s="299"/>
      <c r="E22" s="297" t="s">
        <v>393</v>
      </c>
      <c r="F22" s="298"/>
      <c r="G22" s="313" t="s">
        <v>555</v>
      </c>
      <c r="H22" s="299" t="s">
        <v>867</v>
      </c>
      <c r="I22" s="298" t="s">
        <v>119</v>
      </c>
      <c r="J22" s="298" t="s">
        <v>191</v>
      </c>
      <c r="K22" s="322" t="s">
        <v>113</v>
      </c>
      <c r="L22" s="298">
        <v>10</v>
      </c>
      <c r="M22" s="310">
        <v>659259.25</v>
      </c>
      <c r="N22" s="309">
        <v>6592592.5</v>
      </c>
      <c r="O22" s="309">
        <v>527407.4</v>
      </c>
      <c r="P22" s="309">
        <v>7119999.9000000004</v>
      </c>
      <c r="Q22" s="310"/>
      <c r="R22" s="310"/>
      <c r="S22" s="310"/>
    </row>
    <row r="23" spans="1:19">
      <c r="A23" s="586" t="s">
        <v>934</v>
      </c>
      <c r="B23" s="307" t="s">
        <v>865</v>
      </c>
      <c r="C23" s="346" t="s">
        <v>554</v>
      </c>
      <c r="D23" s="299"/>
      <c r="E23" s="297" t="s">
        <v>393</v>
      </c>
      <c r="F23" s="298"/>
      <c r="G23" s="313" t="s">
        <v>555</v>
      </c>
      <c r="H23" s="299" t="s">
        <v>867</v>
      </c>
      <c r="I23" s="298" t="s">
        <v>42</v>
      </c>
      <c r="J23" s="298" t="s">
        <v>43</v>
      </c>
      <c r="K23" s="322" t="s">
        <v>113</v>
      </c>
      <c r="L23" s="298">
        <v>10</v>
      </c>
      <c r="M23" s="310">
        <v>569444.43999999994</v>
      </c>
      <c r="N23" s="309">
        <v>5694444.3999999994</v>
      </c>
      <c r="O23" s="309">
        <v>455555.55199999997</v>
      </c>
      <c r="P23" s="309">
        <v>6149999.9519999996</v>
      </c>
      <c r="Q23" s="310"/>
      <c r="R23" s="310"/>
      <c r="S23" s="310"/>
    </row>
    <row r="24" spans="1:19">
      <c r="A24" s="586" t="s">
        <v>934</v>
      </c>
      <c r="B24" s="307" t="s">
        <v>865</v>
      </c>
      <c r="C24" s="346" t="s">
        <v>554</v>
      </c>
      <c r="D24" s="299"/>
      <c r="E24" s="297" t="s">
        <v>393</v>
      </c>
      <c r="F24" s="298"/>
      <c r="G24" s="313" t="s">
        <v>555</v>
      </c>
      <c r="H24" s="299" t="s">
        <v>867</v>
      </c>
      <c r="I24" s="298" t="s">
        <v>44</v>
      </c>
      <c r="J24" s="298" t="s">
        <v>45</v>
      </c>
      <c r="K24" s="322" t="s">
        <v>113</v>
      </c>
      <c r="L24" s="298">
        <v>12</v>
      </c>
      <c r="M24" s="310">
        <v>564815</v>
      </c>
      <c r="N24" s="309">
        <v>6777780</v>
      </c>
      <c r="O24" s="309">
        <v>542222.4</v>
      </c>
      <c r="P24" s="309">
        <v>7320002.4000000004</v>
      </c>
      <c r="Q24" s="310"/>
      <c r="R24" s="310"/>
      <c r="S24" s="310"/>
    </row>
    <row r="25" spans="1:19">
      <c r="A25" s="586" t="s">
        <v>934</v>
      </c>
      <c r="B25" s="307" t="s">
        <v>865</v>
      </c>
      <c r="C25" s="346" t="s">
        <v>554</v>
      </c>
      <c r="D25" s="299"/>
      <c r="E25" s="297" t="s">
        <v>393</v>
      </c>
      <c r="F25" s="298"/>
      <c r="G25" s="313" t="s">
        <v>555</v>
      </c>
      <c r="H25" s="299" t="s">
        <v>867</v>
      </c>
      <c r="I25" s="298" t="s">
        <v>148</v>
      </c>
      <c r="J25" s="298" t="s">
        <v>149</v>
      </c>
      <c r="K25" s="322" t="s">
        <v>113</v>
      </c>
      <c r="L25" s="298">
        <v>12</v>
      </c>
      <c r="M25" s="310">
        <v>358333.33</v>
      </c>
      <c r="N25" s="309">
        <v>4299999.96</v>
      </c>
      <c r="O25" s="309">
        <v>343999.99680000002</v>
      </c>
      <c r="P25" s="309">
        <v>4643999.9567999998</v>
      </c>
      <c r="Q25" s="310"/>
      <c r="R25" s="310"/>
      <c r="S25" s="310"/>
    </row>
    <row r="26" spans="1:19">
      <c r="A26" s="586" t="s">
        <v>934</v>
      </c>
      <c r="B26" s="307" t="s">
        <v>865</v>
      </c>
      <c r="C26" s="346" t="s">
        <v>554</v>
      </c>
      <c r="D26" s="299"/>
      <c r="E26" s="297" t="s">
        <v>393</v>
      </c>
      <c r="F26" s="298"/>
      <c r="G26" s="313" t="s">
        <v>555</v>
      </c>
      <c r="H26" s="299" t="s">
        <v>867</v>
      </c>
      <c r="I26" s="298" t="s">
        <v>192</v>
      </c>
      <c r="J26" s="298" t="s">
        <v>193</v>
      </c>
      <c r="K26" s="322" t="s">
        <v>113</v>
      </c>
      <c r="L26" s="298">
        <v>12</v>
      </c>
      <c r="M26" s="310">
        <v>398148.08</v>
      </c>
      <c r="N26" s="309">
        <v>4777776.96</v>
      </c>
      <c r="O26" s="309">
        <v>382222.1568</v>
      </c>
      <c r="P26" s="309">
        <v>5159999.1168</v>
      </c>
      <c r="Q26" s="310"/>
      <c r="R26" s="310"/>
      <c r="S26" s="310"/>
    </row>
    <row r="27" spans="1:19">
      <c r="A27" s="586" t="s">
        <v>934</v>
      </c>
      <c r="B27" s="307" t="s">
        <v>865</v>
      </c>
      <c r="C27" s="346" t="s">
        <v>554</v>
      </c>
      <c r="D27" s="299"/>
      <c r="E27" s="297" t="s">
        <v>393</v>
      </c>
      <c r="F27" s="298"/>
      <c r="G27" s="313" t="s">
        <v>555</v>
      </c>
      <c r="H27" s="299" t="s">
        <v>867</v>
      </c>
      <c r="I27" s="298" t="s">
        <v>194</v>
      </c>
      <c r="J27" s="298" t="s">
        <v>276</v>
      </c>
      <c r="K27" s="322" t="s">
        <v>113</v>
      </c>
      <c r="L27" s="298">
        <v>10</v>
      </c>
      <c r="M27" s="310">
        <v>1203703.7</v>
      </c>
      <c r="N27" s="309">
        <v>12037037</v>
      </c>
      <c r="O27" s="309">
        <v>962962.96</v>
      </c>
      <c r="P27" s="309">
        <v>12999999.960000001</v>
      </c>
      <c r="Q27" s="310"/>
      <c r="R27" s="310"/>
      <c r="S27" s="310"/>
    </row>
    <row r="28" spans="1:19">
      <c r="A28" s="586" t="s">
        <v>934</v>
      </c>
      <c r="B28" s="307" t="s">
        <v>865</v>
      </c>
      <c r="C28" s="346" t="s">
        <v>554</v>
      </c>
      <c r="D28" s="299"/>
      <c r="E28" s="297" t="s">
        <v>393</v>
      </c>
      <c r="F28" s="298"/>
      <c r="G28" s="313" t="s">
        <v>555</v>
      </c>
      <c r="H28" s="299" t="s">
        <v>867</v>
      </c>
      <c r="I28" s="298" t="s">
        <v>58</v>
      </c>
      <c r="J28" s="298" t="s">
        <v>59</v>
      </c>
      <c r="K28" s="322" t="s">
        <v>113</v>
      </c>
      <c r="L28" s="298">
        <v>10</v>
      </c>
      <c r="M28" s="310">
        <v>1361111.11</v>
      </c>
      <c r="N28" s="309">
        <v>13611111.100000001</v>
      </c>
      <c r="O28" s="309">
        <v>1088888.888</v>
      </c>
      <c r="P28" s="309">
        <v>14699999.988000002</v>
      </c>
      <c r="Q28" s="310"/>
      <c r="R28" s="310"/>
      <c r="S28" s="310"/>
    </row>
    <row r="29" spans="1:19">
      <c r="A29" s="586" t="s">
        <v>934</v>
      </c>
      <c r="B29" s="307" t="s">
        <v>865</v>
      </c>
      <c r="C29" s="346" t="s">
        <v>554</v>
      </c>
      <c r="D29" s="299"/>
      <c r="E29" s="297" t="s">
        <v>393</v>
      </c>
      <c r="F29" s="298"/>
      <c r="G29" s="313" t="s">
        <v>555</v>
      </c>
      <c r="H29" s="299" t="s">
        <v>867</v>
      </c>
      <c r="I29" s="298" t="s">
        <v>424</v>
      </c>
      <c r="J29" s="298" t="s">
        <v>425</v>
      </c>
      <c r="K29" s="322" t="s">
        <v>558</v>
      </c>
      <c r="L29" s="298">
        <v>4</v>
      </c>
      <c r="M29" s="310">
        <v>882407</v>
      </c>
      <c r="N29" s="309">
        <v>3529628</v>
      </c>
      <c r="O29" s="309">
        <v>282370.24</v>
      </c>
      <c r="P29" s="309">
        <v>3811998.24</v>
      </c>
      <c r="Q29" s="310"/>
      <c r="R29" s="310"/>
      <c r="S29" s="310"/>
    </row>
    <row r="30" spans="1:19">
      <c r="A30" s="586" t="s">
        <v>934</v>
      </c>
      <c r="B30" s="307" t="s">
        <v>865</v>
      </c>
      <c r="C30" s="346" t="s">
        <v>554</v>
      </c>
      <c r="D30" s="299"/>
      <c r="E30" s="297" t="s">
        <v>393</v>
      </c>
      <c r="F30" s="298"/>
      <c r="G30" s="313" t="s">
        <v>555</v>
      </c>
      <c r="H30" s="299" t="s">
        <v>867</v>
      </c>
      <c r="I30" s="298" t="s">
        <v>386</v>
      </c>
      <c r="J30" s="298" t="s">
        <v>387</v>
      </c>
      <c r="K30" s="322" t="s">
        <v>113</v>
      </c>
      <c r="L30" s="298">
        <v>12</v>
      </c>
      <c r="M30" s="310">
        <v>847222.22</v>
      </c>
      <c r="N30" s="309">
        <v>10166666.640000001</v>
      </c>
      <c r="O30" s="309">
        <v>813333.33120000002</v>
      </c>
      <c r="P30" s="309">
        <v>10979999.9712</v>
      </c>
      <c r="Q30" s="310"/>
      <c r="R30" s="310"/>
      <c r="S30" s="310"/>
    </row>
    <row r="31" spans="1:19">
      <c r="A31" s="586" t="s">
        <v>934</v>
      </c>
      <c r="B31" s="307" t="s">
        <v>865</v>
      </c>
      <c r="C31" s="346" t="s">
        <v>554</v>
      </c>
      <c r="D31" s="299"/>
      <c r="E31" s="297">
        <v>46297</v>
      </c>
      <c r="F31" s="298"/>
      <c r="G31" s="313" t="s">
        <v>559</v>
      </c>
      <c r="H31" s="299" t="s">
        <v>867</v>
      </c>
      <c r="I31" s="298" t="s">
        <v>60</v>
      </c>
      <c r="J31" s="298" t="s">
        <v>61</v>
      </c>
      <c r="K31" s="322" t="s">
        <v>113</v>
      </c>
      <c r="L31" s="298">
        <v>8</v>
      </c>
      <c r="M31" s="310">
        <v>1138888.8799999999</v>
      </c>
      <c r="N31" s="309">
        <v>9111111.0399999991</v>
      </c>
      <c r="O31" s="309">
        <v>728888.88319999992</v>
      </c>
      <c r="P31" s="309">
        <v>9839999.9231999982</v>
      </c>
      <c r="Q31" s="310"/>
      <c r="R31" s="310"/>
      <c r="S31" s="310"/>
    </row>
    <row r="32" spans="1:19">
      <c r="A32" s="586" t="s">
        <v>934</v>
      </c>
      <c r="B32" s="307" t="s">
        <v>865</v>
      </c>
      <c r="C32" s="346" t="s">
        <v>554</v>
      </c>
      <c r="D32" s="299"/>
      <c r="E32" s="297">
        <v>46297</v>
      </c>
      <c r="F32" s="298"/>
      <c r="G32" s="313" t="s">
        <v>559</v>
      </c>
      <c r="H32" s="299" t="s">
        <v>867</v>
      </c>
      <c r="I32" s="298" t="s">
        <v>16</v>
      </c>
      <c r="J32" s="298" t="s">
        <v>17</v>
      </c>
      <c r="K32" s="322" t="s">
        <v>113</v>
      </c>
      <c r="L32" s="298">
        <v>8</v>
      </c>
      <c r="M32" s="310">
        <v>851851.75</v>
      </c>
      <c r="N32" s="309">
        <v>6814814</v>
      </c>
      <c r="O32" s="309">
        <v>545185.12</v>
      </c>
      <c r="P32" s="309">
        <v>7359999.1200000001</v>
      </c>
      <c r="Q32" s="310"/>
      <c r="R32" s="310"/>
      <c r="S32" s="310"/>
    </row>
    <row r="33" spans="1:19">
      <c r="A33" s="586" t="s">
        <v>934</v>
      </c>
      <c r="B33" s="307" t="s">
        <v>865</v>
      </c>
      <c r="C33" s="346" t="s">
        <v>554</v>
      </c>
      <c r="D33" s="299"/>
      <c r="E33" s="297" t="s">
        <v>152</v>
      </c>
      <c r="F33" s="298"/>
      <c r="G33" s="313" t="s">
        <v>560</v>
      </c>
      <c r="H33" s="299" t="s">
        <v>867</v>
      </c>
      <c r="I33" s="298" t="s">
        <v>54</v>
      </c>
      <c r="J33" s="298" t="s">
        <v>229</v>
      </c>
      <c r="K33" s="322" t="s">
        <v>113</v>
      </c>
      <c r="L33" s="298">
        <v>12</v>
      </c>
      <c r="M33" s="310">
        <v>324074.07</v>
      </c>
      <c r="N33" s="309">
        <v>3888888.84</v>
      </c>
      <c r="O33" s="309">
        <v>311111.10719999997</v>
      </c>
      <c r="P33" s="309">
        <v>4199999.9472000003</v>
      </c>
      <c r="Q33" s="310"/>
      <c r="R33" s="310"/>
      <c r="S33" s="310"/>
    </row>
    <row r="34" spans="1:19">
      <c r="A34" s="586" t="s">
        <v>934</v>
      </c>
      <c r="B34" s="307" t="s">
        <v>865</v>
      </c>
      <c r="C34" s="346" t="s">
        <v>554</v>
      </c>
      <c r="D34" s="299"/>
      <c r="E34" s="297" t="s">
        <v>152</v>
      </c>
      <c r="F34" s="298"/>
      <c r="G34" s="313" t="s">
        <v>560</v>
      </c>
      <c r="H34" s="299" t="s">
        <v>867</v>
      </c>
      <c r="I34" s="298" t="s">
        <v>56</v>
      </c>
      <c r="J34" s="298" t="s">
        <v>57</v>
      </c>
      <c r="K34" s="322" t="s">
        <v>113</v>
      </c>
      <c r="L34" s="298">
        <v>12</v>
      </c>
      <c r="M34" s="310">
        <v>325925.92</v>
      </c>
      <c r="N34" s="309">
        <v>3911111.04</v>
      </c>
      <c r="O34" s="309">
        <v>312888.88319999998</v>
      </c>
      <c r="P34" s="309">
        <v>4223999.9232000001</v>
      </c>
      <c r="Q34" s="310"/>
      <c r="R34" s="310"/>
      <c r="S34" s="310"/>
    </row>
    <row r="35" spans="1:19">
      <c r="A35" s="586" t="s">
        <v>934</v>
      </c>
      <c r="B35" s="307" t="s">
        <v>865</v>
      </c>
      <c r="C35" s="346" t="s">
        <v>554</v>
      </c>
      <c r="D35" s="299"/>
      <c r="E35" s="297" t="s">
        <v>152</v>
      </c>
      <c r="F35" s="298"/>
      <c r="G35" s="313" t="s">
        <v>560</v>
      </c>
      <c r="H35" s="299" t="s">
        <v>867</v>
      </c>
      <c r="I35" s="298" t="s">
        <v>107</v>
      </c>
      <c r="J35" s="298" t="s">
        <v>108</v>
      </c>
      <c r="K35" s="322" t="s">
        <v>113</v>
      </c>
      <c r="L35" s="298">
        <v>12</v>
      </c>
      <c r="M35" s="310">
        <v>349074.07</v>
      </c>
      <c r="N35" s="309">
        <v>4188888.84</v>
      </c>
      <c r="O35" s="309">
        <v>335111.10719999997</v>
      </c>
      <c r="P35" s="309">
        <v>4523999.9472000003</v>
      </c>
      <c r="Q35" s="310"/>
      <c r="R35" s="310"/>
      <c r="S35" s="310"/>
    </row>
    <row r="36" spans="1:19">
      <c r="A36" s="586" t="s">
        <v>934</v>
      </c>
      <c r="B36" s="307" t="s">
        <v>865</v>
      </c>
      <c r="C36" s="346" t="s">
        <v>554</v>
      </c>
      <c r="D36" s="299"/>
      <c r="E36" s="297" t="s">
        <v>152</v>
      </c>
      <c r="F36" s="298"/>
      <c r="G36" s="313" t="s">
        <v>560</v>
      </c>
      <c r="H36" s="299" t="s">
        <v>867</v>
      </c>
      <c r="I36" s="298" t="s">
        <v>127</v>
      </c>
      <c r="J36" s="298" t="s">
        <v>128</v>
      </c>
      <c r="K36" s="322" t="s">
        <v>113</v>
      </c>
      <c r="L36" s="298">
        <v>12</v>
      </c>
      <c r="M36" s="310">
        <v>284259.25</v>
      </c>
      <c r="N36" s="309">
        <v>3411111</v>
      </c>
      <c r="O36" s="309">
        <v>272888.88</v>
      </c>
      <c r="P36" s="309">
        <v>3683999.88</v>
      </c>
      <c r="Q36" s="310"/>
      <c r="R36" s="310"/>
      <c r="S36" s="310"/>
    </row>
    <row r="37" spans="1:19">
      <c r="A37" s="586" t="s">
        <v>934</v>
      </c>
      <c r="B37" s="307" t="s">
        <v>865</v>
      </c>
      <c r="C37" s="346" t="s">
        <v>554</v>
      </c>
      <c r="D37" s="299"/>
      <c r="E37" s="297" t="s">
        <v>152</v>
      </c>
      <c r="F37" s="298"/>
      <c r="G37" s="313" t="s">
        <v>560</v>
      </c>
      <c r="H37" s="299" t="s">
        <v>867</v>
      </c>
      <c r="I37" s="298" t="s">
        <v>130</v>
      </c>
      <c r="J37" s="298" t="s">
        <v>131</v>
      </c>
      <c r="K37" s="322" t="s">
        <v>113</v>
      </c>
      <c r="L37" s="298">
        <v>12</v>
      </c>
      <c r="M37" s="310">
        <v>280555.55</v>
      </c>
      <c r="N37" s="309">
        <v>3366666.5999999996</v>
      </c>
      <c r="O37" s="309">
        <v>269333.32799999998</v>
      </c>
      <c r="P37" s="309">
        <v>3635999.9279999994</v>
      </c>
      <c r="Q37" s="310"/>
      <c r="R37" s="310"/>
      <c r="S37" s="310"/>
    </row>
    <row r="38" spans="1:19">
      <c r="A38" s="586" t="s">
        <v>934</v>
      </c>
      <c r="B38" s="307" t="s">
        <v>865</v>
      </c>
      <c r="C38" s="346" t="s">
        <v>554</v>
      </c>
      <c r="D38" s="299"/>
      <c r="E38" s="297" t="s">
        <v>152</v>
      </c>
      <c r="F38" s="298"/>
      <c r="G38" s="313" t="s">
        <v>560</v>
      </c>
      <c r="H38" s="299" t="s">
        <v>867</v>
      </c>
      <c r="I38" s="298" t="s">
        <v>219</v>
      </c>
      <c r="J38" s="298" t="s">
        <v>483</v>
      </c>
      <c r="K38" s="322" t="s">
        <v>113</v>
      </c>
      <c r="L38" s="298">
        <v>12</v>
      </c>
      <c r="M38" s="310">
        <v>263888.88</v>
      </c>
      <c r="N38" s="309">
        <v>3166666.56</v>
      </c>
      <c r="O38" s="309">
        <v>253333.3248</v>
      </c>
      <c r="P38" s="309">
        <v>3419999.8848000001</v>
      </c>
      <c r="Q38" s="310"/>
      <c r="R38" s="310"/>
      <c r="S38" s="310"/>
    </row>
    <row r="39" spans="1:19">
      <c r="A39" s="586" t="s">
        <v>934</v>
      </c>
      <c r="B39" s="307" t="s">
        <v>865</v>
      </c>
      <c r="C39" s="347" t="s">
        <v>554</v>
      </c>
      <c r="D39" s="299"/>
      <c r="E39" s="297">
        <v>46240</v>
      </c>
      <c r="F39" s="298"/>
      <c r="G39" s="313" t="s">
        <v>561</v>
      </c>
      <c r="H39" s="299" t="s">
        <v>867</v>
      </c>
      <c r="I39" s="298" t="s">
        <v>386</v>
      </c>
      <c r="J39" s="298" t="s">
        <v>387</v>
      </c>
      <c r="K39" s="322" t="s">
        <v>113</v>
      </c>
      <c r="L39" s="298">
        <v>12</v>
      </c>
      <c r="M39" s="310">
        <v>847222.22</v>
      </c>
      <c r="N39" s="309">
        <v>10166666.640000001</v>
      </c>
      <c r="O39" s="309">
        <v>813333.33120000002</v>
      </c>
      <c r="P39" s="309">
        <v>10979999.9712</v>
      </c>
      <c r="Q39" s="310"/>
      <c r="R39" s="310"/>
      <c r="S39" s="310"/>
    </row>
    <row r="40" spans="1:19">
      <c r="A40" s="586" t="s">
        <v>934</v>
      </c>
      <c r="B40" s="307" t="s">
        <v>865</v>
      </c>
      <c r="C40" s="347" t="s">
        <v>554</v>
      </c>
      <c r="D40" s="299"/>
      <c r="E40" s="297">
        <v>46240</v>
      </c>
      <c r="F40" s="298"/>
      <c r="G40" s="313" t="s">
        <v>561</v>
      </c>
      <c r="H40" s="299" t="s">
        <v>867</v>
      </c>
      <c r="I40" s="298" t="s">
        <v>74</v>
      </c>
      <c r="J40" s="298" t="s">
        <v>141</v>
      </c>
      <c r="K40" s="322" t="s">
        <v>113</v>
      </c>
      <c r="L40" s="298">
        <v>16</v>
      </c>
      <c r="M40" s="310">
        <v>361111.11</v>
      </c>
      <c r="N40" s="309">
        <v>5777777.7599999998</v>
      </c>
      <c r="O40" s="309">
        <v>462222.22080000001</v>
      </c>
      <c r="P40" s="309">
        <v>6239999.9808</v>
      </c>
      <c r="Q40" s="310"/>
      <c r="R40" s="310"/>
      <c r="S40" s="310"/>
    </row>
    <row r="41" spans="1:19">
      <c r="A41" s="586" t="s">
        <v>934</v>
      </c>
      <c r="B41" s="307" t="s">
        <v>865</v>
      </c>
      <c r="C41" s="347" t="s">
        <v>554</v>
      </c>
      <c r="D41" s="299"/>
      <c r="E41" s="297">
        <v>46240</v>
      </c>
      <c r="F41" s="298"/>
      <c r="G41" s="313" t="s">
        <v>561</v>
      </c>
      <c r="H41" s="299" t="s">
        <v>867</v>
      </c>
      <c r="I41" s="298" t="s">
        <v>279</v>
      </c>
      <c r="J41" s="298" t="s">
        <v>280</v>
      </c>
      <c r="K41" s="322" t="s">
        <v>113</v>
      </c>
      <c r="L41" s="298">
        <v>10</v>
      </c>
      <c r="M41" s="310">
        <v>387962.96</v>
      </c>
      <c r="N41" s="309">
        <v>3879629.6</v>
      </c>
      <c r="O41" s="309">
        <v>310370.36800000002</v>
      </c>
      <c r="P41" s="309">
        <v>4189999.9680000003</v>
      </c>
      <c r="Q41" s="310"/>
      <c r="R41" s="310"/>
      <c r="S41" s="310"/>
    </row>
    <row r="42" spans="1:19">
      <c r="A42" s="586" t="s">
        <v>934</v>
      </c>
      <c r="B42" s="307" t="s">
        <v>865</v>
      </c>
      <c r="C42" s="347" t="s">
        <v>554</v>
      </c>
      <c r="D42" s="299"/>
      <c r="E42" s="297">
        <v>46240</v>
      </c>
      <c r="F42" s="298"/>
      <c r="G42" s="313" t="s">
        <v>561</v>
      </c>
      <c r="H42" s="299" t="s">
        <v>867</v>
      </c>
      <c r="I42" s="298" t="s">
        <v>258</v>
      </c>
      <c r="J42" s="298" t="s">
        <v>259</v>
      </c>
      <c r="K42" s="322" t="s">
        <v>113</v>
      </c>
      <c r="L42" s="298">
        <v>10</v>
      </c>
      <c r="M42" s="310">
        <v>472222.22</v>
      </c>
      <c r="N42" s="309">
        <v>4722222.1999999993</v>
      </c>
      <c r="O42" s="309">
        <v>377777.77599999995</v>
      </c>
      <c r="P42" s="309">
        <v>5099999.9759999989</v>
      </c>
      <c r="Q42" s="310"/>
      <c r="R42" s="310"/>
      <c r="S42" s="310"/>
    </row>
    <row r="43" spans="1:19">
      <c r="A43" s="586" t="s">
        <v>934</v>
      </c>
      <c r="B43" s="307" t="s">
        <v>865</v>
      </c>
      <c r="C43" s="347" t="s">
        <v>554</v>
      </c>
      <c r="D43" s="299"/>
      <c r="E43" s="297">
        <v>46240</v>
      </c>
      <c r="F43" s="298"/>
      <c r="G43" s="313" t="s">
        <v>561</v>
      </c>
      <c r="H43" s="299" t="s">
        <v>867</v>
      </c>
      <c r="I43" s="298" t="s">
        <v>260</v>
      </c>
      <c r="J43" s="298" t="s">
        <v>261</v>
      </c>
      <c r="K43" s="322" t="s">
        <v>412</v>
      </c>
      <c r="L43" s="298">
        <v>10</v>
      </c>
      <c r="M43" s="310">
        <v>492592.6</v>
      </c>
      <c r="N43" s="309">
        <v>4925926</v>
      </c>
      <c r="O43" s="309">
        <v>394074.08</v>
      </c>
      <c r="P43" s="309">
        <v>5320000.08</v>
      </c>
      <c r="Q43" s="310"/>
      <c r="R43" s="310"/>
      <c r="S43" s="310"/>
    </row>
    <row r="44" spans="1:19">
      <c r="A44" s="586" t="s">
        <v>934</v>
      </c>
      <c r="B44" s="307" t="s">
        <v>865</v>
      </c>
      <c r="C44" s="348">
        <v>46328</v>
      </c>
      <c r="D44" s="299"/>
      <c r="E44" s="297"/>
      <c r="F44" s="298"/>
      <c r="G44" s="313" t="s">
        <v>562</v>
      </c>
      <c r="H44" s="429" t="s">
        <v>563</v>
      </c>
      <c r="I44" s="298" t="s">
        <v>386</v>
      </c>
      <c r="J44" s="298" t="s">
        <v>387</v>
      </c>
      <c r="K44" s="322" t="s">
        <v>113</v>
      </c>
      <c r="L44" s="298">
        <v>-12</v>
      </c>
      <c r="M44" s="310">
        <v>847222.22</v>
      </c>
      <c r="N44" s="309">
        <v>-10166666.640000001</v>
      </c>
      <c r="O44" s="309">
        <v>-813333.33120000002</v>
      </c>
      <c r="P44" s="309">
        <v>-10979999.9712</v>
      </c>
      <c r="Q44" s="310"/>
      <c r="R44" s="310"/>
      <c r="S44" s="310"/>
    </row>
    <row r="45" spans="1:19">
      <c r="A45" s="586" t="s">
        <v>934</v>
      </c>
      <c r="B45" s="307" t="s">
        <v>865</v>
      </c>
      <c r="C45" s="347">
        <v>46148</v>
      </c>
      <c r="D45" s="299"/>
      <c r="E45" s="297">
        <v>46240</v>
      </c>
      <c r="F45" s="298"/>
      <c r="G45" s="313" t="s">
        <v>561</v>
      </c>
      <c r="H45" s="299" t="s">
        <v>867</v>
      </c>
      <c r="I45" s="298" t="s">
        <v>204</v>
      </c>
      <c r="J45" s="298" t="s">
        <v>269</v>
      </c>
      <c r="K45" s="322" t="s">
        <v>25</v>
      </c>
      <c r="L45" s="298">
        <v>16</v>
      </c>
      <c r="M45" s="310">
        <v>480555.55</v>
      </c>
      <c r="N45" s="309">
        <v>7688888.7999999998</v>
      </c>
      <c r="O45" s="309">
        <v>615111.10400000005</v>
      </c>
      <c r="P45" s="309">
        <v>8303999.9040000001</v>
      </c>
      <c r="Q45" s="310"/>
      <c r="R45" s="310"/>
      <c r="S45" s="310"/>
    </row>
    <row r="46" spans="1:19">
      <c r="A46" s="586" t="s">
        <v>934</v>
      </c>
      <c r="B46" s="307" t="s">
        <v>865</v>
      </c>
      <c r="C46" s="347">
        <v>46148</v>
      </c>
      <c r="D46" s="299"/>
      <c r="E46" s="297">
        <v>46240</v>
      </c>
      <c r="F46" s="298"/>
      <c r="G46" s="313" t="s">
        <v>561</v>
      </c>
      <c r="H46" s="299" t="s">
        <v>867</v>
      </c>
      <c r="I46" s="298" t="s">
        <v>557</v>
      </c>
      <c r="J46" s="298" t="s">
        <v>209</v>
      </c>
      <c r="K46" s="322" t="s">
        <v>25</v>
      </c>
      <c r="L46" s="298">
        <v>16</v>
      </c>
      <c r="M46" s="310">
        <v>647222.22</v>
      </c>
      <c r="N46" s="309">
        <v>10355555.52</v>
      </c>
      <c r="O46" s="309">
        <v>828444.44160000002</v>
      </c>
      <c r="P46" s="309">
        <v>11183999.9616</v>
      </c>
      <c r="Q46" s="310"/>
      <c r="R46" s="310"/>
      <c r="S46" s="310"/>
    </row>
    <row r="47" spans="1:19">
      <c r="A47" s="586" t="s">
        <v>934</v>
      </c>
      <c r="B47" s="307" t="s">
        <v>865</v>
      </c>
      <c r="C47" s="347">
        <v>46148</v>
      </c>
      <c r="D47" s="299"/>
      <c r="E47" s="297">
        <v>46240</v>
      </c>
      <c r="F47" s="298"/>
      <c r="G47" s="313" t="s">
        <v>561</v>
      </c>
      <c r="H47" s="299" t="s">
        <v>867</v>
      </c>
      <c r="I47" s="298" t="s">
        <v>77</v>
      </c>
      <c r="J47" s="298" t="s">
        <v>78</v>
      </c>
      <c r="K47" s="322" t="s">
        <v>25</v>
      </c>
      <c r="L47" s="298">
        <v>12</v>
      </c>
      <c r="M47" s="310">
        <v>324074.07</v>
      </c>
      <c r="N47" s="309">
        <v>3888888.84</v>
      </c>
      <c r="O47" s="309">
        <v>311111.10719999997</v>
      </c>
      <c r="P47" s="309">
        <v>4199999.9472000003</v>
      </c>
      <c r="Q47" s="310"/>
      <c r="R47" s="310"/>
      <c r="S47" s="310"/>
    </row>
    <row r="48" spans="1:19">
      <c r="A48" s="586" t="s">
        <v>934</v>
      </c>
      <c r="B48" s="307" t="s">
        <v>865</v>
      </c>
      <c r="C48" s="347">
        <v>46148</v>
      </c>
      <c r="D48" s="299"/>
      <c r="E48" s="297">
        <v>46240</v>
      </c>
      <c r="F48" s="298"/>
      <c r="G48" s="313" t="s">
        <v>561</v>
      </c>
      <c r="H48" s="299" t="s">
        <v>867</v>
      </c>
      <c r="I48" s="298" t="s">
        <v>262</v>
      </c>
      <c r="J48" s="298" t="s">
        <v>564</v>
      </c>
      <c r="K48" s="322" t="s">
        <v>25</v>
      </c>
      <c r="L48" s="298">
        <v>10</v>
      </c>
      <c r="M48" s="310">
        <v>851851.85</v>
      </c>
      <c r="N48" s="309">
        <v>8518518.5</v>
      </c>
      <c r="O48" s="309">
        <v>681481.48</v>
      </c>
      <c r="P48" s="309">
        <v>9199999.9800000004</v>
      </c>
      <c r="Q48" s="310"/>
      <c r="R48" s="310"/>
      <c r="S48" s="310"/>
    </row>
    <row r="49" spans="1:19">
      <c r="A49" s="586" t="s">
        <v>934</v>
      </c>
      <c r="B49" s="307" t="s">
        <v>865</v>
      </c>
      <c r="C49" s="347">
        <v>46148</v>
      </c>
      <c r="D49" s="299"/>
      <c r="E49" s="297">
        <v>46240</v>
      </c>
      <c r="F49" s="298"/>
      <c r="G49" s="313" t="s">
        <v>561</v>
      </c>
      <c r="H49" s="299" t="s">
        <v>867</v>
      </c>
      <c r="I49" s="298" t="s">
        <v>74</v>
      </c>
      <c r="J49" s="298" t="s">
        <v>141</v>
      </c>
      <c r="K49" s="322" t="s">
        <v>113</v>
      </c>
      <c r="L49" s="298">
        <v>16</v>
      </c>
      <c r="M49" s="310">
        <v>382777.78</v>
      </c>
      <c r="N49" s="309">
        <v>6124444.4800000004</v>
      </c>
      <c r="O49" s="309">
        <v>489955.55840000004</v>
      </c>
      <c r="P49" s="309">
        <v>6614400.0384000009</v>
      </c>
      <c r="Q49" s="310"/>
      <c r="R49" s="310"/>
      <c r="S49" s="310"/>
    </row>
    <row r="50" spans="1:19">
      <c r="A50" s="586" t="s">
        <v>934</v>
      </c>
      <c r="B50" s="307" t="s">
        <v>865</v>
      </c>
      <c r="C50" s="347">
        <v>46148</v>
      </c>
      <c r="D50" s="299"/>
      <c r="E50" s="297"/>
      <c r="F50" s="298"/>
      <c r="G50" s="313"/>
      <c r="H50" s="299" t="s">
        <v>867</v>
      </c>
      <c r="I50" s="298" t="s">
        <v>85</v>
      </c>
      <c r="J50" s="298" t="s">
        <v>86</v>
      </c>
      <c r="K50" s="322" t="s">
        <v>113</v>
      </c>
      <c r="L50" s="298">
        <v>100</v>
      </c>
      <c r="M50" s="310">
        <v>509259.26</v>
      </c>
      <c r="N50" s="309">
        <v>50925926</v>
      </c>
      <c r="O50" s="309">
        <v>4074074.08</v>
      </c>
      <c r="P50" s="309">
        <v>55000000.079999998</v>
      </c>
      <c r="Q50" s="310"/>
      <c r="R50" s="310"/>
      <c r="S50" s="310"/>
    </row>
    <row r="51" spans="1:19">
      <c r="A51" s="586" t="s">
        <v>934</v>
      </c>
      <c r="B51" s="307" t="s">
        <v>865</v>
      </c>
      <c r="C51" s="347" t="s">
        <v>405</v>
      </c>
      <c r="D51" s="299"/>
      <c r="E51" s="297"/>
      <c r="F51" s="298"/>
      <c r="G51" s="313"/>
      <c r="H51" s="299" t="s">
        <v>867</v>
      </c>
      <c r="I51" s="298" t="s">
        <v>90</v>
      </c>
      <c r="J51" s="298" t="s">
        <v>91</v>
      </c>
      <c r="K51" s="322" t="s">
        <v>92</v>
      </c>
      <c r="L51" s="298">
        <v>40</v>
      </c>
      <c r="M51" s="310">
        <v>814814.81</v>
      </c>
      <c r="N51" s="309">
        <v>32592592.400000002</v>
      </c>
      <c r="O51" s="309">
        <v>2607407.3920000005</v>
      </c>
      <c r="P51" s="309">
        <v>35199999.792000003</v>
      </c>
      <c r="Q51" s="310"/>
      <c r="R51" s="310"/>
      <c r="S51" s="310"/>
    </row>
    <row r="52" spans="1:19">
      <c r="A52" s="586" t="s">
        <v>934</v>
      </c>
      <c r="B52" s="307" t="s">
        <v>865</v>
      </c>
      <c r="C52" s="347" t="s">
        <v>405</v>
      </c>
      <c r="D52" s="299"/>
      <c r="E52" s="297"/>
      <c r="F52" s="298"/>
      <c r="G52" s="313"/>
      <c r="H52" s="299" t="s">
        <v>867</v>
      </c>
      <c r="I52" s="298" t="s">
        <v>93</v>
      </c>
      <c r="J52" s="298" t="s">
        <v>94</v>
      </c>
      <c r="K52" s="322" t="s">
        <v>92</v>
      </c>
      <c r="L52" s="298">
        <v>20</v>
      </c>
      <c r="M52" s="310">
        <v>907407.41</v>
      </c>
      <c r="N52" s="309">
        <v>18148148.199999999</v>
      </c>
      <c r="O52" s="309">
        <v>1451851.8559999999</v>
      </c>
      <c r="P52" s="309">
        <v>19600000.055999998</v>
      </c>
      <c r="Q52" s="310"/>
      <c r="R52" s="310"/>
      <c r="S52" s="310"/>
    </row>
    <row r="53" spans="1:19">
      <c r="A53" s="586" t="s">
        <v>934</v>
      </c>
      <c r="B53" s="307" t="s">
        <v>865</v>
      </c>
      <c r="C53" s="347" t="s">
        <v>565</v>
      </c>
      <c r="D53" s="299"/>
      <c r="E53" s="297"/>
      <c r="F53" s="298"/>
      <c r="G53" s="313"/>
      <c r="H53" s="299" t="s">
        <v>867</v>
      </c>
      <c r="I53" s="298" t="s">
        <v>566</v>
      </c>
      <c r="J53" s="298" t="s">
        <v>567</v>
      </c>
      <c r="K53" s="322" t="s">
        <v>18</v>
      </c>
      <c r="L53" s="298">
        <v>50</v>
      </c>
      <c r="M53" s="310">
        <v>574074.06999999995</v>
      </c>
      <c r="N53" s="309">
        <v>28703703.499999996</v>
      </c>
      <c r="O53" s="309">
        <v>2296296.2799999998</v>
      </c>
      <c r="P53" s="309">
        <v>30999999.779999997</v>
      </c>
      <c r="Q53" s="310"/>
      <c r="R53" s="310"/>
      <c r="S53" s="310"/>
    </row>
    <row r="54" spans="1:19">
      <c r="A54" s="586" t="s">
        <v>934</v>
      </c>
      <c r="B54" s="307" t="s">
        <v>865</v>
      </c>
      <c r="C54" s="347" t="s">
        <v>565</v>
      </c>
      <c r="D54" s="299"/>
      <c r="E54" s="297">
        <v>46029</v>
      </c>
      <c r="F54" s="298"/>
      <c r="G54" s="313" t="s">
        <v>568</v>
      </c>
      <c r="H54" s="299" t="s">
        <v>867</v>
      </c>
      <c r="I54" s="298" t="s">
        <v>98</v>
      </c>
      <c r="J54" s="298" t="s">
        <v>251</v>
      </c>
      <c r="K54" s="322" t="s">
        <v>18</v>
      </c>
      <c r="L54" s="298">
        <v>50</v>
      </c>
      <c r="M54" s="310">
        <v>694444.44</v>
      </c>
      <c r="N54" s="309">
        <v>34722222</v>
      </c>
      <c r="O54" s="309">
        <v>2777777.7600000002</v>
      </c>
      <c r="P54" s="309">
        <v>37499999.759999998</v>
      </c>
      <c r="Q54" s="310"/>
      <c r="R54" s="310"/>
      <c r="S54" s="310"/>
    </row>
    <row r="55" spans="1:19">
      <c r="A55" s="586" t="s">
        <v>934</v>
      </c>
      <c r="B55" s="307" t="s">
        <v>865</v>
      </c>
      <c r="C55" s="347" t="s">
        <v>95</v>
      </c>
      <c r="D55" s="299"/>
      <c r="E55" s="297"/>
      <c r="F55" s="298"/>
      <c r="G55" s="313"/>
      <c r="H55" s="299" t="s">
        <v>859</v>
      </c>
      <c r="I55" s="298"/>
      <c r="J55" s="298"/>
      <c r="K55" s="322"/>
      <c r="L55" s="298"/>
      <c r="M55" s="310"/>
      <c r="N55" s="309">
        <v>0</v>
      </c>
      <c r="O55" s="309">
        <v>0</v>
      </c>
      <c r="P55" s="309">
        <v>0</v>
      </c>
      <c r="Q55" s="310">
        <v>71332402</v>
      </c>
      <c r="R55" s="310"/>
      <c r="S55" s="310"/>
    </row>
    <row r="56" spans="1:19">
      <c r="A56" s="586" t="s">
        <v>934</v>
      </c>
      <c r="B56" s="307" t="s">
        <v>865</v>
      </c>
      <c r="C56" s="347" t="s">
        <v>407</v>
      </c>
      <c r="D56" s="299"/>
      <c r="E56" s="297">
        <v>46029</v>
      </c>
      <c r="F56" s="298"/>
      <c r="G56" s="313" t="s">
        <v>568</v>
      </c>
      <c r="H56" s="299" t="s">
        <v>867</v>
      </c>
      <c r="I56" s="298" t="s">
        <v>161</v>
      </c>
      <c r="J56" s="298" t="s">
        <v>162</v>
      </c>
      <c r="K56" s="322" t="s">
        <v>18</v>
      </c>
      <c r="L56" s="298">
        <v>36</v>
      </c>
      <c r="M56" s="310">
        <v>231481.48</v>
      </c>
      <c r="N56" s="309">
        <v>8333333.2800000003</v>
      </c>
      <c r="O56" s="309">
        <v>666666.66240000003</v>
      </c>
      <c r="P56" s="309">
        <v>8999999.942400001</v>
      </c>
      <c r="Q56" s="310"/>
      <c r="R56" s="310"/>
      <c r="S56" s="310"/>
    </row>
    <row r="57" spans="1:19">
      <c r="A57" s="586" t="s">
        <v>934</v>
      </c>
      <c r="B57" s="307" t="s">
        <v>865</v>
      </c>
      <c r="C57" s="347" t="s">
        <v>407</v>
      </c>
      <c r="D57" s="299"/>
      <c r="E57" s="297">
        <v>46029</v>
      </c>
      <c r="F57" s="298"/>
      <c r="G57" s="313" t="s">
        <v>568</v>
      </c>
      <c r="H57" s="299" t="s">
        <v>867</v>
      </c>
      <c r="I57" s="298" t="s">
        <v>163</v>
      </c>
      <c r="J57" s="298" t="s">
        <v>164</v>
      </c>
      <c r="K57" s="322" t="s">
        <v>18</v>
      </c>
      <c r="L57" s="298">
        <v>40</v>
      </c>
      <c r="M57" s="310">
        <v>185185.19</v>
      </c>
      <c r="N57" s="309">
        <v>7407407.5999999996</v>
      </c>
      <c r="O57" s="309">
        <v>592592.60800000001</v>
      </c>
      <c r="P57" s="309">
        <v>8000000.2079999996</v>
      </c>
      <c r="Q57" s="310"/>
      <c r="R57" s="310"/>
      <c r="S57" s="310"/>
    </row>
    <row r="58" spans="1:19">
      <c r="A58" s="586" t="s">
        <v>934</v>
      </c>
      <c r="B58" s="307" t="s">
        <v>865</v>
      </c>
      <c r="C58" s="347" t="s">
        <v>407</v>
      </c>
      <c r="D58" s="299"/>
      <c r="E58" s="297">
        <v>46029</v>
      </c>
      <c r="F58" s="298"/>
      <c r="G58" s="313" t="s">
        <v>568</v>
      </c>
      <c r="H58" s="299" t="s">
        <v>867</v>
      </c>
      <c r="I58" s="298" t="s">
        <v>165</v>
      </c>
      <c r="J58" s="298" t="s">
        <v>409</v>
      </c>
      <c r="K58" s="322" t="s">
        <v>18</v>
      </c>
      <c r="L58" s="298">
        <v>60</v>
      </c>
      <c r="M58" s="310">
        <v>203703.7</v>
      </c>
      <c r="N58" s="309">
        <v>12222222</v>
      </c>
      <c r="O58" s="309">
        <v>977777.76</v>
      </c>
      <c r="P58" s="309">
        <v>13199999.76</v>
      </c>
      <c r="Q58" s="310"/>
      <c r="R58" s="310"/>
      <c r="S58" s="310"/>
    </row>
    <row r="59" spans="1:19">
      <c r="A59" s="586" t="s">
        <v>934</v>
      </c>
      <c r="B59" s="307" t="s">
        <v>865</v>
      </c>
      <c r="C59" s="347" t="s">
        <v>407</v>
      </c>
      <c r="D59" s="299"/>
      <c r="E59" s="297">
        <v>46029</v>
      </c>
      <c r="F59" s="298"/>
      <c r="G59" s="313" t="s">
        <v>568</v>
      </c>
      <c r="H59" s="299" t="s">
        <v>867</v>
      </c>
      <c r="I59" s="298" t="s">
        <v>167</v>
      </c>
      <c r="J59" s="298" t="s">
        <v>410</v>
      </c>
      <c r="K59" s="322" t="s">
        <v>18</v>
      </c>
      <c r="L59" s="298">
        <v>60</v>
      </c>
      <c r="M59" s="310">
        <v>231481.48</v>
      </c>
      <c r="N59" s="309">
        <v>13888888.800000001</v>
      </c>
      <c r="O59" s="309">
        <v>1111111.1040000001</v>
      </c>
      <c r="P59" s="309">
        <v>14999999.904000001</v>
      </c>
      <c r="Q59" s="310"/>
      <c r="R59" s="310"/>
      <c r="S59" s="310"/>
    </row>
    <row r="60" spans="1:19">
      <c r="A60" s="586" t="s">
        <v>934</v>
      </c>
      <c r="B60" s="307" t="s">
        <v>865</v>
      </c>
      <c r="C60" s="347" t="s">
        <v>407</v>
      </c>
      <c r="D60" s="299"/>
      <c r="E60" s="297">
        <v>46029</v>
      </c>
      <c r="F60" s="298"/>
      <c r="G60" s="313" t="s">
        <v>568</v>
      </c>
      <c r="H60" s="299" t="s">
        <v>867</v>
      </c>
      <c r="I60" s="298" t="s">
        <v>169</v>
      </c>
      <c r="J60" s="298" t="s">
        <v>170</v>
      </c>
      <c r="K60" s="322" t="s">
        <v>18</v>
      </c>
      <c r="L60" s="298">
        <v>40</v>
      </c>
      <c r="M60" s="310">
        <v>425925.93</v>
      </c>
      <c r="N60" s="309">
        <v>17037037.199999999</v>
      </c>
      <c r="O60" s="309">
        <v>1362962.976</v>
      </c>
      <c r="P60" s="309">
        <v>18400000.175999999</v>
      </c>
      <c r="Q60" s="310"/>
      <c r="R60" s="310"/>
      <c r="S60" s="310"/>
    </row>
    <row r="61" spans="1:19">
      <c r="A61" s="586" t="s">
        <v>934</v>
      </c>
      <c r="B61" s="307" t="s">
        <v>865</v>
      </c>
      <c r="C61" s="348" t="s">
        <v>570</v>
      </c>
      <c r="D61" s="299"/>
      <c r="E61" s="297">
        <v>46088</v>
      </c>
      <c r="F61" s="298"/>
      <c r="G61" s="313" t="s">
        <v>571</v>
      </c>
      <c r="H61" s="299" t="s">
        <v>867</v>
      </c>
      <c r="I61" s="298" t="s">
        <v>28</v>
      </c>
      <c r="J61" s="298" t="s">
        <v>29</v>
      </c>
      <c r="K61" s="322" t="s">
        <v>18</v>
      </c>
      <c r="L61" s="298">
        <v>30</v>
      </c>
      <c r="M61" s="310">
        <v>281481.48</v>
      </c>
      <c r="N61" s="309">
        <v>8444444.3999999985</v>
      </c>
      <c r="O61" s="309">
        <v>675555.55199999991</v>
      </c>
      <c r="P61" s="309">
        <v>9119999.9519999977</v>
      </c>
      <c r="Q61" s="310"/>
      <c r="R61" s="310"/>
      <c r="S61" s="310"/>
    </row>
    <row r="62" spans="1:19">
      <c r="A62" s="586" t="s">
        <v>934</v>
      </c>
      <c r="B62" s="307" t="s">
        <v>865</v>
      </c>
      <c r="C62" s="348" t="s">
        <v>570</v>
      </c>
      <c r="D62" s="299"/>
      <c r="E62" s="297">
        <v>46088</v>
      </c>
      <c r="F62" s="298"/>
      <c r="G62" s="313" t="s">
        <v>571</v>
      </c>
      <c r="H62" s="299" t="s">
        <v>867</v>
      </c>
      <c r="I62" s="298" t="s">
        <v>243</v>
      </c>
      <c r="J62" s="298" t="s">
        <v>249</v>
      </c>
      <c r="K62" s="322" t="s">
        <v>18</v>
      </c>
      <c r="L62" s="298">
        <v>20</v>
      </c>
      <c r="M62" s="310">
        <v>298148.15000000002</v>
      </c>
      <c r="N62" s="309">
        <v>5962963</v>
      </c>
      <c r="O62" s="309">
        <v>477037.04000000004</v>
      </c>
      <c r="P62" s="309">
        <v>6440000.04</v>
      </c>
      <c r="Q62" s="310"/>
      <c r="R62" s="310"/>
      <c r="S62" s="310"/>
    </row>
    <row r="63" spans="1:19">
      <c r="A63" s="586" t="s">
        <v>934</v>
      </c>
      <c r="B63" s="307" t="s">
        <v>865</v>
      </c>
      <c r="C63" s="348" t="s">
        <v>570</v>
      </c>
      <c r="D63" s="299"/>
      <c r="E63" s="297">
        <v>46088</v>
      </c>
      <c r="F63" s="298"/>
      <c r="G63" s="313" t="s">
        <v>571</v>
      </c>
      <c r="H63" s="299" t="s">
        <v>867</v>
      </c>
      <c r="I63" s="298" t="s">
        <v>30</v>
      </c>
      <c r="J63" s="298" t="s">
        <v>31</v>
      </c>
      <c r="K63" s="322" t="s">
        <v>18</v>
      </c>
      <c r="L63" s="298">
        <v>30</v>
      </c>
      <c r="M63" s="310">
        <v>259259.25</v>
      </c>
      <c r="N63" s="309">
        <v>7777777.5</v>
      </c>
      <c r="O63" s="309">
        <v>622222.20000000007</v>
      </c>
      <c r="P63" s="309">
        <v>8399999.6999999993</v>
      </c>
      <c r="Q63" s="310"/>
      <c r="R63" s="310"/>
      <c r="S63" s="310"/>
    </row>
    <row r="64" spans="1:19">
      <c r="A64" s="586" t="s">
        <v>934</v>
      </c>
      <c r="B64" s="307" t="s">
        <v>865</v>
      </c>
      <c r="C64" s="348" t="s">
        <v>570</v>
      </c>
      <c r="D64" s="299"/>
      <c r="E64" s="297">
        <v>46088</v>
      </c>
      <c r="F64" s="298"/>
      <c r="G64" s="313" t="s">
        <v>571</v>
      </c>
      <c r="H64" s="299" t="s">
        <v>867</v>
      </c>
      <c r="I64" s="298" t="s">
        <v>301</v>
      </c>
      <c r="J64" s="298" t="s">
        <v>361</v>
      </c>
      <c r="K64" s="322" t="s">
        <v>18</v>
      </c>
      <c r="L64" s="298">
        <v>30</v>
      </c>
      <c r="M64" s="310">
        <v>268518.52</v>
      </c>
      <c r="N64" s="309">
        <v>8055555.6000000006</v>
      </c>
      <c r="O64" s="309">
        <v>644444.44800000009</v>
      </c>
      <c r="P64" s="309">
        <v>8700000.0480000004</v>
      </c>
      <c r="Q64" s="310"/>
      <c r="R64" s="310"/>
      <c r="S64" s="310"/>
    </row>
    <row r="65" spans="1:19">
      <c r="A65" s="586" t="s">
        <v>934</v>
      </c>
      <c r="B65" s="307" t="s">
        <v>865</v>
      </c>
      <c r="C65" s="348" t="s">
        <v>570</v>
      </c>
      <c r="D65" s="299"/>
      <c r="E65" s="297">
        <v>46088</v>
      </c>
      <c r="F65" s="298"/>
      <c r="G65" s="313" t="s">
        <v>571</v>
      </c>
      <c r="H65" s="299" t="s">
        <v>867</v>
      </c>
      <c r="I65" s="298" t="s">
        <v>36</v>
      </c>
      <c r="J65" s="298" t="s">
        <v>37</v>
      </c>
      <c r="K65" s="322" t="s">
        <v>18</v>
      </c>
      <c r="L65" s="298">
        <v>40</v>
      </c>
      <c r="M65" s="310">
        <v>259259.25</v>
      </c>
      <c r="N65" s="309">
        <v>10370370</v>
      </c>
      <c r="O65" s="309">
        <v>829629.6</v>
      </c>
      <c r="P65" s="309">
        <v>11199999.6</v>
      </c>
      <c r="Q65" s="310"/>
      <c r="R65" s="310"/>
      <c r="S65" s="310"/>
    </row>
    <row r="66" spans="1:19">
      <c r="A66" s="586" t="s">
        <v>934</v>
      </c>
      <c r="B66" s="307" t="s">
        <v>865</v>
      </c>
      <c r="C66" s="348" t="s">
        <v>570</v>
      </c>
      <c r="D66" s="299"/>
      <c r="E66" s="297">
        <v>46088</v>
      </c>
      <c r="F66" s="298"/>
      <c r="G66" s="313" t="s">
        <v>571</v>
      </c>
      <c r="H66" s="299" t="s">
        <v>867</v>
      </c>
      <c r="I66" s="298" t="s">
        <v>38</v>
      </c>
      <c r="J66" s="298" t="s">
        <v>39</v>
      </c>
      <c r="K66" s="322" t="s">
        <v>18</v>
      </c>
      <c r="L66" s="298">
        <v>20</v>
      </c>
      <c r="M66" s="310">
        <v>277777.8</v>
      </c>
      <c r="N66" s="309">
        <v>5555556</v>
      </c>
      <c r="O66" s="309">
        <v>444444.48</v>
      </c>
      <c r="P66" s="309">
        <v>6000000.4800000004</v>
      </c>
      <c r="Q66" s="310"/>
      <c r="R66" s="310"/>
      <c r="S66" s="310"/>
    </row>
    <row r="67" spans="1:19">
      <c r="A67" s="586" t="s">
        <v>934</v>
      </c>
      <c r="B67" s="307" t="s">
        <v>865</v>
      </c>
      <c r="C67" s="348">
        <v>46210</v>
      </c>
      <c r="D67" s="299"/>
      <c r="E67" s="297">
        <v>46241</v>
      </c>
      <c r="F67" s="298"/>
      <c r="G67" s="313" t="s">
        <v>572</v>
      </c>
      <c r="H67" s="299" t="s">
        <v>867</v>
      </c>
      <c r="I67" s="298" t="s">
        <v>204</v>
      </c>
      <c r="J67" s="298" t="s">
        <v>269</v>
      </c>
      <c r="K67" s="322" t="s">
        <v>25</v>
      </c>
      <c r="L67" s="298">
        <v>20</v>
      </c>
      <c r="M67" s="310">
        <v>480555.55</v>
      </c>
      <c r="N67" s="309">
        <v>9611111</v>
      </c>
      <c r="O67" s="309">
        <v>768888.88</v>
      </c>
      <c r="P67" s="309">
        <v>10379999.880000001</v>
      </c>
      <c r="Q67" s="310"/>
      <c r="R67" s="310"/>
      <c r="S67" s="310"/>
    </row>
    <row r="68" spans="1:19">
      <c r="A68" s="586" t="s">
        <v>934</v>
      </c>
      <c r="B68" s="307" t="s">
        <v>865</v>
      </c>
      <c r="C68" s="348">
        <v>46210</v>
      </c>
      <c r="D68" s="299"/>
      <c r="E68" s="297">
        <v>46241</v>
      </c>
      <c r="F68" s="298"/>
      <c r="G68" s="313" t="s">
        <v>572</v>
      </c>
      <c r="H68" s="299" t="s">
        <v>867</v>
      </c>
      <c r="I68" s="298" t="s">
        <v>206</v>
      </c>
      <c r="J68" s="298" t="s">
        <v>369</v>
      </c>
      <c r="K68" s="322" t="s">
        <v>113</v>
      </c>
      <c r="L68" s="298">
        <v>20</v>
      </c>
      <c r="M68" s="310">
        <v>483333.33</v>
      </c>
      <c r="N68" s="309">
        <v>9666666.5999999996</v>
      </c>
      <c r="O68" s="309">
        <v>773333.32799999998</v>
      </c>
      <c r="P68" s="309">
        <v>10439999.927999999</v>
      </c>
      <c r="Q68" s="310"/>
      <c r="R68" s="310"/>
      <c r="S68" s="310"/>
    </row>
    <row r="69" spans="1:19">
      <c r="A69" s="586" t="s">
        <v>934</v>
      </c>
      <c r="B69" s="307" t="s">
        <v>865</v>
      </c>
      <c r="C69" s="348">
        <v>46210</v>
      </c>
      <c r="D69" s="299"/>
      <c r="E69" s="297">
        <v>46241</v>
      </c>
      <c r="F69" s="298"/>
      <c r="G69" s="313" t="s">
        <v>572</v>
      </c>
      <c r="H69" s="299" t="s">
        <v>867</v>
      </c>
      <c r="I69" s="298" t="s">
        <v>77</v>
      </c>
      <c r="J69" s="298" t="s">
        <v>78</v>
      </c>
      <c r="K69" s="322" t="s">
        <v>113</v>
      </c>
      <c r="L69" s="298">
        <v>40</v>
      </c>
      <c r="M69" s="310">
        <v>324074.07</v>
      </c>
      <c r="N69" s="309">
        <v>12962962.800000001</v>
      </c>
      <c r="O69" s="309">
        <v>1037037.0240000001</v>
      </c>
      <c r="P69" s="309">
        <v>13999999.824000001</v>
      </c>
      <c r="Q69" s="310"/>
      <c r="R69" s="310"/>
      <c r="S69" s="310"/>
    </row>
    <row r="70" spans="1:19">
      <c r="A70" s="586" t="s">
        <v>934</v>
      </c>
      <c r="B70" s="307" t="s">
        <v>865</v>
      </c>
      <c r="C70" s="348">
        <v>46210</v>
      </c>
      <c r="D70" s="299"/>
      <c r="E70" s="297">
        <v>46241</v>
      </c>
      <c r="F70" s="298"/>
      <c r="G70" s="313" t="s">
        <v>572</v>
      </c>
      <c r="H70" s="299" t="s">
        <v>867</v>
      </c>
      <c r="I70" s="298" t="s">
        <v>557</v>
      </c>
      <c r="J70" s="298" t="s">
        <v>209</v>
      </c>
      <c r="K70" s="322" t="s">
        <v>25</v>
      </c>
      <c r="L70" s="298">
        <v>10</v>
      </c>
      <c r="M70" s="310">
        <v>647222.22</v>
      </c>
      <c r="N70" s="309">
        <v>6472222.1999999993</v>
      </c>
      <c r="O70" s="309">
        <v>517777.77599999995</v>
      </c>
      <c r="P70" s="309">
        <v>6989999.9759999989</v>
      </c>
      <c r="Q70" s="310"/>
      <c r="R70" s="310"/>
      <c r="S70" s="310"/>
    </row>
    <row r="71" spans="1:19">
      <c r="A71" s="586" t="s">
        <v>934</v>
      </c>
      <c r="B71" s="307" t="s">
        <v>865</v>
      </c>
      <c r="C71" s="348">
        <v>46210</v>
      </c>
      <c r="D71" s="299"/>
      <c r="E71" s="297">
        <v>46241</v>
      </c>
      <c r="F71" s="298"/>
      <c r="G71" s="313" t="s">
        <v>572</v>
      </c>
      <c r="H71" s="299" t="s">
        <v>867</v>
      </c>
      <c r="I71" s="298" t="s">
        <v>26</v>
      </c>
      <c r="J71" s="298" t="s">
        <v>27</v>
      </c>
      <c r="K71" s="322" t="s">
        <v>113</v>
      </c>
      <c r="L71" s="298">
        <v>30</v>
      </c>
      <c r="M71" s="310">
        <v>256481.48</v>
      </c>
      <c r="N71" s="309">
        <v>7694444.4000000004</v>
      </c>
      <c r="O71" s="309">
        <v>615555.55200000003</v>
      </c>
      <c r="P71" s="309">
        <v>8309999.9520000005</v>
      </c>
      <c r="Q71" s="310"/>
      <c r="R71" s="310"/>
      <c r="S71" s="310"/>
    </row>
    <row r="72" spans="1:19">
      <c r="A72" s="586" t="s">
        <v>934</v>
      </c>
      <c r="B72" s="307" t="s">
        <v>865</v>
      </c>
      <c r="C72" s="348">
        <v>46210</v>
      </c>
      <c r="D72" s="299"/>
      <c r="E72" s="297">
        <v>46241</v>
      </c>
      <c r="F72" s="298"/>
      <c r="G72" s="313" t="s">
        <v>572</v>
      </c>
      <c r="H72" s="299" t="s">
        <v>867</v>
      </c>
      <c r="I72" s="298" t="s">
        <v>184</v>
      </c>
      <c r="J72" s="298" t="s">
        <v>272</v>
      </c>
      <c r="K72" s="322" t="s">
        <v>113</v>
      </c>
      <c r="L72" s="298">
        <v>30</v>
      </c>
      <c r="M72" s="310">
        <v>240740.74</v>
      </c>
      <c r="N72" s="309">
        <v>7222222.1999999993</v>
      </c>
      <c r="O72" s="309">
        <v>577777.77599999995</v>
      </c>
      <c r="P72" s="309">
        <v>7799999.9759999989</v>
      </c>
      <c r="Q72" s="310"/>
      <c r="R72" s="310"/>
      <c r="S72" s="310"/>
    </row>
    <row r="73" spans="1:19">
      <c r="A73" s="586" t="s">
        <v>934</v>
      </c>
      <c r="B73" s="307" t="s">
        <v>865</v>
      </c>
      <c r="C73" s="348">
        <v>46210</v>
      </c>
      <c r="D73" s="299"/>
      <c r="E73" s="297">
        <v>46241</v>
      </c>
      <c r="F73" s="298"/>
      <c r="G73" s="313" t="s">
        <v>572</v>
      </c>
      <c r="H73" s="299" t="s">
        <v>867</v>
      </c>
      <c r="I73" s="298" t="s">
        <v>34</v>
      </c>
      <c r="J73" s="298" t="s">
        <v>35</v>
      </c>
      <c r="K73" s="322" t="s">
        <v>113</v>
      </c>
      <c r="L73" s="298">
        <v>30</v>
      </c>
      <c r="M73" s="310">
        <v>240740.74</v>
      </c>
      <c r="N73" s="309">
        <v>7222222.1999999993</v>
      </c>
      <c r="O73" s="309">
        <v>577777.77599999995</v>
      </c>
      <c r="P73" s="309">
        <v>7799999.9759999989</v>
      </c>
      <c r="Q73" s="310"/>
      <c r="R73" s="310"/>
      <c r="S73" s="310"/>
    </row>
    <row r="74" spans="1:19">
      <c r="A74" s="586" t="s">
        <v>934</v>
      </c>
      <c r="B74" s="307" t="s">
        <v>865</v>
      </c>
      <c r="C74" s="348">
        <v>46210</v>
      </c>
      <c r="D74" s="299"/>
      <c r="E74" s="297">
        <v>46241</v>
      </c>
      <c r="F74" s="298"/>
      <c r="G74" s="313" t="s">
        <v>572</v>
      </c>
      <c r="H74" s="299" t="s">
        <v>867</v>
      </c>
      <c r="I74" s="298" t="s">
        <v>279</v>
      </c>
      <c r="J74" s="298" t="s">
        <v>280</v>
      </c>
      <c r="K74" s="322" t="s">
        <v>113</v>
      </c>
      <c r="L74" s="298">
        <v>16</v>
      </c>
      <c r="M74" s="310">
        <v>387962.96</v>
      </c>
      <c r="N74" s="309">
        <v>6207407.3600000003</v>
      </c>
      <c r="O74" s="309">
        <v>496592.58880000003</v>
      </c>
      <c r="P74" s="309">
        <v>6703999.9488000004</v>
      </c>
      <c r="Q74" s="310"/>
      <c r="R74" s="310"/>
      <c r="S74" s="310"/>
    </row>
    <row r="75" spans="1:19">
      <c r="A75" s="586" t="s">
        <v>934</v>
      </c>
      <c r="B75" s="307" t="s">
        <v>865</v>
      </c>
      <c r="C75" s="348">
        <v>46210</v>
      </c>
      <c r="D75" s="299"/>
      <c r="E75" s="297">
        <v>46241</v>
      </c>
      <c r="F75" s="298"/>
      <c r="G75" s="313" t="s">
        <v>572</v>
      </c>
      <c r="H75" s="299" t="s">
        <v>867</v>
      </c>
      <c r="I75" s="298" t="s">
        <v>258</v>
      </c>
      <c r="J75" s="298" t="s">
        <v>259</v>
      </c>
      <c r="K75" s="322" t="s">
        <v>113</v>
      </c>
      <c r="L75" s="298">
        <v>16</v>
      </c>
      <c r="M75" s="310">
        <v>472222.22</v>
      </c>
      <c r="N75" s="309">
        <v>7555555.5199999996</v>
      </c>
      <c r="O75" s="309">
        <v>604444.44160000002</v>
      </c>
      <c r="P75" s="309">
        <v>8159999.9616</v>
      </c>
      <c r="Q75" s="310"/>
      <c r="R75" s="310"/>
      <c r="S75" s="310"/>
    </row>
    <row r="76" spans="1:19">
      <c r="A76" s="586" t="s">
        <v>934</v>
      </c>
      <c r="B76" s="307" t="s">
        <v>865</v>
      </c>
      <c r="C76" s="348">
        <v>46210</v>
      </c>
      <c r="D76" s="299"/>
      <c r="E76" s="297">
        <v>46241</v>
      </c>
      <c r="F76" s="298"/>
      <c r="G76" s="313" t="s">
        <v>572</v>
      </c>
      <c r="H76" s="299" t="s">
        <v>867</v>
      </c>
      <c r="I76" s="298" t="s">
        <v>260</v>
      </c>
      <c r="J76" s="298" t="s">
        <v>261</v>
      </c>
      <c r="K76" s="322" t="s">
        <v>412</v>
      </c>
      <c r="L76" s="298">
        <v>16</v>
      </c>
      <c r="M76" s="310">
        <v>492592.6</v>
      </c>
      <c r="N76" s="309">
        <v>7881481.5999999996</v>
      </c>
      <c r="O76" s="309">
        <v>630518.52799999993</v>
      </c>
      <c r="P76" s="309">
        <v>8512000.1279999986</v>
      </c>
      <c r="Q76" s="310"/>
      <c r="R76" s="310"/>
      <c r="S76" s="310"/>
    </row>
    <row r="77" spans="1:19">
      <c r="A77" s="586" t="s">
        <v>934</v>
      </c>
      <c r="B77" s="307" t="s">
        <v>865</v>
      </c>
      <c r="C77" s="348">
        <v>46210</v>
      </c>
      <c r="D77" s="299"/>
      <c r="E77" s="297">
        <v>46241</v>
      </c>
      <c r="F77" s="298"/>
      <c r="G77" s="313" t="s">
        <v>572</v>
      </c>
      <c r="H77" s="299" t="s">
        <v>867</v>
      </c>
      <c r="I77" s="298" t="s">
        <v>262</v>
      </c>
      <c r="J77" s="298" t="s">
        <v>564</v>
      </c>
      <c r="K77" s="322" t="s">
        <v>25</v>
      </c>
      <c r="L77" s="298">
        <v>10</v>
      </c>
      <c r="M77" s="310">
        <v>851851.85</v>
      </c>
      <c r="N77" s="309">
        <v>8518518.5</v>
      </c>
      <c r="O77" s="309">
        <v>681481.48</v>
      </c>
      <c r="P77" s="309">
        <v>9199999.9800000004</v>
      </c>
      <c r="Q77" s="310"/>
      <c r="R77" s="310"/>
      <c r="S77" s="310"/>
    </row>
    <row r="78" spans="1:19">
      <c r="A78" s="586" t="s">
        <v>934</v>
      </c>
      <c r="B78" s="307" t="s">
        <v>865</v>
      </c>
      <c r="C78" s="348">
        <v>46210</v>
      </c>
      <c r="D78" s="299"/>
      <c r="E78" s="297">
        <v>46241</v>
      </c>
      <c r="F78" s="298"/>
      <c r="G78" s="313" t="s">
        <v>572</v>
      </c>
      <c r="H78" s="299" t="s">
        <v>867</v>
      </c>
      <c r="I78" s="298" t="s">
        <v>48</v>
      </c>
      <c r="J78" s="298" t="s">
        <v>49</v>
      </c>
      <c r="K78" s="322" t="s">
        <v>113</v>
      </c>
      <c r="L78" s="298">
        <v>12</v>
      </c>
      <c r="M78" s="310">
        <v>601851.85</v>
      </c>
      <c r="N78" s="309">
        <v>7222222.1999999993</v>
      </c>
      <c r="O78" s="309">
        <v>577777.77599999995</v>
      </c>
      <c r="P78" s="309">
        <v>7799999.9759999989</v>
      </c>
      <c r="Q78" s="310"/>
      <c r="R78" s="310"/>
      <c r="S78" s="310"/>
    </row>
    <row r="79" spans="1:19">
      <c r="A79" s="586" t="s">
        <v>934</v>
      </c>
      <c r="B79" s="307" t="s">
        <v>865</v>
      </c>
      <c r="C79" s="348">
        <v>46210</v>
      </c>
      <c r="D79" s="299"/>
      <c r="E79" s="297">
        <v>46241</v>
      </c>
      <c r="F79" s="298"/>
      <c r="G79" s="313" t="s">
        <v>572</v>
      </c>
      <c r="H79" s="299" t="s">
        <v>867</v>
      </c>
      <c r="I79" s="298" t="s">
        <v>50</v>
      </c>
      <c r="J79" s="298" t="s">
        <v>51</v>
      </c>
      <c r="K79" s="322" t="s">
        <v>113</v>
      </c>
      <c r="L79" s="298">
        <v>12</v>
      </c>
      <c r="M79" s="310">
        <v>937962.96</v>
      </c>
      <c r="N79" s="309">
        <v>11255555.52</v>
      </c>
      <c r="O79" s="309">
        <v>900444.44160000002</v>
      </c>
      <c r="P79" s="309">
        <v>12155999.9616</v>
      </c>
      <c r="Q79" s="310"/>
      <c r="R79" s="310"/>
      <c r="S79" s="310"/>
    </row>
    <row r="80" spans="1:19">
      <c r="A80" s="586" t="s">
        <v>934</v>
      </c>
      <c r="B80" s="307" t="s">
        <v>865</v>
      </c>
      <c r="C80" s="348">
        <v>46210</v>
      </c>
      <c r="D80" s="299"/>
      <c r="E80" s="297">
        <v>46241</v>
      </c>
      <c r="F80" s="298"/>
      <c r="G80" s="313" t="s">
        <v>572</v>
      </c>
      <c r="H80" s="299" t="s">
        <v>867</v>
      </c>
      <c r="I80" s="298" t="s">
        <v>226</v>
      </c>
      <c r="J80" s="298" t="s">
        <v>573</v>
      </c>
      <c r="K80" s="322" t="s">
        <v>113</v>
      </c>
      <c r="L80" s="298">
        <v>12</v>
      </c>
      <c r="M80" s="310">
        <v>799074.07</v>
      </c>
      <c r="N80" s="309">
        <v>9588888.8399999999</v>
      </c>
      <c r="O80" s="309">
        <v>767111.10719999997</v>
      </c>
      <c r="P80" s="309">
        <v>10355999.9472</v>
      </c>
      <c r="Q80" s="310"/>
      <c r="R80" s="310"/>
      <c r="S80" s="310"/>
    </row>
    <row r="81" spans="1:19">
      <c r="A81" s="586" t="s">
        <v>934</v>
      </c>
      <c r="B81" s="307" t="s">
        <v>865</v>
      </c>
      <c r="C81" s="348">
        <v>46210</v>
      </c>
      <c r="D81" s="299"/>
      <c r="E81" s="297">
        <v>46241</v>
      </c>
      <c r="F81" s="298"/>
      <c r="G81" s="313" t="s">
        <v>572</v>
      </c>
      <c r="H81" s="299" t="s">
        <v>867</v>
      </c>
      <c r="I81" s="298" t="s">
        <v>52</v>
      </c>
      <c r="J81" s="298" t="s">
        <v>53</v>
      </c>
      <c r="K81" s="322" t="s">
        <v>113</v>
      </c>
      <c r="L81" s="298">
        <v>12</v>
      </c>
      <c r="M81" s="310">
        <v>1007407.4</v>
      </c>
      <c r="N81" s="309">
        <v>12088888.800000001</v>
      </c>
      <c r="O81" s="309">
        <v>967111.10400000005</v>
      </c>
      <c r="P81" s="309">
        <v>13055999.904000001</v>
      </c>
      <c r="Q81" s="310"/>
      <c r="R81" s="310"/>
      <c r="S81" s="310"/>
    </row>
    <row r="82" spans="1:19">
      <c r="A82" s="586" t="s">
        <v>934</v>
      </c>
      <c r="B82" s="307" t="s">
        <v>865</v>
      </c>
      <c r="C82" s="348">
        <v>46210</v>
      </c>
      <c r="D82" s="299"/>
      <c r="E82" s="297">
        <v>46241</v>
      </c>
      <c r="F82" s="298"/>
      <c r="G82" s="313" t="s">
        <v>572</v>
      </c>
      <c r="H82" s="299" t="s">
        <v>867</v>
      </c>
      <c r="I82" s="298" t="s">
        <v>62</v>
      </c>
      <c r="J82" s="298" t="s">
        <v>63</v>
      </c>
      <c r="K82" s="322" t="s">
        <v>113</v>
      </c>
      <c r="L82" s="298">
        <v>48</v>
      </c>
      <c r="M82" s="310">
        <v>0</v>
      </c>
      <c r="N82" s="309">
        <v>0</v>
      </c>
      <c r="O82" s="309">
        <v>0</v>
      </c>
      <c r="P82" s="309">
        <v>0</v>
      </c>
      <c r="Q82" s="310"/>
      <c r="R82" s="310"/>
      <c r="S82" s="310"/>
    </row>
    <row r="83" spans="1:19">
      <c r="A83" s="586" t="s">
        <v>934</v>
      </c>
      <c r="B83" s="307" t="s">
        <v>865</v>
      </c>
      <c r="C83" s="348">
        <v>46210</v>
      </c>
      <c r="D83" s="299"/>
      <c r="E83" s="297">
        <v>46241</v>
      </c>
      <c r="F83" s="298"/>
      <c r="G83" s="313" t="s">
        <v>572</v>
      </c>
      <c r="H83" s="299" t="s">
        <v>867</v>
      </c>
      <c r="I83" s="298" t="s">
        <v>107</v>
      </c>
      <c r="J83" s="298" t="s">
        <v>108</v>
      </c>
      <c r="K83" s="322" t="s">
        <v>113</v>
      </c>
      <c r="L83" s="298">
        <v>9</v>
      </c>
      <c r="M83" s="310">
        <v>0</v>
      </c>
      <c r="N83" s="309">
        <v>0</v>
      </c>
      <c r="O83" s="309">
        <v>0</v>
      </c>
      <c r="P83" s="309">
        <v>0</v>
      </c>
      <c r="Q83" s="310"/>
      <c r="R83" s="310"/>
      <c r="S83" s="310"/>
    </row>
    <row r="84" spans="1:19">
      <c r="A84" s="586" t="s">
        <v>934</v>
      </c>
      <c r="B84" s="307" t="s">
        <v>865</v>
      </c>
      <c r="C84" s="348">
        <v>46302</v>
      </c>
      <c r="D84" s="299"/>
      <c r="E84" s="297"/>
      <c r="F84" s="298"/>
      <c r="G84" s="313" t="s">
        <v>574</v>
      </c>
      <c r="H84" s="429" t="s">
        <v>563</v>
      </c>
      <c r="I84" s="298" t="s">
        <v>119</v>
      </c>
      <c r="J84" s="298" t="s">
        <v>191</v>
      </c>
      <c r="K84" s="322" t="s">
        <v>113</v>
      </c>
      <c r="L84" s="298">
        <v>-10</v>
      </c>
      <c r="M84" s="310">
        <v>659259.25</v>
      </c>
      <c r="N84" s="309">
        <v>-6592592.5</v>
      </c>
      <c r="O84" s="309">
        <v>-527407.4</v>
      </c>
      <c r="P84" s="309">
        <v>-7119999.9000000004</v>
      </c>
      <c r="Q84" s="310"/>
      <c r="R84" s="310"/>
      <c r="S84" s="310"/>
    </row>
    <row r="85" spans="1:19">
      <c r="A85" s="586" t="s">
        <v>934</v>
      </c>
      <c r="B85" s="307" t="s">
        <v>865</v>
      </c>
      <c r="C85" s="348">
        <v>46302</v>
      </c>
      <c r="D85" s="299"/>
      <c r="E85" s="297"/>
      <c r="F85" s="298"/>
      <c r="G85" s="313" t="s">
        <v>574</v>
      </c>
      <c r="H85" s="429" t="s">
        <v>563</v>
      </c>
      <c r="I85" s="298" t="s">
        <v>42</v>
      </c>
      <c r="J85" s="298" t="s">
        <v>43</v>
      </c>
      <c r="K85" s="322" t="s">
        <v>113</v>
      </c>
      <c r="L85" s="298">
        <v>-10</v>
      </c>
      <c r="M85" s="310">
        <v>569444.43999999994</v>
      </c>
      <c r="N85" s="309">
        <v>-5694444.3999999994</v>
      </c>
      <c r="O85" s="309">
        <v>-455555.55199999997</v>
      </c>
      <c r="P85" s="309">
        <v>-6149999.9519999996</v>
      </c>
      <c r="Q85" s="310"/>
      <c r="R85" s="310"/>
      <c r="S85" s="310"/>
    </row>
    <row r="86" spans="1:19">
      <c r="A86" s="586" t="s">
        <v>934</v>
      </c>
      <c r="B86" s="307" t="s">
        <v>865</v>
      </c>
      <c r="C86" s="348">
        <v>46302</v>
      </c>
      <c r="D86" s="299"/>
      <c r="E86" s="297"/>
      <c r="F86" s="298"/>
      <c r="G86" s="313" t="s">
        <v>574</v>
      </c>
      <c r="H86" s="429" t="s">
        <v>563</v>
      </c>
      <c r="I86" s="298" t="s">
        <v>44</v>
      </c>
      <c r="J86" s="298" t="s">
        <v>45</v>
      </c>
      <c r="K86" s="322" t="s">
        <v>113</v>
      </c>
      <c r="L86" s="298">
        <v>-12</v>
      </c>
      <c r="M86" s="310">
        <v>564815</v>
      </c>
      <c r="N86" s="309">
        <v>-6777780</v>
      </c>
      <c r="O86" s="309">
        <v>-542222.4</v>
      </c>
      <c r="P86" s="309">
        <v>-7320002.4000000004</v>
      </c>
      <c r="Q86" s="310"/>
      <c r="R86" s="310"/>
      <c r="S86" s="310"/>
    </row>
    <row r="87" spans="1:19">
      <c r="A87" s="586" t="s">
        <v>934</v>
      </c>
      <c r="B87" s="307" t="s">
        <v>865</v>
      </c>
      <c r="C87" s="348">
        <v>46302</v>
      </c>
      <c r="D87" s="299"/>
      <c r="E87" s="297"/>
      <c r="F87" s="298"/>
      <c r="G87" s="313" t="s">
        <v>574</v>
      </c>
      <c r="H87" s="429" t="s">
        <v>563</v>
      </c>
      <c r="I87" s="298" t="s">
        <v>148</v>
      </c>
      <c r="J87" s="298" t="s">
        <v>149</v>
      </c>
      <c r="K87" s="322" t="s">
        <v>113</v>
      </c>
      <c r="L87" s="298">
        <v>-8</v>
      </c>
      <c r="M87" s="310">
        <v>358333.33</v>
      </c>
      <c r="N87" s="309">
        <v>-2866666.64</v>
      </c>
      <c r="O87" s="309">
        <v>-229333.33120000002</v>
      </c>
      <c r="P87" s="309">
        <v>-3095999.9712</v>
      </c>
      <c r="Q87" s="310"/>
      <c r="R87" s="310"/>
      <c r="S87" s="310"/>
    </row>
    <row r="88" spans="1:19">
      <c r="A88" s="586" t="s">
        <v>934</v>
      </c>
      <c r="B88" s="307" t="s">
        <v>865</v>
      </c>
      <c r="C88" s="348">
        <v>46302</v>
      </c>
      <c r="D88" s="299"/>
      <c r="E88" s="297"/>
      <c r="F88" s="298"/>
      <c r="G88" s="313" t="s">
        <v>574</v>
      </c>
      <c r="H88" s="429" t="s">
        <v>563</v>
      </c>
      <c r="I88" s="298" t="s">
        <v>192</v>
      </c>
      <c r="J88" s="298" t="s">
        <v>193</v>
      </c>
      <c r="K88" s="322" t="s">
        <v>113</v>
      </c>
      <c r="L88" s="298">
        <v>-12</v>
      </c>
      <c r="M88" s="310">
        <v>398148.08</v>
      </c>
      <c r="N88" s="309">
        <v>-4777776.96</v>
      </c>
      <c r="O88" s="309">
        <v>-382222.1568</v>
      </c>
      <c r="P88" s="309">
        <v>-5159999.1168</v>
      </c>
      <c r="Q88" s="310"/>
      <c r="R88" s="310"/>
      <c r="S88" s="310"/>
    </row>
    <row r="89" spans="1:19">
      <c r="A89" s="586" t="s">
        <v>934</v>
      </c>
      <c r="B89" s="307" t="s">
        <v>865</v>
      </c>
      <c r="C89" s="348">
        <v>46302</v>
      </c>
      <c r="D89" s="299"/>
      <c r="E89" s="297"/>
      <c r="F89" s="298"/>
      <c r="G89" s="313" t="s">
        <v>574</v>
      </c>
      <c r="H89" s="429" t="s">
        <v>563</v>
      </c>
      <c r="I89" s="298" t="s">
        <v>194</v>
      </c>
      <c r="J89" s="298" t="s">
        <v>276</v>
      </c>
      <c r="K89" s="322" t="s">
        <v>113</v>
      </c>
      <c r="L89" s="298">
        <v>-9</v>
      </c>
      <c r="M89" s="310">
        <v>1203703.7</v>
      </c>
      <c r="N89" s="309">
        <v>-10833333.299999999</v>
      </c>
      <c r="O89" s="309">
        <v>-866666.66399999987</v>
      </c>
      <c r="P89" s="309">
        <v>-11699999.963999998</v>
      </c>
      <c r="Q89" s="310"/>
      <c r="R89" s="310"/>
      <c r="S89" s="310"/>
    </row>
    <row r="90" spans="1:19">
      <c r="A90" s="586" t="s">
        <v>934</v>
      </c>
      <c r="B90" s="307" t="s">
        <v>865</v>
      </c>
      <c r="C90" s="348">
        <v>46302</v>
      </c>
      <c r="D90" s="299"/>
      <c r="E90" s="297"/>
      <c r="F90" s="298"/>
      <c r="G90" s="313" t="s">
        <v>574</v>
      </c>
      <c r="H90" s="429" t="s">
        <v>563</v>
      </c>
      <c r="I90" s="298" t="s">
        <v>58</v>
      </c>
      <c r="J90" s="298" t="s">
        <v>59</v>
      </c>
      <c r="K90" s="322" t="s">
        <v>113</v>
      </c>
      <c r="L90" s="298">
        <v>-10</v>
      </c>
      <c r="M90" s="310">
        <v>1361111.11</v>
      </c>
      <c r="N90" s="309">
        <v>-13611111.100000001</v>
      </c>
      <c r="O90" s="309">
        <v>-1088888.888</v>
      </c>
      <c r="P90" s="309">
        <v>-14699999.988000002</v>
      </c>
      <c r="Q90" s="310"/>
      <c r="R90" s="310"/>
      <c r="S90" s="310"/>
    </row>
    <row r="91" spans="1:19">
      <c r="A91" s="586" t="s">
        <v>934</v>
      </c>
      <c r="B91" s="307" t="s">
        <v>865</v>
      </c>
      <c r="C91" s="348">
        <v>46302</v>
      </c>
      <c r="D91" s="299"/>
      <c r="E91" s="297"/>
      <c r="F91" s="298"/>
      <c r="G91" s="313" t="s">
        <v>574</v>
      </c>
      <c r="H91" s="429" t="s">
        <v>563</v>
      </c>
      <c r="I91" s="298" t="s">
        <v>424</v>
      </c>
      <c r="J91" s="298" t="s">
        <v>425</v>
      </c>
      <c r="K91" s="322" t="s">
        <v>558</v>
      </c>
      <c r="L91" s="298">
        <v>-4</v>
      </c>
      <c r="M91" s="310">
        <v>882407</v>
      </c>
      <c r="N91" s="309">
        <v>-3529628</v>
      </c>
      <c r="O91" s="309">
        <v>-282370.24</v>
      </c>
      <c r="P91" s="309">
        <v>-3811998.24</v>
      </c>
      <c r="Q91" s="310"/>
      <c r="R91" s="310"/>
      <c r="S91" s="310"/>
    </row>
    <row r="92" spans="1:19">
      <c r="A92" s="586" t="s">
        <v>934</v>
      </c>
      <c r="B92" s="307" t="s">
        <v>865</v>
      </c>
      <c r="C92" s="348">
        <v>46302</v>
      </c>
      <c r="D92" s="299"/>
      <c r="E92" s="297"/>
      <c r="F92" s="298"/>
      <c r="G92" s="313" t="s">
        <v>575</v>
      </c>
      <c r="H92" s="429" t="s">
        <v>576</v>
      </c>
      <c r="I92" s="298" t="s">
        <v>386</v>
      </c>
      <c r="J92" s="298" t="s">
        <v>387</v>
      </c>
      <c r="K92" s="322" t="s">
        <v>113</v>
      </c>
      <c r="L92" s="298">
        <v>-12</v>
      </c>
      <c r="M92" s="310">
        <v>847222.22</v>
      </c>
      <c r="N92" s="309">
        <v>-10166666.640000001</v>
      </c>
      <c r="O92" s="309">
        <v>-813333.33120000002</v>
      </c>
      <c r="P92" s="309">
        <v>-10979999.9712</v>
      </c>
      <c r="Q92" s="310"/>
      <c r="R92" s="310"/>
      <c r="S92" s="310"/>
    </row>
    <row r="93" spans="1:19">
      <c r="A93" s="586" t="s">
        <v>934</v>
      </c>
      <c r="B93" s="307" t="s">
        <v>865</v>
      </c>
      <c r="C93" s="348" t="s">
        <v>106</v>
      </c>
      <c r="D93" s="299"/>
      <c r="E93" s="297"/>
      <c r="F93" s="298"/>
      <c r="G93" s="313"/>
      <c r="H93" s="299" t="s">
        <v>867</v>
      </c>
      <c r="I93" s="298" t="s">
        <v>101</v>
      </c>
      <c r="J93" s="298" t="s">
        <v>102</v>
      </c>
      <c r="K93" s="322" t="s">
        <v>412</v>
      </c>
      <c r="L93" s="298">
        <v>20</v>
      </c>
      <c r="M93" s="310">
        <v>861111.11</v>
      </c>
      <c r="N93" s="309">
        <v>17222222.199999999</v>
      </c>
      <c r="O93" s="309">
        <v>1377777.7760000001</v>
      </c>
      <c r="P93" s="309">
        <v>18599999.976</v>
      </c>
      <c r="Q93" s="310"/>
      <c r="R93" s="310"/>
      <c r="S93" s="310"/>
    </row>
    <row r="94" spans="1:19">
      <c r="A94" s="586" t="s">
        <v>934</v>
      </c>
      <c r="B94" s="307" t="s">
        <v>865</v>
      </c>
      <c r="C94" s="348" t="s">
        <v>106</v>
      </c>
      <c r="D94" s="299"/>
      <c r="E94" s="297"/>
      <c r="F94" s="298"/>
      <c r="G94" s="313"/>
      <c r="H94" s="299" t="s">
        <v>867</v>
      </c>
      <c r="I94" s="298" t="s">
        <v>103</v>
      </c>
      <c r="J94" s="298" t="s">
        <v>104</v>
      </c>
      <c r="K94" s="322" t="s">
        <v>113</v>
      </c>
      <c r="L94" s="298">
        <v>18</v>
      </c>
      <c r="M94" s="310">
        <v>675925.93</v>
      </c>
      <c r="N94" s="309">
        <v>12166666.74</v>
      </c>
      <c r="O94" s="309">
        <v>973333.33920000005</v>
      </c>
      <c r="P94" s="309">
        <v>13140000.0792</v>
      </c>
      <c r="Q94" s="310"/>
      <c r="R94" s="310"/>
      <c r="S94" s="310"/>
    </row>
    <row r="95" spans="1:19">
      <c r="A95" s="586" t="s">
        <v>934</v>
      </c>
      <c r="B95" s="307" t="s">
        <v>865</v>
      </c>
      <c r="C95" s="348" t="s">
        <v>106</v>
      </c>
      <c r="D95" s="299"/>
      <c r="E95" s="297"/>
      <c r="F95" s="298"/>
      <c r="G95" s="313"/>
      <c r="H95" s="299" t="s">
        <v>867</v>
      </c>
      <c r="I95" s="298" t="s">
        <v>62</v>
      </c>
      <c r="J95" s="298" t="s">
        <v>63</v>
      </c>
      <c r="K95" s="322" t="s">
        <v>113</v>
      </c>
      <c r="L95" s="298">
        <v>18</v>
      </c>
      <c r="M95" s="310">
        <v>0</v>
      </c>
      <c r="N95" s="309">
        <v>0</v>
      </c>
      <c r="O95" s="309">
        <v>0</v>
      </c>
      <c r="P95" s="309">
        <v>0</v>
      </c>
      <c r="Q95" s="310"/>
      <c r="R95" s="310"/>
      <c r="S95" s="310"/>
    </row>
    <row r="96" spans="1:19">
      <c r="A96" s="586" t="s">
        <v>934</v>
      </c>
      <c r="B96" s="307" t="s">
        <v>865</v>
      </c>
      <c r="C96" s="348" t="s">
        <v>826</v>
      </c>
      <c r="D96" s="299"/>
      <c r="E96" s="297"/>
      <c r="F96" s="298"/>
      <c r="G96" s="313"/>
      <c r="H96" s="299" t="s">
        <v>867</v>
      </c>
      <c r="I96" s="298" t="s">
        <v>639</v>
      </c>
      <c r="J96" s="298" t="s">
        <v>640</v>
      </c>
      <c r="K96" s="322" t="s">
        <v>113</v>
      </c>
      <c r="L96" s="298">
        <v>15</v>
      </c>
      <c r="M96" s="310">
        <v>542592.59</v>
      </c>
      <c r="N96" s="309">
        <v>8138888.8499999996</v>
      </c>
      <c r="O96" s="309">
        <v>651111.10800000001</v>
      </c>
      <c r="P96" s="309">
        <v>8789999.9580000006</v>
      </c>
      <c r="Q96" s="310"/>
      <c r="R96" s="310"/>
      <c r="S96" s="310"/>
    </row>
    <row r="97" spans="1:19">
      <c r="A97" s="586" t="s">
        <v>934</v>
      </c>
      <c r="B97" s="307" t="s">
        <v>865</v>
      </c>
      <c r="C97" s="348" t="s">
        <v>826</v>
      </c>
      <c r="D97" s="299"/>
      <c r="E97" s="297"/>
      <c r="F97" s="298"/>
      <c r="G97" s="313"/>
      <c r="H97" s="299" t="s">
        <v>867</v>
      </c>
      <c r="I97" s="298" t="s">
        <v>641</v>
      </c>
      <c r="J97" s="298" t="s">
        <v>657</v>
      </c>
      <c r="K97" s="322" t="s">
        <v>113</v>
      </c>
      <c r="L97" s="298">
        <v>15</v>
      </c>
      <c r="M97" s="310">
        <v>644444.43999999994</v>
      </c>
      <c r="N97" s="309">
        <v>9666666.5999999996</v>
      </c>
      <c r="O97" s="309">
        <v>773333.32799999998</v>
      </c>
      <c r="P97" s="309">
        <v>10439999.927999999</v>
      </c>
      <c r="Q97" s="310"/>
      <c r="R97" s="310"/>
      <c r="S97" s="310"/>
    </row>
    <row r="98" spans="1:19">
      <c r="A98" s="586" t="s">
        <v>934</v>
      </c>
      <c r="B98" s="307" t="s">
        <v>865</v>
      </c>
      <c r="C98" s="348" t="s">
        <v>826</v>
      </c>
      <c r="D98" s="299"/>
      <c r="E98" s="297"/>
      <c r="F98" s="298"/>
      <c r="G98" s="313"/>
      <c r="H98" s="299" t="s">
        <v>867</v>
      </c>
      <c r="I98" s="298" t="s">
        <v>643</v>
      </c>
      <c r="J98" s="298" t="s">
        <v>644</v>
      </c>
      <c r="K98" s="322" t="s">
        <v>113</v>
      </c>
      <c r="L98" s="298">
        <v>15</v>
      </c>
      <c r="M98" s="310">
        <v>527777.78</v>
      </c>
      <c r="N98" s="309">
        <v>7916666.7000000002</v>
      </c>
      <c r="O98" s="309">
        <v>633333.33600000001</v>
      </c>
      <c r="P98" s="309">
        <v>8550000.0360000003</v>
      </c>
      <c r="Q98" s="310"/>
      <c r="R98" s="310"/>
      <c r="S98" s="310"/>
    </row>
    <row r="99" spans="1:19">
      <c r="A99" s="586" t="s">
        <v>934</v>
      </c>
      <c r="B99" s="307" t="s">
        <v>865</v>
      </c>
      <c r="C99" s="348" t="s">
        <v>826</v>
      </c>
      <c r="D99" s="299"/>
      <c r="E99" s="297"/>
      <c r="F99" s="298"/>
      <c r="G99" s="313"/>
      <c r="H99" s="299" t="s">
        <v>867</v>
      </c>
      <c r="I99" s="298" t="s">
        <v>645</v>
      </c>
      <c r="J99" s="298" t="s">
        <v>646</v>
      </c>
      <c r="K99" s="322" t="s">
        <v>113</v>
      </c>
      <c r="L99" s="298">
        <v>15</v>
      </c>
      <c r="M99" s="310">
        <v>629629.63</v>
      </c>
      <c r="N99" s="309">
        <v>9444444.4499999993</v>
      </c>
      <c r="O99" s="309">
        <v>755555.55599999998</v>
      </c>
      <c r="P99" s="309">
        <v>10200000.005999999</v>
      </c>
      <c r="Q99" s="310"/>
      <c r="R99" s="310"/>
      <c r="S99" s="310"/>
    </row>
    <row r="100" spans="1:19">
      <c r="A100" s="586" t="s">
        <v>934</v>
      </c>
      <c r="B100" s="307" t="s">
        <v>865</v>
      </c>
      <c r="C100" s="348" t="s">
        <v>826</v>
      </c>
      <c r="D100" s="299"/>
      <c r="E100" s="297"/>
      <c r="F100" s="298"/>
      <c r="G100" s="313"/>
      <c r="H100" s="299" t="s">
        <v>867</v>
      </c>
      <c r="I100" s="298" t="s">
        <v>649</v>
      </c>
      <c r="J100" s="298" t="s">
        <v>650</v>
      </c>
      <c r="K100" s="322" t="s">
        <v>113</v>
      </c>
      <c r="L100" s="298">
        <v>15</v>
      </c>
      <c r="M100" s="310">
        <v>574074.06999999995</v>
      </c>
      <c r="N100" s="309">
        <v>8611111.0499999989</v>
      </c>
      <c r="O100" s="309">
        <v>688888.88399999996</v>
      </c>
      <c r="P100" s="309">
        <v>9299999.9339999985</v>
      </c>
      <c r="Q100" s="310"/>
      <c r="R100" s="310"/>
      <c r="S100" s="310"/>
    </row>
    <row r="101" spans="1:19">
      <c r="A101" s="586" t="s">
        <v>934</v>
      </c>
      <c r="B101" s="307" t="s">
        <v>865</v>
      </c>
      <c r="C101" s="348" t="s">
        <v>826</v>
      </c>
      <c r="D101" s="299"/>
      <c r="E101" s="297"/>
      <c r="F101" s="298"/>
      <c r="G101" s="313"/>
      <c r="H101" s="299" t="s">
        <v>867</v>
      </c>
      <c r="I101" s="298" t="s">
        <v>651</v>
      </c>
      <c r="J101" s="298" t="s">
        <v>652</v>
      </c>
      <c r="K101" s="322" t="s">
        <v>113</v>
      </c>
      <c r="L101" s="298">
        <v>15</v>
      </c>
      <c r="M101" s="310">
        <v>694444.44</v>
      </c>
      <c r="N101" s="309">
        <v>10416666.6</v>
      </c>
      <c r="O101" s="309">
        <v>833333.32799999998</v>
      </c>
      <c r="P101" s="309">
        <v>11249999.927999999</v>
      </c>
      <c r="Q101" s="310"/>
      <c r="R101" s="310"/>
      <c r="S101" s="310"/>
    </row>
    <row r="102" spans="1:19">
      <c r="A102" s="586" t="s">
        <v>934</v>
      </c>
      <c r="B102" s="307" t="s">
        <v>865</v>
      </c>
      <c r="C102" s="348" t="s">
        <v>826</v>
      </c>
      <c r="D102" s="299"/>
      <c r="E102" s="297"/>
      <c r="F102" s="298"/>
      <c r="G102" s="313"/>
      <c r="H102" s="299" t="s">
        <v>867</v>
      </c>
      <c r="I102" s="298" t="s">
        <v>653</v>
      </c>
      <c r="J102" s="298" t="s">
        <v>654</v>
      </c>
      <c r="K102" s="322" t="s">
        <v>113</v>
      </c>
      <c r="L102" s="298">
        <v>15</v>
      </c>
      <c r="M102" s="310">
        <v>481481.48</v>
      </c>
      <c r="N102" s="309">
        <v>7222222.1999999993</v>
      </c>
      <c r="O102" s="309">
        <v>577777.77599999995</v>
      </c>
      <c r="P102" s="309">
        <v>7799999.9759999989</v>
      </c>
      <c r="Q102" s="310"/>
      <c r="R102" s="310"/>
      <c r="S102" s="310"/>
    </row>
    <row r="103" spans="1:19">
      <c r="A103" s="586" t="s">
        <v>934</v>
      </c>
      <c r="B103" s="307" t="s">
        <v>865</v>
      </c>
      <c r="C103" s="348" t="s">
        <v>826</v>
      </c>
      <c r="D103" s="299"/>
      <c r="E103" s="297"/>
      <c r="F103" s="298"/>
      <c r="G103" s="313"/>
      <c r="H103" s="299" t="s">
        <v>867</v>
      </c>
      <c r="I103" s="298" t="s">
        <v>655</v>
      </c>
      <c r="J103" s="298" t="s">
        <v>656</v>
      </c>
      <c r="K103" s="322" t="s">
        <v>113</v>
      </c>
      <c r="L103" s="298">
        <v>15</v>
      </c>
      <c r="M103" s="310">
        <v>574074.06999999995</v>
      </c>
      <c r="N103" s="309">
        <v>8611111.0499999989</v>
      </c>
      <c r="O103" s="309">
        <v>688888.88399999996</v>
      </c>
      <c r="P103" s="309">
        <v>9299999.9339999985</v>
      </c>
      <c r="Q103" s="310"/>
      <c r="R103" s="310"/>
      <c r="S103" s="310"/>
    </row>
    <row r="104" spans="1:19">
      <c r="A104" s="586" t="s">
        <v>934</v>
      </c>
      <c r="B104" s="307" t="s">
        <v>865</v>
      </c>
      <c r="C104" s="348" t="s">
        <v>826</v>
      </c>
      <c r="D104" s="299"/>
      <c r="E104" s="297"/>
      <c r="F104" s="298"/>
      <c r="G104" s="313"/>
      <c r="H104" s="299" t="s">
        <v>867</v>
      </c>
      <c r="I104" s="298" t="s">
        <v>647</v>
      </c>
      <c r="J104" s="298" t="s">
        <v>648</v>
      </c>
      <c r="K104" s="322" t="s">
        <v>113</v>
      </c>
      <c r="L104" s="298">
        <v>15</v>
      </c>
      <c r="M104" s="310">
        <v>601851.85</v>
      </c>
      <c r="N104" s="309">
        <v>9027777.75</v>
      </c>
      <c r="O104" s="309">
        <v>722222.22</v>
      </c>
      <c r="P104" s="309">
        <v>9749999.9700000007</v>
      </c>
      <c r="Q104" s="310"/>
      <c r="R104" s="310"/>
      <c r="S104" s="310"/>
    </row>
    <row r="105" spans="1:19">
      <c r="A105" s="586" t="s">
        <v>934</v>
      </c>
      <c r="B105" s="307" t="s">
        <v>865</v>
      </c>
      <c r="C105" s="348" t="s">
        <v>826</v>
      </c>
      <c r="D105" s="299"/>
      <c r="E105" s="297"/>
      <c r="F105" s="298"/>
      <c r="G105" s="313"/>
      <c r="H105" s="299" t="s">
        <v>867</v>
      </c>
      <c r="I105" s="298" t="s">
        <v>639</v>
      </c>
      <c r="J105" s="298" t="s">
        <v>640</v>
      </c>
      <c r="K105" s="322" t="s">
        <v>113</v>
      </c>
      <c r="L105" s="298">
        <v>1</v>
      </c>
      <c r="M105" s="310">
        <v>0</v>
      </c>
      <c r="N105" s="309">
        <v>0</v>
      </c>
      <c r="O105" s="309">
        <v>0</v>
      </c>
      <c r="P105" s="309">
        <v>0</v>
      </c>
      <c r="Q105" s="310"/>
      <c r="R105" s="310"/>
      <c r="S105" s="310"/>
    </row>
    <row r="106" spans="1:19">
      <c r="A106" s="586" t="s">
        <v>934</v>
      </c>
      <c r="B106" s="307" t="s">
        <v>865</v>
      </c>
      <c r="C106" s="348" t="s">
        <v>826</v>
      </c>
      <c r="D106" s="299"/>
      <c r="E106" s="297"/>
      <c r="F106" s="298"/>
      <c r="G106" s="313"/>
      <c r="H106" s="299" t="s">
        <v>867</v>
      </c>
      <c r="I106" s="298" t="s">
        <v>641</v>
      </c>
      <c r="J106" s="298" t="s">
        <v>657</v>
      </c>
      <c r="K106" s="322" t="s">
        <v>113</v>
      </c>
      <c r="L106" s="298">
        <v>1</v>
      </c>
      <c r="M106" s="310">
        <v>0</v>
      </c>
      <c r="N106" s="309">
        <v>0</v>
      </c>
      <c r="O106" s="309">
        <v>0</v>
      </c>
      <c r="P106" s="309">
        <v>0</v>
      </c>
      <c r="Q106" s="310"/>
      <c r="R106" s="310"/>
      <c r="S106" s="310"/>
    </row>
    <row r="107" spans="1:19">
      <c r="A107" s="586" t="s">
        <v>934</v>
      </c>
      <c r="B107" s="307" t="s">
        <v>865</v>
      </c>
      <c r="C107" s="348" t="s">
        <v>826</v>
      </c>
      <c r="D107" s="299"/>
      <c r="E107" s="297"/>
      <c r="F107" s="298"/>
      <c r="G107" s="313"/>
      <c r="H107" s="299" t="s">
        <v>867</v>
      </c>
      <c r="I107" s="298" t="s">
        <v>643</v>
      </c>
      <c r="J107" s="298" t="s">
        <v>644</v>
      </c>
      <c r="K107" s="322" t="s">
        <v>113</v>
      </c>
      <c r="L107" s="298">
        <v>1</v>
      </c>
      <c r="M107" s="310">
        <v>0</v>
      </c>
      <c r="N107" s="309">
        <v>0</v>
      </c>
      <c r="O107" s="309">
        <v>0</v>
      </c>
      <c r="P107" s="309">
        <v>0</v>
      </c>
      <c r="Q107" s="310"/>
      <c r="R107" s="310"/>
      <c r="S107" s="310"/>
    </row>
    <row r="108" spans="1:19">
      <c r="A108" s="586" t="s">
        <v>934</v>
      </c>
      <c r="B108" s="307" t="s">
        <v>865</v>
      </c>
      <c r="C108" s="348" t="s">
        <v>826</v>
      </c>
      <c r="D108" s="299"/>
      <c r="E108" s="297"/>
      <c r="F108" s="298"/>
      <c r="G108" s="313"/>
      <c r="H108" s="299" t="s">
        <v>867</v>
      </c>
      <c r="I108" s="298" t="s">
        <v>645</v>
      </c>
      <c r="J108" s="298" t="s">
        <v>646</v>
      </c>
      <c r="K108" s="322" t="s">
        <v>113</v>
      </c>
      <c r="L108" s="298">
        <v>1</v>
      </c>
      <c r="M108" s="310">
        <v>0</v>
      </c>
      <c r="N108" s="309">
        <v>0</v>
      </c>
      <c r="O108" s="309">
        <v>0</v>
      </c>
      <c r="P108" s="309">
        <v>0</v>
      </c>
      <c r="Q108" s="310"/>
      <c r="R108" s="310"/>
      <c r="S108" s="310"/>
    </row>
    <row r="109" spans="1:19">
      <c r="A109" s="586" t="s">
        <v>934</v>
      </c>
      <c r="B109" s="307" t="s">
        <v>865</v>
      </c>
      <c r="C109" s="348" t="s">
        <v>826</v>
      </c>
      <c r="D109" s="299"/>
      <c r="E109" s="297"/>
      <c r="F109" s="298"/>
      <c r="G109" s="313"/>
      <c r="H109" s="299" t="s">
        <v>867</v>
      </c>
      <c r="I109" s="298" t="s">
        <v>649</v>
      </c>
      <c r="J109" s="298" t="s">
        <v>650</v>
      </c>
      <c r="K109" s="322" t="s">
        <v>113</v>
      </c>
      <c r="L109" s="298">
        <v>1</v>
      </c>
      <c r="M109" s="310">
        <v>0</v>
      </c>
      <c r="N109" s="309">
        <v>0</v>
      </c>
      <c r="O109" s="309">
        <v>0</v>
      </c>
      <c r="P109" s="309">
        <v>0</v>
      </c>
      <c r="Q109" s="310"/>
      <c r="R109" s="310"/>
      <c r="S109" s="310"/>
    </row>
    <row r="110" spans="1:19">
      <c r="A110" s="586" t="s">
        <v>934</v>
      </c>
      <c r="B110" s="307" t="s">
        <v>865</v>
      </c>
      <c r="C110" s="348" t="s">
        <v>826</v>
      </c>
      <c r="D110" s="299"/>
      <c r="E110" s="297"/>
      <c r="F110" s="298"/>
      <c r="G110" s="313"/>
      <c r="H110" s="299" t="s">
        <v>867</v>
      </c>
      <c r="I110" s="298" t="s">
        <v>651</v>
      </c>
      <c r="J110" s="298" t="s">
        <v>652</v>
      </c>
      <c r="K110" s="322" t="s">
        <v>113</v>
      </c>
      <c r="L110" s="298">
        <v>1</v>
      </c>
      <c r="M110" s="310">
        <v>0</v>
      </c>
      <c r="N110" s="309">
        <v>0</v>
      </c>
      <c r="O110" s="309">
        <v>0</v>
      </c>
      <c r="P110" s="309">
        <v>0</v>
      </c>
      <c r="Q110" s="310"/>
      <c r="R110" s="310"/>
      <c r="S110" s="310"/>
    </row>
    <row r="111" spans="1:19">
      <c r="A111" s="586" t="s">
        <v>934</v>
      </c>
      <c r="B111" s="307" t="s">
        <v>865</v>
      </c>
      <c r="C111" s="348" t="s">
        <v>826</v>
      </c>
      <c r="D111" s="299"/>
      <c r="E111" s="297"/>
      <c r="F111" s="298"/>
      <c r="G111" s="313"/>
      <c r="H111" s="299" t="s">
        <v>867</v>
      </c>
      <c r="I111" s="298" t="s">
        <v>653</v>
      </c>
      <c r="J111" s="298" t="s">
        <v>654</v>
      </c>
      <c r="K111" s="322" t="s">
        <v>113</v>
      </c>
      <c r="L111" s="298">
        <v>1</v>
      </c>
      <c r="M111" s="310">
        <v>0</v>
      </c>
      <c r="N111" s="309">
        <v>0</v>
      </c>
      <c r="O111" s="309">
        <v>0</v>
      </c>
      <c r="P111" s="309">
        <v>0</v>
      </c>
      <c r="Q111" s="310"/>
      <c r="R111" s="310"/>
      <c r="S111" s="310"/>
    </row>
    <row r="112" spans="1:19">
      <c r="A112" s="586" t="s">
        <v>934</v>
      </c>
      <c r="B112" s="307" t="s">
        <v>865</v>
      </c>
      <c r="C112" s="348" t="s">
        <v>826</v>
      </c>
      <c r="D112" s="299"/>
      <c r="E112" s="297"/>
      <c r="F112" s="298"/>
      <c r="G112" s="313"/>
      <c r="H112" s="299" t="s">
        <v>867</v>
      </c>
      <c r="I112" s="298" t="s">
        <v>655</v>
      </c>
      <c r="J112" s="298" t="s">
        <v>656</v>
      </c>
      <c r="K112" s="322" t="s">
        <v>113</v>
      </c>
      <c r="L112" s="298">
        <v>1</v>
      </c>
      <c r="M112" s="310">
        <v>0</v>
      </c>
      <c r="N112" s="309">
        <v>0</v>
      </c>
      <c r="O112" s="309">
        <v>0</v>
      </c>
      <c r="P112" s="309">
        <v>0</v>
      </c>
      <c r="Q112" s="310"/>
      <c r="R112" s="310"/>
      <c r="S112" s="310"/>
    </row>
    <row r="113" spans="1:19">
      <c r="A113" s="586" t="s">
        <v>934</v>
      </c>
      <c r="B113" s="307" t="s">
        <v>865</v>
      </c>
      <c r="C113" s="348" t="s">
        <v>826</v>
      </c>
      <c r="D113" s="299"/>
      <c r="E113" s="297"/>
      <c r="F113" s="298"/>
      <c r="G113" s="313"/>
      <c r="H113" s="299" t="s">
        <v>867</v>
      </c>
      <c r="I113" s="298" t="s">
        <v>647</v>
      </c>
      <c r="J113" s="298" t="s">
        <v>648</v>
      </c>
      <c r="K113" s="322" t="s">
        <v>113</v>
      </c>
      <c r="L113" s="298">
        <v>1</v>
      </c>
      <c r="M113" s="310">
        <v>0</v>
      </c>
      <c r="N113" s="309">
        <v>0</v>
      </c>
      <c r="O113" s="309">
        <v>0</v>
      </c>
      <c r="P113" s="309">
        <v>0</v>
      </c>
      <c r="Q113" s="310"/>
      <c r="R113" s="310"/>
      <c r="S113" s="310"/>
    </row>
    <row r="114" spans="1:19">
      <c r="A114" s="586" t="s">
        <v>934</v>
      </c>
      <c r="B114" s="307" t="s">
        <v>865</v>
      </c>
      <c r="C114" s="348" t="s">
        <v>827</v>
      </c>
      <c r="D114" s="299"/>
      <c r="E114" s="297"/>
      <c r="F114" s="298"/>
      <c r="G114" s="313"/>
      <c r="H114" s="299" t="s">
        <v>859</v>
      </c>
      <c r="I114" s="298"/>
      <c r="J114" s="298"/>
      <c r="K114" s="322"/>
      <c r="L114" s="298"/>
      <c r="M114" s="310"/>
      <c r="N114" s="309"/>
      <c r="O114" s="309"/>
      <c r="P114" s="309"/>
      <c r="Q114" s="310">
        <v>50000000</v>
      </c>
      <c r="R114" s="310"/>
      <c r="S114" s="310"/>
    </row>
    <row r="115" spans="1:19">
      <c r="A115" s="586" t="s">
        <v>934</v>
      </c>
      <c r="B115" s="307" t="s">
        <v>865</v>
      </c>
      <c r="C115" s="446">
        <v>46269</v>
      </c>
      <c r="D115" s="442"/>
      <c r="E115" s="450"/>
      <c r="F115" s="443"/>
      <c r="G115" s="443"/>
      <c r="H115" s="299" t="s">
        <v>859</v>
      </c>
      <c r="I115" s="447"/>
      <c r="J115" s="312"/>
      <c r="K115" s="298"/>
      <c r="L115" s="635"/>
      <c r="M115" s="652"/>
      <c r="N115" s="654"/>
      <c r="O115" s="654"/>
      <c r="P115" s="654"/>
      <c r="Q115" s="310">
        <v>50000000</v>
      </c>
      <c r="R115" s="310"/>
      <c r="S115" s="310"/>
    </row>
    <row r="116" spans="1:19">
      <c r="A116" s="751" t="s">
        <v>934</v>
      </c>
      <c r="B116" s="307" t="s">
        <v>865</v>
      </c>
      <c r="C116" s="446">
        <v>46276</v>
      </c>
      <c r="D116" s="752" t="s">
        <v>1126</v>
      </c>
      <c r="E116" s="446"/>
      <c r="F116" s="447"/>
      <c r="G116" s="447"/>
      <c r="H116" s="299" t="s">
        <v>867</v>
      </c>
      <c r="I116" s="643" t="s">
        <v>649</v>
      </c>
      <c r="J116" s="771" t="s">
        <v>650</v>
      </c>
      <c r="K116" s="643" t="s">
        <v>18</v>
      </c>
      <c r="L116" s="721">
        <v>15</v>
      </c>
      <c r="M116" s="750">
        <v>574074.06999999995</v>
      </c>
      <c r="N116" s="613">
        <v>8611111.0499999989</v>
      </c>
      <c r="O116" s="613">
        <v>688888.88399999996</v>
      </c>
      <c r="P116" s="301">
        <v>9299999.9339999985</v>
      </c>
      <c r="Q116" s="652"/>
      <c r="R116" s="652"/>
      <c r="S116" s="310"/>
    </row>
    <row r="117" spans="1:19">
      <c r="A117" s="751" t="s">
        <v>934</v>
      </c>
      <c r="B117" s="307" t="s">
        <v>865</v>
      </c>
      <c r="C117" s="446">
        <v>46276</v>
      </c>
      <c r="D117" s="752" t="s">
        <v>1126</v>
      </c>
      <c r="E117" s="446"/>
      <c r="F117" s="447"/>
      <c r="G117" s="447"/>
      <c r="H117" s="299" t="s">
        <v>867</v>
      </c>
      <c r="I117" s="643" t="s">
        <v>651</v>
      </c>
      <c r="J117" s="771" t="s">
        <v>652</v>
      </c>
      <c r="K117" s="643" t="s">
        <v>18</v>
      </c>
      <c r="L117" s="721">
        <v>15</v>
      </c>
      <c r="M117" s="750">
        <v>694444.44</v>
      </c>
      <c r="N117" s="613">
        <v>10416666.6</v>
      </c>
      <c r="O117" s="613">
        <v>833333.32799999998</v>
      </c>
      <c r="P117" s="301">
        <v>11249999.927999999</v>
      </c>
      <c r="Q117" s="652"/>
      <c r="R117" s="652"/>
      <c r="S117" s="310"/>
    </row>
    <row r="118" spans="1:19">
      <c r="A118" s="751" t="s">
        <v>934</v>
      </c>
      <c r="B118" s="307" t="s">
        <v>865</v>
      </c>
      <c r="C118" s="446">
        <v>46276</v>
      </c>
      <c r="D118" s="752" t="s">
        <v>1126</v>
      </c>
      <c r="E118" s="446"/>
      <c r="F118" s="447"/>
      <c r="G118" s="447"/>
      <c r="H118" s="299" t="s">
        <v>867</v>
      </c>
      <c r="I118" s="643" t="s">
        <v>653</v>
      </c>
      <c r="J118" s="771" t="s">
        <v>654</v>
      </c>
      <c r="K118" s="643" t="s">
        <v>18</v>
      </c>
      <c r="L118" s="721">
        <v>15</v>
      </c>
      <c r="M118" s="750">
        <v>481481.48</v>
      </c>
      <c r="N118" s="613">
        <v>7222222.1999999993</v>
      </c>
      <c r="O118" s="613">
        <v>577777.77599999995</v>
      </c>
      <c r="P118" s="301">
        <v>7799999.9759999989</v>
      </c>
      <c r="Q118" s="652"/>
      <c r="R118" s="652"/>
      <c r="S118" s="310"/>
    </row>
    <row r="119" spans="1:19">
      <c r="A119" s="751" t="s">
        <v>934</v>
      </c>
      <c r="B119" s="307" t="s">
        <v>865</v>
      </c>
      <c r="C119" s="446">
        <v>46276</v>
      </c>
      <c r="D119" s="752" t="s">
        <v>1126</v>
      </c>
      <c r="E119" s="446"/>
      <c r="F119" s="447"/>
      <c r="G119" s="447"/>
      <c r="H119" s="299" t="s">
        <v>867</v>
      </c>
      <c r="I119" s="643" t="s">
        <v>655</v>
      </c>
      <c r="J119" s="771" t="s">
        <v>656</v>
      </c>
      <c r="K119" s="643" t="s">
        <v>18</v>
      </c>
      <c r="L119" s="721">
        <v>15</v>
      </c>
      <c r="M119" s="750">
        <v>574074.06999999995</v>
      </c>
      <c r="N119" s="613">
        <v>8611111.0499999989</v>
      </c>
      <c r="O119" s="613">
        <v>688888.88399999996</v>
      </c>
      <c r="P119" s="301">
        <v>9299999.9339999985</v>
      </c>
      <c r="Q119" s="652"/>
      <c r="R119" s="652"/>
      <c r="S119" s="310"/>
    </row>
    <row r="120" spans="1:19">
      <c r="A120" s="751" t="s">
        <v>934</v>
      </c>
      <c r="B120" s="307" t="s">
        <v>865</v>
      </c>
      <c r="C120" s="446">
        <v>46276</v>
      </c>
      <c r="D120" s="752" t="s">
        <v>1126</v>
      </c>
      <c r="E120" s="446">
        <v>46284</v>
      </c>
      <c r="F120" s="447"/>
      <c r="G120" s="757" t="s">
        <v>1244</v>
      </c>
      <c r="H120" s="299" t="s">
        <v>867</v>
      </c>
      <c r="I120" s="643" t="s">
        <v>208</v>
      </c>
      <c r="J120" s="771" t="s">
        <v>1127</v>
      </c>
      <c r="K120" s="643" t="s">
        <v>25</v>
      </c>
      <c r="L120" s="721">
        <v>10</v>
      </c>
      <c r="M120" s="750">
        <v>647222.22</v>
      </c>
      <c r="N120" s="613">
        <v>6472222.1999999993</v>
      </c>
      <c r="O120" s="613">
        <v>517777.77599999995</v>
      </c>
      <c r="P120" s="301">
        <v>6989999.9759999989</v>
      </c>
      <c r="Q120" s="652"/>
      <c r="R120" s="652"/>
      <c r="S120" s="310"/>
    </row>
    <row r="121" spans="1:19">
      <c r="A121" s="751" t="s">
        <v>934</v>
      </c>
      <c r="B121" s="307" t="s">
        <v>865</v>
      </c>
      <c r="C121" s="446">
        <v>46276</v>
      </c>
      <c r="D121" s="752" t="s">
        <v>1126</v>
      </c>
      <c r="E121" s="446"/>
      <c r="F121" s="447"/>
      <c r="G121" s="447"/>
      <c r="H121" s="299" t="s">
        <v>867</v>
      </c>
      <c r="I121" s="643" t="s">
        <v>649</v>
      </c>
      <c r="J121" s="771" t="s">
        <v>650</v>
      </c>
      <c r="K121" s="643" t="s">
        <v>18</v>
      </c>
      <c r="L121" s="721">
        <v>1</v>
      </c>
      <c r="M121" s="750">
        <v>574074.06999999995</v>
      </c>
      <c r="N121" s="613">
        <v>574074.06999999995</v>
      </c>
      <c r="O121" s="613">
        <v>45925.925599999995</v>
      </c>
      <c r="P121" s="301">
        <v>619999.99559999991</v>
      </c>
      <c r="Q121" s="652"/>
      <c r="R121" s="652"/>
      <c r="S121" s="310"/>
    </row>
    <row r="122" spans="1:19">
      <c r="A122" s="751" t="s">
        <v>934</v>
      </c>
      <c r="B122" s="307" t="s">
        <v>865</v>
      </c>
      <c r="C122" s="446">
        <v>46276</v>
      </c>
      <c r="D122" s="752" t="s">
        <v>1126</v>
      </c>
      <c r="E122" s="446"/>
      <c r="F122" s="447"/>
      <c r="G122" s="447"/>
      <c r="H122" s="299" t="s">
        <v>867</v>
      </c>
      <c r="I122" s="643" t="s">
        <v>651</v>
      </c>
      <c r="J122" s="771" t="s">
        <v>652</v>
      </c>
      <c r="K122" s="643" t="s">
        <v>18</v>
      </c>
      <c r="L122" s="721">
        <v>1</v>
      </c>
      <c r="M122" s="750">
        <v>694444.44</v>
      </c>
      <c r="N122" s="613">
        <v>694444.44</v>
      </c>
      <c r="O122" s="613">
        <v>55555.555199999995</v>
      </c>
      <c r="P122" s="301">
        <v>749999.99519999989</v>
      </c>
      <c r="Q122" s="652"/>
      <c r="R122" s="652"/>
      <c r="S122" s="310"/>
    </row>
    <row r="123" spans="1:19">
      <c r="A123" s="751" t="s">
        <v>934</v>
      </c>
      <c r="B123" s="307" t="s">
        <v>865</v>
      </c>
      <c r="C123" s="446">
        <v>46276</v>
      </c>
      <c r="D123" s="752" t="s">
        <v>1126</v>
      </c>
      <c r="E123" s="446"/>
      <c r="F123" s="447"/>
      <c r="G123" s="447"/>
      <c r="H123" s="299" t="s">
        <v>867</v>
      </c>
      <c r="I123" s="643" t="s">
        <v>653</v>
      </c>
      <c r="J123" s="771" t="s">
        <v>654</v>
      </c>
      <c r="K123" s="643" t="s">
        <v>18</v>
      </c>
      <c r="L123" s="721">
        <v>1</v>
      </c>
      <c r="M123" s="750">
        <v>481481.48</v>
      </c>
      <c r="N123" s="613">
        <v>481481.48</v>
      </c>
      <c r="O123" s="613">
        <v>38518.518400000001</v>
      </c>
      <c r="P123" s="301">
        <v>519999.99839999998</v>
      </c>
      <c r="Q123" s="652"/>
      <c r="R123" s="652"/>
      <c r="S123" s="310"/>
    </row>
    <row r="124" spans="1:19">
      <c r="A124" s="751" t="s">
        <v>934</v>
      </c>
      <c r="B124" s="307" t="s">
        <v>865</v>
      </c>
      <c r="C124" s="446">
        <v>46276</v>
      </c>
      <c r="D124" s="752" t="s">
        <v>1126</v>
      </c>
      <c r="E124" s="446"/>
      <c r="F124" s="447"/>
      <c r="G124" s="447"/>
      <c r="H124" s="299" t="s">
        <v>867</v>
      </c>
      <c r="I124" s="643" t="s">
        <v>655</v>
      </c>
      <c r="J124" s="771" t="s">
        <v>656</v>
      </c>
      <c r="K124" s="643" t="s">
        <v>18</v>
      </c>
      <c r="L124" s="721">
        <v>1</v>
      </c>
      <c r="M124" s="750">
        <v>574074.06999999995</v>
      </c>
      <c r="N124" s="613">
        <v>574074.06999999995</v>
      </c>
      <c r="O124" s="613">
        <v>45925.925599999995</v>
      </c>
      <c r="P124" s="301">
        <v>619999.99559999991</v>
      </c>
      <c r="Q124" s="652"/>
      <c r="R124" s="652"/>
      <c r="S124" s="310"/>
    </row>
    <row r="125" spans="1:19">
      <c r="A125" s="751" t="s">
        <v>934</v>
      </c>
      <c r="B125" s="307" t="s">
        <v>865</v>
      </c>
      <c r="C125" s="446">
        <v>46279</v>
      </c>
      <c r="D125" s="752" t="s">
        <v>1207</v>
      </c>
      <c r="E125" s="446"/>
      <c r="F125" s="447"/>
      <c r="G125" s="447"/>
      <c r="H125" s="299" t="s">
        <v>867</v>
      </c>
      <c r="I125" s="719" t="s">
        <v>48</v>
      </c>
      <c r="J125" s="773" t="s">
        <v>49</v>
      </c>
      <c r="K125" s="298" t="s">
        <v>18</v>
      </c>
      <c r="L125" s="635">
        <v>12</v>
      </c>
      <c r="M125" s="750">
        <v>601851.85</v>
      </c>
      <c r="N125" s="613">
        <v>7222222.1999999993</v>
      </c>
      <c r="O125" s="613">
        <v>577777.77599999995</v>
      </c>
      <c r="P125" s="301">
        <v>7799999.9759999989</v>
      </c>
      <c r="Q125" s="652"/>
      <c r="R125" s="652"/>
      <c r="S125" s="310"/>
    </row>
    <row r="126" spans="1:19">
      <c r="A126" s="751" t="s">
        <v>934</v>
      </c>
      <c r="B126" s="307" t="s">
        <v>865</v>
      </c>
      <c r="C126" s="446">
        <v>46279</v>
      </c>
      <c r="D126" s="752" t="s">
        <v>1207</v>
      </c>
      <c r="E126" s="446"/>
      <c r="F126" s="447"/>
      <c r="G126" s="447"/>
      <c r="H126" s="299" t="s">
        <v>867</v>
      </c>
      <c r="I126" s="719" t="s">
        <v>50</v>
      </c>
      <c r="J126" s="773" t="s">
        <v>51</v>
      </c>
      <c r="K126" s="298" t="s">
        <v>18</v>
      </c>
      <c r="L126" s="635">
        <v>6</v>
      </c>
      <c r="M126" s="750">
        <v>937962.96</v>
      </c>
      <c r="N126" s="613">
        <v>5627777.7599999998</v>
      </c>
      <c r="O126" s="613">
        <v>450222.22080000001</v>
      </c>
      <c r="P126" s="301">
        <v>6077999.9808</v>
      </c>
      <c r="Q126" s="652"/>
      <c r="R126" s="652"/>
      <c r="S126" s="310"/>
    </row>
    <row r="127" spans="1:19">
      <c r="A127" s="751" t="s">
        <v>934</v>
      </c>
      <c r="B127" s="307" t="s">
        <v>865</v>
      </c>
      <c r="C127" s="446">
        <v>46279</v>
      </c>
      <c r="D127" s="752" t="s">
        <v>1207</v>
      </c>
      <c r="E127" s="446"/>
      <c r="F127" s="447"/>
      <c r="G127" s="447"/>
      <c r="H127" s="299" t="s">
        <v>867</v>
      </c>
      <c r="I127" s="719" t="s">
        <v>226</v>
      </c>
      <c r="J127" s="773" t="s">
        <v>227</v>
      </c>
      <c r="K127" s="298" t="s">
        <v>18</v>
      </c>
      <c r="L127" s="635">
        <v>6</v>
      </c>
      <c r="M127" s="750">
        <v>799074.07</v>
      </c>
      <c r="N127" s="613">
        <v>4794444.42</v>
      </c>
      <c r="O127" s="613">
        <v>383555.55359999998</v>
      </c>
      <c r="P127" s="301">
        <v>5177999.9736000001</v>
      </c>
      <c r="Q127" s="652"/>
      <c r="R127" s="652"/>
      <c r="S127" s="310"/>
    </row>
    <row r="128" spans="1:19">
      <c r="A128" s="751" t="s">
        <v>934</v>
      </c>
      <c r="B128" s="307" t="s">
        <v>865</v>
      </c>
      <c r="C128" s="446">
        <v>46279</v>
      </c>
      <c r="D128" s="752" t="s">
        <v>1207</v>
      </c>
      <c r="E128" s="446"/>
      <c r="F128" s="447"/>
      <c r="G128" s="447"/>
      <c r="H128" s="299" t="s">
        <v>867</v>
      </c>
      <c r="I128" s="719" t="s">
        <v>52</v>
      </c>
      <c r="J128" s="773" t="s">
        <v>53</v>
      </c>
      <c r="K128" s="298" t="s">
        <v>18</v>
      </c>
      <c r="L128" s="635">
        <v>12</v>
      </c>
      <c r="M128" s="750">
        <v>1007407.41</v>
      </c>
      <c r="N128" s="613">
        <v>12088888.92</v>
      </c>
      <c r="O128" s="613">
        <v>967111.11360000004</v>
      </c>
      <c r="P128" s="301">
        <v>13056000.033600001</v>
      </c>
      <c r="Q128" s="652"/>
      <c r="R128" s="652"/>
      <c r="S128" s="310"/>
    </row>
    <row r="129" spans="1:19">
      <c r="A129" s="751" t="s">
        <v>934</v>
      </c>
      <c r="B129" s="307" t="s">
        <v>865</v>
      </c>
      <c r="C129" s="446">
        <v>46279</v>
      </c>
      <c r="D129" s="752" t="s">
        <v>1207</v>
      </c>
      <c r="E129" s="446"/>
      <c r="F129" s="447"/>
      <c r="G129" s="447"/>
      <c r="H129" s="299" t="s">
        <v>867</v>
      </c>
      <c r="I129" s="719" t="s">
        <v>103</v>
      </c>
      <c r="J129" s="773" t="s">
        <v>104</v>
      </c>
      <c r="K129" s="298" t="s">
        <v>18</v>
      </c>
      <c r="L129" s="635">
        <v>12</v>
      </c>
      <c r="M129" s="750">
        <v>675925.93</v>
      </c>
      <c r="N129" s="613">
        <v>8111111.1600000001</v>
      </c>
      <c r="O129" s="613">
        <v>648888.89280000003</v>
      </c>
      <c r="P129" s="301">
        <v>8760000.0527999997</v>
      </c>
      <c r="Q129" s="652"/>
      <c r="R129" s="652"/>
      <c r="S129" s="310"/>
    </row>
    <row r="130" spans="1:19">
      <c r="A130" s="751" t="s">
        <v>934</v>
      </c>
      <c r="B130" s="307" t="s">
        <v>865</v>
      </c>
      <c r="C130" s="446">
        <v>46279</v>
      </c>
      <c r="D130" s="752" t="s">
        <v>1207</v>
      </c>
      <c r="E130" s="446"/>
      <c r="F130" s="447"/>
      <c r="G130" s="447"/>
      <c r="H130" s="299" t="s">
        <v>867</v>
      </c>
      <c r="I130" s="719" t="s">
        <v>873</v>
      </c>
      <c r="J130" s="773" t="s">
        <v>874</v>
      </c>
      <c r="K130" s="298" t="s">
        <v>18</v>
      </c>
      <c r="L130" s="635">
        <v>30</v>
      </c>
      <c r="M130" s="750">
        <v>388888.89</v>
      </c>
      <c r="N130" s="613">
        <v>11666666.700000001</v>
      </c>
      <c r="O130" s="613">
        <v>933333.33600000013</v>
      </c>
      <c r="P130" s="301">
        <v>12600000.036000002</v>
      </c>
      <c r="Q130" s="652"/>
      <c r="R130" s="652"/>
      <c r="S130" s="310"/>
    </row>
    <row r="131" spans="1:19">
      <c r="A131" s="751" t="s">
        <v>934</v>
      </c>
      <c r="B131" s="307" t="s">
        <v>865</v>
      </c>
      <c r="C131" s="446">
        <v>46279</v>
      </c>
      <c r="D131" s="752" t="s">
        <v>1207</v>
      </c>
      <c r="E131" s="446"/>
      <c r="F131" s="447"/>
      <c r="G131" s="447"/>
      <c r="H131" s="299" t="s">
        <v>867</v>
      </c>
      <c r="I131" s="719" t="s">
        <v>796</v>
      </c>
      <c r="J131" s="773" t="s">
        <v>797</v>
      </c>
      <c r="K131" s="298" t="s">
        <v>18</v>
      </c>
      <c r="L131" s="635">
        <v>30</v>
      </c>
      <c r="M131" s="750">
        <v>292592.59999999998</v>
      </c>
      <c r="N131" s="613">
        <v>8777778</v>
      </c>
      <c r="O131" s="613">
        <v>702222.24</v>
      </c>
      <c r="P131" s="301">
        <v>9480000.2400000002</v>
      </c>
      <c r="Q131" s="652"/>
      <c r="R131" s="652"/>
      <c r="S131" s="310"/>
    </row>
    <row r="132" spans="1:19">
      <c r="A132" s="751" t="s">
        <v>934</v>
      </c>
      <c r="B132" s="307" t="s">
        <v>865</v>
      </c>
      <c r="C132" s="446">
        <v>46279</v>
      </c>
      <c r="D132" s="752" t="s">
        <v>1207</v>
      </c>
      <c r="E132" s="446"/>
      <c r="F132" s="447"/>
      <c r="G132" s="447"/>
      <c r="H132" s="299" t="s">
        <v>867</v>
      </c>
      <c r="I132" s="719" t="s">
        <v>798</v>
      </c>
      <c r="J132" s="773" t="s">
        <v>799</v>
      </c>
      <c r="K132" s="298" t="s">
        <v>18</v>
      </c>
      <c r="L132" s="635">
        <v>30</v>
      </c>
      <c r="M132" s="750">
        <v>231481.48</v>
      </c>
      <c r="N132" s="613">
        <v>6944444.4000000004</v>
      </c>
      <c r="O132" s="613">
        <v>555555.55200000003</v>
      </c>
      <c r="P132" s="301">
        <v>7499999.9520000005</v>
      </c>
      <c r="Q132" s="652"/>
      <c r="R132" s="652"/>
      <c r="S132" s="310"/>
    </row>
    <row r="133" spans="1:19">
      <c r="A133" s="751" t="s">
        <v>934</v>
      </c>
      <c r="B133" s="307" t="s">
        <v>865</v>
      </c>
      <c r="C133" s="446">
        <v>46279</v>
      </c>
      <c r="D133" s="752" t="s">
        <v>1207</v>
      </c>
      <c r="E133" s="446"/>
      <c r="F133" s="447"/>
      <c r="G133" s="447"/>
      <c r="H133" s="299" t="s">
        <v>1239</v>
      </c>
      <c r="I133" s="719" t="s">
        <v>959</v>
      </c>
      <c r="J133" s="773" t="s">
        <v>960</v>
      </c>
      <c r="K133" s="298" t="s">
        <v>18</v>
      </c>
      <c r="L133" s="635">
        <v>48</v>
      </c>
      <c r="M133" s="750">
        <v>0</v>
      </c>
      <c r="N133" s="613">
        <v>0</v>
      </c>
      <c r="O133" s="613">
        <v>0</v>
      </c>
      <c r="P133" s="301">
        <v>0</v>
      </c>
      <c r="Q133" s="652"/>
      <c r="R133" s="652"/>
      <c r="S133" s="310"/>
    </row>
    <row r="134" spans="1:19">
      <c r="A134" s="751" t="s">
        <v>934</v>
      </c>
      <c r="B134" s="307" t="s">
        <v>865</v>
      </c>
      <c r="C134" s="446">
        <v>46279</v>
      </c>
      <c r="D134" s="752" t="s">
        <v>1207</v>
      </c>
      <c r="E134" s="446"/>
      <c r="F134" s="447"/>
      <c r="G134" s="447"/>
      <c r="H134" s="299" t="s">
        <v>1208</v>
      </c>
      <c r="I134" s="719" t="s">
        <v>107</v>
      </c>
      <c r="J134" s="773" t="s">
        <v>108</v>
      </c>
      <c r="K134" s="298" t="s">
        <v>18</v>
      </c>
      <c r="L134" s="635">
        <v>6</v>
      </c>
      <c r="M134" s="750">
        <v>0</v>
      </c>
      <c r="N134" s="613">
        <v>0</v>
      </c>
      <c r="O134" s="613">
        <v>0</v>
      </c>
      <c r="P134" s="301">
        <v>0</v>
      </c>
      <c r="Q134" s="652"/>
      <c r="R134" s="652"/>
      <c r="S134" s="310"/>
    </row>
    <row r="135" spans="1:19">
      <c r="A135" s="880" t="s">
        <v>934</v>
      </c>
      <c r="B135" s="307" t="s">
        <v>865</v>
      </c>
      <c r="C135" s="639">
        <v>46293</v>
      </c>
      <c r="D135" s="715" t="s">
        <v>1285</v>
      </c>
      <c r="E135" s="639"/>
      <c r="F135" s="644"/>
      <c r="G135" s="644"/>
      <c r="H135" s="302" t="s">
        <v>867</v>
      </c>
      <c r="I135" s="881" t="s">
        <v>1199</v>
      </c>
      <c r="J135" s="882" t="s">
        <v>1200</v>
      </c>
      <c r="K135" s="668" t="s">
        <v>18</v>
      </c>
      <c r="L135" s="883">
        <v>60</v>
      </c>
      <c r="M135" s="884">
        <v>212962.96</v>
      </c>
      <c r="N135" s="885">
        <f t="shared" ref="N135:N137" si="0">L135*M135</f>
        <v>12777777.6</v>
      </c>
      <c r="O135" s="613">
        <f t="shared" ref="O135:O137" si="1">N135*8%</f>
        <v>1022222.208</v>
      </c>
      <c r="P135" s="756">
        <f t="shared" ref="P135:P137" si="2">N135+O135</f>
        <v>13799999.808</v>
      </c>
      <c r="Q135" s="652"/>
      <c r="R135" s="652"/>
      <c r="S135" s="310"/>
    </row>
    <row r="136" spans="1:19">
      <c r="A136" s="880" t="s">
        <v>934</v>
      </c>
      <c r="B136" s="307" t="s">
        <v>865</v>
      </c>
      <c r="C136" s="639">
        <v>46293</v>
      </c>
      <c r="D136" s="715" t="s">
        <v>1285</v>
      </c>
      <c r="E136" s="639"/>
      <c r="F136" s="644"/>
      <c r="G136" s="644"/>
      <c r="H136" s="302" t="s">
        <v>867</v>
      </c>
      <c r="I136" s="881" t="s">
        <v>80</v>
      </c>
      <c r="J136" s="882" t="s">
        <v>81</v>
      </c>
      <c r="K136" s="668" t="s">
        <v>18</v>
      </c>
      <c r="L136" s="883">
        <v>10</v>
      </c>
      <c r="M136" s="884">
        <v>824074.07</v>
      </c>
      <c r="N136" s="885">
        <f t="shared" si="0"/>
        <v>8240740.6999999993</v>
      </c>
      <c r="O136" s="613">
        <f t="shared" si="1"/>
        <v>659259.25599999994</v>
      </c>
      <c r="P136" s="756">
        <f t="shared" si="2"/>
        <v>8899999.9559999984</v>
      </c>
      <c r="Q136" s="652"/>
      <c r="R136" s="652"/>
      <c r="S136" s="310"/>
    </row>
    <row r="137" spans="1:19">
      <c r="A137" s="880" t="s">
        <v>934</v>
      </c>
      <c r="B137" s="307" t="s">
        <v>865</v>
      </c>
      <c r="C137" s="639">
        <v>46293</v>
      </c>
      <c r="D137" s="715" t="s">
        <v>1285</v>
      </c>
      <c r="E137" s="639"/>
      <c r="F137" s="644"/>
      <c r="G137" s="644"/>
      <c r="H137" s="302" t="s">
        <v>867</v>
      </c>
      <c r="I137" s="881" t="s">
        <v>21</v>
      </c>
      <c r="J137" s="882" t="s">
        <v>22</v>
      </c>
      <c r="K137" s="668" t="s">
        <v>18</v>
      </c>
      <c r="L137" s="883">
        <v>10</v>
      </c>
      <c r="M137" s="884">
        <v>937962.96</v>
      </c>
      <c r="N137" s="885">
        <f t="shared" si="0"/>
        <v>9379629.5999999996</v>
      </c>
      <c r="O137" s="613">
        <f t="shared" si="1"/>
        <v>750370.36800000002</v>
      </c>
      <c r="P137" s="756">
        <f t="shared" si="2"/>
        <v>10129999.968</v>
      </c>
      <c r="Q137" s="652"/>
      <c r="R137" s="652"/>
      <c r="S137" s="310"/>
    </row>
    <row r="138" spans="1:19">
      <c r="A138" s="887" t="s">
        <v>934</v>
      </c>
      <c r="B138" s="307" t="s">
        <v>865</v>
      </c>
      <c r="C138" s="446">
        <v>46295</v>
      </c>
      <c r="D138" s="444" t="s">
        <v>1328</v>
      </c>
      <c r="E138" s="446"/>
      <c r="F138" s="447"/>
      <c r="G138" s="447"/>
      <c r="H138" s="299" t="s">
        <v>867</v>
      </c>
      <c r="I138" s="317" t="s">
        <v>639</v>
      </c>
      <c r="J138" s="716" t="s">
        <v>640</v>
      </c>
      <c r="K138" s="643" t="s">
        <v>18</v>
      </c>
      <c r="L138" s="721">
        <v>15</v>
      </c>
      <c r="M138" s="722">
        <v>537037.04</v>
      </c>
      <c r="N138" s="723">
        <v>8055555.6000000006</v>
      </c>
      <c r="O138" s="613">
        <v>644444.44800000009</v>
      </c>
      <c r="P138" s="755">
        <v>8700000.0480000004</v>
      </c>
      <c r="Q138" s="652"/>
      <c r="R138" s="652"/>
      <c r="S138" s="310"/>
    </row>
    <row r="139" spans="1:19">
      <c r="A139" s="751" t="s">
        <v>934</v>
      </c>
      <c r="B139" s="307" t="s">
        <v>865</v>
      </c>
      <c r="C139" s="446">
        <v>46295</v>
      </c>
      <c r="D139" s="444" t="s">
        <v>1328</v>
      </c>
      <c r="E139" s="446"/>
      <c r="F139" s="447"/>
      <c r="G139" s="447"/>
      <c r="H139" s="299" t="s">
        <v>867</v>
      </c>
      <c r="I139" s="317" t="s">
        <v>641</v>
      </c>
      <c r="J139" s="716" t="s">
        <v>657</v>
      </c>
      <c r="K139" s="643" t="s">
        <v>18</v>
      </c>
      <c r="L139" s="721">
        <v>15</v>
      </c>
      <c r="M139" s="722">
        <v>638888.89</v>
      </c>
      <c r="N139" s="723">
        <v>9583333.3499999996</v>
      </c>
      <c r="O139" s="613">
        <v>766666.66799999995</v>
      </c>
      <c r="P139" s="755">
        <v>10350000.017999999</v>
      </c>
      <c r="Q139" s="652"/>
      <c r="R139" s="652"/>
      <c r="S139" s="310"/>
    </row>
    <row r="140" spans="1:19">
      <c r="A140" s="751" t="s">
        <v>934</v>
      </c>
      <c r="B140" s="307" t="s">
        <v>865</v>
      </c>
      <c r="C140" s="446">
        <v>46295</v>
      </c>
      <c r="D140" s="444" t="s">
        <v>1328</v>
      </c>
      <c r="E140" s="446"/>
      <c r="F140" s="447"/>
      <c r="G140" s="447"/>
      <c r="H140" s="299" t="s">
        <v>867</v>
      </c>
      <c r="I140" s="317" t="s">
        <v>643</v>
      </c>
      <c r="J140" s="716" t="s">
        <v>644</v>
      </c>
      <c r="K140" s="643" t="s">
        <v>18</v>
      </c>
      <c r="L140" s="721">
        <v>15</v>
      </c>
      <c r="M140" s="722">
        <v>527777.78</v>
      </c>
      <c r="N140" s="723">
        <v>7916666.7000000002</v>
      </c>
      <c r="O140" s="613">
        <v>633333.33600000001</v>
      </c>
      <c r="P140" s="755">
        <v>8550000.0360000003</v>
      </c>
      <c r="Q140" s="652"/>
      <c r="R140" s="652"/>
      <c r="S140" s="310"/>
    </row>
    <row r="141" spans="1:19">
      <c r="A141" s="751" t="s">
        <v>934</v>
      </c>
      <c r="B141" s="307" t="s">
        <v>865</v>
      </c>
      <c r="C141" s="446">
        <v>46295</v>
      </c>
      <c r="D141" s="444" t="s">
        <v>1328</v>
      </c>
      <c r="E141" s="446"/>
      <c r="F141" s="447"/>
      <c r="G141" s="447"/>
      <c r="H141" s="299" t="s">
        <v>867</v>
      </c>
      <c r="I141" s="317" t="s">
        <v>645</v>
      </c>
      <c r="J141" s="716" t="s">
        <v>646</v>
      </c>
      <c r="K141" s="643" t="s">
        <v>18</v>
      </c>
      <c r="L141" s="721">
        <v>15</v>
      </c>
      <c r="M141" s="722">
        <v>629629.63</v>
      </c>
      <c r="N141" s="723">
        <v>9444444.4499999993</v>
      </c>
      <c r="O141" s="613">
        <v>755555.55599999998</v>
      </c>
      <c r="P141" s="755">
        <v>10200000.005999999</v>
      </c>
      <c r="Q141" s="652"/>
      <c r="R141" s="652"/>
      <c r="S141" s="310"/>
    </row>
    <row r="142" spans="1:19">
      <c r="A142" s="751" t="s">
        <v>934</v>
      </c>
      <c r="B142" s="307" t="s">
        <v>865</v>
      </c>
      <c r="C142" s="446">
        <v>46295</v>
      </c>
      <c r="D142" s="444" t="s">
        <v>1328</v>
      </c>
      <c r="E142" s="446"/>
      <c r="F142" s="447"/>
      <c r="G142" s="447"/>
      <c r="H142" s="299" t="s">
        <v>867</v>
      </c>
      <c r="I142" s="317" t="s">
        <v>649</v>
      </c>
      <c r="J142" s="716" t="s">
        <v>650</v>
      </c>
      <c r="K142" s="643" t="s">
        <v>18</v>
      </c>
      <c r="L142" s="721">
        <v>15</v>
      </c>
      <c r="M142" s="722">
        <v>574074.06999999995</v>
      </c>
      <c r="N142" s="723">
        <v>8611111.0499999989</v>
      </c>
      <c r="O142" s="613">
        <v>688888.88399999996</v>
      </c>
      <c r="P142" s="755">
        <v>9299999.9339999985</v>
      </c>
      <c r="Q142" s="652"/>
      <c r="R142" s="652"/>
      <c r="S142" s="310"/>
    </row>
    <row r="143" spans="1:19">
      <c r="A143" s="751" t="s">
        <v>934</v>
      </c>
      <c r="B143" s="307" t="s">
        <v>865</v>
      </c>
      <c r="C143" s="446">
        <v>46295</v>
      </c>
      <c r="D143" s="444" t="s">
        <v>1328</v>
      </c>
      <c r="E143" s="446"/>
      <c r="F143" s="447"/>
      <c r="G143" s="447"/>
      <c r="H143" s="299" t="s">
        <v>867</v>
      </c>
      <c r="I143" s="317" t="s">
        <v>651</v>
      </c>
      <c r="J143" s="716" t="s">
        <v>652</v>
      </c>
      <c r="K143" s="643" t="s">
        <v>18</v>
      </c>
      <c r="L143" s="721">
        <v>15</v>
      </c>
      <c r="M143" s="722">
        <v>694444.44</v>
      </c>
      <c r="N143" s="723">
        <v>10416666.6</v>
      </c>
      <c r="O143" s="613">
        <v>833333.32799999998</v>
      </c>
      <c r="P143" s="755">
        <v>11249999.927999999</v>
      </c>
      <c r="Q143" s="652"/>
      <c r="R143" s="652"/>
      <c r="S143" s="310"/>
    </row>
    <row r="144" spans="1:19">
      <c r="A144" s="751" t="s">
        <v>934</v>
      </c>
      <c r="B144" s="307" t="s">
        <v>865</v>
      </c>
      <c r="C144" s="446">
        <v>46295</v>
      </c>
      <c r="D144" s="444" t="s">
        <v>1328</v>
      </c>
      <c r="E144" s="446"/>
      <c r="F144" s="447"/>
      <c r="G144" s="447"/>
      <c r="H144" s="299" t="s">
        <v>867</v>
      </c>
      <c r="I144" s="317" t="s">
        <v>653</v>
      </c>
      <c r="J144" s="716" t="s">
        <v>654</v>
      </c>
      <c r="K144" s="643" t="s">
        <v>18</v>
      </c>
      <c r="L144" s="721">
        <v>15</v>
      </c>
      <c r="M144" s="722">
        <v>481481.48</v>
      </c>
      <c r="N144" s="723">
        <v>7222222.1999999993</v>
      </c>
      <c r="O144" s="613">
        <v>577777.77599999995</v>
      </c>
      <c r="P144" s="755">
        <v>7799999.9759999989</v>
      </c>
      <c r="Q144" s="652"/>
      <c r="R144" s="652"/>
      <c r="S144" s="310"/>
    </row>
    <row r="145" spans="1:19">
      <c r="A145" s="751" t="s">
        <v>934</v>
      </c>
      <c r="B145" s="307" t="s">
        <v>865</v>
      </c>
      <c r="C145" s="446">
        <v>46295</v>
      </c>
      <c r="D145" s="444" t="s">
        <v>1328</v>
      </c>
      <c r="E145" s="446"/>
      <c r="F145" s="447"/>
      <c r="G145" s="447"/>
      <c r="H145" s="299" t="s">
        <v>892</v>
      </c>
      <c r="I145" s="317" t="s">
        <v>639</v>
      </c>
      <c r="J145" s="716" t="s">
        <v>640</v>
      </c>
      <c r="K145" s="643" t="s">
        <v>18</v>
      </c>
      <c r="L145" s="721">
        <v>1</v>
      </c>
      <c r="M145" s="722">
        <v>0</v>
      </c>
      <c r="N145" s="723">
        <v>0</v>
      </c>
      <c r="O145" s="613">
        <v>0</v>
      </c>
      <c r="P145" s="755">
        <v>0</v>
      </c>
      <c r="Q145" s="652"/>
      <c r="R145" s="652"/>
      <c r="S145" s="310"/>
    </row>
    <row r="146" spans="1:19">
      <c r="A146" s="751" t="s">
        <v>934</v>
      </c>
      <c r="B146" s="307" t="s">
        <v>865</v>
      </c>
      <c r="C146" s="446">
        <v>46295</v>
      </c>
      <c r="D146" s="444" t="s">
        <v>1328</v>
      </c>
      <c r="E146" s="446"/>
      <c r="F146" s="447"/>
      <c r="G146" s="447"/>
      <c r="H146" s="299" t="s">
        <v>892</v>
      </c>
      <c r="I146" s="317" t="s">
        <v>641</v>
      </c>
      <c r="J146" s="716" t="s">
        <v>657</v>
      </c>
      <c r="K146" s="643" t="s">
        <v>18</v>
      </c>
      <c r="L146" s="721">
        <v>1</v>
      </c>
      <c r="M146" s="722">
        <v>0</v>
      </c>
      <c r="N146" s="723">
        <v>0</v>
      </c>
      <c r="O146" s="613">
        <v>0</v>
      </c>
      <c r="P146" s="755">
        <v>0</v>
      </c>
      <c r="Q146" s="652"/>
      <c r="R146" s="652"/>
      <c r="S146" s="310"/>
    </row>
    <row r="147" spans="1:19">
      <c r="A147" s="751" t="s">
        <v>934</v>
      </c>
      <c r="B147" s="307" t="s">
        <v>865</v>
      </c>
      <c r="C147" s="446">
        <v>46295</v>
      </c>
      <c r="D147" s="444" t="s">
        <v>1328</v>
      </c>
      <c r="E147" s="446"/>
      <c r="F147" s="447"/>
      <c r="G147" s="447"/>
      <c r="H147" s="299" t="s">
        <v>892</v>
      </c>
      <c r="I147" s="317" t="s">
        <v>643</v>
      </c>
      <c r="J147" s="716" t="s">
        <v>644</v>
      </c>
      <c r="K147" s="643" t="s">
        <v>18</v>
      </c>
      <c r="L147" s="721">
        <v>1</v>
      </c>
      <c r="M147" s="722">
        <v>0</v>
      </c>
      <c r="N147" s="723">
        <v>0</v>
      </c>
      <c r="O147" s="613">
        <v>0</v>
      </c>
      <c r="P147" s="755">
        <v>0</v>
      </c>
      <c r="Q147" s="652"/>
      <c r="R147" s="652"/>
      <c r="S147" s="310"/>
    </row>
    <row r="148" spans="1:19">
      <c r="A148" s="751" t="s">
        <v>934</v>
      </c>
      <c r="B148" s="307" t="s">
        <v>865</v>
      </c>
      <c r="C148" s="446">
        <v>46295</v>
      </c>
      <c r="D148" s="444" t="s">
        <v>1328</v>
      </c>
      <c r="E148" s="446"/>
      <c r="F148" s="447"/>
      <c r="G148" s="447"/>
      <c r="H148" s="299" t="s">
        <v>892</v>
      </c>
      <c r="I148" s="317" t="s">
        <v>645</v>
      </c>
      <c r="J148" s="716" t="s">
        <v>646</v>
      </c>
      <c r="K148" s="643" t="s">
        <v>18</v>
      </c>
      <c r="L148" s="721">
        <v>1</v>
      </c>
      <c r="M148" s="722">
        <v>0</v>
      </c>
      <c r="N148" s="723">
        <v>0</v>
      </c>
      <c r="O148" s="613">
        <v>0</v>
      </c>
      <c r="P148" s="755">
        <v>0</v>
      </c>
      <c r="Q148" s="652"/>
      <c r="R148" s="652"/>
      <c r="S148" s="310"/>
    </row>
    <row r="149" spans="1:19">
      <c r="A149" s="751" t="s">
        <v>934</v>
      </c>
      <c r="B149" s="307" t="s">
        <v>865</v>
      </c>
      <c r="C149" s="446">
        <v>46295</v>
      </c>
      <c r="D149" s="444" t="s">
        <v>1328</v>
      </c>
      <c r="E149" s="446"/>
      <c r="F149" s="447"/>
      <c r="G149" s="447"/>
      <c r="H149" s="299" t="s">
        <v>892</v>
      </c>
      <c r="I149" s="317" t="s">
        <v>649</v>
      </c>
      <c r="J149" s="716" t="s">
        <v>650</v>
      </c>
      <c r="K149" s="643" t="s">
        <v>18</v>
      </c>
      <c r="L149" s="721">
        <v>1</v>
      </c>
      <c r="M149" s="722">
        <v>0</v>
      </c>
      <c r="N149" s="723">
        <v>0</v>
      </c>
      <c r="O149" s="613">
        <v>0</v>
      </c>
      <c r="P149" s="755">
        <v>0</v>
      </c>
      <c r="Q149" s="652"/>
      <c r="R149" s="652"/>
      <c r="S149" s="310"/>
    </row>
    <row r="150" spans="1:19">
      <c r="A150" s="751" t="s">
        <v>934</v>
      </c>
      <c r="B150" s="307" t="s">
        <v>865</v>
      </c>
      <c r="C150" s="446">
        <v>46295</v>
      </c>
      <c r="D150" s="444" t="s">
        <v>1328</v>
      </c>
      <c r="E150" s="446"/>
      <c r="F150" s="447"/>
      <c r="G150" s="447"/>
      <c r="H150" s="299" t="s">
        <v>892</v>
      </c>
      <c r="I150" s="317" t="s">
        <v>651</v>
      </c>
      <c r="J150" s="716" t="s">
        <v>652</v>
      </c>
      <c r="K150" s="643" t="s">
        <v>18</v>
      </c>
      <c r="L150" s="721">
        <v>1</v>
      </c>
      <c r="M150" s="722">
        <v>0</v>
      </c>
      <c r="N150" s="723">
        <v>0</v>
      </c>
      <c r="O150" s="613">
        <v>0</v>
      </c>
      <c r="P150" s="755">
        <v>0</v>
      </c>
      <c r="Q150" s="652"/>
      <c r="R150" s="652"/>
      <c r="S150" s="310"/>
    </row>
    <row r="151" spans="1:19">
      <c r="A151" s="751" t="s">
        <v>934</v>
      </c>
      <c r="B151" s="307" t="s">
        <v>865</v>
      </c>
      <c r="C151" s="446">
        <v>46295</v>
      </c>
      <c r="D151" s="444" t="s">
        <v>1328</v>
      </c>
      <c r="E151" s="446"/>
      <c r="F151" s="447"/>
      <c r="G151" s="447"/>
      <c r="H151" s="299" t="s">
        <v>892</v>
      </c>
      <c r="I151" s="317" t="s">
        <v>653</v>
      </c>
      <c r="J151" s="716" t="s">
        <v>654</v>
      </c>
      <c r="K151" s="643" t="s">
        <v>18</v>
      </c>
      <c r="L151" s="721">
        <v>1</v>
      </c>
      <c r="M151" s="722">
        <v>0</v>
      </c>
      <c r="N151" s="723">
        <v>0</v>
      </c>
      <c r="O151" s="613">
        <v>0</v>
      </c>
      <c r="P151" s="755">
        <v>0</v>
      </c>
      <c r="Q151" s="652"/>
      <c r="R151" s="652"/>
      <c r="S151" s="310"/>
    </row>
    <row r="152" spans="1:19">
      <c r="A152" s="751" t="s">
        <v>934</v>
      </c>
      <c r="B152" s="307" t="s">
        <v>865</v>
      </c>
      <c r="C152" s="446">
        <v>46295</v>
      </c>
      <c r="D152" s="444" t="s">
        <v>1328</v>
      </c>
      <c r="E152" s="441"/>
      <c r="F152" s="446"/>
      <c r="G152" s="447"/>
      <c r="H152" s="299" t="s">
        <v>1329</v>
      </c>
      <c r="I152" s="317" t="s">
        <v>873</v>
      </c>
      <c r="J152" s="643" t="s">
        <v>874</v>
      </c>
      <c r="K152" s="643" t="s">
        <v>18</v>
      </c>
      <c r="L152" s="721">
        <v>2</v>
      </c>
      <c r="M152" s="722">
        <v>0</v>
      </c>
      <c r="N152" s="723">
        <v>0</v>
      </c>
      <c r="O152" s="613">
        <v>0</v>
      </c>
      <c r="P152" s="755">
        <v>0</v>
      </c>
      <c r="Q152" s="652"/>
      <c r="R152" s="652"/>
      <c r="S152" s="310"/>
    </row>
    <row r="153" spans="1:19">
      <c r="A153" s="751" t="s">
        <v>934</v>
      </c>
      <c r="B153" s="307" t="s">
        <v>865</v>
      </c>
      <c r="C153" s="446">
        <v>46296</v>
      </c>
      <c r="D153" s="444"/>
      <c r="E153" s="441"/>
      <c r="F153" s="446"/>
      <c r="G153" s="447"/>
      <c r="H153" s="299" t="s">
        <v>859</v>
      </c>
      <c r="I153" s="447"/>
      <c r="J153" s="322"/>
      <c r="K153" s="298"/>
      <c r="L153" s="635"/>
      <c r="M153" s="612"/>
      <c r="N153" s="613"/>
      <c r="O153" s="613"/>
      <c r="P153" s="613"/>
      <c r="Q153" s="652">
        <v>50000000</v>
      </c>
      <c r="R153" s="652"/>
      <c r="S153" s="310"/>
    </row>
    <row r="154" spans="1:19">
      <c r="A154" s="490"/>
      <c r="B154" s="490"/>
      <c r="C154" s="490"/>
      <c r="D154" s="490"/>
      <c r="E154" s="490"/>
      <c r="F154" s="490"/>
      <c r="G154" s="490"/>
      <c r="H154" s="490"/>
      <c r="I154" s="490"/>
      <c r="J154" s="490"/>
      <c r="K154" s="490"/>
      <c r="L154" s="490"/>
      <c r="M154" s="490"/>
      <c r="N154" s="823">
        <f>SUM(N2:N153)</f>
        <v>920022587.82000065</v>
      </c>
      <c r="O154" s="823">
        <f>SUM(O2:O153)</f>
        <v>73601807.025600016</v>
      </c>
      <c r="P154" s="823">
        <f>SUM(P2:P153)</f>
        <v>993624394.84559953</v>
      </c>
      <c r="Q154" s="824">
        <f>SUM(Q2:Q153)</f>
        <v>221332402</v>
      </c>
      <c r="R154" s="490"/>
      <c r="S154" s="490"/>
    </row>
    <row r="156" spans="1:19" ht="15.75" thickBot="1"/>
    <row r="157" spans="1:19">
      <c r="H157" s="477" t="s">
        <v>894</v>
      </c>
      <c r="I157" s="491">
        <f>P154</f>
        <v>993624394.84559953</v>
      </c>
      <c r="J157" s="452"/>
      <c r="K157" s="993" t="s">
        <v>900</v>
      </c>
      <c r="L157" s="994"/>
      <c r="M157" s="994"/>
      <c r="N157" s="994"/>
      <c r="O157" s="994"/>
    </row>
    <row r="158" spans="1:19">
      <c r="H158" s="478" t="s">
        <v>895</v>
      </c>
      <c r="I158" s="492">
        <f>Q154</f>
        <v>221332402</v>
      </c>
      <c r="J158" s="452"/>
      <c r="K158" s="994"/>
      <c r="L158" s="994"/>
      <c r="M158" s="994"/>
      <c r="N158" s="994"/>
      <c r="O158" s="994"/>
    </row>
    <row r="159" spans="1:19">
      <c r="H159" s="478" t="s">
        <v>901</v>
      </c>
      <c r="I159" s="492">
        <f>P50+P53+P54+P56+P57+P58+P59+P60</f>
        <v>187099999.61040002</v>
      </c>
      <c r="J159" s="452"/>
      <c r="K159" s="994"/>
      <c r="L159" s="994"/>
      <c r="M159" s="994"/>
      <c r="N159" s="994"/>
      <c r="O159" s="994"/>
    </row>
    <row r="160" spans="1:19">
      <c r="H160" s="478" t="s">
        <v>898</v>
      </c>
      <c r="I160" s="492">
        <f>I157-I158</f>
        <v>772291992.84559953</v>
      </c>
      <c r="J160" s="452"/>
      <c r="K160" s="994"/>
      <c r="L160" s="994"/>
      <c r="M160" s="994"/>
      <c r="N160" s="994"/>
      <c r="O160" s="994"/>
    </row>
    <row r="161" spans="8:15" ht="15.75" thickBot="1">
      <c r="H161" s="480" t="s">
        <v>902</v>
      </c>
      <c r="I161" s="493">
        <f>I160-I159</f>
        <v>585191993.23519945</v>
      </c>
      <c r="J161" s="452"/>
      <c r="K161" s="994"/>
      <c r="L161" s="994"/>
      <c r="M161" s="994"/>
      <c r="N161" s="994"/>
      <c r="O161" s="994"/>
    </row>
    <row r="162" spans="8:15">
      <c r="H162" s="452"/>
      <c r="I162" s="452"/>
      <c r="J162" s="452"/>
      <c r="K162" s="994"/>
      <c r="L162" s="994"/>
      <c r="M162" s="994"/>
      <c r="N162" s="994"/>
      <c r="O162" s="994"/>
    </row>
    <row r="163" spans="8:15">
      <c r="H163" s="452"/>
      <c r="I163" s="452"/>
      <c r="J163" s="452"/>
      <c r="K163" s="994"/>
      <c r="L163" s="994"/>
      <c r="M163" s="994"/>
      <c r="N163" s="994"/>
      <c r="O163" s="994"/>
    </row>
    <row r="164" spans="8:15">
      <c r="H164" s="452"/>
      <c r="I164" s="452"/>
      <c r="J164" s="452"/>
      <c r="K164" s="994"/>
      <c r="L164" s="994"/>
      <c r="M164" s="994"/>
      <c r="N164" s="994"/>
      <c r="O164" s="994"/>
    </row>
    <row r="165" spans="8:15">
      <c r="H165" s="452"/>
      <c r="I165" s="452"/>
      <c r="J165" s="452"/>
      <c r="K165" s="994"/>
      <c r="L165" s="994"/>
      <c r="M165" s="994"/>
      <c r="N165" s="994"/>
      <c r="O165" s="994"/>
    </row>
    <row r="166" spans="8:15">
      <c r="H166" s="452"/>
      <c r="I166" s="452"/>
      <c r="J166" s="452"/>
      <c r="K166" s="994"/>
      <c r="L166" s="994"/>
      <c r="M166" s="994"/>
      <c r="N166" s="994"/>
      <c r="O166" s="994"/>
    </row>
    <row r="167" spans="8:15">
      <c r="H167" s="452"/>
      <c r="I167" s="452"/>
      <c r="J167" s="452"/>
      <c r="K167" s="994"/>
      <c r="L167" s="994"/>
      <c r="M167" s="994"/>
      <c r="N167" s="994"/>
      <c r="O167" s="994"/>
    </row>
    <row r="195" ht="69.75" customHeight="1"/>
  </sheetData>
  <autoFilter ref="A1:S154" xr:uid="{5D533D1A-E3D8-411D-B31B-6B45F999A3EA}"/>
  <mergeCells count="1">
    <mergeCell ref="K157:O167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FC1F-9C51-41B6-B5D8-78E7F61394ED}">
  <dimension ref="A2:Q77"/>
  <sheetViews>
    <sheetView topLeftCell="E1" workbookViewId="0">
      <pane ySplit="2" topLeftCell="A53" activePane="bottomLeft" state="frozen"/>
      <selection activeCell="B1" sqref="B1"/>
      <selection pane="bottomLeft" activeCell="J80" sqref="J80"/>
    </sheetView>
  </sheetViews>
  <sheetFormatPr defaultRowHeight="15"/>
  <cols>
    <col min="1" max="1" width="7.7109375" customWidth="1"/>
    <col min="2" max="2" width="75.140625" customWidth="1"/>
    <col min="3" max="3" width="11.5703125" bestFit="1" customWidth="1"/>
    <col min="4" max="4" width="15.42578125" bestFit="1" customWidth="1"/>
    <col min="5" max="5" width="11.5703125" bestFit="1" customWidth="1"/>
    <col min="6" max="6" width="9" bestFit="1" customWidth="1"/>
    <col min="7" max="7" width="11.85546875" bestFit="1" customWidth="1"/>
    <col min="8" max="8" width="78.5703125" customWidth="1"/>
    <col min="9" max="9" width="8.85546875" bestFit="1" customWidth="1"/>
    <col min="10" max="10" width="54" bestFit="1" customWidth="1"/>
    <col min="11" max="11" width="15" bestFit="1" customWidth="1"/>
    <col min="12" max="12" width="7.28515625" bestFit="1" customWidth="1"/>
    <col min="13" max="13" width="11.42578125" bestFit="1" customWidth="1"/>
    <col min="14" max="14" width="13.85546875" bestFit="1" customWidth="1"/>
    <col min="15" max="15" width="12.7109375" bestFit="1" customWidth="1"/>
    <col min="16" max="16" width="13.85546875" bestFit="1" customWidth="1"/>
    <col min="17" max="17" width="14.28515625" bestFit="1" customWidth="1"/>
  </cols>
  <sheetData>
    <row r="2" spans="1:17" ht="72">
      <c r="A2" s="501" t="s">
        <v>666</v>
      </c>
      <c r="B2" s="499" t="s">
        <v>912</v>
      </c>
      <c r="C2" s="674" t="s">
        <v>994</v>
      </c>
      <c r="D2" s="500" t="s">
        <v>636</v>
      </c>
      <c r="E2" s="499" t="s">
        <v>635</v>
      </c>
      <c r="F2" s="501" t="s">
        <v>637</v>
      </c>
      <c r="G2" s="501" t="s">
        <v>634</v>
      </c>
      <c r="H2" s="581" t="s">
        <v>625</v>
      </c>
      <c r="I2" s="675" t="s">
        <v>995</v>
      </c>
      <c r="J2" s="581" t="s">
        <v>627</v>
      </c>
      <c r="K2" s="676" t="s">
        <v>996</v>
      </c>
      <c r="L2" s="677" t="s">
        <v>997</v>
      </c>
      <c r="M2" s="678" t="s">
        <v>998</v>
      </c>
      <c r="N2" s="678" t="s">
        <v>999</v>
      </c>
      <c r="O2" s="678" t="s">
        <v>1000</v>
      </c>
      <c r="P2" s="678" t="s">
        <v>913</v>
      </c>
      <c r="Q2" s="679" t="s">
        <v>1104</v>
      </c>
    </row>
    <row r="3" spans="1:17">
      <c r="A3" s="440" t="s">
        <v>736</v>
      </c>
      <c r="B3" s="441" t="s">
        <v>747</v>
      </c>
      <c r="C3" s="347" t="s">
        <v>67</v>
      </c>
      <c r="D3" s="442"/>
      <c r="E3" s="555" t="s">
        <v>67</v>
      </c>
      <c r="F3" s="443"/>
      <c r="G3" s="336" t="s">
        <v>473</v>
      </c>
      <c r="H3" s="299" t="s">
        <v>818</v>
      </c>
      <c r="I3" s="643" t="s">
        <v>80</v>
      </c>
      <c r="J3" s="299" t="s">
        <v>81</v>
      </c>
      <c r="K3" s="556" t="s">
        <v>18</v>
      </c>
      <c r="L3" s="636">
        <v>4</v>
      </c>
      <c r="M3" s="328">
        <v>824074.07</v>
      </c>
      <c r="N3" s="328">
        <v>3296296</v>
      </c>
      <c r="O3" s="328">
        <v>263704</v>
      </c>
      <c r="P3" s="328">
        <v>3560000</v>
      </c>
      <c r="Q3" s="422"/>
    </row>
    <row r="4" spans="1:17">
      <c r="A4" s="440" t="s">
        <v>736</v>
      </c>
      <c r="B4" s="441" t="s">
        <v>747</v>
      </c>
      <c r="C4" s="347" t="s">
        <v>67</v>
      </c>
      <c r="D4" s="442"/>
      <c r="E4" s="555" t="s">
        <v>67</v>
      </c>
      <c r="F4" s="443"/>
      <c r="G4" s="336" t="s">
        <v>473</v>
      </c>
      <c r="H4" s="299" t="s">
        <v>818</v>
      </c>
      <c r="I4" s="643" t="s">
        <v>21</v>
      </c>
      <c r="J4" s="669" t="s">
        <v>22</v>
      </c>
      <c r="K4" s="557" t="s">
        <v>412</v>
      </c>
      <c r="L4" s="636">
        <v>4</v>
      </c>
      <c r="M4" s="328">
        <v>937963</v>
      </c>
      <c r="N4" s="328">
        <v>3751852</v>
      </c>
      <c r="O4" s="328">
        <v>300148</v>
      </c>
      <c r="P4" s="328">
        <v>4052000</v>
      </c>
      <c r="Q4" s="422"/>
    </row>
    <row r="5" spans="1:17" ht="30">
      <c r="A5" s="440" t="s">
        <v>736</v>
      </c>
      <c r="B5" s="441" t="s">
        <v>747</v>
      </c>
      <c r="C5" s="347" t="s">
        <v>67</v>
      </c>
      <c r="D5" s="442"/>
      <c r="E5" s="555" t="s">
        <v>476</v>
      </c>
      <c r="F5" s="443"/>
      <c r="G5" s="336" t="s">
        <v>475</v>
      </c>
      <c r="H5" s="299" t="s">
        <v>818</v>
      </c>
      <c r="I5" s="643" t="s">
        <v>16</v>
      </c>
      <c r="J5" s="669" t="s">
        <v>375</v>
      </c>
      <c r="K5" s="557" t="s">
        <v>412</v>
      </c>
      <c r="L5" s="636">
        <v>4</v>
      </c>
      <c r="M5" s="328">
        <v>851851.75</v>
      </c>
      <c r="N5" s="328">
        <v>3407407</v>
      </c>
      <c r="O5" s="328">
        <v>272593</v>
      </c>
      <c r="P5" s="328">
        <v>3680000</v>
      </c>
      <c r="Q5" s="422"/>
    </row>
    <row r="6" spans="1:17">
      <c r="A6" s="440" t="s">
        <v>736</v>
      </c>
      <c r="B6" s="441" t="s">
        <v>747</v>
      </c>
      <c r="C6" s="347" t="s">
        <v>67</v>
      </c>
      <c r="D6" s="442"/>
      <c r="E6" s="555">
        <v>46115</v>
      </c>
      <c r="F6" s="443"/>
      <c r="G6" s="336" t="s">
        <v>477</v>
      </c>
      <c r="H6" s="299" t="s">
        <v>818</v>
      </c>
      <c r="I6" s="643" t="s">
        <v>48</v>
      </c>
      <c r="J6" s="299" t="s">
        <v>49</v>
      </c>
      <c r="K6" s="557" t="s">
        <v>113</v>
      </c>
      <c r="L6" s="636">
        <v>6</v>
      </c>
      <c r="M6" s="328">
        <v>601851.75</v>
      </c>
      <c r="N6" s="328">
        <v>3611111</v>
      </c>
      <c r="O6" s="328">
        <v>288889</v>
      </c>
      <c r="P6" s="328">
        <v>3900000</v>
      </c>
      <c r="Q6" s="422"/>
    </row>
    <row r="7" spans="1:17">
      <c r="A7" s="440" t="s">
        <v>736</v>
      </c>
      <c r="B7" s="441" t="s">
        <v>747</v>
      </c>
      <c r="C7" s="347" t="s">
        <v>67</v>
      </c>
      <c r="D7" s="442"/>
      <c r="E7" s="555" t="s">
        <v>476</v>
      </c>
      <c r="F7" s="443"/>
      <c r="G7" s="336" t="s">
        <v>478</v>
      </c>
      <c r="H7" s="299" t="s">
        <v>818</v>
      </c>
      <c r="I7" s="643" t="s">
        <v>56</v>
      </c>
      <c r="J7" s="669" t="s">
        <v>381</v>
      </c>
      <c r="K7" s="557" t="s">
        <v>113</v>
      </c>
      <c r="L7" s="636">
        <v>36</v>
      </c>
      <c r="M7" s="328">
        <v>325925.92</v>
      </c>
      <c r="N7" s="328">
        <v>11733333</v>
      </c>
      <c r="O7" s="328">
        <v>938666</v>
      </c>
      <c r="P7" s="328">
        <v>12671999</v>
      </c>
      <c r="Q7" s="422"/>
    </row>
    <row r="8" spans="1:17">
      <c r="A8" s="440" t="s">
        <v>736</v>
      </c>
      <c r="B8" s="441" t="s">
        <v>747</v>
      </c>
      <c r="C8" s="347" t="s">
        <v>67</v>
      </c>
      <c r="D8" s="442"/>
      <c r="E8" s="555" t="s">
        <v>140</v>
      </c>
      <c r="F8" s="443"/>
      <c r="G8" s="336" t="s">
        <v>479</v>
      </c>
      <c r="H8" s="299" t="s">
        <v>818</v>
      </c>
      <c r="I8" s="643" t="s">
        <v>74</v>
      </c>
      <c r="J8" s="669" t="s">
        <v>75</v>
      </c>
      <c r="K8" s="557" t="s">
        <v>113</v>
      </c>
      <c r="L8" s="636">
        <v>8</v>
      </c>
      <c r="M8" s="328">
        <v>361111.11</v>
      </c>
      <c r="N8" s="328">
        <v>2888889</v>
      </c>
      <c r="O8" s="328">
        <v>231111</v>
      </c>
      <c r="P8" s="328">
        <v>3120000</v>
      </c>
      <c r="Q8" s="422"/>
    </row>
    <row r="9" spans="1:17">
      <c r="A9" s="440" t="s">
        <v>736</v>
      </c>
      <c r="B9" s="441" t="s">
        <v>747</v>
      </c>
      <c r="C9" s="347" t="s">
        <v>67</v>
      </c>
      <c r="D9" s="442"/>
      <c r="E9" s="555"/>
      <c r="F9" s="443"/>
      <c r="G9" s="336"/>
      <c r="H9" s="299" t="s">
        <v>818</v>
      </c>
      <c r="I9" s="643" t="s">
        <v>62</v>
      </c>
      <c r="J9" s="299" t="s">
        <v>63</v>
      </c>
      <c r="K9" s="557" t="s">
        <v>113</v>
      </c>
      <c r="L9" s="636">
        <v>6</v>
      </c>
      <c r="M9" s="328"/>
      <c r="N9" s="328"/>
      <c r="O9" s="328"/>
      <c r="P9" s="328"/>
      <c r="Q9" s="422"/>
    </row>
    <row r="10" spans="1:17">
      <c r="A10" s="440" t="s">
        <v>736</v>
      </c>
      <c r="B10" s="441" t="s">
        <v>747</v>
      </c>
      <c r="C10" s="347" t="s">
        <v>393</v>
      </c>
      <c r="D10" s="442"/>
      <c r="E10" s="555" t="s">
        <v>393</v>
      </c>
      <c r="F10" s="443"/>
      <c r="G10" s="336" t="s">
        <v>480</v>
      </c>
      <c r="H10" s="299" t="s">
        <v>818</v>
      </c>
      <c r="I10" s="643" t="s">
        <v>80</v>
      </c>
      <c r="J10" s="299" t="s">
        <v>81</v>
      </c>
      <c r="K10" s="556" t="s">
        <v>18</v>
      </c>
      <c r="L10" s="636">
        <v>6</v>
      </c>
      <c r="M10" s="328">
        <v>824074.07</v>
      </c>
      <c r="N10" s="328">
        <v>4944444</v>
      </c>
      <c r="O10" s="328">
        <v>395556</v>
      </c>
      <c r="P10" s="328">
        <v>5340000</v>
      </c>
      <c r="Q10" s="422"/>
    </row>
    <row r="11" spans="1:17">
      <c r="A11" s="440" t="s">
        <v>736</v>
      </c>
      <c r="B11" s="441" t="s">
        <v>747</v>
      </c>
      <c r="C11" s="347" t="s">
        <v>393</v>
      </c>
      <c r="D11" s="442"/>
      <c r="E11" s="555" t="s">
        <v>393</v>
      </c>
      <c r="F11" s="443"/>
      <c r="G11" s="336" t="s">
        <v>480</v>
      </c>
      <c r="H11" s="299" t="s">
        <v>818</v>
      </c>
      <c r="I11" s="643" t="s">
        <v>21</v>
      </c>
      <c r="J11" s="670" t="s">
        <v>22</v>
      </c>
      <c r="K11" s="557" t="s">
        <v>412</v>
      </c>
      <c r="L11" s="636">
        <v>6</v>
      </c>
      <c r="M11" s="328">
        <v>937962.96</v>
      </c>
      <c r="N11" s="328">
        <v>5627778</v>
      </c>
      <c r="O11" s="328">
        <v>450222</v>
      </c>
      <c r="P11" s="328">
        <v>6078000</v>
      </c>
      <c r="Q11" s="422"/>
    </row>
    <row r="12" spans="1:17" ht="30">
      <c r="A12" s="440" t="s">
        <v>736</v>
      </c>
      <c r="B12" s="441" t="s">
        <v>747</v>
      </c>
      <c r="C12" s="347" t="s">
        <v>393</v>
      </c>
      <c r="D12" s="442"/>
      <c r="E12" s="555">
        <v>46297</v>
      </c>
      <c r="F12" s="443"/>
      <c r="G12" s="336" t="s">
        <v>481</v>
      </c>
      <c r="H12" s="299" t="s">
        <v>818</v>
      </c>
      <c r="I12" s="643" t="s">
        <v>60</v>
      </c>
      <c r="J12" s="669" t="s">
        <v>374</v>
      </c>
      <c r="K12" s="557" t="s">
        <v>412</v>
      </c>
      <c r="L12" s="636">
        <v>8</v>
      </c>
      <c r="M12" s="328">
        <v>1138888.8799999999</v>
      </c>
      <c r="N12" s="328">
        <v>9111111</v>
      </c>
      <c r="O12" s="328">
        <v>728889</v>
      </c>
      <c r="P12" s="328">
        <v>9840000</v>
      </c>
      <c r="Q12" s="422"/>
    </row>
    <row r="13" spans="1:17" ht="30">
      <c r="A13" s="440" t="s">
        <v>736</v>
      </c>
      <c r="B13" s="441" t="s">
        <v>747</v>
      </c>
      <c r="C13" s="347" t="s">
        <v>393</v>
      </c>
      <c r="D13" s="442"/>
      <c r="E13" s="555">
        <v>46297</v>
      </c>
      <c r="F13" s="443"/>
      <c r="G13" s="336" t="s">
        <v>481</v>
      </c>
      <c r="H13" s="299" t="s">
        <v>818</v>
      </c>
      <c r="I13" s="643" t="s">
        <v>16</v>
      </c>
      <c r="J13" s="669" t="s">
        <v>375</v>
      </c>
      <c r="K13" s="557" t="s">
        <v>412</v>
      </c>
      <c r="L13" s="636">
        <v>8</v>
      </c>
      <c r="M13" s="328">
        <v>851851.85</v>
      </c>
      <c r="N13" s="328">
        <v>6814815</v>
      </c>
      <c r="O13" s="328">
        <v>545185</v>
      </c>
      <c r="P13" s="328">
        <v>7360000</v>
      </c>
      <c r="Q13" s="422"/>
    </row>
    <row r="14" spans="1:17">
      <c r="A14" s="440" t="s">
        <v>736</v>
      </c>
      <c r="B14" s="441" t="s">
        <v>747</v>
      </c>
      <c r="C14" s="347" t="s">
        <v>393</v>
      </c>
      <c r="D14" s="442"/>
      <c r="E14" s="555">
        <v>46115</v>
      </c>
      <c r="F14" s="443"/>
      <c r="G14" s="336" t="s">
        <v>477</v>
      </c>
      <c r="H14" s="299" t="s">
        <v>818</v>
      </c>
      <c r="I14" s="643" t="s">
        <v>48</v>
      </c>
      <c r="J14" s="299" t="s">
        <v>49</v>
      </c>
      <c r="K14" s="557" t="s">
        <v>113</v>
      </c>
      <c r="L14" s="636">
        <v>6</v>
      </c>
      <c r="M14" s="328">
        <v>601851.85</v>
      </c>
      <c r="N14" s="328">
        <v>3611111.0999999996</v>
      </c>
      <c r="O14" s="328">
        <v>288889</v>
      </c>
      <c r="P14" s="328">
        <v>3900000.0999999996</v>
      </c>
      <c r="Q14" s="422"/>
    </row>
    <row r="15" spans="1:17">
      <c r="A15" s="440" t="s">
        <v>736</v>
      </c>
      <c r="B15" s="441" t="s">
        <v>747</v>
      </c>
      <c r="C15" s="347" t="s">
        <v>393</v>
      </c>
      <c r="D15" s="442"/>
      <c r="E15" s="555" t="s">
        <v>140</v>
      </c>
      <c r="F15" s="443"/>
      <c r="G15" s="336" t="s">
        <v>479</v>
      </c>
      <c r="H15" s="299" t="s">
        <v>818</v>
      </c>
      <c r="I15" s="643" t="s">
        <v>74</v>
      </c>
      <c r="J15" s="669" t="s">
        <v>75</v>
      </c>
      <c r="K15" s="557" t="s">
        <v>113</v>
      </c>
      <c r="L15" s="636">
        <v>8</v>
      </c>
      <c r="M15" s="328">
        <v>361111.11</v>
      </c>
      <c r="N15" s="328">
        <v>2888889</v>
      </c>
      <c r="O15" s="328">
        <v>231111</v>
      </c>
      <c r="P15" s="328">
        <v>3120000</v>
      </c>
      <c r="Q15" s="422"/>
    </row>
    <row r="16" spans="1:17">
      <c r="A16" s="440" t="s">
        <v>736</v>
      </c>
      <c r="B16" s="441" t="s">
        <v>747</v>
      </c>
      <c r="C16" s="347" t="s">
        <v>393</v>
      </c>
      <c r="D16" s="442"/>
      <c r="E16" s="555"/>
      <c r="F16" s="443"/>
      <c r="G16" s="336"/>
      <c r="H16" s="299" t="s">
        <v>818</v>
      </c>
      <c r="I16" s="643" t="s">
        <v>62</v>
      </c>
      <c r="J16" s="299" t="s">
        <v>63</v>
      </c>
      <c r="K16" s="557" t="s">
        <v>113</v>
      </c>
      <c r="L16" s="636">
        <v>6</v>
      </c>
      <c r="M16" s="328"/>
      <c r="N16" s="328"/>
      <c r="O16" s="328"/>
      <c r="P16" s="328"/>
      <c r="Q16" s="422"/>
    </row>
    <row r="17" spans="1:17">
      <c r="A17" s="440" t="s">
        <v>736</v>
      </c>
      <c r="B17" s="441" t="s">
        <v>747</v>
      </c>
      <c r="C17" s="347" t="s">
        <v>393</v>
      </c>
      <c r="D17" s="442"/>
      <c r="E17" s="555"/>
      <c r="F17" s="443"/>
      <c r="G17" s="336"/>
      <c r="H17" s="299" t="s">
        <v>859</v>
      </c>
      <c r="I17" s="643"/>
      <c r="J17" s="671"/>
      <c r="K17" s="562"/>
      <c r="L17" s="638"/>
      <c r="M17" s="672"/>
      <c r="N17" s="672"/>
      <c r="O17" s="672"/>
      <c r="P17" s="672"/>
      <c r="Q17" s="423">
        <v>19030000</v>
      </c>
    </row>
    <row r="18" spans="1:17">
      <c r="A18" s="440" t="s">
        <v>736</v>
      </c>
      <c r="B18" s="441" t="s">
        <v>747</v>
      </c>
      <c r="C18" s="347">
        <v>46297</v>
      </c>
      <c r="D18" s="442"/>
      <c r="E18" s="555"/>
      <c r="F18" s="443"/>
      <c r="G18" s="336"/>
      <c r="H18" s="299" t="s">
        <v>859</v>
      </c>
      <c r="I18" s="643"/>
      <c r="J18" s="671"/>
      <c r="K18" s="562"/>
      <c r="L18" s="638"/>
      <c r="M18" s="672"/>
      <c r="N18" s="672"/>
      <c r="O18" s="672"/>
      <c r="P18" s="672"/>
      <c r="Q18" s="423">
        <v>17200000</v>
      </c>
    </row>
    <row r="19" spans="1:17">
      <c r="A19" s="440" t="s">
        <v>736</v>
      </c>
      <c r="B19" s="441" t="s">
        <v>747</v>
      </c>
      <c r="C19" s="347" t="s">
        <v>152</v>
      </c>
      <c r="D19" s="442"/>
      <c r="E19" s="555" t="s">
        <v>476</v>
      </c>
      <c r="F19" s="443"/>
      <c r="G19" s="336" t="s">
        <v>482</v>
      </c>
      <c r="H19" s="299" t="s">
        <v>818</v>
      </c>
      <c r="I19" s="643" t="s">
        <v>80</v>
      </c>
      <c r="J19" s="299" t="s">
        <v>81</v>
      </c>
      <c r="K19" s="556" t="s">
        <v>18</v>
      </c>
      <c r="L19" s="636">
        <v>4</v>
      </c>
      <c r="M19" s="328">
        <v>824074.07</v>
      </c>
      <c r="N19" s="328">
        <v>3296296</v>
      </c>
      <c r="O19" s="328">
        <v>263704</v>
      </c>
      <c r="P19" s="328">
        <v>3560000</v>
      </c>
      <c r="Q19" s="422"/>
    </row>
    <row r="20" spans="1:17">
      <c r="A20" s="440" t="s">
        <v>736</v>
      </c>
      <c r="B20" s="441" t="s">
        <v>747</v>
      </c>
      <c r="C20" s="347" t="s">
        <v>152</v>
      </c>
      <c r="D20" s="442"/>
      <c r="E20" s="555" t="s">
        <v>476</v>
      </c>
      <c r="F20" s="443"/>
      <c r="G20" s="336" t="s">
        <v>482</v>
      </c>
      <c r="H20" s="299" t="s">
        <v>818</v>
      </c>
      <c r="I20" s="643" t="s">
        <v>21</v>
      </c>
      <c r="J20" s="325" t="s">
        <v>22</v>
      </c>
      <c r="K20" s="557" t="s">
        <v>412</v>
      </c>
      <c r="L20" s="636">
        <v>2</v>
      </c>
      <c r="M20" s="328">
        <v>937962.96</v>
      </c>
      <c r="N20" s="328">
        <v>1875926</v>
      </c>
      <c r="O20" s="328">
        <v>150074</v>
      </c>
      <c r="P20" s="328">
        <v>2026000</v>
      </c>
      <c r="Q20" s="422"/>
    </row>
    <row r="21" spans="1:17">
      <c r="A21" s="440" t="s">
        <v>736</v>
      </c>
      <c r="B21" s="441" t="s">
        <v>747</v>
      </c>
      <c r="C21" s="347" t="s">
        <v>152</v>
      </c>
      <c r="D21" s="442"/>
      <c r="E21" s="555" t="s">
        <v>476</v>
      </c>
      <c r="F21" s="443"/>
      <c r="G21" s="336" t="s">
        <v>482</v>
      </c>
      <c r="H21" s="299" t="s">
        <v>818</v>
      </c>
      <c r="I21" s="643" t="s">
        <v>58</v>
      </c>
      <c r="J21" s="325" t="s">
        <v>59</v>
      </c>
      <c r="K21" s="557" t="s">
        <v>113</v>
      </c>
      <c r="L21" s="636">
        <v>3</v>
      </c>
      <c r="M21" s="328">
        <v>1361111.11</v>
      </c>
      <c r="N21" s="328">
        <v>4083333</v>
      </c>
      <c r="O21" s="328">
        <v>326667</v>
      </c>
      <c r="P21" s="328">
        <v>4410000</v>
      </c>
      <c r="Q21" s="422"/>
    </row>
    <row r="22" spans="1:17">
      <c r="A22" s="440" t="s">
        <v>736</v>
      </c>
      <c r="B22" s="441" t="s">
        <v>747</v>
      </c>
      <c r="C22" s="347" t="s">
        <v>152</v>
      </c>
      <c r="D22" s="442"/>
      <c r="E22" s="555" t="s">
        <v>140</v>
      </c>
      <c r="F22" s="443"/>
      <c r="G22" s="336" t="s">
        <v>479</v>
      </c>
      <c r="H22" s="299" t="s">
        <v>818</v>
      </c>
      <c r="I22" s="643" t="s">
        <v>74</v>
      </c>
      <c r="J22" s="325" t="s">
        <v>141</v>
      </c>
      <c r="K22" s="557" t="s">
        <v>113</v>
      </c>
      <c r="L22" s="636">
        <v>8</v>
      </c>
      <c r="M22" s="328">
        <v>361111.11</v>
      </c>
      <c r="N22" s="328">
        <v>2888889</v>
      </c>
      <c r="O22" s="328">
        <v>231111</v>
      </c>
      <c r="P22" s="328">
        <v>3120000</v>
      </c>
      <c r="Q22" s="422"/>
    </row>
    <row r="23" spans="1:17">
      <c r="A23" s="440" t="s">
        <v>736</v>
      </c>
      <c r="B23" s="441" t="s">
        <v>747</v>
      </c>
      <c r="C23" s="347" t="s">
        <v>152</v>
      </c>
      <c r="D23" s="442"/>
      <c r="E23" s="555" t="s">
        <v>476</v>
      </c>
      <c r="F23" s="443"/>
      <c r="G23" s="336" t="s">
        <v>478</v>
      </c>
      <c r="H23" s="299" t="s">
        <v>818</v>
      </c>
      <c r="I23" s="643" t="s">
        <v>219</v>
      </c>
      <c r="J23" s="669" t="s">
        <v>483</v>
      </c>
      <c r="K23" s="557" t="s">
        <v>113</v>
      </c>
      <c r="L23" s="636">
        <v>12</v>
      </c>
      <c r="M23" s="328">
        <v>263888.88</v>
      </c>
      <c r="N23" s="328">
        <v>3166667</v>
      </c>
      <c r="O23" s="328">
        <v>253333</v>
      </c>
      <c r="P23" s="328">
        <v>3420000</v>
      </c>
      <c r="Q23" s="422"/>
    </row>
    <row r="24" spans="1:17" ht="30">
      <c r="A24" s="440" t="s">
        <v>736</v>
      </c>
      <c r="B24" s="441" t="s">
        <v>747</v>
      </c>
      <c r="C24" s="347" t="s">
        <v>152</v>
      </c>
      <c r="D24" s="442"/>
      <c r="E24" s="555" t="s">
        <v>476</v>
      </c>
      <c r="F24" s="443"/>
      <c r="G24" s="336" t="s">
        <v>478</v>
      </c>
      <c r="H24" s="299" t="s">
        <v>818</v>
      </c>
      <c r="I24" s="643" t="s">
        <v>60</v>
      </c>
      <c r="J24" s="669" t="s">
        <v>61</v>
      </c>
      <c r="K24" s="557" t="s">
        <v>412</v>
      </c>
      <c r="L24" s="636">
        <v>8</v>
      </c>
      <c r="M24" s="328">
        <v>1138888.8799999999</v>
      </c>
      <c r="N24" s="328">
        <v>9111111</v>
      </c>
      <c r="O24" s="328">
        <v>728889</v>
      </c>
      <c r="P24" s="328">
        <v>9840000</v>
      </c>
      <c r="Q24" s="422"/>
    </row>
    <row r="25" spans="1:17" ht="30">
      <c r="A25" s="440" t="s">
        <v>736</v>
      </c>
      <c r="B25" s="441" t="s">
        <v>747</v>
      </c>
      <c r="C25" s="347" t="s">
        <v>152</v>
      </c>
      <c r="D25" s="442"/>
      <c r="E25" s="555" t="s">
        <v>476</v>
      </c>
      <c r="F25" s="443"/>
      <c r="G25" s="336" t="s">
        <v>478</v>
      </c>
      <c r="H25" s="299" t="s">
        <v>818</v>
      </c>
      <c r="I25" s="643" t="s">
        <v>16</v>
      </c>
      <c r="J25" s="669" t="s">
        <v>17</v>
      </c>
      <c r="K25" s="557" t="s">
        <v>412</v>
      </c>
      <c r="L25" s="636">
        <v>4</v>
      </c>
      <c r="M25" s="328">
        <v>851851.85</v>
      </c>
      <c r="N25" s="328">
        <v>3407407</v>
      </c>
      <c r="O25" s="328">
        <v>272593</v>
      </c>
      <c r="P25" s="328">
        <v>3680000</v>
      </c>
      <c r="Q25" s="422"/>
    </row>
    <row r="26" spans="1:17">
      <c r="A26" s="440" t="s">
        <v>736</v>
      </c>
      <c r="B26" s="441" t="s">
        <v>747</v>
      </c>
      <c r="C26" s="347" t="s">
        <v>476</v>
      </c>
      <c r="D26" s="442"/>
      <c r="E26" s="555"/>
      <c r="F26" s="443"/>
      <c r="G26" s="336"/>
      <c r="H26" s="299" t="s">
        <v>859</v>
      </c>
      <c r="I26" s="643"/>
      <c r="J26" s="671"/>
      <c r="K26" s="562"/>
      <c r="L26" s="638"/>
      <c r="M26" s="672"/>
      <c r="N26" s="672"/>
      <c r="O26" s="672"/>
      <c r="P26" s="672"/>
      <c r="Q26" s="423">
        <v>29611999</v>
      </c>
    </row>
    <row r="27" spans="1:17">
      <c r="A27" s="440" t="s">
        <v>736</v>
      </c>
      <c r="B27" s="441" t="s">
        <v>747</v>
      </c>
      <c r="C27" s="347" t="s">
        <v>484</v>
      </c>
      <c r="D27" s="442"/>
      <c r="E27" s="555"/>
      <c r="F27" s="443"/>
      <c r="G27" s="336"/>
      <c r="H27" s="299" t="s">
        <v>859</v>
      </c>
      <c r="I27" s="643"/>
      <c r="J27" s="671"/>
      <c r="K27" s="562"/>
      <c r="L27" s="638"/>
      <c r="M27" s="672"/>
      <c r="N27" s="672"/>
      <c r="O27" s="672"/>
      <c r="P27" s="672"/>
      <c r="Q27" s="423">
        <v>13676000</v>
      </c>
    </row>
    <row r="28" spans="1:17">
      <c r="A28" s="440" t="s">
        <v>736</v>
      </c>
      <c r="B28" s="441" t="s">
        <v>747</v>
      </c>
      <c r="C28" s="347">
        <v>46269</v>
      </c>
      <c r="D28" s="442"/>
      <c r="E28" s="555"/>
      <c r="F28" s="443"/>
      <c r="G28" s="336"/>
      <c r="H28" s="299" t="s">
        <v>859</v>
      </c>
      <c r="I28" s="643"/>
      <c r="J28" s="671"/>
      <c r="K28" s="562"/>
      <c r="L28" s="638"/>
      <c r="M28" s="672"/>
      <c r="N28" s="672"/>
      <c r="O28" s="672"/>
      <c r="P28" s="672"/>
      <c r="Q28" s="423">
        <v>17160000</v>
      </c>
    </row>
    <row r="29" spans="1:17">
      <c r="A29" s="440" t="s">
        <v>736</v>
      </c>
      <c r="B29" s="441" t="s">
        <v>747</v>
      </c>
      <c r="C29" s="347" t="s">
        <v>485</v>
      </c>
      <c r="D29" s="442"/>
      <c r="E29" s="555" t="s">
        <v>247</v>
      </c>
      <c r="F29" s="443"/>
      <c r="G29" s="336" t="s">
        <v>486</v>
      </c>
      <c r="H29" s="299" t="s">
        <v>818</v>
      </c>
      <c r="I29" s="643" t="s">
        <v>80</v>
      </c>
      <c r="J29" s="299" t="s">
        <v>81</v>
      </c>
      <c r="K29" s="556" t="s">
        <v>18</v>
      </c>
      <c r="L29" s="636">
        <v>8</v>
      </c>
      <c r="M29" s="328">
        <v>824074.07</v>
      </c>
      <c r="N29" s="328">
        <v>6592593</v>
      </c>
      <c r="O29" s="328">
        <v>527407</v>
      </c>
      <c r="P29" s="328">
        <v>7120000</v>
      </c>
      <c r="Q29" s="422"/>
    </row>
    <row r="30" spans="1:17">
      <c r="A30" s="440" t="s">
        <v>736</v>
      </c>
      <c r="B30" s="441" t="s">
        <v>747</v>
      </c>
      <c r="C30" s="347" t="s">
        <v>485</v>
      </c>
      <c r="D30" s="442"/>
      <c r="E30" s="555" t="s">
        <v>247</v>
      </c>
      <c r="F30" s="443"/>
      <c r="G30" s="336" t="s">
        <v>486</v>
      </c>
      <c r="H30" s="299" t="s">
        <v>818</v>
      </c>
      <c r="I30" s="643" t="s">
        <v>21</v>
      </c>
      <c r="J30" s="325" t="s">
        <v>22</v>
      </c>
      <c r="K30" s="557" t="s">
        <v>113</v>
      </c>
      <c r="L30" s="636">
        <v>10</v>
      </c>
      <c r="M30" s="328">
        <v>937962.96</v>
      </c>
      <c r="N30" s="328">
        <v>9379630</v>
      </c>
      <c r="O30" s="328">
        <v>750370</v>
      </c>
      <c r="P30" s="328">
        <v>10130000</v>
      </c>
      <c r="Q30" s="422"/>
    </row>
    <row r="31" spans="1:17" ht="30">
      <c r="A31" s="440" t="s">
        <v>736</v>
      </c>
      <c r="B31" s="441" t="s">
        <v>747</v>
      </c>
      <c r="C31" s="347" t="s">
        <v>485</v>
      </c>
      <c r="D31" s="442"/>
      <c r="E31" s="555" t="s">
        <v>247</v>
      </c>
      <c r="F31" s="443"/>
      <c r="G31" s="336" t="s">
        <v>487</v>
      </c>
      <c r="H31" s="299" t="s">
        <v>818</v>
      </c>
      <c r="I31" s="643" t="s">
        <v>60</v>
      </c>
      <c r="J31" s="669" t="s">
        <v>374</v>
      </c>
      <c r="K31" s="557" t="s">
        <v>113</v>
      </c>
      <c r="L31" s="636">
        <v>4</v>
      </c>
      <c r="M31" s="328">
        <v>1138888.8899999999</v>
      </c>
      <c r="N31" s="328">
        <v>4555556</v>
      </c>
      <c r="O31" s="328">
        <v>364444</v>
      </c>
      <c r="P31" s="328">
        <v>4920000</v>
      </c>
      <c r="Q31" s="422"/>
    </row>
    <row r="32" spans="1:17">
      <c r="A32" s="440" t="s">
        <v>736</v>
      </c>
      <c r="B32" s="441" t="s">
        <v>747</v>
      </c>
      <c r="C32" s="347" t="s">
        <v>485</v>
      </c>
      <c r="D32" s="442"/>
      <c r="E32" s="555" t="s">
        <v>247</v>
      </c>
      <c r="F32" s="443"/>
      <c r="G32" s="336" t="s">
        <v>487</v>
      </c>
      <c r="H32" s="299" t="s">
        <v>818</v>
      </c>
      <c r="I32" s="643" t="s">
        <v>56</v>
      </c>
      <c r="J32" s="669" t="s">
        <v>381</v>
      </c>
      <c r="K32" s="557" t="s">
        <v>113</v>
      </c>
      <c r="L32" s="636">
        <v>12</v>
      </c>
      <c r="M32" s="328">
        <v>325925.92</v>
      </c>
      <c r="N32" s="328">
        <v>3911111</v>
      </c>
      <c r="O32" s="328">
        <v>312889</v>
      </c>
      <c r="P32" s="328">
        <v>4224000</v>
      </c>
      <c r="Q32" s="422"/>
    </row>
    <row r="33" spans="1:17">
      <c r="A33" s="440" t="s">
        <v>736</v>
      </c>
      <c r="B33" s="441" t="s">
        <v>747</v>
      </c>
      <c r="C33" s="347" t="s">
        <v>485</v>
      </c>
      <c r="D33" s="442"/>
      <c r="E33" s="555" t="s">
        <v>451</v>
      </c>
      <c r="F33" s="443"/>
      <c r="G33" s="336" t="s">
        <v>848</v>
      </c>
      <c r="H33" s="299" t="s">
        <v>818</v>
      </c>
      <c r="I33" s="643" t="s">
        <v>90</v>
      </c>
      <c r="J33" s="669" t="s">
        <v>91</v>
      </c>
      <c r="K33" s="557" t="s">
        <v>412</v>
      </c>
      <c r="L33" s="636">
        <v>10</v>
      </c>
      <c r="M33" s="673">
        <v>824074.07</v>
      </c>
      <c r="N33" s="328">
        <v>8240741</v>
      </c>
      <c r="O33" s="328">
        <v>659259</v>
      </c>
      <c r="P33" s="328">
        <v>8900000</v>
      </c>
      <c r="Q33" s="422"/>
    </row>
    <row r="34" spans="1:17">
      <c r="A34" s="440" t="s">
        <v>736</v>
      </c>
      <c r="B34" s="441" t="s">
        <v>747</v>
      </c>
      <c r="C34" s="347" t="s">
        <v>488</v>
      </c>
      <c r="D34" s="442"/>
      <c r="E34" s="555"/>
      <c r="F34" s="443"/>
      <c r="G34" s="336"/>
      <c r="H34" s="299" t="s">
        <v>859</v>
      </c>
      <c r="I34" s="643"/>
      <c r="J34" s="671"/>
      <c r="K34" s="562"/>
      <c r="L34" s="638"/>
      <c r="M34" s="672"/>
      <c r="N34" s="672"/>
      <c r="O34" s="672"/>
      <c r="P34" s="672"/>
      <c r="Q34" s="423">
        <v>26394001</v>
      </c>
    </row>
    <row r="35" spans="1:17">
      <c r="A35" s="440" t="s">
        <v>736</v>
      </c>
      <c r="B35" s="441" t="s">
        <v>747</v>
      </c>
      <c r="C35" s="347" t="s">
        <v>829</v>
      </c>
      <c r="D35" s="442"/>
      <c r="E35" s="555"/>
      <c r="F35" s="443"/>
      <c r="G35" s="336"/>
      <c r="H35" s="299" t="s">
        <v>859</v>
      </c>
      <c r="I35" s="643"/>
      <c r="J35" s="671"/>
      <c r="K35" s="562"/>
      <c r="L35" s="638"/>
      <c r="M35" s="672"/>
      <c r="N35" s="672"/>
      <c r="O35" s="672"/>
      <c r="P35" s="672"/>
      <c r="Q35" s="423">
        <v>8900000</v>
      </c>
    </row>
    <row r="36" spans="1:17" ht="29.25">
      <c r="A36" s="440" t="s">
        <v>736</v>
      </c>
      <c r="B36" s="441" t="s">
        <v>747</v>
      </c>
      <c r="C36" s="297">
        <v>46245</v>
      </c>
      <c r="D36" s="299" t="s">
        <v>737</v>
      </c>
      <c r="E36" s="555">
        <v>46247</v>
      </c>
      <c r="F36" s="298" t="s">
        <v>783</v>
      </c>
      <c r="G36" s="336" t="s">
        <v>784</v>
      </c>
      <c r="H36" s="299" t="s">
        <v>818</v>
      </c>
      <c r="I36" s="643" t="s">
        <v>184</v>
      </c>
      <c r="J36" s="642" t="s">
        <v>764</v>
      </c>
      <c r="K36" s="298" t="s">
        <v>18</v>
      </c>
      <c r="L36" s="635">
        <v>10</v>
      </c>
      <c r="M36" s="652">
        <v>227777.78</v>
      </c>
      <c r="N36" s="654">
        <v>2277777.7999999998</v>
      </c>
      <c r="O36" s="654">
        <v>182222.22399999999</v>
      </c>
      <c r="P36" s="655">
        <v>2460000.0239999997</v>
      </c>
      <c r="Q36" s="652"/>
    </row>
    <row r="37" spans="1:17">
      <c r="A37" s="440" t="s">
        <v>736</v>
      </c>
      <c r="B37" s="441" t="s">
        <v>747</v>
      </c>
      <c r="C37" s="297">
        <v>46245</v>
      </c>
      <c r="D37" s="299" t="s">
        <v>737</v>
      </c>
      <c r="E37" s="555">
        <v>46247</v>
      </c>
      <c r="F37" s="298" t="s">
        <v>783</v>
      </c>
      <c r="G37" s="336" t="s">
        <v>784</v>
      </c>
      <c r="H37" s="299" t="s">
        <v>818</v>
      </c>
      <c r="I37" s="643" t="s">
        <v>301</v>
      </c>
      <c r="J37" s="444" t="s">
        <v>361</v>
      </c>
      <c r="K37" s="298" t="s">
        <v>18</v>
      </c>
      <c r="L37" s="635">
        <v>10</v>
      </c>
      <c r="M37" s="652">
        <v>268518.52</v>
      </c>
      <c r="N37" s="654">
        <v>2685185.2</v>
      </c>
      <c r="O37" s="654">
        <v>214814.81600000002</v>
      </c>
      <c r="P37" s="655">
        <v>2900000.0160000003</v>
      </c>
      <c r="Q37" s="652"/>
    </row>
    <row r="38" spans="1:17">
      <c r="A38" s="440" t="s">
        <v>736</v>
      </c>
      <c r="B38" s="441" t="s">
        <v>747</v>
      </c>
      <c r="C38" s="297">
        <v>46245</v>
      </c>
      <c r="D38" s="299" t="s">
        <v>737</v>
      </c>
      <c r="E38" s="555">
        <v>46247</v>
      </c>
      <c r="F38" s="298" t="s">
        <v>783</v>
      </c>
      <c r="G38" s="336" t="s">
        <v>784</v>
      </c>
      <c r="H38" s="299" t="s">
        <v>818</v>
      </c>
      <c r="I38" s="643" t="s">
        <v>36</v>
      </c>
      <c r="J38" s="444" t="s">
        <v>37</v>
      </c>
      <c r="K38" s="298" t="s">
        <v>18</v>
      </c>
      <c r="L38" s="635">
        <v>10</v>
      </c>
      <c r="M38" s="652">
        <v>252777.77</v>
      </c>
      <c r="N38" s="654">
        <v>2527777.6999999997</v>
      </c>
      <c r="O38" s="654">
        <v>202222.21599999999</v>
      </c>
      <c r="P38" s="655">
        <v>2729999.9159999997</v>
      </c>
      <c r="Q38" s="652"/>
    </row>
    <row r="39" spans="1:17">
      <c r="A39" s="440" t="s">
        <v>736</v>
      </c>
      <c r="B39" s="441" t="s">
        <v>747</v>
      </c>
      <c r="C39" s="297">
        <v>46245</v>
      </c>
      <c r="D39" s="299" t="s">
        <v>737</v>
      </c>
      <c r="E39" s="555">
        <v>46247</v>
      </c>
      <c r="F39" s="298" t="s">
        <v>783</v>
      </c>
      <c r="G39" s="336" t="s">
        <v>784</v>
      </c>
      <c r="H39" s="299" t="s">
        <v>818</v>
      </c>
      <c r="I39" s="643" t="s">
        <v>38</v>
      </c>
      <c r="J39" s="444" t="s">
        <v>39</v>
      </c>
      <c r="K39" s="298" t="s">
        <v>18</v>
      </c>
      <c r="L39" s="635">
        <v>10</v>
      </c>
      <c r="M39" s="652">
        <v>277777.78000000003</v>
      </c>
      <c r="N39" s="654">
        <v>2777777.8000000003</v>
      </c>
      <c r="O39" s="654">
        <v>222222.22400000002</v>
      </c>
      <c r="P39" s="655">
        <v>3000000.0240000002</v>
      </c>
      <c r="Q39" s="652"/>
    </row>
    <row r="40" spans="1:17">
      <c r="A40" s="440" t="s">
        <v>736</v>
      </c>
      <c r="B40" s="441" t="s">
        <v>747</v>
      </c>
      <c r="C40" s="297">
        <v>46245</v>
      </c>
      <c r="D40" s="299" t="s">
        <v>737</v>
      </c>
      <c r="E40" s="555">
        <v>46295</v>
      </c>
      <c r="F40" s="298"/>
      <c r="G40" s="336" t="s">
        <v>1309</v>
      </c>
      <c r="H40" s="299" t="s">
        <v>818</v>
      </c>
      <c r="I40" s="643" t="s">
        <v>645</v>
      </c>
      <c r="J40" s="444" t="s">
        <v>646</v>
      </c>
      <c r="K40" s="298" t="s">
        <v>18</v>
      </c>
      <c r="L40" s="635">
        <v>15</v>
      </c>
      <c r="M40" s="652">
        <v>629629.63</v>
      </c>
      <c r="N40" s="654">
        <v>9444444.4499999993</v>
      </c>
      <c r="O40" s="654">
        <v>755555.55599999998</v>
      </c>
      <c r="P40" s="655">
        <v>10200000.005999999</v>
      </c>
      <c r="Q40" s="652"/>
    </row>
    <row r="41" spans="1:17">
      <c r="A41" s="440" t="s">
        <v>736</v>
      </c>
      <c r="B41" s="441" t="s">
        <v>747</v>
      </c>
      <c r="C41" s="297">
        <v>46245</v>
      </c>
      <c r="D41" s="299" t="s">
        <v>737</v>
      </c>
      <c r="E41" s="555">
        <v>46295</v>
      </c>
      <c r="F41" s="298"/>
      <c r="G41" s="336" t="s">
        <v>1309</v>
      </c>
      <c r="H41" s="299" t="s">
        <v>818</v>
      </c>
      <c r="I41" s="643" t="s">
        <v>651</v>
      </c>
      <c r="J41" s="444" t="s">
        <v>652</v>
      </c>
      <c r="K41" s="298" t="s">
        <v>18</v>
      </c>
      <c r="L41" s="635">
        <v>15</v>
      </c>
      <c r="M41" s="652">
        <v>694444.44</v>
      </c>
      <c r="N41" s="654">
        <v>10416666.6</v>
      </c>
      <c r="O41" s="654">
        <v>833333.32799999998</v>
      </c>
      <c r="P41" s="655">
        <v>11249999.927999999</v>
      </c>
      <c r="Q41" s="652"/>
    </row>
    <row r="42" spans="1:17">
      <c r="A42" s="440" t="s">
        <v>736</v>
      </c>
      <c r="B42" s="441" t="s">
        <v>747</v>
      </c>
      <c r="C42" s="297">
        <v>46245</v>
      </c>
      <c r="D42" s="299" t="s">
        <v>737</v>
      </c>
      <c r="E42" s="555"/>
      <c r="F42" s="298"/>
      <c r="G42" s="336"/>
      <c r="H42" s="299" t="s">
        <v>818</v>
      </c>
      <c r="I42" s="643" t="s">
        <v>103</v>
      </c>
      <c r="J42" s="444" t="s">
        <v>104</v>
      </c>
      <c r="K42" s="298" t="s">
        <v>18</v>
      </c>
      <c r="L42" s="635">
        <v>12</v>
      </c>
      <c r="M42" s="652">
        <v>675925.93</v>
      </c>
      <c r="N42" s="654">
        <v>8111111.1600000001</v>
      </c>
      <c r="O42" s="654">
        <v>648888.89280000003</v>
      </c>
      <c r="P42" s="655">
        <v>8760000.0527999997</v>
      </c>
      <c r="Q42" s="652"/>
    </row>
    <row r="43" spans="1:17">
      <c r="A43" s="440" t="s">
        <v>736</v>
      </c>
      <c r="B43" s="441" t="s">
        <v>747</v>
      </c>
      <c r="C43" s="297">
        <v>46245</v>
      </c>
      <c r="D43" s="299" t="s">
        <v>737</v>
      </c>
      <c r="E43" s="555">
        <v>46247</v>
      </c>
      <c r="F43" s="298" t="s">
        <v>783</v>
      </c>
      <c r="G43" s="336" t="s">
        <v>784</v>
      </c>
      <c r="H43" s="299" t="s">
        <v>818</v>
      </c>
      <c r="I43" s="643" t="s">
        <v>58</v>
      </c>
      <c r="J43" s="444" t="s">
        <v>59</v>
      </c>
      <c r="K43" s="298" t="s">
        <v>18</v>
      </c>
      <c r="L43" s="635">
        <v>2</v>
      </c>
      <c r="M43" s="652">
        <v>1361111.11</v>
      </c>
      <c r="N43" s="654">
        <v>2722222.22</v>
      </c>
      <c r="O43" s="654">
        <v>217777.77760000003</v>
      </c>
      <c r="P43" s="655">
        <v>2939999.9976000004</v>
      </c>
      <c r="Q43" s="652"/>
    </row>
    <row r="44" spans="1:17">
      <c r="A44" s="440" t="s">
        <v>736</v>
      </c>
      <c r="B44" s="441" t="s">
        <v>747</v>
      </c>
      <c r="C44" s="297">
        <v>46245</v>
      </c>
      <c r="D44" s="299" t="s">
        <v>737</v>
      </c>
      <c r="E44" s="555">
        <v>46247</v>
      </c>
      <c r="F44" s="298" t="s">
        <v>783</v>
      </c>
      <c r="G44" s="336" t="s">
        <v>784</v>
      </c>
      <c r="H44" s="299" t="s">
        <v>818</v>
      </c>
      <c r="I44" s="643" t="s">
        <v>90</v>
      </c>
      <c r="J44" s="444" t="s">
        <v>91</v>
      </c>
      <c r="K44" s="298" t="s">
        <v>18</v>
      </c>
      <c r="L44" s="635">
        <v>10</v>
      </c>
      <c r="M44" s="652">
        <v>814814.81</v>
      </c>
      <c r="N44" s="654">
        <v>8148148.1000000006</v>
      </c>
      <c r="O44" s="654">
        <v>651851.84800000011</v>
      </c>
      <c r="P44" s="655">
        <v>8799999.9480000008</v>
      </c>
      <c r="Q44" s="652"/>
    </row>
    <row r="45" spans="1:17">
      <c r="A45" s="440" t="s">
        <v>736</v>
      </c>
      <c r="B45" s="441" t="s">
        <v>747</v>
      </c>
      <c r="C45" s="297">
        <v>46245</v>
      </c>
      <c r="D45" s="299" t="s">
        <v>737</v>
      </c>
      <c r="E45" s="555">
        <v>46295</v>
      </c>
      <c r="F45" s="298"/>
      <c r="G45" s="336" t="s">
        <v>1309</v>
      </c>
      <c r="H45" s="302" t="s">
        <v>691</v>
      </c>
      <c r="I45" s="643" t="s">
        <v>645</v>
      </c>
      <c r="J45" s="444" t="s">
        <v>646</v>
      </c>
      <c r="K45" s="298" t="s">
        <v>18</v>
      </c>
      <c r="L45" s="635">
        <v>1</v>
      </c>
      <c r="M45" s="652"/>
      <c r="N45" s="654">
        <v>0</v>
      </c>
      <c r="O45" s="654">
        <v>0</v>
      </c>
      <c r="P45" s="655">
        <v>0</v>
      </c>
      <c r="Q45" s="652"/>
    </row>
    <row r="46" spans="1:17">
      <c r="A46" s="440" t="s">
        <v>736</v>
      </c>
      <c r="B46" s="441" t="s">
        <v>747</v>
      </c>
      <c r="C46" s="297">
        <v>46245</v>
      </c>
      <c r="D46" s="299" t="s">
        <v>737</v>
      </c>
      <c r="E46" s="555">
        <v>46295</v>
      </c>
      <c r="F46" s="298"/>
      <c r="G46" s="336" t="s">
        <v>1309</v>
      </c>
      <c r="H46" s="302" t="s">
        <v>691</v>
      </c>
      <c r="I46" s="643" t="s">
        <v>651</v>
      </c>
      <c r="J46" s="444" t="s">
        <v>652</v>
      </c>
      <c r="K46" s="298" t="s">
        <v>18</v>
      </c>
      <c r="L46" s="635">
        <v>1</v>
      </c>
      <c r="M46" s="652"/>
      <c r="N46" s="654">
        <v>0</v>
      </c>
      <c r="O46" s="654">
        <v>0</v>
      </c>
      <c r="P46" s="655">
        <v>0</v>
      </c>
      <c r="Q46" s="652"/>
    </row>
    <row r="47" spans="1:17">
      <c r="A47" s="440" t="s">
        <v>736</v>
      </c>
      <c r="B47" s="441" t="s">
        <v>747</v>
      </c>
      <c r="C47" s="297">
        <v>46245</v>
      </c>
      <c r="D47" s="299" t="s">
        <v>737</v>
      </c>
      <c r="E47" s="555"/>
      <c r="F47" s="298"/>
      <c r="G47" s="336"/>
      <c r="H47" s="302" t="s">
        <v>1105</v>
      </c>
      <c r="I47" s="643" t="s">
        <v>62</v>
      </c>
      <c r="J47" s="299" t="s">
        <v>63</v>
      </c>
      <c r="K47" s="298" t="s">
        <v>18</v>
      </c>
      <c r="L47" s="635">
        <v>12</v>
      </c>
      <c r="M47" s="652"/>
      <c r="N47" s="654">
        <v>0</v>
      </c>
      <c r="O47" s="654">
        <v>0</v>
      </c>
      <c r="P47" s="655">
        <v>0</v>
      </c>
      <c r="Q47" s="652"/>
    </row>
    <row r="48" spans="1:17">
      <c r="A48" s="440" t="s">
        <v>736</v>
      </c>
      <c r="B48" s="441" t="s">
        <v>747</v>
      </c>
      <c r="C48" s="297">
        <v>46248</v>
      </c>
      <c r="D48" s="299"/>
      <c r="E48" s="555"/>
      <c r="F48" s="298"/>
      <c r="G48" s="336"/>
      <c r="H48" s="299" t="s">
        <v>859</v>
      </c>
      <c r="I48" s="643"/>
      <c r="J48" s="299"/>
      <c r="K48" s="298"/>
      <c r="L48" s="635"/>
      <c r="M48" s="652"/>
      <c r="N48" s="654"/>
      <c r="O48" s="654">
        <v>0</v>
      </c>
      <c r="P48" s="654">
        <v>0</v>
      </c>
      <c r="Q48" s="652">
        <v>22830000</v>
      </c>
    </row>
    <row r="49" spans="1:17">
      <c r="A49" s="440" t="s">
        <v>736</v>
      </c>
      <c r="B49" s="441" t="s">
        <v>747</v>
      </c>
      <c r="C49" s="297">
        <v>46254</v>
      </c>
      <c r="D49" s="299" t="s">
        <v>904</v>
      </c>
      <c r="E49" s="555">
        <v>46295</v>
      </c>
      <c r="F49" s="298"/>
      <c r="G49" s="336" t="s">
        <v>1309</v>
      </c>
      <c r="H49" s="299" t="s">
        <v>818</v>
      </c>
      <c r="I49" s="643" t="s">
        <v>645</v>
      </c>
      <c r="J49" s="299" t="s">
        <v>646</v>
      </c>
      <c r="K49" s="304" t="s">
        <v>18</v>
      </c>
      <c r="L49" s="648">
        <v>15</v>
      </c>
      <c r="M49" s="656">
        <v>629629.63</v>
      </c>
      <c r="N49" s="656">
        <v>9444444.4499999993</v>
      </c>
      <c r="O49" s="301">
        <v>755555.55599999998</v>
      </c>
      <c r="P49" s="653">
        <v>10200000.005999999</v>
      </c>
      <c r="Q49" s="651"/>
    </row>
    <row r="50" spans="1:17">
      <c r="A50" s="440" t="s">
        <v>736</v>
      </c>
      <c r="B50" s="441" t="s">
        <v>747</v>
      </c>
      <c r="C50" s="297">
        <v>46254</v>
      </c>
      <c r="D50" s="299" t="s">
        <v>904</v>
      </c>
      <c r="E50" s="555">
        <v>46259</v>
      </c>
      <c r="F50" s="298" t="s">
        <v>1075</v>
      </c>
      <c r="G50" s="336" t="s">
        <v>1074</v>
      </c>
      <c r="H50" s="299" t="s">
        <v>818</v>
      </c>
      <c r="I50" s="643" t="s">
        <v>90</v>
      </c>
      <c r="J50" s="299" t="s">
        <v>91</v>
      </c>
      <c r="K50" s="304" t="s">
        <v>18</v>
      </c>
      <c r="L50" s="648">
        <v>6</v>
      </c>
      <c r="M50" s="656">
        <v>814814.81</v>
      </c>
      <c r="N50" s="656">
        <v>4888888.8600000003</v>
      </c>
      <c r="O50" s="301">
        <v>391111.10880000005</v>
      </c>
      <c r="P50" s="653">
        <v>5279999.9688000008</v>
      </c>
      <c r="Q50" s="651"/>
    </row>
    <row r="51" spans="1:17">
      <c r="A51" s="440" t="s">
        <v>736</v>
      </c>
      <c r="B51" s="441" t="s">
        <v>747</v>
      </c>
      <c r="C51" s="297">
        <v>46254</v>
      </c>
      <c r="D51" s="299" t="s">
        <v>904</v>
      </c>
      <c r="E51" s="555">
        <v>46295</v>
      </c>
      <c r="F51" s="298"/>
      <c r="G51" s="336" t="s">
        <v>1309</v>
      </c>
      <c r="H51" s="299" t="s">
        <v>818</v>
      </c>
      <c r="I51" s="643" t="s">
        <v>645</v>
      </c>
      <c r="J51" s="299" t="s">
        <v>646</v>
      </c>
      <c r="K51" s="304" t="s">
        <v>18</v>
      </c>
      <c r="L51" s="648">
        <v>2</v>
      </c>
      <c r="M51" s="656">
        <v>0</v>
      </c>
      <c r="N51" s="656">
        <v>0</v>
      </c>
      <c r="O51" s="301">
        <v>0</v>
      </c>
      <c r="P51" s="653">
        <v>0</v>
      </c>
      <c r="Q51" s="651"/>
    </row>
    <row r="52" spans="1:17">
      <c r="A52" s="440" t="s">
        <v>736</v>
      </c>
      <c r="B52" s="441" t="s">
        <v>747</v>
      </c>
      <c r="C52" s="297">
        <v>46259</v>
      </c>
      <c r="D52" s="299"/>
      <c r="E52" s="555"/>
      <c r="F52" s="298"/>
      <c r="G52" s="336"/>
      <c r="H52" s="299" t="s">
        <v>859</v>
      </c>
      <c r="I52" s="643"/>
      <c r="J52" s="299"/>
      <c r="K52" s="298"/>
      <c r="L52" s="635"/>
      <c r="M52" s="652"/>
      <c r="N52" s="654"/>
      <c r="O52" s="301">
        <v>0</v>
      </c>
      <c r="P52" s="301">
        <v>0</v>
      </c>
      <c r="Q52" s="652">
        <v>5280000</v>
      </c>
    </row>
    <row r="53" spans="1:17">
      <c r="A53" s="440" t="s">
        <v>736</v>
      </c>
      <c r="B53" s="441" t="s">
        <v>747</v>
      </c>
      <c r="C53" s="297">
        <v>46262</v>
      </c>
      <c r="D53" s="299" t="s">
        <v>986</v>
      </c>
      <c r="E53" s="555">
        <v>46295</v>
      </c>
      <c r="F53" s="298"/>
      <c r="G53" s="336" t="s">
        <v>1309</v>
      </c>
      <c r="H53" s="299" t="s">
        <v>818</v>
      </c>
      <c r="I53" s="643" t="s">
        <v>651</v>
      </c>
      <c r="J53" s="299" t="s">
        <v>652</v>
      </c>
      <c r="K53" s="304" t="s">
        <v>18</v>
      </c>
      <c r="L53" s="648">
        <v>15</v>
      </c>
      <c r="M53" s="657">
        <v>694444.44</v>
      </c>
      <c r="N53" s="657">
        <v>10416666.6</v>
      </c>
      <c r="O53" s="301">
        <v>833333.32799999998</v>
      </c>
      <c r="P53" s="653">
        <v>11249999.927999999</v>
      </c>
      <c r="Q53" s="651"/>
    </row>
    <row r="54" spans="1:17">
      <c r="A54" s="440" t="s">
        <v>736</v>
      </c>
      <c r="B54" s="441" t="s">
        <v>747</v>
      </c>
      <c r="C54" s="297">
        <v>46262</v>
      </c>
      <c r="D54" s="299" t="s">
        <v>986</v>
      </c>
      <c r="E54" s="555"/>
      <c r="F54" s="298"/>
      <c r="G54" s="336"/>
      <c r="H54" s="299" t="s">
        <v>818</v>
      </c>
      <c r="I54" s="643" t="s">
        <v>56</v>
      </c>
      <c r="J54" s="299" t="s">
        <v>57</v>
      </c>
      <c r="K54" s="304" t="s">
        <v>18</v>
      </c>
      <c r="L54" s="648">
        <v>12</v>
      </c>
      <c r="M54" s="657">
        <v>325925.92</v>
      </c>
      <c r="N54" s="657">
        <v>3911111.04</v>
      </c>
      <c r="O54" s="301">
        <v>312888.88319999998</v>
      </c>
      <c r="P54" s="653">
        <v>4223999.9232000001</v>
      </c>
      <c r="Q54" s="651"/>
    </row>
    <row r="55" spans="1:17">
      <c r="A55" s="440" t="s">
        <v>736</v>
      </c>
      <c r="B55" s="441" t="s">
        <v>747</v>
      </c>
      <c r="C55" s="297">
        <v>46262</v>
      </c>
      <c r="D55" s="299" t="s">
        <v>986</v>
      </c>
      <c r="E55" s="555"/>
      <c r="F55" s="298"/>
      <c r="G55" s="336"/>
      <c r="H55" s="299" t="s">
        <v>818</v>
      </c>
      <c r="I55" s="643" t="s">
        <v>58</v>
      </c>
      <c r="J55" s="299" t="s">
        <v>59</v>
      </c>
      <c r="K55" s="304" t="s">
        <v>18</v>
      </c>
      <c r="L55" s="648">
        <v>2</v>
      </c>
      <c r="M55" s="656">
        <v>1361111.11</v>
      </c>
      <c r="N55" s="656">
        <v>2722222.22</v>
      </c>
      <c r="O55" s="301">
        <v>217777.77760000003</v>
      </c>
      <c r="P55" s="653">
        <v>2939999.9976000004</v>
      </c>
      <c r="Q55" s="651"/>
    </row>
    <row r="56" spans="1:17">
      <c r="A56" s="440" t="s">
        <v>736</v>
      </c>
      <c r="B56" s="441" t="s">
        <v>747</v>
      </c>
      <c r="C56" s="297">
        <v>46262</v>
      </c>
      <c r="D56" s="299" t="s">
        <v>986</v>
      </c>
      <c r="E56" s="555">
        <v>46295</v>
      </c>
      <c r="F56" s="298"/>
      <c r="G56" s="336" t="s">
        <v>1309</v>
      </c>
      <c r="H56" s="299" t="s">
        <v>818</v>
      </c>
      <c r="I56" s="643" t="s">
        <v>651</v>
      </c>
      <c r="J56" s="299" t="s">
        <v>652</v>
      </c>
      <c r="K56" s="304" t="s">
        <v>18</v>
      </c>
      <c r="L56" s="648">
        <v>1</v>
      </c>
      <c r="M56" s="656">
        <v>0</v>
      </c>
      <c r="N56" s="656">
        <v>0</v>
      </c>
      <c r="O56" s="301">
        <v>0</v>
      </c>
      <c r="P56" s="653">
        <v>0</v>
      </c>
      <c r="Q56" s="651"/>
    </row>
    <row r="57" spans="1:17">
      <c r="A57" s="440" t="s">
        <v>736</v>
      </c>
      <c r="B57" s="441" t="s">
        <v>747</v>
      </c>
      <c r="C57" s="297">
        <v>46262</v>
      </c>
      <c r="D57" s="299" t="s">
        <v>986</v>
      </c>
      <c r="E57" s="555"/>
      <c r="F57" s="298"/>
      <c r="G57" s="336"/>
      <c r="H57" s="299" t="s">
        <v>818</v>
      </c>
      <c r="I57" s="643" t="s">
        <v>56</v>
      </c>
      <c r="J57" s="299" t="s">
        <v>57</v>
      </c>
      <c r="K57" s="304" t="s">
        <v>18</v>
      </c>
      <c r="L57" s="648">
        <v>1</v>
      </c>
      <c r="M57" s="656">
        <v>0</v>
      </c>
      <c r="N57" s="656">
        <v>0</v>
      </c>
      <c r="O57" s="301">
        <v>0</v>
      </c>
      <c r="P57" s="653">
        <v>0</v>
      </c>
      <c r="Q57" s="651"/>
    </row>
    <row r="58" spans="1:17">
      <c r="A58" s="712" t="s">
        <v>736</v>
      </c>
      <c r="B58" s="441" t="s">
        <v>747</v>
      </c>
      <c r="C58" s="446">
        <v>46275</v>
      </c>
      <c r="D58" s="752"/>
      <c r="E58" s="446"/>
      <c r="F58" s="447"/>
      <c r="G58" s="447"/>
      <c r="H58" s="299" t="s">
        <v>672</v>
      </c>
      <c r="I58" s="643"/>
      <c r="J58" s="771"/>
      <c r="K58" s="298"/>
      <c r="L58" s="721"/>
      <c r="M58" s="722"/>
      <c r="N58" s="723"/>
      <c r="O58" s="613"/>
      <c r="P58" s="653"/>
      <c r="Q58" s="652">
        <v>7164000</v>
      </c>
    </row>
    <row r="59" spans="1:17">
      <c r="A59" s="712" t="s">
        <v>736</v>
      </c>
      <c r="B59" s="441" t="s">
        <v>747</v>
      </c>
      <c r="C59" s="446">
        <v>46283</v>
      </c>
      <c r="D59" s="752" t="s">
        <v>1210</v>
      </c>
      <c r="E59" s="446"/>
      <c r="F59" s="447"/>
      <c r="G59" s="447"/>
      <c r="H59" s="299" t="s">
        <v>818</v>
      </c>
      <c r="I59" s="643" t="s">
        <v>16</v>
      </c>
      <c r="J59" s="322" t="s">
        <v>17</v>
      </c>
      <c r="K59" s="298" t="s">
        <v>18</v>
      </c>
      <c r="L59" s="635">
        <v>4</v>
      </c>
      <c r="M59" s="750">
        <v>851851.85</v>
      </c>
      <c r="N59" s="654">
        <f>L59*M59</f>
        <v>3407407.4</v>
      </c>
      <c r="O59" s="613">
        <f t="shared" ref="O59:O69" si="0">N59*8%</f>
        <v>272592.592</v>
      </c>
      <c r="P59" s="653">
        <f t="shared" ref="P59:P69" si="1">N59+O59</f>
        <v>3679999.9920000001</v>
      </c>
      <c r="Q59" s="651"/>
    </row>
    <row r="60" spans="1:17">
      <c r="A60" s="712" t="s">
        <v>736</v>
      </c>
      <c r="B60" s="441" t="s">
        <v>747</v>
      </c>
      <c r="C60" s="446">
        <v>46283</v>
      </c>
      <c r="D60" s="752" t="s">
        <v>1210</v>
      </c>
      <c r="E60" s="555">
        <v>46295</v>
      </c>
      <c r="F60" s="447"/>
      <c r="G60" s="336" t="s">
        <v>1309</v>
      </c>
      <c r="H60" s="299" t="s">
        <v>818</v>
      </c>
      <c r="I60" s="643" t="s">
        <v>645</v>
      </c>
      <c r="J60" s="322" t="s">
        <v>646</v>
      </c>
      <c r="K60" s="298" t="s">
        <v>18</v>
      </c>
      <c r="L60" s="635">
        <v>15</v>
      </c>
      <c r="M60" s="750">
        <v>629629.63</v>
      </c>
      <c r="N60" s="654">
        <f t="shared" ref="N60:N69" si="2">L60*M60</f>
        <v>9444444.4499999993</v>
      </c>
      <c r="O60" s="613">
        <f t="shared" si="0"/>
        <v>755555.55599999998</v>
      </c>
      <c r="P60" s="653">
        <f t="shared" si="1"/>
        <v>10200000.005999999</v>
      </c>
      <c r="Q60" s="651"/>
    </row>
    <row r="61" spans="1:17">
      <c r="A61" s="712" t="s">
        <v>736</v>
      </c>
      <c r="B61" s="441" t="s">
        <v>747</v>
      </c>
      <c r="C61" s="446">
        <v>46283</v>
      </c>
      <c r="D61" s="752" t="s">
        <v>1210</v>
      </c>
      <c r="E61" s="555">
        <v>46295</v>
      </c>
      <c r="F61" s="447"/>
      <c r="G61" s="336" t="s">
        <v>1309</v>
      </c>
      <c r="H61" s="299" t="s">
        <v>818</v>
      </c>
      <c r="I61" s="643" t="s">
        <v>651</v>
      </c>
      <c r="J61" s="322" t="s">
        <v>652</v>
      </c>
      <c r="K61" s="298" t="s">
        <v>18</v>
      </c>
      <c r="L61" s="635">
        <v>15</v>
      </c>
      <c r="M61" s="750">
        <v>694444.44</v>
      </c>
      <c r="N61" s="654">
        <f t="shared" si="2"/>
        <v>10416666.6</v>
      </c>
      <c r="O61" s="613">
        <f t="shared" si="0"/>
        <v>833333.32799999998</v>
      </c>
      <c r="P61" s="653">
        <f t="shared" si="1"/>
        <v>11249999.927999999</v>
      </c>
      <c r="Q61" s="651"/>
    </row>
    <row r="62" spans="1:17">
      <c r="A62" s="712" t="s">
        <v>736</v>
      </c>
      <c r="B62" s="441" t="s">
        <v>747</v>
      </c>
      <c r="C62" s="446">
        <v>46283</v>
      </c>
      <c r="D62" s="752" t="s">
        <v>1210</v>
      </c>
      <c r="E62" s="446"/>
      <c r="F62" s="447"/>
      <c r="G62" s="447"/>
      <c r="H62" s="299" t="s">
        <v>818</v>
      </c>
      <c r="I62" s="643" t="s">
        <v>103</v>
      </c>
      <c r="J62" s="322" t="s">
        <v>104</v>
      </c>
      <c r="K62" s="298" t="s">
        <v>18</v>
      </c>
      <c r="L62" s="635">
        <v>18</v>
      </c>
      <c r="M62" s="750">
        <v>675925.93</v>
      </c>
      <c r="N62" s="654">
        <f t="shared" si="2"/>
        <v>12166666.74</v>
      </c>
      <c r="O62" s="613">
        <f t="shared" si="0"/>
        <v>973333.33920000005</v>
      </c>
      <c r="P62" s="653">
        <f t="shared" si="1"/>
        <v>13140000.0792</v>
      </c>
      <c r="Q62" s="651"/>
    </row>
    <row r="63" spans="1:17">
      <c r="A63" s="712" t="s">
        <v>736</v>
      </c>
      <c r="B63" s="441" t="s">
        <v>747</v>
      </c>
      <c r="C63" s="446">
        <v>46283</v>
      </c>
      <c r="D63" s="752" t="s">
        <v>1210</v>
      </c>
      <c r="E63" s="446"/>
      <c r="F63" s="447"/>
      <c r="G63" s="447"/>
      <c r="H63" s="299" t="s">
        <v>818</v>
      </c>
      <c r="I63" s="643" t="s">
        <v>56</v>
      </c>
      <c r="J63" s="322" t="s">
        <v>57</v>
      </c>
      <c r="K63" s="298" t="s">
        <v>18</v>
      </c>
      <c r="L63" s="635">
        <v>20</v>
      </c>
      <c r="M63" s="750">
        <v>325925.93</v>
      </c>
      <c r="N63" s="654">
        <f t="shared" si="2"/>
        <v>6518518.5999999996</v>
      </c>
      <c r="O63" s="613">
        <f t="shared" si="0"/>
        <v>521481.48799999995</v>
      </c>
      <c r="P63" s="653">
        <f t="shared" si="1"/>
        <v>7040000.0879999995</v>
      </c>
      <c r="Q63" s="651"/>
    </row>
    <row r="64" spans="1:17">
      <c r="A64" s="712" t="s">
        <v>736</v>
      </c>
      <c r="B64" s="441" t="s">
        <v>747</v>
      </c>
      <c r="C64" s="446">
        <v>46283</v>
      </c>
      <c r="D64" s="752" t="s">
        <v>1210</v>
      </c>
      <c r="E64" s="446"/>
      <c r="F64" s="447"/>
      <c r="G64" s="447"/>
      <c r="H64" s="299" t="s">
        <v>818</v>
      </c>
      <c r="I64" s="643" t="s">
        <v>74</v>
      </c>
      <c r="J64" s="322" t="s">
        <v>141</v>
      </c>
      <c r="K64" s="298" t="s">
        <v>18</v>
      </c>
      <c r="L64" s="635">
        <v>8</v>
      </c>
      <c r="M64" s="750">
        <v>382407.41</v>
      </c>
      <c r="N64" s="654">
        <f t="shared" si="2"/>
        <v>3059259.28</v>
      </c>
      <c r="O64" s="613">
        <f t="shared" si="0"/>
        <v>244740.74239999999</v>
      </c>
      <c r="P64" s="653">
        <f t="shared" si="1"/>
        <v>3304000.0223999997</v>
      </c>
      <c r="Q64" s="651"/>
    </row>
    <row r="65" spans="1:17">
      <c r="A65" s="712" t="s">
        <v>736</v>
      </c>
      <c r="B65" s="441" t="s">
        <v>747</v>
      </c>
      <c r="C65" s="446">
        <v>46283</v>
      </c>
      <c r="D65" s="752" t="s">
        <v>1210</v>
      </c>
      <c r="E65" s="446"/>
      <c r="F65" s="447"/>
      <c r="G65" s="447"/>
      <c r="H65" s="299" t="s">
        <v>818</v>
      </c>
      <c r="I65" s="643" t="s">
        <v>90</v>
      </c>
      <c r="J65" s="322" t="s">
        <v>91</v>
      </c>
      <c r="K65" s="298" t="s">
        <v>18</v>
      </c>
      <c r="L65" s="635">
        <v>10</v>
      </c>
      <c r="M65" s="750">
        <v>814814.81</v>
      </c>
      <c r="N65" s="654">
        <f t="shared" si="2"/>
        <v>8148148.1000000006</v>
      </c>
      <c r="O65" s="613">
        <f t="shared" si="0"/>
        <v>651851.84800000011</v>
      </c>
      <c r="P65" s="653">
        <f t="shared" si="1"/>
        <v>8799999.9480000008</v>
      </c>
      <c r="Q65" s="651"/>
    </row>
    <row r="66" spans="1:17">
      <c r="A66" s="712" t="s">
        <v>736</v>
      </c>
      <c r="B66" s="441" t="s">
        <v>747</v>
      </c>
      <c r="C66" s="446">
        <v>46283</v>
      </c>
      <c r="D66" s="752" t="s">
        <v>1210</v>
      </c>
      <c r="E66" s="555">
        <v>46295</v>
      </c>
      <c r="F66" s="447"/>
      <c r="G66" s="336" t="s">
        <v>1309</v>
      </c>
      <c r="H66" s="302" t="s">
        <v>689</v>
      </c>
      <c r="I66" s="643" t="s">
        <v>645</v>
      </c>
      <c r="J66" s="322" t="s">
        <v>646</v>
      </c>
      <c r="K66" s="298" t="s">
        <v>18</v>
      </c>
      <c r="L66" s="635">
        <v>1</v>
      </c>
      <c r="M66" s="750">
        <v>0</v>
      </c>
      <c r="N66" s="654">
        <f t="shared" si="2"/>
        <v>0</v>
      </c>
      <c r="O66" s="613">
        <f t="shared" si="0"/>
        <v>0</v>
      </c>
      <c r="P66" s="653">
        <f t="shared" si="1"/>
        <v>0</v>
      </c>
      <c r="Q66" s="651"/>
    </row>
    <row r="67" spans="1:17">
      <c r="A67" s="712" t="s">
        <v>736</v>
      </c>
      <c r="B67" s="441" t="s">
        <v>747</v>
      </c>
      <c r="C67" s="446">
        <v>46283</v>
      </c>
      <c r="D67" s="752" t="s">
        <v>1210</v>
      </c>
      <c r="E67" s="555">
        <v>46295</v>
      </c>
      <c r="F67" s="447"/>
      <c r="G67" s="336" t="s">
        <v>1309</v>
      </c>
      <c r="H67" s="302" t="s">
        <v>689</v>
      </c>
      <c r="I67" s="643" t="s">
        <v>651</v>
      </c>
      <c r="J67" s="322" t="s">
        <v>652</v>
      </c>
      <c r="K67" s="298" t="s">
        <v>18</v>
      </c>
      <c r="L67" s="635">
        <v>1</v>
      </c>
      <c r="M67" s="750">
        <v>0</v>
      </c>
      <c r="N67" s="654">
        <f t="shared" si="2"/>
        <v>0</v>
      </c>
      <c r="O67" s="613">
        <f t="shared" si="0"/>
        <v>0</v>
      </c>
      <c r="P67" s="653">
        <f t="shared" si="1"/>
        <v>0</v>
      </c>
      <c r="Q67" s="651"/>
    </row>
    <row r="68" spans="1:17">
      <c r="A68" s="712" t="s">
        <v>736</v>
      </c>
      <c r="B68" s="441" t="s">
        <v>747</v>
      </c>
      <c r="C68" s="446">
        <v>46283</v>
      </c>
      <c r="D68" s="752" t="s">
        <v>1210</v>
      </c>
      <c r="E68" s="446"/>
      <c r="F68" s="447"/>
      <c r="G68" s="447"/>
      <c r="H68" s="299" t="s">
        <v>1211</v>
      </c>
      <c r="I68" s="643" t="s">
        <v>56</v>
      </c>
      <c r="J68" s="322" t="s">
        <v>57</v>
      </c>
      <c r="K68" s="298" t="s">
        <v>18</v>
      </c>
      <c r="L68" s="635">
        <v>2</v>
      </c>
      <c r="M68" s="750">
        <v>0</v>
      </c>
      <c r="N68" s="654">
        <f t="shared" si="2"/>
        <v>0</v>
      </c>
      <c r="O68" s="613">
        <f t="shared" si="0"/>
        <v>0</v>
      </c>
      <c r="P68" s="653">
        <f t="shared" si="1"/>
        <v>0</v>
      </c>
      <c r="Q68" s="651"/>
    </row>
    <row r="69" spans="1:17" ht="29.25">
      <c r="A69" s="712" t="s">
        <v>736</v>
      </c>
      <c r="B69" s="441" t="s">
        <v>747</v>
      </c>
      <c r="C69" s="446">
        <v>46283</v>
      </c>
      <c r="D69" s="752" t="s">
        <v>1210</v>
      </c>
      <c r="E69" s="446"/>
      <c r="F69" s="447"/>
      <c r="G69" s="447"/>
      <c r="H69" s="299" t="s">
        <v>1239</v>
      </c>
      <c r="I69" s="643" t="s">
        <v>959</v>
      </c>
      <c r="J69" s="322" t="s">
        <v>960</v>
      </c>
      <c r="K69" s="298" t="s">
        <v>18</v>
      </c>
      <c r="L69" s="635">
        <v>18</v>
      </c>
      <c r="M69" s="750">
        <v>0</v>
      </c>
      <c r="N69" s="654">
        <f t="shared" si="2"/>
        <v>0</v>
      </c>
      <c r="O69" s="613">
        <f t="shared" si="0"/>
        <v>0</v>
      </c>
      <c r="P69" s="653">
        <f t="shared" si="1"/>
        <v>0</v>
      </c>
      <c r="Q69" s="651"/>
    </row>
    <row r="70" spans="1:17">
      <c r="A70" s="490"/>
      <c r="B70" s="490"/>
      <c r="C70" s="490"/>
      <c r="D70" s="490"/>
      <c r="E70" s="490"/>
      <c r="F70" s="490"/>
      <c r="G70" s="490"/>
      <c r="H70" s="490"/>
      <c r="I70" s="490"/>
      <c r="J70" s="490"/>
      <c r="K70" s="490"/>
      <c r="L70" s="490"/>
      <c r="M70" s="490"/>
      <c r="N70" s="505">
        <f>SUM(N3:N69)</f>
        <v>255851851.46999994</v>
      </c>
      <c r="O70" s="505">
        <f>SUM(O3:O69)</f>
        <v>20468147.429600004</v>
      </c>
      <c r="P70" s="505">
        <f>SUM(P3:P69)</f>
        <v>276319998.89960003</v>
      </c>
      <c r="Q70" s="505">
        <f>SUM(Q3:Q69)</f>
        <v>167246000</v>
      </c>
    </row>
    <row r="73" spans="1:17">
      <c r="J73" s="680" t="s">
        <v>1106</v>
      </c>
      <c r="K73" s="506">
        <f>SUM(P3:P8)+SUM(P10:P15)+SUM(P19:P25)+SUM(P29:P33)+SUM(P36:P39)+SUM(P43:P44)+P50+P40+P41+P49+P53+P60+P61</f>
        <v>224431998.79640004</v>
      </c>
    </row>
    <row r="74" spans="1:17">
      <c r="J74" s="682" t="s">
        <v>1107</v>
      </c>
      <c r="K74" s="683">
        <f>K75-K73</f>
        <v>51888000.103199989</v>
      </c>
    </row>
    <row r="75" spans="1:17">
      <c r="J75" s="680" t="s">
        <v>894</v>
      </c>
      <c r="K75" s="506">
        <f>P70</f>
        <v>276319998.89960003</v>
      </c>
    </row>
    <row r="76" spans="1:17">
      <c r="J76" s="680" t="s">
        <v>895</v>
      </c>
      <c r="K76" s="506">
        <f>Q70</f>
        <v>167246000</v>
      </c>
    </row>
    <row r="77" spans="1:17">
      <c r="J77" s="680" t="s">
        <v>898</v>
      </c>
      <c r="K77" s="681">
        <f>K75-K76</f>
        <v>109073998.89960003</v>
      </c>
    </row>
  </sheetData>
  <autoFilter ref="A2:Q70" xr:uid="{5588FC1F-9C51-41B6-B5D8-78E7F61394ED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3682-8AF3-446B-9CFA-BAD8A94E75E4}">
  <sheetPr>
    <tabColor rgb="FF00B050"/>
  </sheetPr>
  <dimension ref="A2:R81"/>
  <sheetViews>
    <sheetView topLeftCell="A4" workbookViewId="0">
      <selection activeCell="L80" sqref="L80"/>
    </sheetView>
  </sheetViews>
  <sheetFormatPr defaultRowHeight="15"/>
  <cols>
    <col min="1" max="1" width="19.42578125" customWidth="1"/>
    <col min="2" max="2" width="35.28515625" customWidth="1"/>
    <col min="3" max="3" width="12" bestFit="1" customWidth="1"/>
    <col min="4" max="4" width="15.42578125" bestFit="1" customWidth="1"/>
    <col min="5" max="5" width="11.5703125" bestFit="1" customWidth="1"/>
    <col min="6" max="6" width="13.28515625" bestFit="1" customWidth="1"/>
    <col min="7" max="7" width="10.140625" bestFit="1" customWidth="1"/>
    <col min="8" max="8" width="42.28515625" customWidth="1"/>
    <col min="9" max="9" width="8.85546875" bestFit="1" customWidth="1"/>
    <col min="10" max="10" width="54" bestFit="1" customWidth="1"/>
    <col min="11" max="11" width="15" bestFit="1" customWidth="1"/>
    <col min="12" max="12" width="6.5703125" bestFit="1" customWidth="1"/>
    <col min="13" max="13" width="11.28515625" bestFit="1" customWidth="1"/>
    <col min="14" max="14" width="15" bestFit="1" customWidth="1"/>
    <col min="15" max="15" width="13.85546875" bestFit="1" customWidth="1"/>
    <col min="16" max="17" width="15" bestFit="1" customWidth="1"/>
    <col min="18" max="18" width="52.5703125" bestFit="1" customWidth="1"/>
  </cols>
  <sheetData>
    <row r="2" spans="1:18" ht="60">
      <c r="A2" s="745" t="s">
        <v>1219</v>
      </c>
      <c r="B2" s="640" t="s">
        <v>1220</v>
      </c>
      <c r="C2" s="640" t="s">
        <v>994</v>
      </c>
      <c r="D2" s="746" t="s">
        <v>1221</v>
      </c>
      <c r="E2" s="640" t="s">
        <v>1222</v>
      </c>
      <c r="F2" s="645" t="s">
        <v>1223</v>
      </c>
      <c r="G2" s="645" t="s">
        <v>1224</v>
      </c>
      <c r="H2" s="747" t="s">
        <v>1225</v>
      </c>
      <c r="I2" s="645" t="s">
        <v>995</v>
      </c>
      <c r="J2" s="766" t="s">
        <v>1226</v>
      </c>
      <c r="K2" s="646" t="s">
        <v>996</v>
      </c>
      <c r="L2" s="649" t="s">
        <v>997</v>
      </c>
      <c r="M2" s="660" t="s">
        <v>998</v>
      </c>
      <c r="N2" s="660" t="s">
        <v>999</v>
      </c>
      <c r="O2" s="660" t="s">
        <v>1000</v>
      </c>
      <c r="P2" s="660" t="s">
        <v>913</v>
      </c>
      <c r="Q2" s="650" t="s">
        <v>1001</v>
      </c>
      <c r="R2" s="650" t="s">
        <v>1002</v>
      </c>
    </row>
    <row r="3" spans="1:18">
      <c r="A3" s="307" t="s">
        <v>792</v>
      </c>
      <c r="B3" s="307" t="s">
        <v>714</v>
      </c>
      <c r="C3" s="446">
        <v>46244</v>
      </c>
      <c r="D3" s="713" t="s">
        <v>709</v>
      </c>
      <c r="E3" s="748">
        <v>46248</v>
      </c>
      <c r="F3" s="298" t="s">
        <v>785</v>
      </c>
      <c r="G3" s="754" t="s">
        <v>786</v>
      </c>
      <c r="H3" s="299" t="s">
        <v>821</v>
      </c>
      <c r="I3" s="643" t="s">
        <v>208</v>
      </c>
      <c r="J3" s="713" t="s">
        <v>209</v>
      </c>
      <c r="K3" s="626" t="s">
        <v>25</v>
      </c>
      <c r="L3" s="637">
        <v>6</v>
      </c>
      <c r="M3" s="750">
        <v>647222.22</v>
      </c>
      <c r="N3" s="301">
        <v>3883333.32</v>
      </c>
      <c r="O3" s="301">
        <v>310666.66560000001</v>
      </c>
      <c r="P3" s="653">
        <v>4193999.9855999998</v>
      </c>
      <c r="Q3" s="301"/>
      <c r="R3" s="301"/>
    </row>
    <row r="4" spans="1:18">
      <c r="A4" s="307" t="s">
        <v>792</v>
      </c>
      <c r="B4" s="307" t="s">
        <v>714</v>
      </c>
      <c r="C4" s="446">
        <v>46244</v>
      </c>
      <c r="D4" s="713" t="s">
        <v>709</v>
      </c>
      <c r="E4" s="748">
        <v>46248</v>
      </c>
      <c r="F4" s="298" t="s">
        <v>785</v>
      </c>
      <c r="G4" s="754" t="s">
        <v>786</v>
      </c>
      <c r="H4" s="299" t="s">
        <v>821</v>
      </c>
      <c r="I4" s="643" t="s">
        <v>77</v>
      </c>
      <c r="J4" s="713" t="s">
        <v>78</v>
      </c>
      <c r="K4" s="626" t="s">
        <v>25</v>
      </c>
      <c r="L4" s="637">
        <v>20</v>
      </c>
      <c r="M4" s="750">
        <v>333333.33</v>
      </c>
      <c r="N4" s="301">
        <v>6666666.6000000006</v>
      </c>
      <c r="O4" s="301">
        <v>533333.3280000001</v>
      </c>
      <c r="P4" s="653">
        <v>7199999.9280000003</v>
      </c>
      <c r="Q4" s="301"/>
      <c r="R4" s="301"/>
    </row>
    <row r="5" spans="1:18">
      <c r="A5" s="307" t="s">
        <v>792</v>
      </c>
      <c r="B5" s="307" t="s">
        <v>714</v>
      </c>
      <c r="C5" s="446">
        <v>46244</v>
      </c>
      <c r="D5" s="713" t="s">
        <v>709</v>
      </c>
      <c r="E5" s="748">
        <v>46248</v>
      </c>
      <c r="F5" s="298" t="s">
        <v>785</v>
      </c>
      <c r="G5" s="754" t="s">
        <v>786</v>
      </c>
      <c r="H5" s="299" t="s">
        <v>821</v>
      </c>
      <c r="I5" s="643" t="s">
        <v>206</v>
      </c>
      <c r="J5" s="713" t="s">
        <v>369</v>
      </c>
      <c r="K5" s="626" t="s">
        <v>25</v>
      </c>
      <c r="L5" s="637">
        <v>10</v>
      </c>
      <c r="M5" s="750">
        <v>483333.33</v>
      </c>
      <c r="N5" s="301">
        <v>4833333.3</v>
      </c>
      <c r="O5" s="301">
        <v>386666.66399999999</v>
      </c>
      <c r="P5" s="653">
        <v>5219999.9639999997</v>
      </c>
      <c r="Q5" s="301"/>
      <c r="R5" s="301"/>
    </row>
    <row r="6" spans="1:18">
      <c r="A6" s="307" t="s">
        <v>792</v>
      </c>
      <c r="B6" s="307" t="s">
        <v>714</v>
      </c>
      <c r="C6" s="446">
        <v>46244</v>
      </c>
      <c r="D6" s="713" t="s">
        <v>709</v>
      </c>
      <c r="E6" s="748">
        <v>46248</v>
      </c>
      <c r="F6" s="298" t="s">
        <v>785</v>
      </c>
      <c r="G6" s="754" t="s">
        <v>786</v>
      </c>
      <c r="H6" s="299" t="s">
        <v>821</v>
      </c>
      <c r="I6" s="643" t="s">
        <v>80</v>
      </c>
      <c r="J6" s="322" t="s">
        <v>81</v>
      </c>
      <c r="K6" s="298" t="s">
        <v>18</v>
      </c>
      <c r="L6" s="637">
        <v>6</v>
      </c>
      <c r="M6" s="750">
        <v>824074.07</v>
      </c>
      <c r="N6" s="301">
        <v>4944444.42</v>
      </c>
      <c r="O6" s="301">
        <v>395555.55359999998</v>
      </c>
      <c r="P6" s="653">
        <v>5339999.9736000001</v>
      </c>
      <c r="Q6" s="301"/>
      <c r="R6" s="301"/>
    </row>
    <row r="7" spans="1:18">
      <c r="A7" s="307" t="s">
        <v>792</v>
      </c>
      <c r="B7" s="307" t="s">
        <v>714</v>
      </c>
      <c r="C7" s="446">
        <v>46244</v>
      </c>
      <c r="D7" s="713" t="s">
        <v>709</v>
      </c>
      <c r="E7" s="748">
        <v>46248</v>
      </c>
      <c r="F7" s="298" t="s">
        <v>785</v>
      </c>
      <c r="G7" s="754" t="s">
        <v>786</v>
      </c>
      <c r="H7" s="299" t="s">
        <v>821</v>
      </c>
      <c r="I7" s="643" t="s">
        <v>184</v>
      </c>
      <c r="J7" s="713" t="s">
        <v>272</v>
      </c>
      <c r="K7" s="626" t="s">
        <v>113</v>
      </c>
      <c r="L7" s="637">
        <v>10</v>
      </c>
      <c r="M7" s="750">
        <v>240740.74</v>
      </c>
      <c r="N7" s="301">
        <v>2407407.4</v>
      </c>
      <c r="O7" s="301">
        <v>192592.592</v>
      </c>
      <c r="P7" s="653">
        <v>2599999.9920000001</v>
      </c>
      <c r="Q7" s="301"/>
      <c r="R7" s="301"/>
    </row>
    <row r="8" spans="1:18">
      <c r="A8" s="307" t="s">
        <v>792</v>
      </c>
      <c r="B8" s="307" t="s">
        <v>714</v>
      </c>
      <c r="C8" s="446">
        <v>46244</v>
      </c>
      <c r="D8" s="713" t="s">
        <v>709</v>
      </c>
      <c r="E8" s="748">
        <v>46248</v>
      </c>
      <c r="F8" s="298" t="s">
        <v>785</v>
      </c>
      <c r="G8" s="754" t="s">
        <v>786</v>
      </c>
      <c r="H8" s="299" t="s">
        <v>821</v>
      </c>
      <c r="I8" s="643" t="s">
        <v>30</v>
      </c>
      <c r="J8" s="713" t="s">
        <v>31</v>
      </c>
      <c r="K8" s="626" t="s">
        <v>113</v>
      </c>
      <c r="L8" s="637">
        <v>10</v>
      </c>
      <c r="M8" s="750">
        <v>259259.26</v>
      </c>
      <c r="N8" s="301">
        <v>2592592.6</v>
      </c>
      <c r="O8" s="301">
        <v>207407.40800000002</v>
      </c>
      <c r="P8" s="653">
        <v>2800000.0079999999</v>
      </c>
      <c r="Q8" s="301"/>
      <c r="R8" s="301"/>
    </row>
    <row r="9" spans="1:18">
      <c r="A9" s="307" t="s">
        <v>792</v>
      </c>
      <c r="B9" s="307" t="s">
        <v>714</v>
      </c>
      <c r="C9" s="446">
        <v>46244</v>
      </c>
      <c r="D9" s="713" t="s">
        <v>709</v>
      </c>
      <c r="E9" s="748">
        <v>46248</v>
      </c>
      <c r="F9" s="298" t="s">
        <v>785</v>
      </c>
      <c r="G9" s="754" t="s">
        <v>786</v>
      </c>
      <c r="H9" s="299" t="s">
        <v>821</v>
      </c>
      <c r="I9" s="643" t="s">
        <v>301</v>
      </c>
      <c r="J9" s="713" t="s">
        <v>361</v>
      </c>
      <c r="K9" s="626" t="s">
        <v>113</v>
      </c>
      <c r="L9" s="637">
        <v>10</v>
      </c>
      <c r="M9" s="750">
        <v>277777.78000000003</v>
      </c>
      <c r="N9" s="301">
        <v>2777777.8000000003</v>
      </c>
      <c r="O9" s="301">
        <v>222222.22400000002</v>
      </c>
      <c r="P9" s="653">
        <v>3000000.0240000002</v>
      </c>
      <c r="Q9" s="301"/>
      <c r="R9" s="301"/>
    </row>
    <row r="10" spans="1:18">
      <c r="A10" s="307" t="s">
        <v>792</v>
      </c>
      <c r="B10" s="307" t="s">
        <v>714</v>
      </c>
      <c r="C10" s="446">
        <v>46244</v>
      </c>
      <c r="D10" s="713" t="s">
        <v>709</v>
      </c>
      <c r="E10" s="748">
        <v>46248</v>
      </c>
      <c r="F10" s="298" t="s">
        <v>785</v>
      </c>
      <c r="G10" s="754" t="s">
        <v>786</v>
      </c>
      <c r="H10" s="299" t="s">
        <v>821</v>
      </c>
      <c r="I10" s="643" t="s">
        <v>34</v>
      </c>
      <c r="J10" s="713" t="s">
        <v>35</v>
      </c>
      <c r="K10" s="626" t="s">
        <v>113</v>
      </c>
      <c r="L10" s="637">
        <v>5</v>
      </c>
      <c r="M10" s="750">
        <v>240740.74</v>
      </c>
      <c r="N10" s="301">
        <v>1203703.7</v>
      </c>
      <c r="O10" s="301">
        <v>96296.296000000002</v>
      </c>
      <c r="P10" s="653">
        <v>1299999.996</v>
      </c>
      <c r="Q10" s="301"/>
      <c r="R10" s="301"/>
    </row>
    <row r="11" spans="1:18">
      <c r="A11" s="307" t="s">
        <v>792</v>
      </c>
      <c r="B11" s="307" t="s">
        <v>714</v>
      </c>
      <c r="C11" s="446">
        <v>46244</v>
      </c>
      <c r="D11" s="713" t="s">
        <v>709</v>
      </c>
      <c r="E11" s="748">
        <v>46248</v>
      </c>
      <c r="F11" s="298" t="s">
        <v>785</v>
      </c>
      <c r="G11" s="754" t="s">
        <v>786</v>
      </c>
      <c r="H11" s="299" t="s">
        <v>821</v>
      </c>
      <c r="I11" s="643" t="s">
        <v>36</v>
      </c>
      <c r="J11" s="713" t="s">
        <v>37</v>
      </c>
      <c r="K11" s="626" t="s">
        <v>113</v>
      </c>
      <c r="L11" s="637">
        <v>10</v>
      </c>
      <c r="M11" s="750">
        <v>259259.26</v>
      </c>
      <c r="N11" s="301">
        <v>2592592.6</v>
      </c>
      <c r="O11" s="301">
        <v>207407.40800000002</v>
      </c>
      <c r="P11" s="653">
        <v>2800000.0079999999</v>
      </c>
      <c r="Q11" s="301"/>
      <c r="R11" s="301"/>
    </row>
    <row r="12" spans="1:18">
      <c r="A12" s="307" t="s">
        <v>792</v>
      </c>
      <c r="B12" s="307" t="s">
        <v>714</v>
      </c>
      <c r="C12" s="446">
        <v>46244</v>
      </c>
      <c r="D12" s="713" t="s">
        <v>709</v>
      </c>
      <c r="E12" s="748"/>
      <c r="F12" s="298"/>
      <c r="G12" s="754"/>
      <c r="H12" s="299" t="s">
        <v>821</v>
      </c>
      <c r="I12" s="643" t="s">
        <v>38</v>
      </c>
      <c r="J12" s="713" t="s">
        <v>39</v>
      </c>
      <c r="K12" s="626" t="s">
        <v>113</v>
      </c>
      <c r="L12" s="637">
        <v>10</v>
      </c>
      <c r="M12" s="750">
        <v>277777.78000000003</v>
      </c>
      <c r="N12" s="301">
        <v>2777777.8000000003</v>
      </c>
      <c r="O12" s="301">
        <v>222222.22400000002</v>
      </c>
      <c r="P12" s="653">
        <v>3000000.0240000002</v>
      </c>
      <c r="Q12" s="301"/>
      <c r="R12" s="301"/>
    </row>
    <row r="13" spans="1:18">
      <c r="A13" s="307" t="s">
        <v>792</v>
      </c>
      <c r="B13" s="307" t="s">
        <v>714</v>
      </c>
      <c r="C13" s="446">
        <v>46244</v>
      </c>
      <c r="D13" s="713" t="s">
        <v>709</v>
      </c>
      <c r="E13" s="748">
        <v>46295</v>
      </c>
      <c r="F13" s="298"/>
      <c r="G13" s="754" t="s">
        <v>1308</v>
      </c>
      <c r="H13" s="299" t="s">
        <v>821</v>
      </c>
      <c r="I13" s="643" t="s">
        <v>639</v>
      </c>
      <c r="J13" s="713" t="s">
        <v>640</v>
      </c>
      <c r="K13" s="626" t="s">
        <v>113</v>
      </c>
      <c r="L13" s="637">
        <v>15</v>
      </c>
      <c r="M13" s="750">
        <v>537037.04</v>
      </c>
      <c r="N13" s="301">
        <v>8055555.6000000006</v>
      </c>
      <c r="O13" s="301">
        <v>644444.44800000009</v>
      </c>
      <c r="P13" s="653">
        <v>8700000.0480000004</v>
      </c>
      <c r="Q13" s="301"/>
      <c r="R13" s="301"/>
    </row>
    <row r="14" spans="1:18">
      <c r="A14" s="307" t="s">
        <v>792</v>
      </c>
      <c r="B14" s="307" t="s">
        <v>714</v>
      </c>
      <c r="C14" s="446">
        <v>46244</v>
      </c>
      <c r="D14" s="713" t="s">
        <v>709</v>
      </c>
      <c r="E14" s="748">
        <v>46295</v>
      </c>
      <c r="F14" s="298"/>
      <c r="G14" s="754" t="s">
        <v>1308</v>
      </c>
      <c r="H14" s="299" t="s">
        <v>821</v>
      </c>
      <c r="I14" s="643" t="s">
        <v>641</v>
      </c>
      <c r="J14" s="713" t="s">
        <v>657</v>
      </c>
      <c r="K14" s="626" t="s">
        <v>113</v>
      </c>
      <c r="L14" s="637">
        <v>15</v>
      </c>
      <c r="M14" s="750">
        <v>638888.89</v>
      </c>
      <c r="N14" s="301">
        <v>9583333.3499999996</v>
      </c>
      <c r="O14" s="301">
        <v>766666.66799999995</v>
      </c>
      <c r="P14" s="653">
        <v>10350000.017999999</v>
      </c>
      <c r="Q14" s="301"/>
      <c r="R14" s="301"/>
    </row>
    <row r="15" spans="1:18">
      <c r="A15" s="307" t="s">
        <v>792</v>
      </c>
      <c r="B15" s="307" t="s">
        <v>714</v>
      </c>
      <c r="C15" s="446">
        <v>46244</v>
      </c>
      <c r="D15" s="713" t="s">
        <v>709</v>
      </c>
      <c r="E15" s="748">
        <v>46295</v>
      </c>
      <c r="F15" s="298"/>
      <c r="G15" s="754" t="s">
        <v>1308</v>
      </c>
      <c r="H15" s="299" t="s">
        <v>821</v>
      </c>
      <c r="I15" s="643" t="s">
        <v>643</v>
      </c>
      <c r="J15" s="713" t="s">
        <v>644</v>
      </c>
      <c r="K15" s="626" t="s">
        <v>113</v>
      </c>
      <c r="L15" s="637">
        <v>15</v>
      </c>
      <c r="M15" s="750">
        <v>527777.78</v>
      </c>
      <c r="N15" s="301">
        <v>7916666.7000000002</v>
      </c>
      <c r="O15" s="301">
        <v>633333.33600000001</v>
      </c>
      <c r="P15" s="653">
        <v>8550000.0360000003</v>
      </c>
      <c r="Q15" s="301"/>
      <c r="R15" s="301"/>
    </row>
    <row r="16" spans="1:18">
      <c r="A16" s="307" t="s">
        <v>792</v>
      </c>
      <c r="B16" s="307" t="s">
        <v>714</v>
      </c>
      <c r="C16" s="446">
        <v>46244</v>
      </c>
      <c r="D16" s="713" t="s">
        <v>709</v>
      </c>
      <c r="E16" s="748">
        <v>46295</v>
      </c>
      <c r="F16" s="298"/>
      <c r="G16" s="754" t="s">
        <v>1308</v>
      </c>
      <c r="H16" s="299" t="s">
        <v>821</v>
      </c>
      <c r="I16" s="643" t="s">
        <v>645</v>
      </c>
      <c r="J16" s="713" t="s">
        <v>646</v>
      </c>
      <c r="K16" s="626" t="s">
        <v>113</v>
      </c>
      <c r="L16" s="637">
        <v>4</v>
      </c>
      <c r="M16" s="750">
        <v>629629.63</v>
      </c>
      <c r="N16" s="301">
        <v>2518518.52</v>
      </c>
      <c r="O16" s="301">
        <v>201481.4816</v>
      </c>
      <c r="P16" s="653">
        <v>2720000.0016000001</v>
      </c>
      <c r="Q16" s="301"/>
      <c r="R16" s="301"/>
    </row>
    <row r="17" spans="1:18">
      <c r="A17" s="307" t="s">
        <v>792</v>
      </c>
      <c r="B17" s="307" t="s">
        <v>714</v>
      </c>
      <c r="C17" s="446">
        <v>46244</v>
      </c>
      <c r="D17" s="713" t="s">
        <v>709</v>
      </c>
      <c r="E17" s="748">
        <v>46295</v>
      </c>
      <c r="F17" s="298"/>
      <c r="G17" s="754" t="s">
        <v>1308</v>
      </c>
      <c r="H17" s="299" t="s">
        <v>821</v>
      </c>
      <c r="I17" s="643" t="s">
        <v>649</v>
      </c>
      <c r="J17" s="713" t="s">
        <v>650</v>
      </c>
      <c r="K17" s="626" t="s">
        <v>113</v>
      </c>
      <c r="L17" s="637">
        <v>15</v>
      </c>
      <c r="M17" s="750">
        <v>574074.06999999995</v>
      </c>
      <c r="N17" s="301">
        <v>8611111.0499999989</v>
      </c>
      <c r="O17" s="301">
        <v>688888.88399999996</v>
      </c>
      <c r="P17" s="653">
        <v>9299999.9339999985</v>
      </c>
      <c r="Q17" s="301"/>
      <c r="R17" s="301"/>
    </row>
    <row r="18" spans="1:18">
      <c r="A18" s="307" t="s">
        <v>792</v>
      </c>
      <c r="B18" s="307" t="s">
        <v>714</v>
      </c>
      <c r="C18" s="446">
        <v>46244</v>
      </c>
      <c r="D18" s="713" t="s">
        <v>709</v>
      </c>
      <c r="E18" s="748">
        <v>46295</v>
      </c>
      <c r="F18" s="298"/>
      <c r="G18" s="754" t="s">
        <v>1308</v>
      </c>
      <c r="H18" s="299" t="s">
        <v>821</v>
      </c>
      <c r="I18" s="643" t="s">
        <v>651</v>
      </c>
      <c r="J18" s="713" t="s">
        <v>652</v>
      </c>
      <c r="K18" s="626" t="s">
        <v>113</v>
      </c>
      <c r="L18" s="637">
        <v>15</v>
      </c>
      <c r="M18" s="750">
        <v>694444.44</v>
      </c>
      <c r="N18" s="301">
        <v>10416666.6</v>
      </c>
      <c r="O18" s="301">
        <v>833333.32799999998</v>
      </c>
      <c r="P18" s="653">
        <v>11249999.927999999</v>
      </c>
      <c r="Q18" s="301"/>
      <c r="R18" s="301"/>
    </row>
    <row r="19" spans="1:18">
      <c r="A19" s="307" t="s">
        <v>792</v>
      </c>
      <c r="B19" s="307" t="s">
        <v>714</v>
      </c>
      <c r="C19" s="446">
        <v>46244</v>
      </c>
      <c r="D19" s="713" t="s">
        <v>709</v>
      </c>
      <c r="E19" s="748">
        <v>46295</v>
      </c>
      <c r="F19" s="298"/>
      <c r="G19" s="754" t="s">
        <v>1308</v>
      </c>
      <c r="H19" s="299" t="s">
        <v>821</v>
      </c>
      <c r="I19" s="643" t="s">
        <v>653</v>
      </c>
      <c r="J19" s="713" t="s">
        <v>654</v>
      </c>
      <c r="K19" s="626" t="s">
        <v>113</v>
      </c>
      <c r="L19" s="637">
        <v>15</v>
      </c>
      <c r="M19" s="750">
        <v>481481.48</v>
      </c>
      <c r="N19" s="301">
        <v>7222222.1999999993</v>
      </c>
      <c r="O19" s="301">
        <v>577777.77599999995</v>
      </c>
      <c r="P19" s="653">
        <v>7799999.9759999989</v>
      </c>
      <c r="Q19" s="301"/>
      <c r="R19" s="301"/>
    </row>
    <row r="20" spans="1:18">
      <c r="A20" s="307" t="s">
        <v>792</v>
      </c>
      <c r="B20" s="307" t="s">
        <v>714</v>
      </c>
      <c r="C20" s="446">
        <v>46244</v>
      </c>
      <c r="D20" s="713" t="s">
        <v>709</v>
      </c>
      <c r="E20" s="748">
        <v>46295</v>
      </c>
      <c r="F20" s="298"/>
      <c r="G20" s="754" t="s">
        <v>1308</v>
      </c>
      <c r="H20" s="299" t="s">
        <v>821</v>
      </c>
      <c r="I20" s="643" t="s">
        <v>655</v>
      </c>
      <c r="J20" s="713" t="s">
        <v>656</v>
      </c>
      <c r="K20" s="626" t="s">
        <v>113</v>
      </c>
      <c r="L20" s="637">
        <v>26</v>
      </c>
      <c r="M20" s="750">
        <v>574074.06999999995</v>
      </c>
      <c r="N20" s="301">
        <v>14925925.819999998</v>
      </c>
      <c r="O20" s="301">
        <v>1194074.0655999999</v>
      </c>
      <c r="P20" s="653">
        <v>16119999.885599999</v>
      </c>
      <c r="Q20" s="301"/>
      <c r="R20" s="301"/>
    </row>
    <row r="21" spans="1:18">
      <c r="A21" s="307" t="s">
        <v>792</v>
      </c>
      <c r="B21" s="307" t="s">
        <v>714</v>
      </c>
      <c r="C21" s="446">
        <v>46244</v>
      </c>
      <c r="D21" s="713" t="s">
        <v>709</v>
      </c>
      <c r="E21" s="748"/>
      <c r="F21" s="298"/>
      <c r="G21" s="754"/>
      <c r="H21" s="299" t="s">
        <v>821</v>
      </c>
      <c r="I21" s="643" t="s">
        <v>101</v>
      </c>
      <c r="J21" s="713" t="s">
        <v>102</v>
      </c>
      <c r="K21" s="626" t="s">
        <v>113</v>
      </c>
      <c r="L21" s="637">
        <v>6</v>
      </c>
      <c r="M21" s="750">
        <v>861111.11</v>
      </c>
      <c r="N21" s="301">
        <v>5166666.66</v>
      </c>
      <c r="O21" s="301">
        <v>413333.33280000003</v>
      </c>
      <c r="P21" s="653">
        <v>5579999.9928000001</v>
      </c>
      <c r="Q21" s="301"/>
      <c r="R21" s="301"/>
    </row>
    <row r="22" spans="1:18">
      <c r="A22" s="307" t="s">
        <v>792</v>
      </c>
      <c r="B22" s="307" t="s">
        <v>714</v>
      </c>
      <c r="C22" s="446">
        <v>46244</v>
      </c>
      <c r="D22" s="713" t="s">
        <v>709</v>
      </c>
      <c r="E22" s="748">
        <v>46248</v>
      </c>
      <c r="F22" s="298" t="s">
        <v>785</v>
      </c>
      <c r="G22" s="754" t="s">
        <v>786</v>
      </c>
      <c r="H22" s="299" t="s">
        <v>821</v>
      </c>
      <c r="I22" s="643" t="s">
        <v>93</v>
      </c>
      <c r="J22" s="713" t="s">
        <v>94</v>
      </c>
      <c r="K22" s="626" t="s">
        <v>113</v>
      </c>
      <c r="L22" s="637">
        <v>6</v>
      </c>
      <c r="M22" s="750">
        <v>907407.41</v>
      </c>
      <c r="N22" s="301">
        <v>5444444.46</v>
      </c>
      <c r="O22" s="301">
        <v>435555.55680000002</v>
      </c>
      <c r="P22" s="653">
        <v>5880000.0168000003</v>
      </c>
      <c r="Q22" s="301"/>
      <c r="R22" s="301"/>
    </row>
    <row r="23" spans="1:18">
      <c r="A23" s="307" t="s">
        <v>792</v>
      </c>
      <c r="B23" s="307" t="s">
        <v>714</v>
      </c>
      <c r="C23" s="446">
        <v>46244</v>
      </c>
      <c r="D23" s="713" t="s">
        <v>709</v>
      </c>
      <c r="E23" s="748">
        <v>46248</v>
      </c>
      <c r="F23" s="298" t="s">
        <v>785</v>
      </c>
      <c r="G23" s="754" t="s">
        <v>786</v>
      </c>
      <c r="H23" s="299" t="s">
        <v>821</v>
      </c>
      <c r="I23" s="643" t="s">
        <v>48</v>
      </c>
      <c r="J23" s="713" t="s">
        <v>49</v>
      </c>
      <c r="K23" s="626" t="s">
        <v>113</v>
      </c>
      <c r="L23" s="637">
        <v>6</v>
      </c>
      <c r="M23" s="750">
        <v>601851.85</v>
      </c>
      <c r="N23" s="301">
        <v>3611111.0999999996</v>
      </c>
      <c r="O23" s="301">
        <v>288888.88799999998</v>
      </c>
      <c r="P23" s="653">
        <v>3899999.9879999994</v>
      </c>
      <c r="Q23" s="301"/>
      <c r="R23" s="301"/>
    </row>
    <row r="24" spans="1:18">
      <c r="A24" s="307" t="s">
        <v>792</v>
      </c>
      <c r="B24" s="307" t="s">
        <v>714</v>
      </c>
      <c r="C24" s="446">
        <v>46244</v>
      </c>
      <c r="D24" s="713" t="s">
        <v>709</v>
      </c>
      <c r="E24" s="748">
        <v>46248</v>
      </c>
      <c r="F24" s="298" t="s">
        <v>785</v>
      </c>
      <c r="G24" s="754" t="s">
        <v>786</v>
      </c>
      <c r="H24" s="299" t="s">
        <v>821</v>
      </c>
      <c r="I24" s="643" t="s">
        <v>226</v>
      </c>
      <c r="J24" s="713" t="s">
        <v>227</v>
      </c>
      <c r="K24" s="626" t="s">
        <v>113</v>
      </c>
      <c r="L24" s="637">
        <v>6</v>
      </c>
      <c r="M24" s="750">
        <v>799074.07</v>
      </c>
      <c r="N24" s="301">
        <v>4794444.42</v>
      </c>
      <c r="O24" s="301">
        <v>383555.55359999998</v>
      </c>
      <c r="P24" s="653">
        <v>5177999.9736000001</v>
      </c>
      <c r="Q24" s="301"/>
      <c r="R24" s="301"/>
    </row>
    <row r="25" spans="1:18">
      <c r="A25" s="307" t="s">
        <v>792</v>
      </c>
      <c r="B25" s="307" t="s">
        <v>714</v>
      </c>
      <c r="C25" s="446">
        <v>46244</v>
      </c>
      <c r="D25" s="713" t="s">
        <v>709</v>
      </c>
      <c r="E25" s="748"/>
      <c r="F25" s="298"/>
      <c r="G25" s="754"/>
      <c r="H25" s="299" t="s">
        <v>821</v>
      </c>
      <c r="I25" s="643" t="s">
        <v>103</v>
      </c>
      <c r="J25" s="713" t="s">
        <v>104</v>
      </c>
      <c r="K25" s="626" t="s">
        <v>113</v>
      </c>
      <c r="L25" s="637">
        <v>6</v>
      </c>
      <c r="M25" s="750">
        <v>675925.93</v>
      </c>
      <c r="N25" s="301">
        <v>4055555.58</v>
      </c>
      <c r="O25" s="301">
        <v>324444.44640000002</v>
      </c>
      <c r="P25" s="653">
        <v>4380000.0263999999</v>
      </c>
      <c r="Q25" s="301"/>
      <c r="R25" s="301"/>
    </row>
    <row r="26" spans="1:18">
      <c r="A26" s="307" t="s">
        <v>792</v>
      </c>
      <c r="B26" s="307" t="s">
        <v>714</v>
      </c>
      <c r="C26" s="446">
        <v>46244</v>
      </c>
      <c r="D26" s="713" t="s">
        <v>709</v>
      </c>
      <c r="E26" s="748">
        <v>46248</v>
      </c>
      <c r="F26" s="298" t="s">
        <v>785</v>
      </c>
      <c r="G26" s="754" t="s">
        <v>786</v>
      </c>
      <c r="H26" s="299" t="s">
        <v>821</v>
      </c>
      <c r="I26" s="643" t="s">
        <v>260</v>
      </c>
      <c r="J26" s="713" t="s">
        <v>261</v>
      </c>
      <c r="K26" s="626" t="s">
        <v>113</v>
      </c>
      <c r="L26" s="637">
        <v>10</v>
      </c>
      <c r="M26" s="750">
        <v>492592.59</v>
      </c>
      <c r="N26" s="301">
        <v>4925925.9000000004</v>
      </c>
      <c r="O26" s="301">
        <v>394074.07200000004</v>
      </c>
      <c r="P26" s="653">
        <v>5319999.9720000001</v>
      </c>
      <c r="Q26" s="301"/>
      <c r="R26" s="301"/>
    </row>
    <row r="27" spans="1:18">
      <c r="A27" s="307" t="s">
        <v>792</v>
      </c>
      <c r="B27" s="307" t="s">
        <v>714</v>
      </c>
      <c r="C27" s="446">
        <v>46244</v>
      </c>
      <c r="D27" s="713" t="s">
        <v>709</v>
      </c>
      <c r="E27" s="748">
        <v>46295</v>
      </c>
      <c r="F27" s="298"/>
      <c r="G27" s="754" t="s">
        <v>1308</v>
      </c>
      <c r="H27" s="302" t="s">
        <v>689</v>
      </c>
      <c r="I27" s="643" t="s">
        <v>639</v>
      </c>
      <c r="J27" s="713" t="s">
        <v>640</v>
      </c>
      <c r="K27" s="626" t="s">
        <v>113</v>
      </c>
      <c r="L27" s="637">
        <v>1</v>
      </c>
      <c r="M27" s="750">
        <v>0</v>
      </c>
      <c r="N27" s="301">
        <v>0</v>
      </c>
      <c r="O27" s="301">
        <v>0</v>
      </c>
      <c r="P27" s="653">
        <v>0</v>
      </c>
      <c r="Q27" s="301"/>
      <c r="R27" s="301"/>
    </row>
    <row r="28" spans="1:18">
      <c r="A28" s="307" t="s">
        <v>792</v>
      </c>
      <c r="B28" s="307" t="s">
        <v>714</v>
      </c>
      <c r="C28" s="446">
        <v>46244</v>
      </c>
      <c r="D28" s="713" t="s">
        <v>709</v>
      </c>
      <c r="E28" s="748">
        <v>46295</v>
      </c>
      <c r="F28" s="298"/>
      <c r="G28" s="754" t="s">
        <v>1308</v>
      </c>
      <c r="H28" s="302" t="s">
        <v>689</v>
      </c>
      <c r="I28" s="643" t="s">
        <v>641</v>
      </c>
      <c r="J28" s="713" t="s">
        <v>657</v>
      </c>
      <c r="K28" s="626" t="s">
        <v>113</v>
      </c>
      <c r="L28" s="637">
        <v>1</v>
      </c>
      <c r="M28" s="750">
        <v>0</v>
      </c>
      <c r="N28" s="301">
        <v>0</v>
      </c>
      <c r="O28" s="301">
        <v>0</v>
      </c>
      <c r="P28" s="653">
        <v>0</v>
      </c>
      <c r="Q28" s="301"/>
      <c r="R28" s="301"/>
    </row>
    <row r="29" spans="1:18">
      <c r="A29" s="307" t="s">
        <v>792</v>
      </c>
      <c r="B29" s="307" t="s">
        <v>714</v>
      </c>
      <c r="C29" s="446">
        <v>46244</v>
      </c>
      <c r="D29" s="713" t="s">
        <v>709</v>
      </c>
      <c r="E29" s="748">
        <v>46295</v>
      </c>
      <c r="F29" s="298"/>
      <c r="G29" s="754" t="s">
        <v>1308</v>
      </c>
      <c r="H29" s="302" t="s">
        <v>689</v>
      </c>
      <c r="I29" s="643" t="s">
        <v>643</v>
      </c>
      <c r="J29" s="713" t="s">
        <v>644</v>
      </c>
      <c r="K29" s="626" t="s">
        <v>113</v>
      </c>
      <c r="L29" s="637">
        <v>1</v>
      </c>
      <c r="M29" s="750">
        <v>0</v>
      </c>
      <c r="N29" s="301">
        <v>0</v>
      </c>
      <c r="O29" s="301">
        <v>0</v>
      </c>
      <c r="P29" s="653">
        <v>0</v>
      </c>
      <c r="Q29" s="301"/>
      <c r="R29" s="301"/>
    </row>
    <row r="30" spans="1:18">
      <c r="A30" s="307" t="s">
        <v>792</v>
      </c>
      <c r="B30" s="307" t="s">
        <v>714</v>
      </c>
      <c r="C30" s="446">
        <v>46244</v>
      </c>
      <c r="D30" s="713" t="s">
        <v>709</v>
      </c>
      <c r="E30" s="748">
        <v>46295</v>
      </c>
      <c r="F30" s="298"/>
      <c r="G30" s="754" t="s">
        <v>1308</v>
      </c>
      <c r="H30" s="302" t="s">
        <v>689</v>
      </c>
      <c r="I30" s="643" t="s">
        <v>649</v>
      </c>
      <c r="J30" s="713" t="s">
        <v>650</v>
      </c>
      <c r="K30" s="626" t="s">
        <v>113</v>
      </c>
      <c r="L30" s="637">
        <v>1</v>
      </c>
      <c r="M30" s="750">
        <v>0</v>
      </c>
      <c r="N30" s="301">
        <v>0</v>
      </c>
      <c r="O30" s="301">
        <v>0</v>
      </c>
      <c r="P30" s="653">
        <v>0</v>
      </c>
      <c r="Q30" s="301"/>
      <c r="R30" s="301"/>
    </row>
    <row r="31" spans="1:18">
      <c r="A31" s="307" t="s">
        <v>792</v>
      </c>
      <c r="B31" s="307" t="s">
        <v>714</v>
      </c>
      <c r="C31" s="446">
        <v>46244</v>
      </c>
      <c r="D31" s="713" t="s">
        <v>709</v>
      </c>
      <c r="E31" s="748">
        <v>46295</v>
      </c>
      <c r="F31" s="298"/>
      <c r="G31" s="754" t="s">
        <v>1308</v>
      </c>
      <c r="H31" s="302" t="s">
        <v>689</v>
      </c>
      <c r="I31" s="643" t="s">
        <v>651</v>
      </c>
      <c r="J31" s="713" t="s">
        <v>652</v>
      </c>
      <c r="K31" s="626" t="s">
        <v>113</v>
      </c>
      <c r="L31" s="637">
        <v>1</v>
      </c>
      <c r="M31" s="750">
        <v>0</v>
      </c>
      <c r="N31" s="301">
        <v>0</v>
      </c>
      <c r="O31" s="301">
        <v>0</v>
      </c>
      <c r="P31" s="653">
        <v>0</v>
      </c>
      <c r="Q31" s="301"/>
      <c r="R31" s="301"/>
    </row>
    <row r="32" spans="1:18">
      <c r="A32" s="307" t="s">
        <v>792</v>
      </c>
      <c r="B32" s="307" t="s">
        <v>714</v>
      </c>
      <c r="C32" s="446">
        <v>46244</v>
      </c>
      <c r="D32" s="713" t="s">
        <v>709</v>
      </c>
      <c r="E32" s="748">
        <v>46295</v>
      </c>
      <c r="F32" s="298"/>
      <c r="G32" s="754" t="s">
        <v>1308</v>
      </c>
      <c r="H32" s="302" t="s">
        <v>689</v>
      </c>
      <c r="I32" s="643" t="s">
        <v>653</v>
      </c>
      <c r="J32" s="713" t="s">
        <v>654</v>
      </c>
      <c r="K32" s="626" t="s">
        <v>113</v>
      </c>
      <c r="L32" s="637">
        <v>1</v>
      </c>
      <c r="M32" s="750">
        <v>0</v>
      </c>
      <c r="N32" s="301">
        <v>0</v>
      </c>
      <c r="O32" s="301">
        <v>0</v>
      </c>
      <c r="P32" s="653">
        <v>0</v>
      </c>
      <c r="Q32" s="301"/>
      <c r="R32" s="301"/>
    </row>
    <row r="33" spans="1:18">
      <c r="A33" s="307" t="s">
        <v>792</v>
      </c>
      <c r="B33" s="307" t="s">
        <v>714</v>
      </c>
      <c r="C33" s="446">
        <v>46244</v>
      </c>
      <c r="D33" s="713" t="s">
        <v>709</v>
      </c>
      <c r="E33" s="748">
        <v>46295</v>
      </c>
      <c r="F33" s="298"/>
      <c r="G33" s="754" t="s">
        <v>1308</v>
      </c>
      <c r="H33" s="302" t="s">
        <v>689</v>
      </c>
      <c r="I33" s="643" t="s">
        <v>655</v>
      </c>
      <c r="J33" s="713" t="s">
        <v>656</v>
      </c>
      <c r="K33" s="626" t="s">
        <v>113</v>
      </c>
      <c r="L33" s="637">
        <v>2</v>
      </c>
      <c r="M33" s="750">
        <v>0</v>
      </c>
      <c r="N33" s="301">
        <v>0</v>
      </c>
      <c r="O33" s="301">
        <v>0</v>
      </c>
      <c r="P33" s="653">
        <v>0</v>
      </c>
      <c r="Q33" s="301"/>
      <c r="R33" s="301"/>
    </row>
    <row r="34" spans="1:18">
      <c r="A34" s="307" t="s">
        <v>792</v>
      </c>
      <c r="B34" s="307" t="s">
        <v>714</v>
      </c>
      <c r="C34" s="446">
        <v>46244</v>
      </c>
      <c r="D34" s="713" t="s">
        <v>709</v>
      </c>
      <c r="E34" s="748">
        <v>46251</v>
      </c>
      <c r="F34" s="298" t="s">
        <v>876</v>
      </c>
      <c r="G34" s="754" t="s">
        <v>1229</v>
      </c>
      <c r="H34" s="302" t="s">
        <v>690</v>
      </c>
      <c r="I34" s="643" t="s">
        <v>62</v>
      </c>
      <c r="J34" s="322" t="s">
        <v>63</v>
      </c>
      <c r="K34" s="626" t="s">
        <v>113</v>
      </c>
      <c r="L34" s="637">
        <v>18</v>
      </c>
      <c r="M34" s="750">
        <v>0</v>
      </c>
      <c r="N34" s="301">
        <v>0</v>
      </c>
      <c r="O34" s="301">
        <v>0</v>
      </c>
      <c r="P34" s="653">
        <v>0</v>
      </c>
      <c r="Q34" s="301"/>
      <c r="R34" s="301"/>
    </row>
    <row r="35" spans="1:18">
      <c r="A35" s="711" t="s">
        <v>792</v>
      </c>
      <c r="B35" s="307" t="s">
        <v>714</v>
      </c>
      <c r="C35" s="297">
        <v>46248</v>
      </c>
      <c r="D35" s="322"/>
      <c r="E35" s="748"/>
      <c r="F35" s="298"/>
      <c r="G35" s="754"/>
      <c r="H35" s="299" t="s">
        <v>672</v>
      </c>
      <c r="I35" s="643"/>
      <c r="J35" s="322"/>
      <c r="K35" s="298"/>
      <c r="L35" s="648"/>
      <c r="M35" s="750"/>
      <c r="N35" s="656"/>
      <c r="O35" s="301"/>
      <c r="P35" s="301"/>
      <c r="Q35" s="651">
        <v>61652000</v>
      </c>
      <c r="R35" s="651"/>
    </row>
    <row r="36" spans="1:18">
      <c r="A36" s="711" t="s">
        <v>792</v>
      </c>
      <c r="B36" s="307" t="s">
        <v>714</v>
      </c>
      <c r="C36" s="297">
        <v>46251</v>
      </c>
      <c r="D36" s="322" t="s">
        <v>793</v>
      </c>
      <c r="E36" s="748">
        <v>46295</v>
      </c>
      <c r="F36" s="298"/>
      <c r="G36" s="754" t="s">
        <v>1308</v>
      </c>
      <c r="H36" s="299" t="s">
        <v>810</v>
      </c>
      <c r="I36" s="643" t="s">
        <v>641</v>
      </c>
      <c r="J36" s="322" t="s">
        <v>657</v>
      </c>
      <c r="K36" s="304" t="s">
        <v>18</v>
      </c>
      <c r="L36" s="648">
        <v>30</v>
      </c>
      <c r="M36" s="750">
        <v>638888.89</v>
      </c>
      <c r="N36" s="656">
        <v>19166666.699999999</v>
      </c>
      <c r="O36" s="301">
        <v>1533333.3359999999</v>
      </c>
      <c r="P36" s="653">
        <v>20700000.035999998</v>
      </c>
      <c r="Q36" s="651"/>
      <c r="R36" s="651"/>
    </row>
    <row r="37" spans="1:18">
      <c r="A37" s="711" t="s">
        <v>792</v>
      </c>
      <c r="B37" s="307" t="s">
        <v>714</v>
      </c>
      <c r="C37" s="297">
        <v>46251</v>
      </c>
      <c r="D37" s="322" t="s">
        <v>793</v>
      </c>
      <c r="E37" s="748">
        <v>46295</v>
      </c>
      <c r="F37" s="298"/>
      <c r="G37" s="754" t="s">
        <v>1308</v>
      </c>
      <c r="H37" s="299" t="s">
        <v>810</v>
      </c>
      <c r="I37" s="643" t="s">
        <v>645</v>
      </c>
      <c r="J37" s="322" t="s">
        <v>646</v>
      </c>
      <c r="K37" s="304" t="s">
        <v>18</v>
      </c>
      <c r="L37" s="648">
        <v>30</v>
      </c>
      <c r="M37" s="750">
        <v>629629.63</v>
      </c>
      <c r="N37" s="656">
        <v>18888888.899999999</v>
      </c>
      <c r="O37" s="301">
        <v>1511111.112</v>
      </c>
      <c r="P37" s="653">
        <v>20400000.011999998</v>
      </c>
      <c r="Q37" s="651"/>
      <c r="R37" s="651"/>
    </row>
    <row r="38" spans="1:18">
      <c r="A38" s="711" t="s">
        <v>792</v>
      </c>
      <c r="B38" s="307" t="s">
        <v>714</v>
      </c>
      <c r="C38" s="297">
        <v>46251</v>
      </c>
      <c r="D38" s="322" t="s">
        <v>793</v>
      </c>
      <c r="E38" s="748"/>
      <c r="F38" s="298"/>
      <c r="G38" s="754"/>
      <c r="H38" s="299" t="s">
        <v>810</v>
      </c>
      <c r="I38" s="643" t="s">
        <v>21</v>
      </c>
      <c r="J38" s="322" t="s">
        <v>22</v>
      </c>
      <c r="K38" s="304" t="s">
        <v>18</v>
      </c>
      <c r="L38" s="648">
        <v>6</v>
      </c>
      <c r="M38" s="750">
        <v>937962.96</v>
      </c>
      <c r="N38" s="656">
        <v>5627777.7599999998</v>
      </c>
      <c r="O38" s="301">
        <v>450222.22080000001</v>
      </c>
      <c r="P38" s="653">
        <v>6077999.9808</v>
      </c>
      <c r="Q38" s="651"/>
      <c r="R38" s="651"/>
    </row>
    <row r="39" spans="1:18">
      <c r="A39" s="711" t="s">
        <v>792</v>
      </c>
      <c r="B39" s="307" t="s">
        <v>714</v>
      </c>
      <c r="C39" s="297">
        <v>46251</v>
      </c>
      <c r="D39" s="322" t="s">
        <v>793</v>
      </c>
      <c r="E39" s="748"/>
      <c r="F39" s="298"/>
      <c r="G39" s="754"/>
      <c r="H39" s="299" t="s">
        <v>810</v>
      </c>
      <c r="I39" s="643" t="s">
        <v>38</v>
      </c>
      <c r="J39" s="322" t="s">
        <v>39</v>
      </c>
      <c r="K39" s="304" t="s">
        <v>18</v>
      </c>
      <c r="L39" s="648">
        <v>10</v>
      </c>
      <c r="M39" s="750">
        <v>277777.78000000003</v>
      </c>
      <c r="N39" s="656">
        <v>2777777.8000000003</v>
      </c>
      <c r="O39" s="301">
        <v>222222.22400000002</v>
      </c>
      <c r="P39" s="653">
        <v>3000000.0240000002</v>
      </c>
      <c r="Q39" s="651"/>
      <c r="R39" s="651"/>
    </row>
    <row r="40" spans="1:18">
      <c r="A40" s="711" t="s">
        <v>792</v>
      </c>
      <c r="B40" s="307" t="s">
        <v>714</v>
      </c>
      <c r="C40" s="297">
        <v>46251</v>
      </c>
      <c r="D40" s="322" t="s">
        <v>793</v>
      </c>
      <c r="E40" s="748"/>
      <c r="F40" s="298"/>
      <c r="G40" s="754"/>
      <c r="H40" s="299" t="s">
        <v>810</v>
      </c>
      <c r="I40" s="643" t="s">
        <v>62</v>
      </c>
      <c r="J40" s="322" t="s">
        <v>63</v>
      </c>
      <c r="K40" s="304" t="s">
        <v>18</v>
      </c>
      <c r="L40" s="648">
        <v>30</v>
      </c>
      <c r="M40" s="750">
        <v>111111.11</v>
      </c>
      <c r="N40" s="656">
        <v>3333333.3</v>
      </c>
      <c r="O40" s="301">
        <v>266666.66399999999</v>
      </c>
      <c r="P40" s="653">
        <v>3599999.9639999997</v>
      </c>
      <c r="Q40" s="651"/>
      <c r="R40" s="651"/>
    </row>
    <row r="41" spans="1:18">
      <c r="A41" s="711" t="s">
        <v>792</v>
      </c>
      <c r="B41" s="307" t="s">
        <v>714</v>
      </c>
      <c r="C41" s="297">
        <v>46251</v>
      </c>
      <c r="D41" s="322" t="s">
        <v>793</v>
      </c>
      <c r="E41" s="748">
        <v>46295</v>
      </c>
      <c r="F41" s="298"/>
      <c r="G41" s="754" t="s">
        <v>1308</v>
      </c>
      <c r="H41" s="302" t="s">
        <v>689</v>
      </c>
      <c r="I41" s="643" t="s">
        <v>641</v>
      </c>
      <c r="J41" s="322" t="s">
        <v>657</v>
      </c>
      <c r="K41" s="304" t="s">
        <v>18</v>
      </c>
      <c r="L41" s="648">
        <v>2</v>
      </c>
      <c r="M41" s="750">
        <v>0</v>
      </c>
      <c r="N41" s="656">
        <v>0</v>
      </c>
      <c r="O41" s="301">
        <v>0</v>
      </c>
      <c r="P41" s="653">
        <v>0</v>
      </c>
      <c r="Q41" s="651"/>
      <c r="R41" s="651"/>
    </row>
    <row r="42" spans="1:18">
      <c r="A42" s="711" t="s">
        <v>792</v>
      </c>
      <c r="B42" s="307" t="s">
        <v>714</v>
      </c>
      <c r="C42" s="297">
        <v>46251</v>
      </c>
      <c r="D42" s="322" t="s">
        <v>793</v>
      </c>
      <c r="E42" s="748">
        <v>46295</v>
      </c>
      <c r="F42" s="298"/>
      <c r="G42" s="754" t="s">
        <v>1308</v>
      </c>
      <c r="H42" s="302" t="s">
        <v>689</v>
      </c>
      <c r="I42" s="643" t="s">
        <v>645</v>
      </c>
      <c r="J42" s="322" t="s">
        <v>646</v>
      </c>
      <c r="K42" s="304" t="s">
        <v>18</v>
      </c>
      <c r="L42" s="648">
        <v>2</v>
      </c>
      <c r="M42" s="750">
        <v>0</v>
      </c>
      <c r="N42" s="656">
        <v>0</v>
      </c>
      <c r="O42" s="301">
        <v>0</v>
      </c>
      <c r="P42" s="653">
        <v>0</v>
      </c>
      <c r="Q42" s="651"/>
      <c r="R42" s="651"/>
    </row>
    <row r="43" spans="1:18">
      <c r="A43" s="307" t="s">
        <v>792</v>
      </c>
      <c r="B43" s="307" t="s">
        <v>714</v>
      </c>
      <c r="C43" s="446">
        <v>46269</v>
      </c>
      <c r="D43" s="322" t="s">
        <v>1054</v>
      </c>
      <c r="E43" s="748"/>
      <c r="F43" s="298"/>
      <c r="G43" s="754"/>
      <c r="H43" s="299" t="s">
        <v>810</v>
      </c>
      <c r="I43" s="643" t="s">
        <v>204</v>
      </c>
      <c r="J43" s="322" t="s">
        <v>269</v>
      </c>
      <c r="K43" s="647" t="s">
        <v>18</v>
      </c>
      <c r="L43" s="648">
        <v>10</v>
      </c>
      <c r="M43" s="750">
        <v>480555.56</v>
      </c>
      <c r="N43" s="613">
        <v>4805555.5999999996</v>
      </c>
      <c r="O43" s="613">
        <v>384444.44799999997</v>
      </c>
      <c r="P43" s="653">
        <v>5190000.0479999995</v>
      </c>
      <c r="Q43" s="652"/>
      <c r="R43" s="652"/>
    </row>
    <row r="44" spans="1:18">
      <c r="A44" s="307" t="s">
        <v>792</v>
      </c>
      <c r="B44" s="307" t="s">
        <v>714</v>
      </c>
      <c r="C44" s="446">
        <v>46269</v>
      </c>
      <c r="D44" s="322" t="s">
        <v>1054</v>
      </c>
      <c r="E44" s="748"/>
      <c r="F44" s="298"/>
      <c r="G44" s="754"/>
      <c r="H44" s="299" t="s">
        <v>810</v>
      </c>
      <c r="I44" s="643" t="s">
        <v>77</v>
      </c>
      <c r="J44" s="322" t="s">
        <v>320</v>
      </c>
      <c r="K44" s="647" t="s">
        <v>18</v>
      </c>
      <c r="L44" s="648">
        <v>20</v>
      </c>
      <c r="M44" s="750">
        <v>324074.07</v>
      </c>
      <c r="N44" s="613">
        <v>6481481.4000000004</v>
      </c>
      <c r="O44" s="613">
        <v>518518.51200000005</v>
      </c>
      <c r="P44" s="653">
        <v>6999999.9120000005</v>
      </c>
      <c r="Q44" s="652"/>
      <c r="R44" s="652"/>
    </row>
    <row r="45" spans="1:18">
      <c r="A45" s="307" t="s">
        <v>792</v>
      </c>
      <c r="B45" s="307" t="s">
        <v>714</v>
      </c>
      <c r="C45" s="446">
        <v>46269</v>
      </c>
      <c r="D45" s="322" t="s">
        <v>1054</v>
      </c>
      <c r="E45" s="748"/>
      <c r="F45" s="298"/>
      <c r="G45" s="754"/>
      <c r="H45" s="299" t="s">
        <v>810</v>
      </c>
      <c r="I45" s="643" t="s">
        <v>206</v>
      </c>
      <c r="J45" s="322" t="s">
        <v>835</v>
      </c>
      <c r="K45" s="647" t="s">
        <v>18</v>
      </c>
      <c r="L45" s="648">
        <v>10</v>
      </c>
      <c r="M45" s="750">
        <v>483333.33</v>
      </c>
      <c r="N45" s="613">
        <v>4833333.3</v>
      </c>
      <c r="O45" s="613">
        <v>386666.66399999999</v>
      </c>
      <c r="P45" s="653">
        <v>5219999.9639999997</v>
      </c>
      <c r="Q45" s="652"/>
      <c r="R45" s="652"/>
    </row>
    <row r="46" spans="1:18">
      <c r="A46" s="307" t="s">
        <v>792</v>
      </c>
      <c r="B46" s="307" t="s">
        <v>714</v>
      </c>
      <c r="C46" s="446">
        <v>46269</v>
      </c>
      <c r="D46" s="322" t="s">
        <v>1054</v>
      </c>
      <c r="E46" s="748"/>
      <c r="F46" s="298"/>
      <c r="G46" s="754"/>
      <c r="H46" s="299" t="s">
        <v>810</v>
      </c>
      <c r="I46" s="643" t="s">
        <v>444</v>
      </c>
      <c r="J46" s="322" t="s">
        <v>445</v>
      </c>
      <c r="K46" s="647" t="s">
        <v>18</v>
      </c>
      <c r="L46" s="648">
        <v>4</v>
      </c>
      <c r="M46" s="750">
        <v>601851.85</v>
      </c>
      <c r="N46" s="613">
        <v>2407407.4</v>
      </c>
      <c r="O46" s="613">
        <v>192592.592</v>
      </c>
      <c r="P46" s="653">
        <v>2599999.9920000001</v>
      </c>
      <c r="Q46" s="652"/>
      <c r="R46" s="652"/>
    </row>
    <row r="47" spans="1:18">
      <c r="A47" s="307" t="s">
        <v>792</v>
      </c>
      <c r="B47" s="307" t="s">
        <v>714</v>
      </c>
      <c r="C47" s="446">
        <v>46269</v>
      </c>
      <c r="D47" s="322" t="s">
        <v>1054</v>
      </c>
      <c r="E47" s="748"/>
      <c r="F47" s="298"/>
      <c r="G47" s="754"/>
      <c r="H47" s="299" t="s">
        <v>810</v>
      </c>
      <c r="I47" s="643" t="s">
        <v>274</v>
      </c>
      <c r="J47" s="322" t="s">
        <v>297</v>
      </c>
      <c r="K47" s="647" t="s">
        <v>18</v>
      </c>
      <c r="L47" s="648">
        <v>2</v>
      </c>
      <c r="M47" s="750">
        <v>416666.67</v>
      </c>
      <c r="N47" s="613">
        <v>833333.34</v>
      </c>
      <c r="O47" s="613">
        <v>66666.667199999996</v>
      </c>
      <c r="P47" s="653">
        <v>900000.00719999999</v>
      </c>
      <c r="Q47" s="652"/>
      <c r="R47" s="652"/>
    </row>
    <row r="48" spans="1:18">
      <c r="A48" s="307" t="s">
        <v>792</v>
      </c>
      <c r="B48" s="307" t="s">
        <v>714</v>
      </c>
      <c r="C48" s="446">
        <v>46269</v>
      </c>
      <c r="D48" s="322" t="s">
        <v>1054</v>
      </c>
      <c r="E48" s="748">
        <v>46295</v>
      </c>
      <c r="F48" s="298"/>
      <c r="G48" s="754" t="s">
        <v>1308</v>
      </c>
      <c r="H48" s="299" t="s">
        <v>810</v>
      </c>
      <c r="I48" s="643" t="s">
        <v>639</v>
      </c>
      <c r="J48" s="322" t="s">
        <v>640</v>
      </c>
      <c r="K48" s="647" t="s">
        <v>18</v>
      </c>
      <c r="L48" s="648">
        <v>15</v>
      </c>
      <c r="M48" s="750">
        <v>537037.04</v>
      </c>
      <c r="N48" s="613">
        <v>8055555.6000000006</v>
      </c>
      <c r="O48" s="613">
        <v>644444.44800000009</v>
      </c>
      <c r="P48" s="653">
        <v>8700000.0480000004</v>
      </c>
      <c r="Q48" s="652"/>
      <c r="R48" s="652"/>
    </row>
    <row r="49" spans="1:18">
      <c r="A49" s="307" t="s">
        <v>792</v>
      </c>
      <c r="B49" s="307" t="s">
        <v>714</v>
      </c>
      <c r="C49" s="446">
        <v>46269</v>
      </c>
      <c r="D49" s="322" t="s">
        <v>1054</v>
      </c>
      <c r="E49" s="748">
        <v>46295</v>
      </c>
      <c r="F49" s="298"/>
      <c r="G49" s="754" t="s">
        <v>1308</v>
      </c>
      <c r="H49" s="299" t="s">
        <v>810</v>
      </c>
      <c r="I49" s="643" t="s">
        <v>641</v>
      </c>
      <c r="J49" s="322" t="s">
        <v>657</v>
      </c>
      <c r="K49" s="647" t="s">
        <v>18</v>
      </c>
      <c r="L49" s="648">
        <v>30</v>
      </c>
      <c r="M49" s="750">
        <v>638888.89</v>
      </c>
      <c r="N49" s="613">
        <v>19166666.699999999</v>
      </c>
      <c r="O49" s="613">
        <v>1533333.3359999999</v>
      </c>
      <c r="P49" s="653">
        <v>20700000.035999998</v>
      </c>
      <c r="Q49" s="652"/>
      <c r="R49" s="652"/>
    </row>
    <row r="50" spans="1:18">
      <c r="A50" s="307" t="s">
        <v>792</v>
      </c>
      <c r="B50" s="307" t="s">
        <v>714</v>
      </c>
      <c r="C50" s="446">
        <v>46269</v>
      </c>
      <c r="D50" s="322" t="s">
        <v>1054</v>
      </c>
      <c r="E50" s="748">
        <v>46295</v>
      </c>
      <c r="F50" s="298"/>
      <c r="G50" s="754" t="s">
        <v>1308</v>
      </c>
      <c r="H50" s="299" t="s">
        <v>810</v>
      </c>
      <c r="I50" s="643" t="s">
        <v>643</v>
      </c>
      <c r="J50" s="322" t="s">
        <v>644</v>
      </c>
      <c r="K50" s="647" t="s">
        <v>18</v>
      </c>
      <c r="L50" s="648">
        <v>15</v>
      </c>
      <c r="M50" s="750">
        <v>527777.78</v>
      </c>
      <c r="N50" s="613">
        <v>7916666.7000000002</v>
      </c>
      <c r="O50" s="613">
        <v>633333.33600000001</v>
      </c>
      <c r="P50" s="653">
        <v>8550000.0360000003</v>
      </c>
      <c r="Q50" s="652"/>
      <c r="R50" s="652"/>
    </row>
    <row r="51" spans="1:18">
      <c r="A51" s="307" t="s">
        <v>792</v>
      </c>
      <c r="B51" s="307" t="s">
        <v>714</v>
      </c>
      <c r="C51" s="446">
        <v>46269</v>
      </c>
      <c r="D51" s="322" t="s">
        <v>1054</v>
      </c>
      <c r="E51" s="748">
        <v>46295</v>
      </c>
      <c r="F51" s="298"/>
      <c r="G51" s="754" t="s">
        <v>1308</v>
      </c>
      <c r="H51" s="299" t="s">
        <v>810</v>
      </c>
      <c r="I51" s="643" t="s">
        <v>653</v>
      </c>
      <c r="J51" s="322" t="s">
        <v>654</v>
      </c>
      <c r="K51" s="647" t="s">
        <v>18</v>
      </c>
      <c r="L51" s="648">
        <v>15</v>
      </c>
      <c r="M51" s="750">
        <v>481481.48</v>
      </c>
      <c r="N51" s="613">
        <v>7222222.1999999993</v>
      </c>
      <c r="O51" s="613">
        <v>577777.77599999995</v>
      </c>
      <c r="P51" s="653">
        <v>7799999.9759999989</v>
      </c>
      <c r="Q51" s="652"/>
      <c r="R51" s="652"/>
    </row>
    <row r="52" spans="1:18">
      <c r="A52" s="307" t="s">
        <v>792</v>
      </c>
      <c r="B52" s="307" t="s">
        <v>714</v>
      </c>
      <c r="C52" s="446">
        <v>46269</v>
      </c>
      <c r="D52" s="322" t="s">
        <v>1054</v>
      </c>
      <c r="E52" s="748">
        <v>46295</v>
      </c>
      <c r="F52" s="298"/>
      <c r="G52" s="754" t="s">
        <v>1308</v>
      </c>
      <c r="H52" s="299" t="s">
        <v>810</v>
      </c>
      <c r="I52" s="643" t="s">
        <v>655</v>
      </c>
      <c r="J52" s="322" t="s">
        <v>656</v>
      </c>
      <c r="K52" s="647" t="s">
        <v>18</v>
      </c>
      <c r="L52" s="648">
        <v>15</v>
      </c>
      <c r="M52" s="750">
        <v>574074.06999999995</v>
      </c>
      <c r="N52" s="613">
        <v>8611111.0499999989</v>
      </c>
      <c r="O52" s="613">
        <v>688888.88399999996</v>
      </c>
      <c r="P52" s="653">
        <v>9299999.9339999985</v>
      </c>
      <c r="Q52" s="652"/>
      <c r="R52" s="652"/>
    </row>
    <row r="53" spans="1:18">
      <c r="A53" s="307" t="s">
        <v>792</v>
      </c>
      <c r="B53" s="307" t="s">
        <v>714</v>
      </c>
      <c r="C53" s="446">
        <v>46269</v>
      </c>
      <c r="D53" s="322" t="s">
        <v>1054</v>
      </c>
      <c r="E53" s="748"/>
      <c r="F53" s="298"/>
      <c r="G53" s="754"/>
      <c r="H53" s="299" t="s">
        <v>810</v>
      </c>
      <c r="I53" s="643" t="s">
        <v>103</v>
      </c>
      <c r="J53" s="322" t="s">
        <v>104</v>
      </c>
      <c r="K53" s="647" t="s">
        <v>18</v>
      </c>
      <c r="L53" s="648">
        <v>6</v>
      </c>
      <c r="M53" s="750">
        <v>937962.96</v>
      </c>
      <c r="N53" s="613">
        <v>5627777.7599999998</v>
      </c>
      <c r="O53" s="613">
        <v>450222.22080000001</v>
      </c>
      <c r="P53" s="653">
        <v>6077999.9808</v>
      </c>
      <c r="Q53" s="652"/>
      <c r="R53" s="652"/>
    </row>
    <row r="54" spans="1:18">
      <c r="A54" s="307" t="s">
        <v>792</v>
      </c>
      <c r="B54" s="307" t="s">
        <v>714</v>
      </c>
      <c r="C54" s="446">
        <v>46269</v>
      </c>
      <c r="D54" s="322" t="s">
        <v>1054</v>
      </c>
      <c r="E54" s="748"/>
      <c r="F54" s="298"/>
      <c r="G54" s="754"/>
      <c r="H54" s="299" t="s">
        <v>810</v>
      </c>
      <c r="I54" s="643" t="s">
        <v>56</v>
      </c>
      <c r="J54" s="322" t="s">
        <v>57</v>
      </c>
      <c r="K54" s="647" t="s">
        <v>18</v>
      </c>
      <c r="L54" s="648">
        <v>12</v>
      </c>
      <c r="M54" s="750">
        <v>325925.93</v>
      </c>
      <c r="N54" s="613">
        <v>3911111.16</v>
      </c>
      <c r="O54" s="613">
        <v>312888.89280000003</v>
      </c>
      <c r="P54" s="653">
        <v>4224000.0527999997</v>
      </c>
      <c r="Q54" s="652"/>
      <c r="R54" s="652"/>
    </row>
    <row r="55" spans="1:18">
      <c r="A55" s="307" t="s">
        <v>792</v>
      </c>
      <c r="B55" s="307" t="s">
        <v>714</v>
      </c>
      <c r="C55" s="446">
        <v>46269</v>
      </c>
      <c r="D55" s="322" t="s">
        <v>1054</v>
      </c>
      <c r="E55" s="748"/>
      <c r="F55" s="298"/>
      <c r="G55" s="754"/>
      <c r="H55" s="299" t="s">
        <v>810</v>
      </c>
      <c r="I55" s="643" t="s">
        <v>93</v>
      </c>
      <c r="J55" s="322" t="s">
        <v>94</v>
      </c>
      <c r="K55" s="647" t="s">
        <v>18</v>
      </c>
      <c r="L55" s="648">
        <v>4</v>
      </c>
      <c r="M55" s="750">
        <v>907407.41</v>
      </c>
      <c r="N55" s="613">
        <v>3629629.64</v>
      </c>
      <c r="O55" s="613">
        <v>290370.37119999999</v>
      </c>
      <c r="P55" s="653">
        <v>3920000.0112000001</v>
      </c>
      <c r="Q55" s="652"/>
      <c r="R55" s="652"/>
    </row>
    <row r="56" spans="1:18">
      <c r="A56" s="307" t="s">
        <v>792</v>
      </c>
      <c r="B56" s="307" t="s">
        <v>714</v>
      </c>
      <c r="C56" s="446">
        <v>46269</v>
      </c>
      <c r="D56" s="322" t="s">
        <v>1054</v>
      </c>
      <c r="E56" s="748">
        <v>46295</v>
      </c>
      <c r="F56" s="298"/>
      <c r="G56" s="754" t="s">
        <v>1308</v>
      </c>
      <c r="H56" s="302" t="s">
        <v>689</v>
      </c>
      <c r="I56" s="643" t="s">
        <v>639</v>
      </c>
      <c r="J56" s="322" t="s">
        <v>640</v>
      </c>
      <c r="K56" s="647" t="s">
        <v>18</v>
      </c>
      <c r="L56" s="648">
        <v>1</v>
      </c>
      <c r="M56" s="750">
        <v>0</v>
      </c>
      <c r="N56" s="613">
        <v>0</v>
      </c>
      <c r="O56" s="613">
        <v>0</v>
      </c>
      <c r="P56" s="653">
        <v>0</v>
      </c>
      <c r="Q56" s="652"/>
      <c r="R56" s="652"/>
    </row>
    <row r="57" spans="1:18">
      <c r="A57" s="307" t="s">
        <v>792</v>
      </c>
      <c r="B57" s="307" t="s">
        <v>714</v>
      </c>
      <c r="C57" s="446">
        <v>46269</v>
      </c>
      <c r="D57" s="322" t="s">
        <v>1054</v>
      </c>
      <c r="E57" s="748">
        <v>46295</v>
      </c>
      <c r="F57" s="298"/>
      <c r="G57" s="754" t="s">
        <v>1308</v>
      </c>
      <c r="H57" s="302" t="s">
        <v>689</v>
      </c>
      <c r="I57" s="643" t="s">
        <v>641</v>
      </c>
      <c r="J57" s="322" t="s">
        <v>657</v>
      </c>
      <c r="K57" s="647" t="s">
        <v>18</v>
      </c>
      <c r="L57" s="648">
        <v>2</v>
      </c>
      <c r="M57" s="750">
        <v>0</v>
      </c>
      <c r="N57" s="613">
        <v>0</v>
      </c>
      <c r="O57" s="613">
        <v>0</v>
      </c>
      <c r="P57" s="653">
        <v>0</v>
      </c>
      <c r="Q57" s="652"/>
      <c r="R57" s="652"/>
    </row>
    <row r="58" spans="1:18">
      <c r="A58" s="307" t="s">
        <v>792</v>
      </c>
      <c r="B58" s="307" t="s">
        <v>714</v>
      </c>
      <c r="C58" s="446">
        <v>46269</v>
      </c>
      <c r="D58" s="322" t="s">
        <v>1054</v>
      </c>
      <c r="E58" s="748">
        <v>46295</v>
      </c>
      <c r="F58" s="298"/>
      <c r="G58" s="754" t="s">
        <v>1308</v>
      </c>
      <c r="H58" s="302" t="s">
        <v>689</v>
      </c>
      <c r="I58" s="643" t="s">
        <v>643</v>
      </c>
      <c r="J58" s="322" t="s">
        <v>644</v>
      </c>
      <c r="K58" s="647" t="s">
        <v>18</v>
      </c>
      <c r="L58" s="648">
        <v>1</v>
      </c>
      <c r="M58" s="750">
        <v>0</v>
      </c>
      <c r="N58" s="613">
        <v>0</v>
      </c>
      <c r="O58" s="613">
        <v>0</v>
      </c>
      <c r="P58" s="653">
        <v>0</v>
      </c>
      <c r="Q58" s="652"/>
      <c r="R58" s="652"/>
    </row>
    <row r="59" spans="1:18">
      <c r="A59" s="307" t="s">
        <v>792</v>
      </c>
      <c r="B59" s="307" t="s">
        <v>714</v>
      </c>
      <c r="C59" s="446">
        <v>46269</v>
      </c>
      <c r="D59" s="322" t="s">
        <v>1054</v>
      </c>
      <c r="E59" s="748">
        <v>46295</v>
      </c>
      <c r="F59" s="298"/>
      <c r="G59" s="754" t="s">
        <v>1308</v>
      </c>
      <c r="H59" s="302" t="s">
        <v>689</v>
      </c>
      <c r="I59" s="643" t="s">
        <v>653</v>
      </c>
      <c r="J59" s="322" t="s">
        <v>654</v>
      </c>
      <c r="K59" s="647" t="s">
        <v>18</v>
      </c>
      <c r="L59" s="648">
        <v>1</v>
      </c>
      <c r="M59" s="750">
        <v>0</v>
      </c>
      <c r="N59" s="613">
        <v>0</v>
      </c>
      <c r="O59" s="613">
        <v>0</v>
      </c>
      <c r="P59" s="653">
        <v>0</v>
      </c>
      <c r="Q59" s="652"/>
      <c r="R59" s="652"/>
    </row>
    <row r="60" spans="1:18">
      <c r="A60" s="307" t="s">
        <v>792</v>
      </c>
      <c r="B60" s="307" t="s">
        <v>714</v>
      </c>
      <c r="C60" s="446">
        <v>46269</v>
      </c>
      <c r="D60" s="322" t="s">
        <v>1054</v>
      </c>
      <c r="E60" s="748">
        <v>46295</v>
      </c>
      <c r="F60" s="298"/>
      <c r="G60" s="754" t="s">
        <v>1308</v>
      </c>
      <c r="H60" s="302" t="s">
        <v>689</v>
      </c>
      <c r="I60" s="643" t="s">
        <v>655</v>
      </c>
      <c r="J60" s="322" t="s">
        <v>656</v>
      </c>
      <c r="K60" s="647" t="s">
        <v>18</v>
      </c>
      <c r="L60" s="648">
        <v>1</v>
      </c>
      <c r="M60" s="750">
        <v>0</v>
      </c>
      <c r="N60" s="613">
        <v>0</v>
      </c>
      <c r="O60" s="613">
        <v>0</v>
      </c>
      <c r="P60" s="653">
        <v>0</v>
      </c>
      <c r="Q60" s="652"/>
      <c r="R60" s="652"/>
    </row>
    <row r="61" spans="1:18">
      <c r="A61" s="307" t="s">
        <v>792</v>
      </c>
      <c r="B61" s="307" t="s">
        <v>714</v>
      </c>
      <c r="C61" s="446">
        <v>46269</v>
      </c>
      <c r="D61" s="322" t="s">
        <v>1054</v>
      </c>
      <c r="E61" s="748"/>
      <c r="F61" s="298"/>
      <c r="G61" s="754"/>
      <c r="H61" s="299" t="s">
        <v>1211</v>
      </c>
      <c r="I61" s="643" t="s">
        <v>56</v>
      </c>
      <c r="J61" s="322" t="s">
        <v>57</v>
      </c>
      <c r="K61" s="647" t="s">
        <v>18</v>
      </c>
      <c r="L61" s="648">
        <v>1</v>
      </c>
      <c r="M61" s="750">
        <v>0</v>
      </c>
      <c r="N61" s="613">
        <v>0</v>
      </c>
      <c r="O61" s="613">
        <v>0</v>
      </c>
      <c r="P61" s="653">
        <v>0</v>
      </c>
      <c r="Q61" s="652"/>
      <c r="R61" s="652"/>
    </row>
    <row r="62" spans="1:18" ht="29.25">
      <c r="A62" s="307" t="s">
        <v>792</v>
      </c>
      <c r="B62" s="307" t="s">
        <v>714</v>
      </c>
      <c r="C62" s="446">
        <v>46269</v>
      </c>
      <c r="D62" s="322" t="s">
        <v>1054</v>
      </c>
      <c r="E62" s="748"/>
      <c r="F62" s="298"/>
      <c r="G62" s="754"/>
      <c r="H62" s="302" t="s">
        <v>690</v>
      </c>
      <c r="I62" s="643" t="s">
        <v>959</v>
      </c>
      <c r="J62" s="322" t="s">
        <v>960</v>
      </c>
      <c r="K62" s="647" t="s">
        <v>18</v>
      </c>
      <c r="L62" s="648">
        <v>6</v>
      </c>
      <c r="M62" s="750">
        <v>0</v>
      </c>
      <c r="N62" s="613">
        <v>0</v>
      </c>
      <c r="O62" s="613">
        <v>0</v>
      </c>
      <c r="P62" s="653">
        <v>0</v>
      </c>
      <c r="Q62" s="652"/>
      <c r="R62" s="652"/>
    </row>
    <row r="63" spans="1:18">
      <c r="A63" s="307" t="s">
        <v>792</v>
      </c>
      <c r="B63" s="307" t="s">
        <v>714</v>
      </c>
      <c r="C63" s="446">
        <v>46293</v>
      </c>
      <c r="D63" s="752" t="s">
        <v>1283</v>
      </c>
      <c r="E63" s="748">
        <v>46295</v>
      </c>
      <c r="F63" s="447"/>
      <c r="G63" s="754" t="s">
        <v>1308</v>
      </c>
      <c r="H63" s="299" t="s">
        <v>810</v>
      </c>
      <c r="I63" s="838" t="s">
        <v>645</v>
      </c>
      <c r="J63" s="320" t="s">
        <v>646</v>
      </c>
      <c r="K63" s="643" t="s">
        <v>18</v>
      </c>
      <c r="L63" s="721">
        <v>30</v>
      </c>
      <c r="M63" s="722">
        <v>629629.63</v>
      </c>
      <c r="N63" s="723">
        <v>18888888.899999999</v>
      </c>
      <c r="O63" s="613">
        <v>1511111.112</v>
      </c>
      <c r="P63" s="653">
        <v>20400000.011999998</v>
      </c>
      <c r="Q63" s="652"/>
      <c r="R63" s="652"/>
    </row>
    <row r="64" spans="1:18">
      <c r="A64" s="307" t="s">
        <v>792</v>
      </c>
      <c r="B64" s="307" t="s">
        <v>714</v>
      </c>
      <c r="C64" s="446">
        <v>46293</v>
      </c>
      <c r="D64" s="752" t="s">
        <v>1283</v>
      </c>
      <c r="E64" s="446"/>
      <c r="F64" s="447"/>
      <c r="G64" s="447"/>
      <c r="H64" s="299" t="s">
        <v>810</v>
      </c>
      <c r="I64" s="838" t="s">
        <v>726</v>
      </c>
      <c r="J64" s="320" t="s">
        <v>727</v>
      </c>
      <c r="K64" s="643" t="s">
        <v>18</v>
      </c>
      <c r="L64" s="721">
        <v>10</v>
      </c>
      <c r="M64" s="722">
        <v>259259.26</v>
      </c>
      <c r="N64" s="723">
        <v>2592592.6</v>
      </c>
      <c r="O64" s="613">
        <v>207407.40800000002</v>
      </c>
      <c r="P64" s="653">
        <v>2800000.0079999999</v>
      </c>
      <c r="Q64" s="652"/>
      <c r="R64" s="652"/>
    </row>
    <row r="65" spans="1:18">
      <c r="A65" s="307" t="s">
        <v>792</v>
      </c>
      <c r="B65" s="307" t="s">
        <v>714</v>
      </c>
      <c r="C65" s="446">
        <v>46293</v>
      </c>
      <c r="D65" s="752" t="s">
        <v>1283</v>
      </c>
      <c r="E65" s="446"/>
      <c r="F65" s="447"/>
      <c r="G65" s="447"/>
      <c r="H65" s="299" t="s">
        <v>810</v>
      </c>
      <c r="I65" s="838" t="s">
        <v>728</v>
      </c>
      <c r="J65" s="320" t="s">
        <v>729</v>
      </c>
      <c r="K65" s="643" t="s">
        <v>18</v>
      </c>
      <c r="L65" s="721">
        <v>10</v>
      </c>
      <c r="M65" s="722">
        <v>277777.78000000003</v>
      </c>
      <c r="N65" s="723">
        <v>2777777.8000000003</v>
      </c>
      <c r="O65" s="613">
        <v>222222.22400000002</v>
      </c>
      <c r="P65" s="653">
        <v>3000000.0240000002</v>
      </c>
      <c r="Q65" s="652"/>
      <c r="R65" s="652"/>
    </row>
    <row r="66" spans="1:18">
      <c r="A66" s="307" t="s">
        <v>792</v>
      </c>
      <c r="B66" s="307" t="s">
        <v>714</v>
      </c>
      <c r="C66" s="446">
        <v>46293</v>
      </c>
      <c r="D66" s="752" t="s">
        <v>1283</v>
      </c>
      <c r="E66" s="446"/>
      <c r="F66" s="447"/>
      <c r="G66" s="447"/>
      <c r="H66" s="299" t="s">
        <v>810</v>
      </c>
      <c r="I66" s="838" t="s">
        <v>730</v>
      </c>
      <c r="J66" s="320" t="s">
        <v>731</v>
      </c>
      <c r="K66" s="643" t="s">
        <v>18</v>
      </c>
      <c r="L66" s="721">
        <v>10</v>
      </c>
      <c r="M66" s="722">
        <v>305555.56</v>
      </c>
      <c r="N66" s="723">
        <v>3055555.6</v>
      </c>
      <c r="O66" s="613">
        <v>244444.448</v>
      </c>
      <c r="P66" s="653">
        <v>3300000.048</v>
      </c>
      <c r="Q66" s="652"/>
      <c r="R66" s="652"/>
    </row>
    <row r="67" spans="1:18">
      <c r="A67" s="307" t="s">
        <v>792</v>
      </c>
      <c r="B67" s="307" t="s">
        <v>714</v>
      </c>
      <c r="C67" s="446">
        <v>46293</v>
      </c>
      <c r="D67" s="752" t="s">
        <v>1283</v>
      </c>
      <c r="E67" s="446"/>
      <c r="F67" s="447"/>
      <c r="G67" s="447"/>
      <c r="H67" s="299" t="s">
        <v>810</v>
      </c>
      <c r="I67" s="838" t="s">
        <v>732</v>
      </c>
      <c r="J67" s="320" t="s">
        <v>733</v>
      </c>
      <c r="K67" s="643" t="s">
        <v>18</v>
      </c>
      <c r="L67" s="721">
        <v>10</v>
      </c>
      <c r="M67" s="722">
        <v>333333.33</v>
      </c>
      <c r="N67" s="723">
        <v>3333333.3000000003</v>
      </c>
      <c r="O67" s="613">
        <v>266666.66400000005</v>
      </c>
      <c r="P67" s="653">
        <v>3599999.9640000002</v>
      </c>
      <c r="Q67" s="652"/>
      <c r="R67" s="652"/>
    </row>
    <row r="68" spans="1:18">
      <c r="A68" s="307" t="s">
        <v>792</v>
      </c>
      <c r="B68" s="307" t="s">
        <v>714</v>
      </c>
      <c r="C68" s="446">
        <v>46293</v>
      </c>
      <c r="D68" s="752" t="s">
        <v>1283</v>
      </c>
      <c r="E68" s="748">
        <v>46295</v>
      </c>
      <c r="F68" s="447"/>
      <c r="G68" s="754" t="s">
        <v>1308</v>
      </c>
      <c r="H68" s="302" t="s">
        <v>689</v>
      </c>
      <c r="I68" s="838" t="s">
        <v>645</v>
      </c>
      <c r="J68" s="831" t="s">
        <v>646</v>
      </c>
      <c r="K68" s="643" t="s">
        <v>18</v>
      </c>
      <c r="L68" s="721">
        <v>2</v>
      </c>
      <c r="M68" s="722">
        <v>0</v>
      </c>
      <c r="N68" s="723">
        <v>0</v>
      </c>
      <c r="O68" s="613">
        <v>0</v>
      </c>
      <c r="P68" s="653">
        <v>0</v>
      </c>
      <c r="Q68" s="652"/>
      <c r="R68" s="652"/>
    </row>
    <row r="69" spans="1:18">
      <c r="A69" s="307" t="s">
        <v>792</v>
      </c>
      <c r="B69" s="307" t="s">
        <v>714</v>
      </c>
      <c r="C69" s="446">
        <v>46295</v>
      </c>
      <c r="D69" s="752"/>
      <c r="E69" s="446"/>
      <c r="F69" s="447"/>
      <c r="G69" s="447"/>
      <c r="H69" s="299" t="s">
        <v>844</v>
      </c>
      <c r="I69" s="447"/>
      <c r="J69" s="322"/>
      <c r="K69" s="298"/>
      <c r="L69" s="635"/>
      <c r="M69" s="612"/>
      <c r="N69" s="613"/>
      <c r="O69" s="613"/>
      <c r="P69" s="613"/>
      <c r="Q69" s="652">
        <v>50000000</v>
      </c>
      <c r="R69" s="652"/>
    </row>
    <row r="70" spans="1:18">
      <c r="A70" s="440"/>
      <c r="B70" s="441"/>
      <c r="C70" s="446"/>
      <c r="D70" s="444"/>
      <c r="E70" s="446"/>
      <c r="F70" s="447"/>
      <c r="G70" s="447"/>
      <c r="H70" s="444"/>
      <c r="I70" s="447"/>
      <c r="J70" s="447"/>
      <c r="K70" s="447"/>
      <c r="L70" s="447"/>
      <c r="M70" s="445"/>
      <c r="N70" s="552">
        <f>SUM(N3:N69)</f>
        <v>295872222.01000005</v>
      </c>
      <c r="O70" s="552">
        <f>SUM(O3:O69)</f>
        <v>23669777.7608</v>
      </c>
      <c r="P70" s="552">
        <f>SUM(P3:P69)</f>
        <v>319541999.77079999</v>
      </c>
      <c r="Q70" s="553">
        <f>SUM(Q3:Q69)</f>
        <v>111652000</v>
      </c>
      <c r="R70" s="447"/>
    </row>
    <row r="72" spans="1:18" ht="15.75" thickBot="1"/>
    <row r="73" spans="1:18">
      <c r="J73" s="477" t="s">
        <v>894</v>
      </c>
      <c r="K73" s="491">
        <f>P70</f>
        <v>319541999.77079999</v>
      </c>
      <c r="L73" s="452"/>
      <c r="M73" s="993" t="s">
        <v>900</v>
      </c>
      <c r="N73" s="994"/>
      <c r="O73" s="994"/>
      <c r="P73" s="994"/>
      <c r="Q73" s="994"/>
    </row>
    <row r="74" spans="1:18">
      <c r="J74" s="478" t="s">
        <v>895</v>
      </c>
      <c r="K74" s="492">
        <f>Q70</f>
        <v>111652000</v>
      </c>
      <c r="L74" s="452"/>
      <c r="M74" s="994"/>
      <c r="N74" s="994"/>
      <c r="O74" s="994"/>
      <c r="P74" s="994"/>
      <c r="Q74" s="994"/>
    </row>
    <row r="75" spans="1:18">
      <c r="J75" s="478" t="s">
        <v>898</v>
      </c>
      <c r="K75" s="554">
        <f>K73-K74</f>
        <v>207889999.77079999</v>
      </c>
      <c r="L75" s="452"/>
      <c r="M75" s="994"/>
      <c r="N75" s="994"/>
      <c r="O75" s="994"/>
      <c r="P75" s="994"/>
      <c r="Q75" s="994"/>
    </row>
    <row r="76" spans="1:18">
      <c r="J76" s="452"/>
      <c r="K76" s="452"/>
      <c r="L76" s="452"/>
      <c r="M76" s="994"/>
      <c r="N76" s="994"/>
      <c r="O76" s="994"/>
      <c r="P76" s="994"/>
      <c r="Q76" s="994"/>
    </row>
    <row r="77" spans="1:18">
      <c r="J77" s="452"/>
      <c r="K77" s="452"/>
      <c r="L77" s="452"/>
      <c r="M77" s="994"/>
      <c r="N77" s="994"/>
      <c r="O77" s="994"/>
      <c r="P77" s="994"/>
      <c r="Q77" s="994"/>
    </row>
    <row r="78" spans="1:18">
      <c r="J78" s="452"/>
      <c r="K78" s="452"/>
      <c r="L78" s="452"/>
      <c r="M78" s="994"/>
      <c r="N78" s="994"/>
      <c r="O78" s="994"/>
      <c r="P78" s="994"/>
      <c r="Q78" s="994"/>
    </row>
    <row r="79" spans="1:18">
      <c r="J79" s="452"/>
      <c r="K79" s="452"/>
      <c r="L79" s="452"/>
      <c r="M79" s="994"/>
      <c r="N79" s="994"/>
      <c r="O79" s="994"/>
      <c r="P79" s="994"/>
      <c r="Q79" s="994"/>
    </row>
    <row r="80" spans="1:18">
      <c r="J80" s="452"/>
      <c r="K80" s="452"/>
      <c r="L80" s="452"/>
      <c r="M80" s="994"/>
      <c r="N80" s="994"/>
      <c r="O80" s="994"/>
      <c r="P80" s="994"/>
      <c r="Q80" s="994"/>
    </row>
    <row r="81" spans="10:17">
      <c r="J81" s="452"/>
      <c r="K81" s="452"/>
      <c r="L81" s="452"/>
      <c r="M81" s="994"/>
      <c r="N81" s="994"/>
      <c r="O81" s="994"/>
      <c r="P81" s="994"/>
      <c r="Q81" s="994"/>
    </row>
  </sheetData>
  <mergeCells count="1">
    <mergeCell ref="M73:Q8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2CC3-D87A-4157-B7F1-A81CEAFBBB4C}">
  <sheetPr>
    <tabColor rgb="FF00B050"/>
  </sheetPr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9AE5-C7CC-4B92-AB50-7DA16FFD7E85}">
  <dimension ref="A2:Q53"/>
  <sheetViews>
    <sheetView topLeftCell="H31" workbookViewId="0">
      <selection activeCell="M55" sqref="M55"/>
    </sheetView>
  </sheetViews>
  <sheetFormatPr defaultRowHeight="15"/>
  <cols>
    <col min="1" max="1" width="8.5703125" customWidth="1"/>
    <col min="2" max="2" width="58.5703125" customWidth="1"/>
    <col min="3" max="3" width="11.5703125" bestFit="1" customWidth="1"/>
    <col min="4" max="4" width="15.42578125" bestFit="1" customWidth="1"/>
    <col min="5" max="5" width="11.5703125" bestFit="1" customWidth="1"/>
    <col min="6" max="6" width="9" bestFit="1" customWidth="1"/>
    <col min="7" max="7" width="10.140625" bestFit="1" customWidth="1"/>
    <col min="8" max="8" width="66" customWidth="1"/>
    <col min="9" max="9" width="8.85546875" bestFit="1" customWidth="1"/>
    <col min="10" max="10" width="27.42578125" customWidth="1"/>
    <col min="11" max="11" width="12.7109375" bestFit="1" customWidth="1"/>
    <col min="12" max="12" width="7.28515625" bestFit="1" customWidth="1"/>
    <col min="13" max="13" width="11.42578125" style="580" bestFit="1" customWidth="1"/>
    <col min="14" max="14" width="12" style="580" bestFit="1" customWidth="1"/>
    <col min="15" max="15" width="11.85546875" style="580" bestFit="1" customWidth="1"/>
    <col min="16" max="17" width="13.140625" style="580" bestFit="1" customWidth="1"/>
  </cols>
  <sheetData>
    <row r="2" spans="1:17" ht="74.25">
      <c r="A2" s="836" t="s">
        <v>1219</v>
      </c>
      <c r="B2" s="674" t="s">
        <v>1220</v>
      </c>
      <c r="C2" s="674" t="s">
        <v>994</v>
      </c>
      <c r="D2" s="833" t="s">
        <v>1221</v>
      </c>
      <c r="E2" s="674" t="s">
        <v>1222</v>
      </c>
      <c r="F2" s="675" t="s">
        <v>1223</v>
      </c>
      <c r="G2" s="675" t="s">
        <v>1224</v>
      </c>
      <c r="H2" s="834" t="s">
        <v>1225</v>
      </c>
      <c r="I2" s="675" t="s">
        <v>995</v>
      </c>
      <c r="J2" s="835" t="s">
        <v>1226</v>
      </c>
      <c r="K2" s="676" t="s">
        <v>996</v>
      </c>
      <c r="L2" s="677" t="s">
        <v>997</v>
      </c>
      <c r="M2" s="678" t="s">
        <v>998</v>
      </c>
      <c r="N2" s="678" t="s">
        <v>999</v>
      </c>
      <c r="O2" s="678" t="s">
        <v>1000</v>
      </c>
      <c r="P2" s="678" t="s">
        <v>913</v>
      </c>
      <c r="Q2" s="678" t="s">
        <v>1001</v>
      </c>
    </row>
    <row r="3" spans="1:17">
      <c r="A3" s="711" t="s">
        <v>872</v>
      </c>
      <c r="B3" s="307" t="s">
        <v>1231</v>
      </c>
      <c r="C3" s="297">
        <v>46252</v>
      </c>
      <c r="D3" s="322" t="s">
        <v>871</v>
      </c>
      <c r="E3" s="748">
        <v>46256</v>
      </c>
      <c r="F3" s="298" t="s">
        <v>926</v>
      </c>
      <c r="G3" s="754" t="s">
        <v>925</v>
      </c>
      <c r="H3" s="299" t="s">
        <v>1232</v>
      </c>
      <c r="I3" s="643" t="s">
        <v>62</v>
      </c>
      <c r="J3" s="322" t="s">
        <v>63</v>
      </c>
      <c r="K3" s="304" t="s">
        <v>18</v>
      </c>
      <c r="L3" s="648">
        <v>20</v>
      </c>
      <c r="M3" s="613">
        <v>78703.7</v>
      </c>
      <c r="N3" s="662">
        <v>1574074</v>
      </c>
      <c r="O3" s="578">
        <v>125925.92</v>
      </c>
      <c r="P3" s="661">
        <v>1699999.92</v>
      </c>
      <c r="Q3" s="579"/>
    </row>
    <row r="4" spans="1:17">
      <c r="A4" s="711" t="s">
        <v>872</v>
      </c>
      <c r="B4" s="307" t="s">
        <v>1231</v>
      </c>
      <c r="C4" s="297">
        <v>46252</v>
      </c>
      <c r="D4" s="322" t="s">
        <v>871</v>
      </c>
      <c r="E4" s="748">
        <v>46256</v>
      </c>
      <c r="F4" s="298" t="s">
        <v>926</v>
      </c>
      <c r="G4" s="754" t="s">
        <v>925</v>
      </c>
      <c r="H4" s="299" t="s">
        <v>1232</v>
      </c>
      <c r="I4" s="643" t="s">
        <v>62</v>
      </c>
      <c r="J4" s="322" t="s">
        <v>63</v>
      </c>
      <c r="K4" s="304" t="s">
        <v>18</v>
      </c>
      <c r="L4" s="648">
        <v>20</v>
      </c>
      <c r="M4" s="613">
        <v>111111.11</v>
      </c>
      <c r="N4" s="662">
        <v>2222222.2000000002</v>
      </c>
      <c r="O4" s="578">
        <v>177777.77600000001</v>
      </c>
      <c r="P4" s="661">
        <v>2399999.9760000003</v>
      </c>
      <c r="Q4" s="579"/>
    </row>
    <row r="5" spans="1:17">
      <c r="A5" s="711" t="s">
        <v>872</v>
      </c>
      <c r="B5" s="307" t="s">
        <v>1231</v>
      </c>
      <c r="C5" s="297">
        <v>46252</v>
      </c>
      <c r="D5" s="322" t="s">
        <v>871</v>
      </c>
      <c r="E5" s="748">
        <v>46256</v>
      </c>
      <c r="F5" s="298" t="s">
        <v>926</v>
      </c>
      <c r="G5" s="754" t="s">
        <v>925</v>
      </c>
      <c r="H5" s="299" t="s">
        <v>1232</v>
      </c>
      <c r="I5" s="643" t="s">
        <v>80</v>
      </c>
      <c r="J5" s="322" t="s">
        <v>81</v>
      </c>
      <c r="K5" s="298" t="s">
        <v>18</v>
      </c>
      <c r="L5" s="648">
        <v>8</v>
      </c>
      <c r="M5" s="613">
        <v>824074.07</v>
      </c>
      <c r="N5" s="662">
        <v>6592592.5599999996</v>
      </c>
      <c r="O5" s="578">
        <v>527407.40480000002</v>
      </c>
      <c r="P5" s="661">
        <v>7119999.9647999993</v>
      </c>
      <c r="Q5" s="579"/>
    </row>
    <row r="6" spans="1:17">
      <c r="A6" s="711" t="s">
        <v>872</v>
      </c>
      <c r="B6" s="307" t="s">
        <v>1231</v>
      </c>
      <c r="C6" s="297">
        <v>46252</v>
      </c>
      <c r="D6" s="322" t="s">
        <v>871</v>
      </c>
      <c r="E6" s="748">
        <v>46256</v>
      </c>
      <c r="F6" s="298" t="s">
        <v>926</v>
      </c>
      <c r="G6" s="754" t="s">
        <v>925</v>
      </c>
      <c r="H6" s="299" t="s">
        <v>1232</v>
      </c>
      <c r="I6" s="643" t="s">
        <v>21</v>
      </c>
      <c r="J6" s="322" t="s">
        <v>22</v>
      </c>
      <c r="K6" s="304" t="s">
        <v>18</v>
      </c>
      <c r="L6" s="648">
        <v>6</v>
      </c>
      <c r="M6" s="613">
        <v>937962.96</v>
      </c>
      <c r="N6" s="662">
        <v>5627777.7599999998</v>
      </c>
      <c r="O6" s="578">
        <v>450222.22080000001</v>
      </c>
      <c r="P6" s="661">
        <v>6077999.9808</v>
      </c>
      <c r="Q6" s="579"/>
    </row>
    <row r="7" spans="1:17">
      <c r="A7" s="711" t="s">
        <v>872</v>
      </c>
      <c r="B7" s="307" t="s">
        <v>1231</v>
      </c>
      <c r="C7" s="297">
        <v>46252</v>
      </c>
      <c r="D7" s="322" t="s">
        <v>871</v>
      </c>
      <c r="E7" s="748">
        <v>46256</v>
      </c>
      <c r="F7" s="298" t="s">
        <v>926</v>
      </c>
      <c r="G7" s="754" t="s">
        <v>925</v>
      </c>
      <c r="H7" s="299" t="s">
        <v>1232</v>
      </c>
      <c r="I7" s="643" t="s">
        <v>68</v>
      </c>
      <c r="J7" s="322" t="s">
        <v>69</v>
      </c>
      <c r="K7" s="304" t="s">
        <v>18</v>
      </c>
      <c r="L7" s="648">
        <v>12</v>
      </c>
      <c r="M7" s="613">
        <v>129629.63</v>
      </c>
      <c r="N7" s="662">
        <v>1555555.56</v>
      </c>
      <c r="O7" s="578">
        <v>124444.44480000001</v>
      </c>
      <c r="P7" s="661">
        <v>1680000.0048</v>
      </c>
      <c r="Q7" s="579"/>
    </row>
    <row r="8" spans="1:17">
      <c r="A8" s="711" t="s">
        <v>872</v>
      </c>
      <c r="B8" s="307" t="s">
        <v>1231</v>
      </c>
      <c r="C8" s="297">
        <v>46252</v>
      </c>
      <c r="D8" s="322" t="s">
        <v>871</v>
      </c>
      <c r="E8" s="748">
        <v>46256</v>
      </c>
      <c r="F8" s="298" t="s">
        <v>926</v>
      </c>
      <c r="G8" s="754" t="s">
        <v>925</v>
      </c>
      <c r="H8" s="299" t="s">
        <v>1232</v>
      </c>
      <c r="I8" s="643" t="s">
        <v>70</v>
      </c>
      <c r="J8" s="322" t="s">
        <v>71</v>
      </c>
      <c r="K8" s="304" t="s">
        <v>18</v>
      </c>
      <c r="L8" s="648">
        <v>12</v>
      </c>
      <c r="M8" s="613">
        <v>138888.89000000001</v>
      </c>
      <c r="N8" s="662">
        <v>1666666.6800000002</v>
      </c>
      <c r="O8" s="578">
        <v>133333.33440000002</v>
      </c>
      <c r="P8" s="661">
        <v>1800000.0144000002</v>
      </c>
      <c r="Q8" s="579"/>
    </row>
    <row r="9" spans="1:17">
      <c r="A9" s="711" t="s">
        <v>872</v>
      </c>
      <c r="B9" s="307" t="s">
        <v>1231</v>
      </c>
      <c r="C9" s="297">
        <v>46252</v>
      </c>
      <c r="D9" s="322" t="s">
        <v>871</v>
      </c>
      <c r="E9" s="748">
        <v>46256</v>
      </c>
      <c r="F9" s="298" t="s">
        <v>926</v>
      </c>
      <c r="G9" s="754" t="s">
        <v>925</v>
      </c>
      <c r="H9" s="299" t="s">
        <v>1232</v>
      </c>
      <c r="I9" s="643" t="s">
        <v>72</v>
      </c>
      <c r="J9" s="322" t="s">
        <v>73</v>
      </c>
      <c r="K9" s="304" t="s">
        <v>18</v>
      </c>
      <c r="L9" s="648">
        <v>12</v>
      </c>
      <c r="M9" s="613">
        <v>148148.15</v>
      </c>
      <c r="N9" s="662">
        <v>1777777.7999999998</v>
      </c>
      <c r="O9" s="578">
        <v>142222.22399999999</v>
      </c>
      <c r="P9" s="661">
        <v>1920000.0239999997</v>
      </c>
      <c r="Q9" s="579"/>
    </row>
    <row r="10" spans="1:17">
      <c r="A10" s="711" t="s">
        <v>872</v>
      </c>
      <c r="B10" s="307" t="s">
        <v>1231</v>
      </c>
      <c r="C10" s="297">
        <v>46252</v>
      </c>
      <c r="D10" s="322" t="s">
        <v>871</v>
      </c>
      <c r="E10" s="748">
        <v>46256</v>
      </c>
      <c r="F10" s="298" t="s">
        <v>926</v>
      </c>
      <c r="G10" s="754" t="s">
        <v>925</v>
      </c>
      <c r="H10" s="299" t="s">
        <v>1232</v>
      </c>
      <c r="I10" s="643" t="s">
        <v>180</v>
      </c>
      <c r="J10" s="322" t="s">
        <v>181</v>
      </c>
      <c r="K10" s="304" t="s">
        <v>18</v>
      </c>
      <c r="L10" s="648">
        <v>10</v>
      </c>
      <c r="M10" s="613">
        <v>234259.26</v>
      </c>
      <c r="N10" s="662">
        <v>2342592.6</v>
      </c>
      <c r="O10" s="578">
        <v>187407.40800000002</v>
      </c>
      <c r="P10" s="661">
        <v>2530000.0079999999</v>
      </c>
      <c r="Q10" s="579"/>
    </row>
    <row r="11" spans="1:17">
      <c r="A11" s="711" t="s">
        <v>872</v>
      </c>
      <c r="B11" s="307" t="s">
        <v>1231</v>
      </c>
      <c r="C11" s="297">
        <v>46252</v>
      </c>
      <c r="D11" s="322" t="s">
        <v>871</v>
      </c>
      <c r="E11" s="748">
        <v>46256</v>
      </c>
      <c r="F11" s="298" t="s">
        <v>926</v>
      </c>
      <c r="G11" s="754" t="s">
        <v>925</v>
      </c>
      <c r="H11" s="299" t="s">
        <v>1232</v>
      </c>
      <c r="I11" s="643" t="s">
        <v>26</v>
      </c>
      <c r="J11" s="322" t="s">
        <v>27</v>
      </c>
      <c r="K11" s="304" t="s">
        <v>18</v>
      </c>
      <c r="L11" s="648">
        <v>10</v>
      </c>
      <c r="M11" s="613">
        <v>256481.48</v>
      </c>
      <c r="N11" s="662">
        <v>2564814.8000000003</v>
      </c>
      <c r="O11" s="578">
        <v>205185.18400000004</v>
      </c>
      <c r="P11" s="661">
        <v>2769999.9840000002</v>
      </c>
      <c r="Q11" s="579"/>
    </row>
    <row r="12" spans="1:17">
      <c r="A12" s="711" t="s">
        <v>872</v>
      </c>
      <c r="B12" s="307" t="s">
        <v>1231</v>
      </c>
      <c r="C12" s="297">
        <v>46252</v>
      </c>
      <c r="D12" s="322" t="s">
        <v>871</v>
      </c>
      <c r="E12" s="748">
        <v>46256</v>
      </c>
      <c r="F12" s="298" t="s">
        <v>926</v>
      </c>
      <c r="G12" s="754" t="s">
        <v>925</v>
      </c>
      <c r="H12" s="299" t="s">
        <v>1232</v>
      </c>
      <c r="I12" s="643" t="s">
        <v>28</v>
      </c>
      <c r="J12" s="322" t="s">
        <v>29</v>
      </c>
      <c r="K12" s="304" t="s">
        <v>18</v>
      </c>
      <c r="L12" s="648">
        <v>10</v>
      </c>
      <c r="M12" s="613">
        <v>281481.48</v>
      </c>
      <c r="N12" s="662">
        <v>2814814.8</v>
      </c>
      <c r="O12" s="578">
        <v>225185.18399999998</v>
      </c>
      <c r="P12" s="661">
        <v>3039999.9839999997</v>
      </c>
      <c r="Q12" s="579"/>
    </row>
    <row r="13" spans="1:17">
      <c r="A13" s="711" t="s">
        <v>872</v>
      </c>
      <c r="B13" s="307" t="s">
        <v>1231</v>
      </c>
      <c r="C13" s="297">
        <v>46252</v>
      </c>
      <c r="D13" s="322" t="s">
        <v>871</v>
      </c>
      <c r="E13" s="748">
        <v>46256</v>
      </c>
      <c r="F13" s="298" t="s">
        <v>926</v>
      </c>
      <c r="G13" s="754" t="s">
        <v>925</v>
      </c>
      <c r="H13" s="299" t="s">
        <v>1232</v>
      </c>
      <c r="I13" s="643" t="s">
        <v>243</v>
      </c>
      <c r="J13" s="322" t="s">
        <v>249</v>
      </c>
      <c r="K13" s="304" t="s">
        <v>18</v>
      </c>
      <c r="L13" s="648">
        <v>10</v>
      </c>
      <c r="M13" s="613">
        <v>298148.15000000002</v>
      </c>
      <c r="N13" s="662">
        <v>2981481.5</v>
      </c>
      <c r="O13" s="578">
        <v>238518.52000000002</v>
      </c>
      <c r="P13" s="661">
        <v>3220000.02</v>
      </c>
      <c r="Q13" s="579"/>
    </row>
    <row r="14" spans="1:17">
      <c r="A14" s="711" t="s">
        <v>872</v>
      </c>
      <c r="B14" s="307" t="s">
        <v>1231</v>
      </c>
      <c r="C14" s="297">
        <v>46252</v>
      </c>
      <c r="D14" s="322" t="s">
        <v>871</v>
      </c>
      <c r="E14" s="748">
        <v>46256</v>
      </c>
      <c r="F14" s="298" t="s">
        <v>926</v>
      </c>
      <c r="G14" s="754" t="s">
        <v>925</v>
      </c>
      <c r="H14" s="299" t="s">
        <v>1232</v>
      </c>
      <c r="I14" s="643" t="s">
        <v>42</v>
      </c>
      <c r="J14" s="322" t="s">
        <v>43</v>
      </c>
      <c r="K14" s="304" t="s">
        <v>18</v>
      </c>
      <c r="L14" s="648">
        <v>4</v>
      </c>
      <c r="M14" s="613">
        <v>569444.43999999994</v>
      </c>
      <c r="N14" s="662">
        <v>2277777.7599999998</v>
      </c>
      <c r="O14" s="578">
        <v>182222.22079999998</v>
      </c>
      <c r="P14" s="661">
        <v>2459999.9807999996</v>
      </c>
      <c r="Q14" s="579"/>
    </row>
    <row r="15" spans="1:17">
      <c r="A15" s="711" t="s">
        <v>872</v>
      </c>
      <c r="B15" s="307" t="s">
        <v>1231</v>
      </c>
      <c r="C15" s="297">
        <v>46252</v>
      </c>
      <c r="D15" s="322" t="s">
        <v>871</v>
      </c>
      <c r="E15" s="748">
        <v>46256</v>
      </c>
      <c r="F15" s="298" t="s">
        <v>926</v>
      </c>
      <c r="G15" s="754" t="s">
        <v>925</v>
      </c>
      <c r="H15" s="299" t="s">
        <v>1232</v>
      </c>
      <c r="I15" s="643" t="s">
        <v>44</v>
      </c>
      <c r="J15" s="322" t="s">
        <v>45</v>
      </c>
      <c r="K15" s="304" t="s">
        <v>18</v>
      </c>
      <c r="L15" s="648">
        <v>4</v>
      </c>
      <c r="M15" s="613">
        <v>564814.81000000006</v>
      </c>
      <c r="N15" s="662">
        <v>2259259.2400000002</v>
      </c>
      <c r="O15" s="578">
        <v>180740.73920000001</v>
      </c>
      <c r="P15" s="661">
        <v>2439999.9792000004</v>
      </c>
      <c r="Q15" s="579"/>
    </row>
    <row r="16" spans="1:17">
      <c r="A16" s="711" t="s">
        <v>872</v>
      </c>
      <c r="B16" s="307" t="s">
        <v>1231</v>
      </c>
      <c r="C16" s="297">
        <v>46252</v>
      </c>
      <c r="D16" s="322" t="s">
        <v>871</v>
      </c>
      <c r="E16" s="748">
        <v>46256</v>
      </c>
      <c r="F16" s="298" t="s">
        <v>926</v>
      </c>
      <c r="G16" s="754" t="s">
        <v>925</v>
      </c>
      <c r="H16" s="299" t="s">
        <v>1232</v>
      </c>
      <c r="I16" s="643" t="s">
        <v>148</v>
      </c>
      <c r="J16" s="322" t="s">
        <v>149</v>
      </c>
      <c r="K16" s="304" t="s">
        <v>18</v>
      </c>
      <c r="L16" s="648">
        <v>4</v>
      </c>
      <c r="M16" s="613">
        <v>358333.33</v>
      </c>
      <c r="N16" s="662">
        <v>1433333.32</v>
      </c>
      <c r="O16" s="578">
        <v>114666.66560000001</v>
      </c>
      <c r="P16" s="661">
        <v>1547999.9856</v>
      </c>
      <c r="Q16" s="579"/>
    </row>
    <row r="17" spans="1:17">
      <c r="A17" s="711" t="s">
        <v>872</v>
      </c>
      <c r="B17" s="307" t="s">
        <v>1231</v>
      </c>
      <c r="C17" s="297">
        <v>46252</v>
      </c>
      <c r="D17" s="322" t="s">
        <v>871</v>
      </c>
      <c r="E17" s="748">
        <v>46256</v>
      </c>
      <c r="F17" s="298" t="s">
        <v>926</v>
      </c>
      <c r="G17" s="754" t="s">
        <v>925</v>
      </c>
      <c r="H17" s="299" t="s">
        <v>1232</v>
      </c>
      <c r="I17" s="643" t="s">
        <v>192</v>
      </c>
      <c r="J17" s="322" t="s">
        <v>193</v>
      </c>
      <c r="K17" s="304" t="s">
        <v>18</v>
      </c>
      <c r="L17" s="648">
        <v>4</v>
      </c>
      <c r="M17" s="613">
        <v>398148.15</v>
      </c>
      <c r="N17" s="662">
        <v>1592592.6</v>
      </c>
      <c r="O17" s="578">
        <v>127407.40800000001</v>
      </c>
      <c r="P17" s="661">
        <v>1720000.0080000001</v>
      </c>
      <c r="Q17" s="579"/>
    </row>
    <row r="18" spans="1:17">
      <c r="A18" s="711" t="s">
        <v>872</v>
      </c>
      <c r="B18" s="307" t="s">
        <v>1231</v>
      </c>
      <c r="C18" s="297">
        <v>46252</v>
      </c>
      <c r="D18" s="322" t="s">
        <v>871</v>
      </c>
      <c r="E18" s="748">
        <v>46256</v>
      </c>
      <c r="F18" s="298" t="s">
        <v>926</v>
      </c>
      <c r="G18" s="754" t="s">
        <v>925</v>
      </c>
      <c r="H18" s="299" t="s">
        <v>1232</v>
      </c>
      <c r="I18" s="643" t="s">
        <v>46</v>
      </c>
      <c r="J18" s="322" t="s">
        <v>47</v>
      </c>
      <c r="K18" s="304" t="s">
        <v>18</v>
      </c>
      <c r="L18" s="648">
        <v>6</v>
      </c>
      <c r="M18" s="613">
        <v>240740.74</v>
      </c>
      <c r="N18" s="662">
        <v>1444444.44</v>
      </c>
      <c r="O18" s="578">
        <v>115555.5552</v>
      </c>
      <c r="P18" s="661">
        <v>1559999.9952</v>
      </c>
      <c r="Q18" s="579"/>
    </row>
    <row r="19" spans="1:17">
      <c r="A19" s="711" t="s">
        <v>872</v>
      </c>
      <c r="B19" s="307" t="s">
        <v>1231</v>
      </c>
      <c r="C19" s="297">
        <v>46252</v>
      </c>
      <c r="D19" s="322" t="s">
        <v>871</v>
      </c>
      <c r="E19" s="748">
        <v>46256</v>
      </c>
      <c r="F19" s="298" t="s">
        <v>926</v>
      </c>
      <c r="G19" s="754" t="s">
        <v>925</v>
      </c>
      <c r="H19" s="299" t="s">
        <v>1232</v>
      </c>
      <c r="I19" s="643" t="s">
        <v>157</v>
      </c>
      <c r="J19" s="322" t="s">
        <v>158</v>
      </c>
      <c r="K19" s="304" t="s">
        <v>18</v>
      </c>
      <c r="L19" s="648">
        <v>4</v>
      </c>
      <c r="M19" s="613">
        <v>342592.59</v>
      </c>
      <c r="N19" s="662">
        <v>1370370.36</v>
      </c>
      <c r="O19" s="578">
        <v>109629.62880000001</v>
      </c>
      <c r="P19" s="661">
        <v>1479999.9888000002</v>
      </c>
      <c r="Q19" s="579"/>
    </row>
    <row r="20" spans="1:17">
      <c r="A20" s="711" t="s">
        <v>872</v>
      </c>
      <c r="B20" s="307" t="s">
        <v>1231</v>
      </c>
      <c r="C20" s="297">
        <v>46252</v>
      </c>
      <c r="D20" s="322" t="s">
        <v>871</v>
      </c>
      <c r="E20" s="748"/>
      <c r="F20" s="298"/>
      <c r="G20" s="754"/>
      <c r="H20" s="299" t="s">
        <v>1232</v>
      </c>
      <c r="I20" s="643" t="s">
        <v>647</v>
      </c>
      <c r="J20" s="322" t="s">
        <v>648</v>
      </c>
      <c r="K20" s="304" t="s">
        <v>18</v>
      </c>
      <c r="L20" s="648">
        <v>4</v>
      </c>
      <c r="M20" s="613">
        <v>601851.85</v>
      </c>
      <c r="N20" s="662">
        <v>2407407.4</v>
      </c>
      <c r="O20" s="578">
        <v>192592.592</v>
      </c>
      <c r="P20" s="661">
        <v>2599999.9920000001</v>
      </c>
      <c r="Q20" s="579"/>
    </row>
    <row r="21" spans="1:17">
      <c r="A21" s="711" t="s">
        <v>872</v>
      </c>
      <c r="B21" s="307" t="s">
        <v>1231</v>
      </c>
      <c r="C21" s="297">
        <v>46252</v>
      </c>
      <c r="D21" s="322" t="s">
        <v>871</v>
      </c>
      <c r="E21" s="748"/>
      <c r="F21" s="298"/>
      <c r="G21" s="754"/>
      <c r="H21" s="299" t="s">
        <v>1232</v>
      </c>
      <c r="I21" s="643" t="s">
        <v>873</v>
      </c>
      <c r="J21" s="322" t="s">
        <v>874</v>
      </c>
      <c r="K21" s="304" t="s">
        <v>18</v>
      </c>
      <c r="L21" s="648">
        <v>25</v>
      </c>
      <c r="M21" s="613">
        <v>388888.89</v>
      </c>
      <c r="N21" s="662">
        <v>9722222.25</v>
      </c>
      <c r="O21" s="578">
        <v>777777.78</v>
      </c>
      <c r="P21" s="661">
        <v>10500000.029999999</v>
      </c>
      <c r="Q21" s="579"/>
    </row>
    <row r="22" spans="1:17">
      <c r="A22" s="711" t="s">
        <v>872</v>
      </c>
      <c r="B22" s="307" t="s">
        <v>1231</v>
      </c>
      <c r="C22" s="297">
        <v>46252</v>
      </c>
      <c r="D22" s="322" t="s">
        <v>871</v>
      </c>
      <c r="E22" s="748"/>
      <c r="F22" s="298"/>
      <c r="G22" s="754"/>
      <c r="H22" s="299" t="s">
        <v>1232</v>
      </c>
      <c r="I22" s="643" t="s">
        <v>796</v>
      </c>
      <c r="J22" s="322" t="s">
        <v>797</v>
      </c>
      <c r="K22" s="304" t="s">
        <v>18</v>
      </c>
      <c r="L22" s="648">
        <v>25</v>
      </c>
      <c r="M22" s="613">
        <v>292592.59000000003</v>
      </c>
      <c r="N22" s="662">
        <v>7314814.7500000009</v>
      </c>
      <c r="O22" s="578">
        <v>585185.18000000005</v>
      </c>
      <c r="P22" s="661">
        <v>7899999.9300000006</v>
      </c>
      <c r="Q22" s="579"/>
    </row>
    <row r="23" spans="1:17">
      <c r="A23" s="711" t="s">
        <v>872</v>
      </c>
      <c r="B23" s="307" t="s">
        <v>1231</v>
      </c>
      <c r="C23" s="297">
        <v>46252</v>
      </c>
      <c r="D23" s="322" t="s">
        <v>871</v>
      </c>
      <c r="E23" s="748"/>
      <c r="F23" s="298"/>
      <c r="G23" s="754"/>
      <c r="H23" s="299" t="s">
        <v>1232</v>
      </c>
      <c r="I23" s="643" t="s">
        <v>798</v>
      </c>
      <c r="J23" s="322" t="s">
        <v>799</v>
      </c>
      <c r="K23" s="304" t="s">
        <v>18</v>
      </c>
      <c r="L23" s="648">
        <v>25</v>
      </c>
      <c r="M23" s="613">
        <v>231481.48</v>
      </c>
      <c r="N23" s="662">
        <v>5787037</v>
      </c>
      <c r="O23" s="578">
        <v>462962.96</v>
      </c>
      <c r="P23" s="661">
        <v>6249999.96</v>
      </c>
      <c r="Q23" s="579"/>
    </row>
    <row r="24" spans="1:17">
      <c r="A24" s="711" t="s">
        <v>872</v>
      </c>
      <c r="B24" s="307" t="s">
        <v>1231</v>
      </c>
      <c r="C24" s="297">
        <v>46258</v>
      </c>
      <c r="D24" s="322"/>
      <c r="E24" s="748"/>
      <c r="F24" s="298"/>
      <c r="G24" s="754"/>
      <c r="H24" s="299" t="s">
        <v>1230</v>
      </c>
      <c r="I24" s="643"/>
      <c r="J24" s="322"/>
      <c r="K24" s="298"/>
      <c r="L24" s="635"/>
      <c r="M24" s="613"/>
      <c r="N24" s="662">
        <v>0</v>
      </c>
      <c r="O24" s="578">
        <v>0</v>
      </c>
      <c r="P24" s="578">
        <v>0</v>
      </c>
      <c r="Q24" s="579">
        <v>45466002</v>
      </c>
    </row>
    <row r="25" spans="1:17">
      <c r="A25" s="711" t="s">
        <v>872</v>
      </c>
      <c r="B25" s="307" t="s">
        <v>1231</v>
      </c>
      <c r="C25" s="297">
        <v>46261</v>
      </c>
      <c r="D25" s="322" t="s">
        <v>978</v>
      </c>
      <c r="E25" s="748"/>
      <c r="F25" s="298"/>
      <c r="G25" s="754"/>
      <c r="H25" s="299" t="s">
        <v>1232</v>
      </c>
      <c r="I25" s="643" t="s">
        <v>639</v>
      </c>
      <c r="J25" s="322" t="s">
        <v>640</v>
      </c>
      <c r="K25" s="643" t="s">
        <v>18</v>
      </c>
      <c r="L25" s="648">
        <v>15</v>
      </c>
      <c r="M25" s="613">
        <v>542592.59</v>
      </c>
      <c r="N25" s="613">
        <v>8138888.8499999996</v>
      </c>
      <c r="O25" s="613">
        <v>651111.10800000001</v>
      </c>
      <c r="P25" s="661">
        <v>8789999.9580000006</v>
      </c>
      <c r="Q25" s="579"/>
    </row>
    <row r="26" spans="1:17">
      <c r="A26" s="711" t="s">
        <v>872</v>
      </c>
      <c r="B26" s="307" t="s">
        <v>1231</v>
      </c>
      <c r="C26" s="297">
        <v>46261</v>
      </c>
      <c r="D26" s="322" t="s">
        <v>978</v>
      </c>
      <c r="E26" s="748"/>
      <c r="F26" s="298"/>
      <c r="G26" s="754"/>
      <c r="H26" s="299" t="s">
        <v>1232</v>
      </c>
      <c r="I26" s="643" t="s">
        <v>641</v>
      </c>
      <c r="J26" s="322" t="s">
        <v>657</v>
      </c>
      <c r="K26" s="643" t="s">
        <v>18</v>
      </c>
      <c r="L26" s="648">
        <v>15</v>
      </c>
      <c r="M26" s="613">
        <v>644444.43999999994</v>
      </c>
      <c r="N26" s="613">
        <v>9666666.5999999996</v>
      </c>
      <c r="O26" s="613">
        <v>773333.32799999998</v>
      </c>
      <c r="P26" s="661">
        <v>10439999.927999999</v>
      </c>
      <c r="Q26" s="579"/>
    </row>
    <row r="27" spans="1:17">
      <c r="A27" s="711" t="s">
        <v>872</v>
      </c>
      <c r="B27" s="307" t="s">
        <v>1231</v>
      </c>
      <c r="C27" s="297">
        <v>46261</v>
      </c>
      <c r="D27" s="322" t="s">
        <v>978</v>
      </c>
      <c r="E27" s="748"/>
      <c r="F27" s="298"/>
      <c r="G27" s="754"/>
      <c r="H27" s="299" t="s">
        <v>1232</v>
      </c>
      <c r="I27" s="643" t="s">
        <v>643</v>
      </c>
      <c r="J27" s="322" t="s">
        <v>644</v>
      </c>
      <c r="K27" s="643" t="s">
        <v>18</v>
      </c>
      <c r="L27" s="648">
        <v>15</v>
      </c>
      <c r="M27" s="613">
        <v>527777.78</v>
      </c>
      <c r="N27" s="613">
        <v>7916666.7000000002</v>
      </c>
      <c r="O27" s="613">
        <v>633333.33600000001</v>
      </c>
      <c r="P27" s="661">
        <v>8550000.0360000003</v>
      </c>
      <c r="Q27" s="579"/>
    </row>
    <row r="28" spans="1:17">
      <c r="A28" s="711" t="s">
        <v>872</v>
      </c>
      <c r="B28" s="307" t="s">
        <v>1231</v>
      </c>
      <c r="C28" s="297">
        <v>46261</v>
      </c>
      <c r="D28" s="322" t="s">
        <v>978</v>
      </c>
      <c r="E28" s="748"/>
      <c r="F28" s="298"/>
      <c r="G28" s="754"/>
      <c r="H28" s="299" t="s">
        <v>1232</v>
      </c>
      <c r="I28" s="643" t="s">
        <v>653</v>
      </c>
      <c r="J28" s="322" t="s">
        <v>654</v>
      </c>
      <c r="K28" s="643" t="s">
        <v>18</v>
      </c>
      <c r="L28" s="648">
        <v>15</v>
      </c>
      <c r="M28" s="613">
        <v>481481.48</v>
      </c>
      <c r="N28" s="613">
        <v>7222222.1999999993</v>
      </c>
      <c r="O28" s="613">
        <v>577777.77599999995</v>
      </c>
      <c r="P28" s="661">
        <v>7799999.9759999989</v>
      </c>
      <c r="Q28" s="579"/>
    </row>
    <row r="29" spans="1:17">
      <c r="A29" s="711" t="s">
        <v>872</v>
      </c>
      <c r="B29" s="307" t="s">
        <v>1231</v>
      </c>
      <c r="C29" s="297">
        <v>46261</v>
      </c>
      <c r="D29" s="322" t="s">
        <v>978</v>
      </c>
      <c r="E29" s="748"/>
      <c r="F29" s="298"/>
      <c r="G29" s="754"/>
      <c r="H29" s="299" t="s">
        <v>1232</v>
      </c>
      <c r="I29" s="643" t="s">
        <v>655</v>
      </c>
      <c r="J29" s="322" t="s">
        <v>656</v>
      </c>
      <c r="K29" s="643" t="s">
        <v>18</v>
      </c>
      <c r="L29" s="648">
        <v>15</v>
      </c>
      <c r="M29" s="613">
        <v>574074.06999999995</v>
      </c>
      <c r="N29" s="613">
        <v>8611111.0499999989</v>
      </c>
      <c r="O29" s="613">
        <v>688888.88399999996</v>
      </c>
      <c r="P29" s="661">
        <v>9299999.9339999985</v>
      </c>
      <c r="Q29" s="579"/>
    </row>
    <row r="30" spans="1:17" ht="29.25">
      <c r="A30" s="711" t="s">
        <v>872</v>
      </c>
      <c r="B30" s="307" t="s">
        <v>1231</v>
      </c>
      <c r="C30" s="297">
        <v>46261</v>
      </c>
      <c r="D30" s="322" t="s">
        <v>978</v>
      </c>
      <c r="E30" s="748">
        <v>46273</v>
      </c>
      <c r="F30" s="298" t="s">
        <v>1089</v>
      </c>
      <c r="G30" s="754" t="s">
        <v>1088</v>
      </c>
      <c r="H30" s="299" t="s">
        <v>1232</v>
      </c>
      <c r="I30" s="643" t="s">
        <v>947</v>
      </c>
      <c r="J30" s="322" t="s">
        <v>948</v>
      </c>
      <c r="K30" s="643" t="s">
        <v>18</v>
      </c>
      <c r="L30" s="648">
        <v>30</v>
      </c>
      <c r="M30" s="613">
        <v>78703.7</v>
      </c>
      <c r="N30" s="613">
        <v>2361111</v>
      </c>
      <c r="O30" s="613">
        <v>188888.88</v>
      </c>
      <c r="P30" s="661">
        <v>2549999.88</v>
      </c>
      <c r="Q30" s="579"/>
    </row>
    <row r="31" spans="1:17" ht="29.25">
      <c r="A31" s="711" t="s">
        <v>872</v>
      </c>
      <c r="B31" s="307" t="s">
        <v>1231</v>
      </c>
      <c r="C31" s="297">
        <v>46261</v>
      </c>
      <c r="D31" s="322" t="s">
        <v>978</v>
      </c>
      <c r="E31" s="748">
        <v>46273</v>
      </c>
      <c r="F31" s="298" t="s">
        <v>1089</v>
      </c>
      <c r="G31" s="754" t="s">
        <v>1088</v>
      </c>
      <c r="H31" s="299" t="s">
        <v>1232</v>
      </c>
      <c r="I31" s="643" t="s">
        <v>959</v>
      </c>
      <c r="J31" s="322" t="s">
        <v>960</v>
      </c>
      <c r="K31" s="643" t="s">
        <v>18</v>
      </c>
      <c r="L31" s="648">
        <v>30</v>
      </c>
      <c r="M31" s="613">
        <v>111111.11</v>
      </c>
      <c r="N31" s="613">
        <v>3333333.3</v>
      </c>
      <c r="O31" s="613">
        <v>266666.66399999999</v>
      </c>
      <c r="P31" s="661">
        <v>3599999.9639999997</v>
      </c>
      <c r="Q31" s="579"/>
    </row>
    <row r="32" spans="1:17">
      <c r="A32" s="711" t="s">
        <v>872</v>
      </c>
      <c r="B32" s="307" t="s">
        <v>1231</v>
      </c>
      <c r="C32" s="297">
        <v>46261</v>
      </c>
      <c r="D32" s="322" t="s">
        <v>978</v>
      </c>
      <c r="E32" s="748">
        <v>46273</v>
      </c>
      <c r="F32" s="298" t="s">
        <v>1089</v>
      </c>
      <c r="G32" s="754" t="s">
        <v>1088</v>
      </c>
      <c r="H32" s="299" t="s">
        <v>1232</v>
      </c>
      <c r="I32" s="643" t="s">
        <v>42</v>
      </c>
      <c r="J32" s="322" t="s">
        <v>43</v>
      </c>
      <c r="K32" s="643" t="s">
        <v>18</v>
      </c>
      <c r="L32" s="648">
        <v>4</v>
      </c>
      <c r="M32" s="613">
        <v>569444.43999999994</v>
      </c>
      <c r="N32" s="613">
        <v>2277777.7599999998</v>
      </c>
      <c r="O32" s="613">
        <v>182222.22079999998</v>
      </c>
      <c r="P32" s="661">
        <v>2459999.9807999996</v>
      </c>
      <c r="Q32" s="579"/>
    </row>
    <row r="33" spans="1:17">
      <c r="A33" s="711" t="s">
        <v>872</v>
      </c>
      <c r="B33" s="307" t="s">
        <v>1231</v>
      </c>
      <c r="C33" s="297">
        <v>46261</v>
      </c>
      <c r="D33" s="322" t="s">
        <v>978</v>
      </c>
      <c r="E33" s="748">
        <v>46273</v>
      </c>
      <c r="F33" s="298" t="s">
        <v>1089</v>
      </c>
      <c r="G33" s="754" t="s">
        <v>1088</v>
      </c>
      <c r="H33" s="299" t="s">
        <v>1232</v>
      </c>
      <c r="I33" s="643" t="s">
        <v>148</v>
      </c>
      <c r="J33" s="322" t="s">
        <v>149</v>
      </c>
      <c r="K33" s="643" t="s">
        <v>18</v>
      </c>
      <c r="L33" s="648">
        <v>4</v>
      </c>
      <c r="M33" s="613">
        <v>358333.33</v>
      </c>
      <c r="N33" s="613">
        <v>1433333.32</v>
      </c>
      <c r="O33" s="613">
        <v>114666.66560000001</v>
      </c>
      <c r="P33" s="661">
        <v>1547999.9856</v>
      </c>
      <c r="Q33" s="579"/>
    </row>
    <row r="34" spans="1:17">
      <c r="A34" s="711" t="s">
        <v>872</v>
      </c>
      <c r="B34" s="307" t="s">
        <v>1231</v>
      </c>
      <c r="C34" s="297">
        <v>46261</v>
      </c>
      <c r="D34" s="322" t="s">
        <v>978</v>
      </c>
      <c r="E34" s="748">
        <v>46273</v>
      </c>
      <c r="F34" s="298" t="s">
        <v>1089</v>
      </c>
      <c r="G34" s="754" t="s">
        <v>1088</v>
      </c>
      <c r="H34" s="299" t="s">
        <v>1232</v>
      </c>
      <c r="I34" s="643" t="s">
        <v>192</v>
      </c>
      <c r="J34" s="322" t="s">
        <v>193</v>
      </c>
      <c r="K34" s="643" t="s">
        <v>18</v>
      </c>
      <c r="L34" s="648">
        <v>4</v>
      </c>
      <c r="M34" s="613">
        <v>398148.15</v>
      </c>
      <c r="N34" s="613">
        <v>1592592.6</v>
      </c>
      <c r="O34" s="613">
        <v>127407.40800000001</v>
      </c>
      <c r="P34" s="661">
        <v>1720000.0080000001</v>
      </c>
      <c r="Q34" s="579"/>
    </row>
    <row r="35" spans="1:17">
      <c r="A35" s="711" t="s">
        <v>872</v>
      </c>
      <c r="B35" s="307" t="s">
        <v>1231</v>
      </c>
      <c r="C35" s="297">
        <v>46261</v>
      </c>
      <c r="D35" s="322" t="s">
        <v>978</v>
      </c>
      <c r="E35" s="748">
        <v>46273</v>
      </c>
      <c r="F35" s="298" t="s">
        <v>1089</v>
      </c>
      <c r="G35" s="754" t="s">
        <v>1088</v>
      </c>
      <c r="H35" s="299" t="s">
        <v>1232</v>
      </c>
      <c r="I35" s="643" t="s">
        <v>46</v>
      </c>
      <c r="J35" s="322" t="s">
        <v>47</v>
      </c>
      <c r="K35" s="643" t="s">
        <v>18</v>
      </c>
      <c r="L35" s="648">
        <v>6</v>
      </c>
      <c r="M35" s="613">
        <v>240740.74</v>
      </c>
      <c r="N35" s="613">
        <v>1444444.44</v>
      </c>
      <c r="O35" s="613">
        <v>115555.5552</v>
      </c>
      <c r="P35" s="661">
        <v>1559999.9952</v>
      </c>
      <c r="Q35" s="579"/>
    </row>
    <row r="36" spans="1:17">
      <c r="A36" s="711" t="s">
        <v>872</v>
      </c>
      <c r="B36" s="307" t="s">
        <v>1231</v>
      </c>
      <c r="C36" s="297">
        <v>46261</v>
      </c>
      <c r="D36" s="322" t="s">
        <v>978</v>
      </c>
      <c r="E36" s="748">
        <v>46273</v>
      </c>
      <c r="F36" s="298" t="s">
        <v>1089</v>
      </c>
      <c r="G36" s="754" t="s">
        <v>1088</v>
      </c>
      <c r="H36" s="299" t="s">
        <v>1232</v>
      </c>
      <c r="I36" s="643" t="s">
        <v>157</v>
      </c>
      <c r="J36" s="322" t="s">
        <v>158</v>
      </c>
      <c r="K36" s="643" t="s">
        <v>18</v>
      </c>
      <c r="L36" s="648">
        <v>6</v>
      </c>
      <c r="M36" s="613">
        <v>342592.59</v>
      </c>
      <c r="N36" s="613">
        <v>2055555.54</v>
      </c>
      <c r="O36" s="613">
        <v>164444.44320000001</v>
      </c>
      <c r="P36" s="661">
        <v>2219999.9832000001</v>
      </c>
      <c r="Q36" s="579"/>
    </row>
    <row r="37" spans="1:17">
      <c r="A37" s="711" t="s">
        <v>872</v>
      </c>
      <c r="B37" s="307" t="s">
        <v>1231</v>
      </c>
      <c r="C37" s="297">
        <v>46261</v>
      </c>
      <c r="D37" s="322" t="s">
        <v>978</v>
      </c>
      <c r="E37" s="748">
        <v>46273</v>
      </c>
      <c r="F37" s="298" t="s">
        <v>1089</v>
      </c>
      <c r="G37" s="754" t="s">
        <v>1088</v>
      </c>
      <c r="H37" s="299" t="s">
        <v>1232</v>
      </c>
      <c r="I37" s="643" t="s">
        <v>180</v>
      </c>
      <c r="J37" s="322" t="s">
        <v>181</v>
      </c>
      <c r="K37" s="643" t="s">
        <v>18</v>
      </c>
      <c r="L37" s="648">
        <v>20</v>
      </c>
      <c r="M37" s="613">
        <v>234259.26</v>
      </c>
      <c r="N37" s="613">
        <v>4685185.2</v>
      </c>
      <c r="O37" s="613">
        <v>374814.81600000005</v>
      </c>
      <c r="P37" s="661">
        <v>5060000.0159999998</v>
      </c>
      <c r="Q37" s="579"/>
    </row>
    <row r="38" spans="1:17">
      <c r="A38" s="711" t="s">
        <v>872</v>
      </c>
      <c r="B38" s="307" t="s">
        <v>1231</v>
      </c>
      <c r="C38" s="297">
        <v>46261</v>
      </c>
      <c r="D38" s="322" t="s">
        <v>978</v>
      </c>
      <c r="E38" s="748">
        <v>46273</v>
      </c>
      <c r="F38" s="298" t="s">
        <v>1089</v>
      </c>
      <c r="G38" s="754" t="s">
        <v>1088</v>
      </c>
      <c r="H38" s="299" t="s">
        <v>1232</v>
      </c>
      <c r="I38" s="643" t="s">
        <v>26</v>
      </c>
      <c r="J38" s="322" t="s">
        <v>27</v>
      </c>
      <c r="K38" s="643" t="s">
        <v>18</v>
      </c>
      <c r="L38" s="648">
        <v>20</v>
      </c>
      <c r="M38" s="613">
        <v>256481.48</v>
      </c>
      <c r="N38" s="613">
        <v>5129629.6000000006</v>
      </c>
      <c r="O38" s="613">
        <v>410370.36800000007</v>
      </c>
      <c r="P38" s="661">
        <v>5539999.9680000003</v>
      </c>
      <c r="Q38" s="579"/>
    </row>
    <row r="39" spans="1:17">
      <c r="A39" s="711" t="s">
        <v>872</v>
      </c>
      <c r="B39" s="307" t="s">
        <v>1231</v>
      </c>
      <c r="C39" s="297">
        <v>46261</v>
      </c>
      <c r="D39" s="322" t="s">
        <v>978</v>
      </c>
      <c r="E39" s="748">
        <v>46273</v>
      </c>
      <c r="F39" s="298" t="s">
        <v>1089</v>
      </c>
      <c r="G39" s="754" t="s">
        <v>1088</v>
      </c>
      <c r="H39" s="299" t="s">
        <v>1232</v>
      </c>
      <c r="I39" s="643" t="s">
        <v>28</v>
      </c>
      <c r="J39" s="322" t="s">
        <v>29</v>
      </c>
      <c r="K39" s="643" t="s">
        <v>18</v>
      </c>
      <c r="L39" s="648">
        <v>20</v>
      </c>
      <c r="M39" s="613">
        <v>281481.48</v>
      </c>
      <c r="N39" s="613">
        <v>5629629.5999999996</v>
      </c>
      <c r="O39" s="613">
        <v>450370.36799999996</v>
      </c>
      <c r="P39" s="661">
        <v>6079999.9679999994</v>
      </c>
      <c r="Q39" s="579"/>
    </row>
    <row r="40" spans="1:17">
      <c r="A40" s="711" t="s">
        <v>872</v>
      </c>
      <c r="B40" s="307" t="s">
        <v>1231</v>
      </c>
      <c r="C40" s="297">
        <v>46261</v>
      </c>
      <c r="D40" s="322" t="s">
        <v>978</v>
      </c>
      <c r="E40" s="748">
        <v>46273</v>
      </c>
      <c r="F40" s="298" t="s">
        <v>1089</v>
      </c>
      <c r="G40" s="754" t="s">
        <v>1088</v>
      </c>
      <c r="H40" s="299" t="s">
        <v>1232</v>
      </c>
      <c r="I40" s="643" t="s">
        <v>243</v>
      </c>
      <c r="J40" s="322" t="s">
        <v>249</v>
      </c>
      <c r="K40" s="643" t="s">
        <v>18</v>
      </c>
      <c r="L40" s="648">
        <v>20</v>
      </c>
      <c r="M40" s="613">
        <v>298148.15000000002</v>
      </c>
      <c r="N40" s="613">
        <v>5962963</v>
      </c>
      <c r="O40" s="613">
        <v>477037.04000000004</v>
      </c>
      <c r="P40" s="661">
        <v>6440000.04</v>
      </c>
      <c r="Q40" s="579"/>
    </row>
    <row r="41" spans="1:17">
      <c r="A41" s="711" t="s">
        <v>872</v>
      </c>
      <c r="B41" s="307" t="s">
        <v>1231</v>
      </c>
      <c r="C41" s="297">
        <v>46261</v>
      </c>
      <c r="D41" s="322" t="s">
        <v>978</v>
      </c>
      <c r="E41" s="748"/>
      <c r="F41" s="298"/>
      <c r="G41" s="754"/>
      <c r="H41" s="299" t="s">
        <v>1232</v>
      </c>
      <c r="I41" s="643" t="s">
        <v>639</v>
      </c>
      <c r="J41" s="322" t="s">
        <v>640</v>
      </c>
      <c r="K41" s="643" t="s">
        <v>18</v>
      </c>
      <c r="L41" s="648">
        <v>1</v>
      </c>
      <c r="M41" s="613">
        <v>0</v>
      </c>
      <c r="N41" s="613">
        <v>0</v>
      </c>
      <c r="O41" s="613">
        <v>0</v>
      </c>
      <c r="P41" s="661">
        <v>0</v>
      </c>
      <c r="Q41" s="579"/>
    </row>
    <row r="42" spans="1:17">
      <c r="A42" s="711" t="s">
        <v>872</v>
      </c>
      <c r="B42" s="307" t="s">
        <v>1231</v>
      </c>
      <c r="C42" s="297">
        <v>46261</v>
      </c>
      <c r="D42" s="322" t="s">
        <v>978</v>
      </c>
      <c r="E42" s="748"/>
      <c r="F42" s="298"/>
      <c r="G42" s="754"/>
      <c r="H42" s="299" t="s">
        <v>1232</v>
      </c>
      <c r="I42" s="643" t="s">
        <v>641</v>
      </c>
      <c r="J42" s="322" t="s">
        <v>657</v>
      </c>
      <c r="K42" s="643" t="s">
        <v>18</v>
      </c>
      <c r="L42" s="648">
        <v>1</v>
      </c>
      <c r="M42" s="613">
        <v>0</v>
      </c>
      <c r="N42" s="613">
        <v>0</v>
      </c>
      <c r="O42" s="613">
        <v>0</v>
      </c>
      <c r="P42" s="661">
        <v>0</v>
      </c>
      <c r="Q42" s="579"/>
    </row>
    <row r="43" spans="1:17">
      <c r="A43" s="711" t="s">
        <v>872</v>
      </c>
      <c r="B43" s="307" t="s">
        <v>1231</v>
      </c>
      <c r="C43" s="297">
        <v>46261</v>
      </c>
      <c r="D43" s="322" t="s">
        <v>978</v>
      </c>
      <c r="E43" s="748"/>
      <c r="F43" s="298"/>
      <c r="G43" s="754"/>
      <c r="H43" s="299" t="s">
        <v>1232</v>
      </c>
      <c r="I43" s="643" t="s">
        <v>643</v>
      </c>
      <c r="J43" s="322" t="s">
        <v>644</v>
      </c>
      <c r="K43" s="643" t="s">
        <v>18</v>
      </c>
      <c r="L43" s="648">
        <v>1</v>
      </c>
      <c r="M43" s="613">
        <v>0</v>
      </c>
      <c r="N43" s="613">
        <v>0</v>
      </c>
      <c r="O43" s="613">
        <v>0</v>
      </c>
      <c r="P43" s="661">
        <v>0</v>
      </c>
      <c r="Q43" s="579"/>
    </row>
    <row r="44" spans="1:17">
      <c r="A44" s="711" t="s">
        <v>872</v>
      </c>
      <c r="B44" s="307" t="s">
        <v>1231</v>
      </c>
      <c r="C44" s="297">
        <v>46261</v>
      </c>
      <c r="D44" s="322" t="s">
        <v>978</v>
      </c>
      <c r="E44" s="748"/>
      <c r="F44" s="298"/>
      <c r="G44" s="754"/>
      <c r="H44" s="299" t="s">
        <v>1232</v>
      </c>
      <c r="I44" s="643" t="s">
        <v>653</v>
      </c>
      <c r="J44" s="322" t="s">
        <v>654</v>
      </c>
      <c r="K44" s="643" t="s">
        <v>18</v>
      </c>
      <c r="L44" s="648">
        <v>1</v>
      </c>
      <c r="M44" s="613">
        <v>0</v>
      </c>
      <c r="N44" s="613">
        <v>0</v>
      </c>
      <c r="O44" s="613">
        <v>0</v>
      </c>
      <c r="P44" s="661">
        <v>0</v>
      </c>
      <c r="Q44" s="579"/>
    </row>
    <row r="45" spans="1:17">
      <c r="A45" s="711" t="s">
        <v>872</v>
      </c>
      <c r="B45" s="307" t="s">
        <v>1231</v>
      </c>
      <c r="C45" s="297">
        <v>46261</v>
      </c>
      <c r="D45" s="322" t="s">
        <v>978</v>
      </c>
      <c r="E45" s="748"/>
      <c r="F45" s="298"/>
      <c r="G45" s="754"/>
      <c r="H45" s="299" t="s">
        <v>1232</v>
      </c>
      <c r="I45" s="643" t="s">
        <v>655</v>
      </c>
      <c r="J45" s="322" t="s">
        <v>656</v>
      </c>
      <c r="K45" s="643" t="s">
        <v>18</v>
      </c>
      <c r="L45" s="648">
        <v>1</v>
      </c>
      <c r="M45" s="613">
        <v>0</v>
      </c>
      <c r="N45" s="613">
        <v>0</v>
      </c>
      <c r="O45" s="613">
        <v>0</v>
      </c>
      <c r="P45" s="661">
        <v>0</v>
      </c>
      <c r="Q45" s="579"/>
    </row>
    <row r="46" spans="1:17">
      <c r="A46" s="711" t="s">
        <v>872</v>
      </c>
      <c r="B46" s="307" t="s">
        <v>1231</v>
      </c>
      <c r="C46" s="446">
        <v>46275</v>
      </c>
      <c r="D46" s="752"/>
      <c r="E46" s="446"/>
      <c r="F46" s="447"/>
      <c r="G46" s="447"/>
      <c r="H46" s="299" t="s">
        <v>1230</v>
      </c>
      <c r="I46" s="447"/>
      <c r="J46" s="322"/>
      <c r="K46" s="298"/>
      <c r="L46" s="635"/>
      <c r="M46" s="612"/>
      <c r="N46" s="613"/>
      <c r="O46" s="613"/>
      <c r="P46" s="613"/>
      <c r="Q46" s="612">
        <v>38778000</v>
      </c>
    </row>
    <row r="47" spans="1:17">
      <c r="A47" s="490"/>
      <c r="B47" s="490"/>
      <c r="C47" s="490"/>
      <c r="D47" s="490"/>
      <c r="E47" s="490"/>
      <c r="F47" s="490"/>
      <c r="G47" s="490"/>
      <c r="H47" s="490"/>
      <c r="I47" s="490"/>
      <c r="J47" s="490"/>
      <c r="K47" s="490"/>
      <c r="L47" s="490"/>
      <c r="M47" s="582"/>
      <c r="N47" s="582"/>
      <c r="O47" s="595">
        <f>SUM(O3:O46)</f>
        <v>11583259.211199999</v>
      </c>
      <c r="P47" s="595">
        <f>SUM(P3:P46)</f>
        <v>156373999.35119998</v>
      </c>
      <c r="Q47" s="595">
        <f>SUM(Q3:Q46)</f>
        <v>84244002</v>
      </c>
    </row>
    <row r="51" spans="10:11">
      <c r="J51" s="874" t="s">
        <v>1305</v>
      </c>
      <c r="K51" s="875">
        <f>P47</f>
        <v>156373999.35119998</v>
      </c>
    </row>
    <row r="52" spans="10:11">
      <c r="J52" s="874" t="s">
        <v>895</v>
      </c>
      <c r="K52" s="875">
        <f>Q47</f>
        <v>84244002</v>
      </c>
    </row>
    <row r="53" spans="10:11">
      <c r="J53" s="874" t="s">
        <v>1287</v>
      </c>
      <c r="K53" s="595">
        <f>K51-K52</f>
        <v>72129997.351199985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2BEB-FCB7-4714-AB84-3BFA1C6D0F82}">
  <sheetPr>
    <tabColor rgb="FF00B050"/>
  </sheetPr>
  <dimension ref="A1:R114"/>
  <sheetViews>
    <sheetView topLeftCell="C1" workbookViewId="0">
      <pane ySplit="1" topLeftCell="A80" activePane="bottomLeft" state="frozen"/>
      <selection activeCell="F1" sqref="F1"/>
      <selection pane="bottomLeft" activeCell="P51" sqref="P2:P51"/>
    </sheetView>
  </sheetViews>
  <sheetFormatPr defaultRowHeight="15"/>
  <cols>
    <col min="1" max="1" width="15.28515625" bestFit="1" customWidth="1"/>
    <col min="2" max="2" width="34.5703125" customWidth="1"/>
    <col min="3" max="3" width="15.28515625" bestFit="1" customWidth="1"/>
    <col min="4" max="4" width="15.42578125" bestFit="1" customWidth="1"/>
    <col min="5" max="5" width="15.28515625" bestFit="1" customWidth="1"/>
    <col min="6" max="7" width="12.85546875" bestFit="1" customWidth="1"/>
    <col min="8" max="8" width="44.42578125" customWidth="1"/>
    <col min="9" max="9" width="16.5703125" bestFit="1" customWidth="1"/>
    <col min="10" max="10" width="49.7109375" bestFit="1" customWidth="1"/>
    <col min="11" max="11" width="12.5703125" style="600" bestFit="1" customWidth="1"/>
    <col min="12" max="12" width="11.140625" bestFit="1" customWidth="1"/>
    <col min="13" max="13" width="13.7109375" style="580" bestFit="1" customWidth="1"/>
    <col min="14" max="14" width="15.7109375" style="580" bestFit="1" customWidth="1"/>
    <col min="15" max="15" width="17.28515625" style="580" bestFit="1" customWidth="1"/>
    <col min="16" max="17" width="15.28515625" style="580" bestFit="1" customWidth="1"/>
    <col min="18" max="18" width="9.140625" style="580"/>
  </cols>
  <sheetData>
    <row r="1" spans="1:17" ht="40.5">
      <c r="A1" s="473" t="s">
        <v>666</v>
      </c>
      <c r="B1" s="471" t="s">
        <v>916</v>
      </c>
      <c r="C1" s="471" t="s">
        <v>624</v>
      </c>
      <c r="D1" s="472" t="s">
        <v>636</v>
      </c>
      <c r="E1" s="471" t="s">
        <v>635</v>
      </c>
      <c r="F1" s="473" t="s">
        <v>637</v>
      </c>
      <c r="G1" s="473" t="s">
        <v>634</v>
      </c>
      <c r="H1" s="774" t="s">
        <v>625</v>
      </c>
      <c r="I1" s="473" t="s">
        <v>626</v>
      </c>
      <c r="J1" s="840" t="s">
        <v>627</v>
      </c>
      <c r="K1" s="840" t="s">
        <v>628</v>
      </c>
      <c r="L1" s="475" t="s">
        <v>629</v>
      </c>
      <c r="M1" s="776" t="s">
        <v>630</v>
      </c>
      <c r="N1" s="776" t="s">
        <v>631</v>
      </c>
      <c r="O1" s="776" t="s">
        <v>632</v>
      </c>
      <c r="P1" s="776" t="s">
        <v>917</v>
      </c>
      <c r="Q1" s="776" t="s">
        <v>918</v>
      </c>
    </row>
    <row r="2" spans="1:17">
      <c r="A2" s="528" t="s">
        <v>711</v>
      </c>
      <c r="B2" s="802" t="s">
        <v>715</v>
      </c>
      <c r="C2" s="841">
        <v>46181</v>
      </c>
      <c r="D2" s="842" t="s">
        <v>1299</v>
      </c>
      <c r="E2" s="841"/>
      <c r="F2" s="843"/>
      <c r="G2" s="843"/>
      <c r="H2" s="844" t="s">
        <v>460</v>
      </c>
      <c r="I2" s="845" t="s">
        <v>119</v>
      </c>
      <c r="J2" s="845" t="s">
        <v>191</v>
      </c>
      <c r="K2" s="428" t="s">
        <v>18</v>
      </c>
      <c r="L2" s="846">
        <v>1</v>
      </c>
      <c r="M2" s="847">
        <v>574074.06999999995</v>
      </c>
      <c r="N2" s="847">
        <f>L2*M2</f>
        <v>574074.06999999995</v>
      </c>
      <c r="O2" s="847">
        <f>N2*8%</f>
        <v>45925.925599999995</v>
      </c>
      <c r="P2" s="847">
        <f>N2+O2</f>
        <v>619999.99559999991</v>
      </c>
      <c r="Q2" s="847"/>
    </row>
    <row r="3" spans="1:17">
      <c r="A3" s="528" t="s">
        <v>711</v>
      </c>
      <c r="B3" s="802" t="s">
        <v>715</v>
      </c>
      <c r="C3" s="841">
        <v>46181</v>
      </c>
      <c r="D3" s="842"/>
      <c r="E3" s="841"/>
      <c r="F3" s="843"/>
      <c r="G3" s="843"/>
      <c r="H3" s="844" t="s">
        <v>460</v>
      </c>
      <c r="I3" s="845" t="s">
        <v>42</v>
      </c>
      <c r="J3" s="845" t="s">
        <v>43</v>
      </c>
      <c r="K3" s="428" t="s">
        <v>18</v>
      </c>
      <c r="L3" s="846">
        <v>1</v>
      </c>
      <c r="M3" s="847">
        <v>527777.77</v>
      </c>
      <c r="N3" s="847">
        <f t="shared" ref="N3:N9" si="0">L3*M3</f>
        <v>527777.77</v>
      </c>
      <c r="O3" s="847">
        <f t="shared" ref="O3:O10" si="1">N3*8%</f>
        <v>42222.221600000004</v>
      </c>
      <c r="P3" s="847">
        <f t="shared" ref="P3:P10" si="2">N3+O3</f>
        <v>569999.99160000007</v>
      </c>
      <c r="Q3" s="847"/>
    </row>
    <row r="4" spans="1:17">
      <c r="A4" s="528" t="s">
        <v>711</v>
      </c>
      <c r="B4" s="802" t="s">
        <v>715</v>
      </c>
      <c r="C4" s="841">
        <v>46181</v>
      </c>
      <c r="D4" s="842"/>
      <c r="E4" s="841"/>
      <c r="F4" s="843"/>
      <c r="G4" s="843"/>
      <c r="H4" s="844" t="s">
        <v>460</v>
      </c>
      <c r="I4" s="845" t="s">
        <v>44</v>
      </c>
      <c r="J4" s="845" t="s">
        <v>45</v>
      </c>
      <c r="K4" s="428" t="s">
        <v>18</v>
      </c>
      <c r="L4" s="846">
        <v>1</v>
      </c>
      <c r="M4" s="847">
        <v>537037.04</v>
      </c>
      <c r="N4" s="847">
        <f t="shared" si="0"/>
        <v>537037.04</v>
      </c>
      <c r="O4" s="847">
        <f t="shared" si="1"/>
        <v>42962.963200000006</v>
      </c>
      <c r="P4" s="847">
        <f t="shared" si="2"/>
        <v>580000.00320000004</v>
      </c>
      <c r="Q4" s="847"/>
    </row>
    <row r="5" spans="1:17">
      <c r="A5" s="528" t="s">
        <v>711</v>
      </c>
      <c r="B5" s="802" t="s">
        <v>715</v>
      </c>
      <c r="C5" s="841">
        <v>46181</v>
      </c>
      <c r="D5" s="842"/>
      <c r="E5" s="841"/>
      <c r="F5" s="843"/>
      <c r="G5" s="843"/>
      <c r="H5" s="844" t="s">
        <v>460</v>
      </c>
      <c r="I5" s="845" t="s">
        <v>148</v>
      </c>
      <c r="J5" s="845" t="s">
        <v>149</v>
      </c>
      <c r="K5" s="428" t="s">
        <v>18</v>
      </c>
      <c r="L5" s="846">
        <v>1</v>
      </c>
      <c r="M5" s="847">
        <v>296296.28999999998</v>
      </c>
      <c r="N5" s="847">
        <f t="shared" si="0"/>
        <v>296296.28999999998</v>
      </c>
      <c r="O5" s="847">
        <f t="shared" si="1"/>
        <v>23703.7032</v>
      </c>
      <c r="P5" s="847">
        <f t="shared" si="2"/>
        <v>319999.99319999997</v>
      </c>
      <c r="Q5" s="847"/>
    </row>
    <row r="6" spans="1:17">
      <c r="A6" s="528" t="s">
        <v>711</v>
      </c>
      <c r="B6" s="802" t="s">
        <v>715</v>
      </c>
      <c r="C6" s="841">
        <v>46181</v>
      </c>
      <c r="D6" s="842"/>
      <c r="E6" s="841"/>
      <c r="F6" s="843"/>
      <c r="G6" s="843"/>
      <c r="H6" s="844" t="s">
        <v>460</v>
      </c>
      <c r="I6" s="845" t="s">
        <v>192</v>
      </c>
      <c r="J6" s="845" t="s">
        <v>193</v>
      </c>
      <c r="K6" s="428" t="s">
        <v>18</v>
      </c>
      <c r="L6" s="846">
        <v>1</v>
      </c>
      <c r="M6" s="847">
        <v>333333.33</v>
      </c>
      <c r="N6" s="847">
        <f t="shared" si="0"/>
        <v>333333.33</v>
      </c>
      <c r="O6" s="847">
        <f t="shared" si="1"/>
        <v>26666.666400000002</v>
      </c>
      <c r="P6" s="847">
        <f t="shared" si="2"/>
        <v>359999.9964</v>
      </c>
      <c r="Q6" s="847"/>
    </row>
    <row r="7" spans="1:17">
      <c r="A7" s="528" t="s">
        <v>711</v>
      </c>
      <c r="B7" s="802" t="s">
        <v>715</v>
      </c>
      <c r="C7" s="841">
        <v>46181</v>
      </c>
      <c r="D7" s="842"/>
      <c r="E7" s="841"/>
      <c r="F7" s="843"/>
      <c r="G7" s="843"/>
      <c r="H7" s="844" t="s">
        <v>460</v>
      </c>
      <c r="I7" s="845" t="s">
        <v>46</v>
      </c>
      <c r="J7" s="845" t="s">
        <v>47</v>
      </c>
      <c r="K7" s="428" t="s">
        <v>18</v>
      </c>
      <c r="L7" s="846">
        <v>1</v>
      </c>
      <c r="M7" s="847">
        <v>240740.74</v>
      </c>
      <c r="N7" s="847">
        <f t="shared" si="0"/>
        <v>240740.74</v>
      </c>
      <c r="O7" s="847">
        <f t="shared" si="1"/>
        <v>19259.2592</v>
      </c>
      <c r="P7" s="847">
        <f t="shared" si="2"/>
        <v>259999.99919999999</v>
      </c>
      <c r="Q7" s="847"/>
    </row>
    <row r="8" spans="1:17">
      <c r="A8" s="528" t="s">
        <v>711</v>
      </c>
      <c r="B8" s="802" t="s">
        <v>715</v>
      </c>
      <c r="C8" s="841">
        <v>46181</v>
      </c>
      <c r="D8" s="842"/>
      <c r="E8" s="841"/>
      <c r="F8" s="843"/>
      <c r="G8" s="843"/>
      <c r="H8" s="844" t="s">
        <v>460</v>
      </c>
      <c r="I8" s="845" t="s">
        <v>157</v>
      </c>
      <c r="J8" s="845" t="s">
        <v>158</v>
      </c>
      <c r="K8" s="428" t="s">
        <v>18</v>
      </c>
      <c r="L8" s="846">
        <v>1</v>
      </c>
      <c r="M8" s="847">
        <v>342592.59</v>
      </c>
      <c r="N8" s="847">
        <f t="shared" si="0"/>
        <v>342592.59</v>
      </c>
      <c r="O8" s="847">
        <f t="shared" si="1"/>
        <v>27407.407200000001</v>
      </c>
      <c r="P8" s="847">
        <f t="shared" si="2"/>
        <v>369999.99720000004</v>
      </c>
      <c r="Q8" s="847"/>
    </row>
    <row r="9" spans="1:17">
      <c r="A9" s="528" t="s">
        <v>711</v>
      </c>
      <c r="B9" s="802" t="s">
        <v>715</v>
      </c>
      <c r="C9" s="841">
        <v>46181</v>
      </c>
      <c r="D9" s="842"/>
      <c r="E9" s="841"/>
      <c r="F9" s="843"/>
      <c r="G9" s="843"/>
      <c r="H9" s="844" t="s">
        <v>460</v>
      </c>
      <c r="I9" s="848" t="s">
        <v>74</v>
      </c>
      <c r="J9" s="845" t="s">
        <v>141</v>
      </c>
      <c r="K9" s="428" t="s">
        <v>18</v>
      </c>
      <c r="L9" s="846">
        <v>1</v>
      </c>
      <c r="M9" s="847">
        <v>398148.14</v>
      </c>
      <c r="N9" s="847">
        <f t="shared" si="0"/>
        <v>398148.14</v>
      </c>
      <c r="O9" s="847">
        <f t="shared" si="1"/>
        <v>31851.851200000001</v>
      </c>
      <c r="P9" s="847">
        <f t="shared" si="2"/>
        <v>429999.99119999999</v>
      </c>
      <c r="Q9" s="847"/>
    </row>
    <row r="10" spans="1:17">
      <c r="A10" s="528" t="s">
        <v>711</v>
      </c>
      <c r="B10" s="802" t="s">
        <v>715</v>
      </c>
      <c r="C10" s="841">
        <v>46181</v>
      </c>
      <c r="D10" s="842"/>
      <c r="E10" s="841"/>
      <c r="F10" s="843"/>
      <c r="G10" s="843"/>
      <c r="H10" s="844" t="s">
        <v>460</v>
      </c>
      <c r="I10" s="848" t="s">
        <v>424</v>
      </c>
      <c r="J10" s="845" t="s">
        <v>425</v>
      </c>
      <c r="K10" s="184" t="s">
        <v>443</v>
      </c>
      <c r="L10" s="846">
        <v>1</v>
      </c>
      <c r="M10" s="847">
        <v>787037.03</v>
      </c>
      <c r="N10" s="847">
        <f>L10*M10</f>
        <v>787037.03</v>
      </c>
      <c r="O10" s="847">
        <f t="shared" si="1"/>
        <v>62962.962400000004</v>
      </c>
      <c r="P10" s="847">
        <f t="shared" si="2"/>
        <v>849999.99239999999</v>
      </c>
      <c r="Q10" s="847"/>
    </row>
    <row r="11" spans="1:17">
      <c r="A11" s="528" t="s">
        <v>711</v>
      </c>
      <c r="B11" s="529" t="s">
        <v>715</v>
      </c>
      <c r="C11" s="461" t="s">
        <v>458</v>
      </c>
      <c r="D11" s="531"/>
      <c r="E11" s="540"/>
      <c r="F11" s="532"/>
      <c r="G11" s="537"/>
      <c r="H11" s="844" t="s">
        <v>460</v>
      </c>
      <c r="I11" s="845" t="s">
        <v>180</v>
      </c>
      <c r="J11" s="845" t="s">
        <v>181</v>
      </c>
      <c r="K11" s="428" t="s">
        <v>18</v>
      </c>
      <c r="L11" s="428">
        <v>1</v>
      </c>
      <c r="M11" s="849">
        <v>243518.52</v>
      </c>
      <c r="N11" s="849">
        <v>243518.52</v>
      </c>
      <c r="O11" s="849">
        <v>19481.481599999999</v>
      </c>
      <c r="P11" s="849">
        <v>263000.00159999996</v>
      </c>
      <c r="Q11" s="849"/>
    </row>
    <row r="12" spans="1:17">
      <c r="A12" s="528" t="s">
        <v>711</v>
      </c>
      <c r="B12" s="529" t="s">
        <v>715</v>
      </c>
      <c r="C12" s="461" t="s">
        <v>458</v>
      </c>
      <c r="D12" s="531"/>
      <c r="E12" s="540"/>
      <c r="F12" s="532"/>
      <c r="G12" s="537"/>
      <c r="H12" s="844" t="s">
        <v>460</v>
      </c>
      <c r="I12" s="845" t="s">
        <v>26</v>
      </c>
      <c r="J12" s="850" t="s">
        <v>27</v>
      </c>
      <c r="K12" s="428" t="s">
        <v>18</v>
      </c>
      <c r="L12" s="428">
        <v>1</v>
      </c>
      <c r="M12" s="849">
        <v>265740.74</v>
      </c>
      <c r="N12" s="849">
        <v>265740.74</v>
      </c>
      <c r="O12" s="849">
        <v>21259.2592</v>
      </c>
      <c r="P12" s="849">
        <v>286999.99919999996</v>
      </c>
      <c r="Q12" s="849"/>
    </row>
    <row r="13" spans="1:17">
      <c r="A13" s="528" t="s">
        <v>711</v>
      </c>
      <c r="B13" s="529" t="s">
        <v>715</v>
      </c>
      <c r="C13" s="461" t="s">
        <v>458</v>
      </c>
      <c r="D13" s="531"/>
      <c r="E13" s="540"/>
      <c r="F13" s="532"/>
      <c r="G13" s="537"/>
      <c r="H13" s="844" t="s">
        <v>460</v>
      </c>
      <c r="I13" s="845" t="s">
        <v>28</v>
      </c>
      <c r="J13" s="850" t="s">
        <v>29</v>
      </c>
      <c r="K13" s="428" t="s">
        <v>18</v>
      </c>
      <c r="L13" s="428">
        <v>1</v>
      </c>
      <c r="M13" s="849">
        <v>290740.74</v>
      </c>
      <c r="N13" s="849">
        <v>290740.74</v>
      </c>
      <c r="O13" s="849">
        <v>23259.2592</v>
      </c>
      <c r="P13" s="849">
        <v>313999.99919999996</v>
      </c>
      <c r="Q13" s="849"/>
    </row>
    <row r="14" spans="1:17">
      <c r="A14" s="528" t="s">
        <v>711</v>
      </c>
      <c r="B14" s="529" t="s">
        <v>715</v>
      </c>
      <c r="C14" s="461" t="s">
        <v>458</v>
      </c>
      <c r="D14" s="531"/>
      <c r="E14" s="540"/>
      <c r="F14" s="532"/>
      <c r="G14" s="537"/>
      <c r="H14" s="844" t="s">
        <v>460</v>
      </c>
      <c r="I14" s="845" t="s">
        <v>243</v>
      </c>
      <c r="J14" s="850" t="s">
        <v>249</v>
      </c>
      <c r="K14" s="428" t="s">
        <v>18</v>
      </c>
      <c r="L14" s="428">
        <v>1</v>
      </c>
      <c r="M14" s="849">
        <v>288888.89</v>
      </c>
      <c r="N14" s="849">
        <v>288888.89</v>
      </c>
      <c r="O14" s="849">
        <v>23111.111200000003</v>
      </c>
      <c r="P14" s="849">
        <v>312000.0012</v>
      </c>
      <c r="Q14" s="849"/>
    </row>
    <row r="15" spans="1:17">
      <c r="A15" s="528" t="s">
        <v>711</v>
      </c>
      <c r="B15" s="529" t="s">
        <v>715</v>
      </c>
      <c r="C15" s="461" t="s">
        <v>458</v>
      </c>
      <c r="D15" s="531"/>
      <c r="E15" s="540"/>
      <c r="F15" s="532"/>
      <c r="G15" s="537"/>
      <c r="H15" s="844" t="s">
        <v>460</v>
      </c>
      <c r="I15" s="845" t="s">
        <v>184</v>
      </c>
      <c r="J15" s="850" t="s">
        <v>272</v>
      </c>
      <c r="K15" s="428" t="s">
        <v>18</v>
      </c>
      <c r="L15" s="428">
        <v>1</v>
      </c>
      <c r="M15" s="849">
        <v>250000</v>
      </c>
      <c r="N15" s="849">
        <v>250000</v>
      </c>
      <c r="O15" s="849">
        <v>20000</v>
      </c>
      <c r="P15" s="849">
        <v>270000</v>
      </c>
      <c r="Q15" s="849"/>
    </row>
    <row r="16" spans="1:17">
      <c r="A16" s="528" t="s">
        <v>711</v>
      </c>
      <c r="B16" s="529" t="s">
        <v>715</v>
      </c>
      <c r="C16" s="461" t="s">
        <v>458</v>
      </c>
      <c r="D16" s="531"/>
      <c r="E16" s="540"/>
      <c r="F16" s="532"/>
      <c r="G16" s="537"/>
      <c r="H16" s="844" t="s">
        <v>460</v>
      </c>
      <c r="I16" s="845" t="s">
        <v>30</v>
      </c>
      <c r="J16" s="850" t="s">
        <v>31</v>
      </c>
      <c r="K16" s="428" t="s">
        <v>18</v>
      </c>
      <c r="L16" s="428">
        <v>1</v>
      </c>
      <c r="M16" s="849">
        <v>268518.52</v>
      </c>
      <c r="N16" s="849">
        <v>268518.52</v>
      </c>
      <c r="O16" s="849">
        <v>21481.481600000003</v>
      </c>
      <c r="P16" s="849">
        <v>290000.00160000002</v>
      </c>
      <c r="Q16" s="849"/>
    </row>
    <row r="17" spans="1:17">
      <c r="A17" s="528" t="s">
        <v>711</v>
      </c>
      <c r="B17" s="529" t="s">
        <v>715</v>
      </c>
      <c r="C17" s="461" t="s">
        <v>458</v>
      </c>
      <c r="D17" s="531"/>
      <c r="E17" s="540"/>
      <c r="F17" s="532"/>
      <c r="G17" s="537"/>
      <c r="H17" s="844" t="s">
        <v>460</v>
      </c>
      <c r="I17" s="845" t="s">
        <v>301</v>
      </c>
      <c r="J17" s="850" t="s">
        <v>361</v>
      </c>
      <c r="K17" s="428" t="s">
        <v>18</v>
      </c>
      <c r="L17" s="428">
        <v>1</v>
      </c>
      <c r="M17" s="849">
        <v>287037.03999999998</v>
      </c>
      <c r="N17" s="849">
        <v>287037.03999999998</v>
      </c>
      <c r="O17" s="849">
        <v>22962.963199999998</v>
      </c>
      <c r="P17" s="849">
        <v>310000.00319999998</v>
      </c>
      <c r="Q17" s="849"/>
    </row>
    <row r="18" spans="1:17">
      <c r="A18" s="528" t="s">
        <v>711</v>
      </c>
      <c r="B18" s="529" t="s">
        <v>715</v>
      </c>
      <c r="C18" s="461" t="s">
        <v>458</v>
      </c>
      <c r="D18" s="531"/>
      <c r="E18" s="540"/>
      <c r="F18" s="532"/>
      <c r="G18" s="537"/>
      <c r="H18" s="844" t="s">
        <v>460</v>
      </c>
      <c r="I18" s="845" t="s">
        <v>32</v>
      </c>
      <c r="J18" s="850" t="s">
        <v>33</v>
      </c>
      <c r="K18" s="428" t="s">
        <v>18</v>
      </c>
      <c r="L18" s="428">
        <v>1</v>
      </c>
      <c r="M18" s="849">
        <v>236111.11</v>
      </c>
      <c r="N18" s="849">
        <v>236111.11</v>
      </c>
      <c r="O18" s="849">
        <v>18888.888800000001</v>
      </c>
      <c r="P18" s="849">
        <v>254999.9988</v>
      </c>
      <c r="Q18" s="849"/>
    </row>
    <row r="19" spans="1:17">
      <c r="A19" s="528" t="s">
        <v>711</v>
      </c>
      <c r="B19" s="529" t="s">
        <v>715</v>
      </c>
      <c r="C19" s="461" t="s">
        <v>458</v>
      </c>
      <c r="D19" s="531"/>
      <c r="E19" s="540"/>
      <c r="F19" s="532"/>
      <c r="G19" s="537"/>
      <c r="H19" s="844" t="s">
        <v>460</v>
      </c>
      <c r="I19" s="845" t="s">
        <v>34</v>
      </c>
      <c r="J19" s="850" t="s">
        <v>35</v>
      </c>
      <c r="K19" s="428" t="s">
        <v>18</v>
      </c>
      <c r="L19" s="428">
        <v>1</v>
      </c>
      <c r="M19" s="849">
        <v>250000</v>
      </c>
      <c r="N19" s="849">
        <v>250000</v>
      </c>
      <c r="O19" s="849">
        <v>20000</v>
      </c>
      <c r="P19" s="849">
        <v>270000</v>
      </c>
      <c r="Q19" s="849"/>
    </row>
    <row r="20" spans="1:17">
      <c r="A20" s="528" t="s">
        <v>711</v>
      </c>
      <c r="B20" s="529" t="s">
        <v>715</v>
      </c>
      <c r="C20" s="461" t="s">
        <v>458</v>
      </c>
      <c r="D20" s="531"/>
      <c r="E20" s="540"/>
      <c r="F20" s="532"/>
      <c r="G20" s="537"/>
      <c r="H20" s="844" t="s">
        <v>460</v>
      </c>
      <c r="I20" s="845" t="s">
        <v>36</v>
      </c>
      <c r="J20" s="850" t="s">
        <v>37</v>
      </c>
      <c r="K20" s="428" t="s">
        <v>18</v>
      </c>
      <c r="L20" s="428">
        <v>1</v>
      </c>
      <c r="M20" s="849">
        <v>268518.52</v>
      </c>
      <c r="N20" s="849">
        <v>268518.52</v>
      </c>
      <c r="O20" s="849">
        <v>21481.481600000003</v>
      </c>
      <c r="P20" s="849">
        <v>290000.00160000002</v>
      </c>
      <c r="Q20" s="849"/>
    </row>
    <row r="21" spans="1:17">
      <c r="A21" s="528" t="s">
        <v>711</v>
      </c>
      <c r="B21" s="529" t="s">
        <v>715</v>
      </c>
      <c r="C21" s="461" t="s">
        <v>458</v>
      </c>
      <c r="D21" s="531"/>
      <c r="E21" s="540"/>
      <c r="F21" s="532"/>
      <c r="G21" s="537"/>
      <c r="H21" s="844" t="s">
        <v>460</v>
      </c>
      <c r="I21" s="845" t="s">
        <v>274</v>
      </c>
      <c r="J21" s="850" t="s">
        <v>297</v>
      </c>
      <c r="K21" s="428" t="s">
        <v>18</v>
      </c>
      <c r="L21" s="428">
        <v>1</v>
      </c>
      <c r="M21" s="849">
        <v>416666.67</v>
      </c>
      <c r="N21" s="849">
        <v>416666.67</v>
      </c>
      <c r="O21" s="849">
        <v>33333.333599999998</v>
      </c>
      <c r="P21" s="849">
        <v>450000.0036</v>
      </c>
      <c r="Q21" s="849"/>
    </row>
    <row r="22" spans="1:17">
      <c r="A22" s="528" t="s">
        <v>711</v>
      </c>
      <c r="B22" s="529" t="s">
        <v>715</v>
      </c>
      <c r="C22" s="461" t="s">
        <v>458</v>
      </c>
      <c r="D22" s="531"/>
      <c r="E22" s="540"/>
      <c r="F22" s="532"/>
      <c r="G22" s="537"/>
      <c r="H22" s="844" t="s">
        <v>460</v>
      </c>
      <c r="I22" s="845" t="s">
        <v>40</v>
      </c>
      <c r="J22" s="850" t="s">
        <v>41</v>
      </c>
      <c r="K22" s="428" t="s">
        <v>18</v>
      </c>
      <c r="L22" s="428">
        <v>1</v>
      </c>
      <c r="M22" s="849">
        <v>879629.63</v>
      </c>
      <c r="N22" s="849">
        <v>879629.63</v>
      </c>
      <c r="O22" s="849">
        <v>70370.3704</v>
      </c>
      <c r="P22" s="849">
        <v>950000.00040000002</v>
      </c>
      <c r="Q22" s="849"/>
    </row>
    <row r="23" spans="1:17">
      <c r="A23" s="528" t="s">
        <v>711</v>
      </c>
      <c r="B23" s="529" t="s">
        <v>715</v>
      </c>
      <c r="C23" s="461" t="s">
        <v>458</v>
      </c>
      <c r="D23" s="531"/>
      <c r="E23" s="540"/>
      <c r="F23" s="532"/>
      <c r="G23" s="537"/>
      <c r="H23" s="844" t="s">
        <v>460</v>
      </c>
      <c r="I23" s="845" t="s">
        <v>386</v>
      </c>
      <c r="J23" s="850" t="s">
        <v>387</v>
      </c>
      <c r="K23" s="428" t="s">
        <v>18</v>
      </c>
      <c r="L23" s="428">
        <v>1</v>
      </c>
      <c r="M23" s="849">
        <v>740740.74</v>
      </c>
      <c r="N23" s="849">
        <v>740740.74</v>
      </c>
      <c r="O23" s="849">
        <v>59259.2592</v>
      </c>
      <c r="P23" s="849">
        <v>799999.99919999996</v>
      </c>
      <c r="Q23" s="849"/>
    </row>
    <row r="24" spans="1:17">
      <c r="A24" s="528" t="s">
        <v>711</v>
      </c>
      <c r="B24" s="529" t="s">
        <v>715</v>
      </c>
      <c r="C24" s="461" t="s">
        <v>458</v>
      </c>
      <c r="D24" s="531"/>
      <c r="E24" s="540"/>
      <c r="F24" s="532"/>
      <c r="G24" s="537"/>
      <c r="H24" s="844" t="s">
        <v>460</v>
      </c>
      <c r="I24" s="845" t="s">
        <v>194</v>
      </c>
      <c r="J24" s="850" t="s">
        <v>276</v>
      </c>
      <c r="K24" s="428" t="s">
        <v>18</v>
      </c>
      <c r="L24" s="428">
        <v>1</v>
      </c>
      <c r="M24" s="849">
        <v>1203703.7</v>
      </c>
      <c r="N24" s="849">
        <v>1203703.7</v>
      </c>
      <c r="O24" s="849">
        <v>96296.296000000002</v>
      </c>
      <c r="P24" s="849">
        <v>1299999.996</v>
      </c>
      <c r="Q24" s="849"/>
    </row>
    <row r="25" spans="1:17">
      <c r="A25" s="528" t="s">
        <v>711</v>
      </c>
      <c r="B25" s="529" t="s">
        <v>715</v>
      </c>
      <c r="C25" s="461" t="s">
        <v>458</v>
      </c>
      <c r="D25" s="531"/>
      <c r="E25" s="540"/>
      <c r="F25" s="532"/>
      <c r="G25" s="537"/>
      <c r="H25" s="844" t="s">
        <v>460</v>
      </c>
      <c r="I25" s="845" t="s">
        <v>58</v>
      </c>
      <c r="J25" s="850" t="s">
        <v>59</v>
      </c>
      <c r="K25" s="428" t="s">
        <v>18</v>
      </c>
      <c r="L25" s="428">
        <v>1</v>
      </c>
      <c r="M25" s="849">
        <v>1361111.11</v>
      </c>
      <c r="N25" s="849">
        <v>1361111.11</v>
      </c>
      <c r="O25" s="849">
        <v>108888.88880000002</v>
      </c>
      <c r="P25" s="849">
        <v>1469999.9988000002</v>
      </c>
      <c r="Q25" s="849"/>
    </row>
    <row r="26" spans="1:17">
      <c r="A26" s="528" t="s">
        <v>711</v>
      </c>
      <c r="B26" s="529" t="s">
        <v>715</v>
      </c>
      <c r="C26" s="461" t="s">
        <v>292</v>
      </c>
      <c r="D26" s="531"/>
      <c r="E26" s="540"/>
      <c r="F26" s="532"/>
      <c r="G26" s="537"/>
      <c r="H26" s="844" t="s">
        <v>460</v>
      </c>
      <c r="I26" s="845" t="s">
        <v>279</v>
      </c>
      <c r="J26" s="850" t="s">
        <v>280</v>
      </c>
      <c r="K26" s="428" t="s">
        <v>18</v>
      </c>
      <c r="L26" s="428">
        <v>1</v>
      </c>
      <c r="M26" s="849"/>
      <c r="N26" s="849"/>
      <c r="O26" s="849"/>
      <c r="P26" s="849"/>
      <c r="Q26" s="851"/>
    </row>
    <row r="27" spans="1:17">
      <c r="A27" s="528" t="s">
        <v>711</v>
      </c>
      <c r="B27" s="529" t="s">
        <v>715</v>
      </c>
      <c r="C27" s="461" t="s">
        <v>292</v>
      </c>
      <c r="D27" s="531"/>
      <c r="E27" s="540"/>
      <c r="F27" s="532"/>
      <c r="G27" s="537"/>
      <c r="H27" s="844" t="s">
        <v>460</v>
      </c>
      <c r="I27" s="845" t="s">
        <v>258</v>
      </c>
      <c r="J27" s="850" t="s">
        <v>259</v>
      </c>
      <c r="K27" s="428" t="s">
        <v>18</v>
      </c>
      <c r="L27" s="428">
        <v>1</v>
      </c>
      <c r="M27" s="849"/>
      <c r="N27" s="849"/>
      <c r="O27" s="849"/>
      <c r="P27" s="849"/>
      <c r="Q27" s="851"/>
    </row>
    <row r="28" spans="1:17">
      <c r="A28" s="528" t="s">
        <v>711</v>
      </c>
      <c r="B28" s="529" t="s">
        <v>715</v>
      </c>
      <c r="C28" s="461" t="s">
        <v>292</v>
      </c>
      <c r="D28" s="531"/>
      <c r="E28" s="540"/>
      <c r="F28" s="532"/>
      <c r="G28" s="537"/>
      <c r="H28" s="844" t="s">
        <v>460</v>
      </c>
      <c r="I28" s="845" t="s">
        <v>260</v>
      </c>
      <c r="J28" s="850" t="s">
        <v>261</v>
      </c>
      <c r="K28" s="428" t="s">
        <v>18</v>
      </c>
      <c r="L28" s="428">
        <v>1</v>
      </c>
      <c r="M28" s="849"/>
      <c r="N28" s="849"/>
      <c r="O28" s="849"/>
      <c r="P28" s="849"/>
      <c r="Q28" s="851"/>
    </row>
    <row r="29" spans="1:17">
      <c r="A29" s="528" t="s">
        <v>711</v>
      </c>
      <c r="B29" s="529" t="s">
        <v>715</v>
      </c>
      <c r="C29" s="461" t="s">
        <v>292</v>
      </c>
      <c r="D29" s="531"/>
      <c r="E29" s="540" t="s">
        <v>247</v>
      </c>
      <c r="F29" s="532"/>
      <c r="G29" s="537" t="s">
        <v>462</v>
      </c>
      <c r="H29" s="534" t="s">
        <v>813</v>
      </c>
      <c r="I29" s="458" t="s">
        <v>424</v>
      </c>
      <c r="J29" s="457" t="s">
        <v>425</v>
      </c>
      <c r="K29" s="329" t="s">
        <v>443</v>
      </c>
      <c r="L29" s="329">
        <v>4</v>
      </c>
      <c r="M29" s="779">
        <v>768518.52</v>
      </c>
      <c r="N29" s="779">
        <v>3074074.08</v>
      </c>
      <c r="O29" s="779">
        <v>245925.9264</v>
      </c>
      <c r="P29" s="779">
        <v>3320000.0064000003</v>
      </c>
      <c r="Q29" s="852"/>
    </row>
    <row r="30" spans="1:17">
      <c r="A30" s="528" t="s">
        <v>711</v>
      </c>
      <c r="B30" s="529" t="s">
        <v>715</v>
      </c>
      <c r="C30" s="461" t="s">
        <v>464</v>
      </c>
      <c r="D30" s="531"/>
      <c r="E30" s="540" t="s">
        <v>247</v>
      </c>
      <c r="F30" s="532"/>
      <c r="G30" s="537" t="s">
        <v>462</v>
      </c>
      <c r="H30" s="534" t="s">
        <v>813</v>
      </c>
      <c r="I30" s="458" t="s">
        <v>194</v>
      </c>
      <c r="J30" s="457" t="s">
        <v>276</v>
      </c>
      <c r="K30" s="329" t="s">
        <v>465</v>
      </c>
      <c r="L30" s="329">
        <v>3</v>
      </c>
      <c r="M30" s="779">
        <v>1203703.7</v>
      </c>
      <c r="N30" s="779">
        <v>3611111.0999999996</v>
      </c>
      <c r="O30" s="779">
        <v>288888.88799999998</v>
      </c>
      <c r="P30" s="779">
        <v>3899999.9879999994</v>
      </c>
      <c r="Q30" s="852"/>
    </row>
    <row r="31" spans="1:17">
      <c r="A31" s="528" t="s">
        <v>711</v>
      </c>
      <c r="B31" s="529" t="s">
        <v>715</v>
      </c>
      <c r="C31" s="461" t="s">
        <v>466</v>
      </c>
      <c r="D31" s="531"/>
      <c r="E31" s="540" t="s">
        <v>247</v>
      </c>
      <c r="F31" s="532"/>
      <c r="G31" s="537" t="s">
        <v>462</v>
      </c>
      <c r="H31" s="534" t="s">
        <v>813</v>
      </c>
      <c r="I31" s="458" t="s">
        <v>58</v>
      </c>
      <c r="J31" s="457" t="s">
        <v>59</v>
      </c>
      <c r="K31" s="329" t="s">
        <v>465</v>
      </c>
      <c r="L31" s="329">
        <v>3</v>
      </c>
      <c r="M31" s="779">
        <v>1361111.11</v>
      </c>
      <c r="N31" s="779">
        <v>4083333.33</v>
      </c>
      <c r="O31" s="779">
        <v>326666.66639999999</v>
      </c>
      <c r="P31" s="779">
        <v>4409999.9964000005</v>
      </c>
      <c r="Q31" s="852"/>
    </row>
    <row r="32" spans="1:17">
      <c r="A32" s="528" t="s">
        <v>711</v>
      </c>
      <c r="B32" s="529" t="s">
        <v>715</v>
      </c>
      <c r="C32" s="461" t="s">
        <v>466</v>
      </c>
      <c r="D32" s="531"/>
      <c r="E32" s="540" t="s">
        <v>247</v>
      </c>
      <c r="F32" s="532"/>
      <c r="G32" s="537" t="s">
        <v>462</v>
      </c>
      <c r="H32" s="534" t="s">
        <v>813</v>
      </c>
      <c r="I32" s="458" t="s">
        <v>424</v>
      </c>
      <c r="J32" s="457" t="s">
        <v>425</v>
      </c>
      <c r="K32" s="329" t="s">
        <v>443</v>
      </c>
      <c r="L32" s="329">
        <v>5</v>
      </c>
      <c r="M32" s="779">
        <v>768518.52</v>
      </c>
      <c r="N32" s="779">
        <v>3842592.6</v>
      </c>
      <c r="O32" s="779">
        <v>307407.408</v>
      </c>
      <c r="P32" s="779">
        <v>4150000.0079999999</v>
      </c>
      <c r="Q32" s="852"/>
    </row>
    <row r="33" spans="1:17">
      <c r="A33" s="528" t="s">
        <v>711</v>
      </c>
      <c r="B33" s="529" t="s">
        <v>715</v>
      </c>
      <c r="C33" s="461" t="s">
        <v>466</v>
      </c>
      <c r="D33" s="531"/>
      <c r="E33" s="540" t="s">
        <v>247</v>
      </c>
      <c r="F33" s="532"/>
      <c r="G33" s="537" t="s">
        <v>462</v>
      </c>
      <c r="H33" s="534" t="s">
        <v>813</v>
      </c>
      <c r="I33" s="458" t="s">
        <v>424</v>
      </c>
      <c r="J33" s="457" t="s">
        <v>425</v>
      </c>
      <c r="K33" s="329" t="s">
        <v>443</v>
      </c>
      <c r="L33" s="329">
        <v>20</v>
      </c>
      <c r="M33" s="779">
        <v>768518.52</v>
      </c>
      <c r="N33" s="779">
        <v>15370370.4</v>
      </c>
      <c r="O33" s="779">
        <v>1229629.632</v>
      </c>
      <c r="P33" s="779">
        <v>16600000.032</v>
      </c>
      <c r="Q33" s="852"/>
    </row>
    <row r="34" spans="1:17">
      <c r="A34" s="528" t="s">
        <v>711</v>
      </c>
      <c r="B34" s="529" t="s">
        <v>715</v>
      </c>
      <c r="C34" s="461" t="s">
        <v>247</v>
      </c>
      <c r="D34" s="531"/>
      <c r="E34" s="540" t="s">
        <v>449</v>
      </c>
      <c r="F34" s="532"/>
      <c r="G34" s="537" t="s">
        <v>467</v>
      </c>
      <c r="H34" s="534" t="s">
        <v>813</v>
      </c>
      <c r="I34" s="463" t="s">
        <v>58</v>
      </c>
      <c r="J34" s="744" t="s">
        <v>59</v>
      </c>
      <c r="K34" s="327" t="s">
        <v>18</v>
      </c>
      <c r="L34" s="327">
        <v>7</v>
      </c>
      <c r="M34" s="780">
        <v>1361111.11</v>
      </c>
      <c r="N34" s="780">
        <v>9527777.7700000014</v>
      </c>
      <c r="O34" s="780">
        <v>762222.22160000016</v>
      </c>
      <c r="P34" s="780">
        <v>10289999.991600001</v>
      </c>
      <c r="Q34" s="852"/>
    </row>
    <row r="35" spans="1:17">
      <c r="A35" s="528" t="s">
        <v>711</v>
      </c>
      <c r="B35" s="529" t="s">
        <v>715</v>
      </c>
      <c r="C35" s="461" t="s">
        <v>449</v>
      </c>
      <c r="D35" s="531"/>
      <c r="E35" s="540" t="s">
        <v>295</v>
      </c>
      <c r="F35" s="532"/>
      <c r="G35" s="537" t="s">
        <v>468</v>
      </c>
      <c r="H35" s="534" t="s">
        <v>813</v>
      </c>
      <c r="I35" s="463" t="s">
        <v>194</v>
      </c>
      <c r="J35" s="744" t="s">
        <v>276</v>
      </c>
      <c r="K35" s="327" t="s">
        <v>18</v>
      </c>
      <c r="L35" s="327">
        <v>3</v>
      </c>
      <c r="M35" s="780">
        <v>1203703.7</v>
      </c>
      <c r="N35" s="780">
        <v>3611111.0999999996</v>
      </c>
      <c r="O35" s="780">
        <v>288888.88799999998</v>
      </c>
      <c r="P35" s="780">
        <v>3899999.9879999994</v>
      </c>
      <c r="Q35" s="852"/>
    </row>
    <row r="36" spans="1:17">
      <c r="A36" s="528" t="s">
        <v>711</v>
      </c>
      <c r="B36" s="529" t="s">
        <v>715</v>
      </c>
      <c r="C36" s="461" t="s">
        <v>449</v>
      </c>
      <c r="D36" s="531"/>
      <c r="E36" s="540" t="s">
        <v>295</v>
      </c>
      <c r="F36" s="532"/>
      <c r="G36" s="537" t="s">
        <v>468</v>
      </c>
      <c r="H36" s="534" t="s">
        <v>813</v>
      </c>
      <c r="I36" s="463" t="s">
        <v>58</v>
      </c>
      <c r="J36" s="744" t="s">
        <v>59</v>
      </c>
      <c r="K36" s="327" t="s">
        <v>18</v>
      </c>
      <c r="L36" s="327">
        <v>3</v>
      </c>
      <c r="M36" s="780">
        <v>1361111.11</v>
      </c>
      <c r="N36" s="780">
        <v>4083333.33</v>
      </c>
      <c r="O36" s="780">
        <v>326666.66639999999</v>
      </c>
      <c r="P36" s="780">
        <v>4409999.9964000005</v>
      </c>
      <c r="Q36" s="852"/>
    </row>
    <row r="37" spans="1:17">
      <c r="A37" s="528" t="s">
        <v>711</v>
      </c>
      <c r="B37" s="529" t="s">
        <v>715</v>
      </c>
      <c r="C37" s="461">
        <v>46302</v>
      </c>
      <c r="D37" s="531"/>
      <c r="E37" s="540">
        <v>46333</v>
      </c>
      <c r="F37" s="532"/>
      <c r="G37" s="537" t="s">
        <v>469</v>
      </c>
      <c r="H37" s="534" t="s">
        <v>813</v>
      </c>
      <c r="I37" s="463" t="s">
        <v>119</v>
      </c>
      <c r="J37" s="469" t="s">
        <v>191</v>
      </c>
      <c r="K37" s="327" t="s">
        <v>18</v>
      </c>
      <c r="L37" s="327">
        <v>5</v>
      </c>
      <c r="M37" s="780">
        <v>574074.06999999995</v>
      </c>
      <c r="N37" s="780">
        <v>2870370.3499999996</v>
      </c>
      <c r="O37" s="780">
        <v>229629.62799999997</v>
      </c>
      <c r="P37" s="780">
        <v>3099999.9779999997</v>
      </c>
      <c r="Q37" s="852"/>
    </row>
    <row r="38" spans="1:17">
      <c r="A38" s="528" t="s">
        <v>711</v>
      </c>
      <c r="B38" s="529" t="s">
        <v>715</v>
      </c>
      <c r="C38" s="461">
        <v>46302</v>
      </c>
      <c r="D38" s="531"/>
      <c r="E38" s="540">
        <v>46333</v>
      </c>
      <c r="F38" s="532"/>
      <c r="G38" s="537" t="s">
        <v>469</v>
      </c>
      <c r="H38" s="534" t="s">
        <v>813</v>
      </c>
      <c r="I38" s="463" t="s">
        <v>42</v>
      </c>
      <c r="J38" s="469" t="s">
        <v>43</v>
      </c>
      <c r="K38" s="327" t="s">
        <v>18</v>
      </c>
      <c r="L38" s="327">
        <v>2</v>
      </c>
      <c r="M38" s="780">
        <v>527777.78</v>
      </c>
      <c r="N38" s="780">
        <v>1055555.56</v>
      </c>
      <c r="O38" s="780">
        <v>84444.444800000012</v>
      </c>
      <c r="P38" s="780">
        <v>1140000.0048</v>
      </c>
      <c r="Q38" s="852"/>
    </row>
    <row r="39" spans="1:17">
      <c r="A39" s="528" t="s">
        <v>711</v>
      </c>
      <c r="B39" s="529" t="s">
        <v>715</v>
      </c>
      <c r="C39" s="461">
        <v>46302</v>
      </c>
      <c r="D39" s="531"/>
      <c r="E39" s="540">
        <v>46333</v>
      </c>
      <c r="F39" s="532"/>
      <c r="G39" s="537" t="s">
        <v>469</v>
      </c>
      <c r="H39" s="534" t="s">
        <v>813</v>
      </c>
      <c r="I39" s="463" t="s">
        <v>44</v>
      </c>
      <c r="J39" s="469" t="s">
        <v>45</v>
      </c>
      <c r="K39" s="327" t="s">
        <v>18</v>
      </c>
      <c r="L39" s="327">
        <v>4</v>
      </c>
      <c r="M39" s="780">
        <v>537037.04</v>
      </c>
      <c r="N39" s="780">
        <v>2148148.16</v>
      </c>
      <c r="O39" s="780">
        <v>171851.85280000002</v>
      </c>
      <c r="P39" s="780">
        <v>2320000.0128000001</v>
      </c>
      <c r="Q39" s="852"/>
    </row>
    <row r="40" spans="1:17">
      <c r="A40" s="528" t="s">
        <v>711</v>
      </c>
      <c r="B40" s="529" t="s">
        <v>715</v>
      </c>
      <c r="C40" s="461">
        <v>46302</v>
      </c>
      <c r="D40" s="531"/>
      <c r="E40" s="540">
        <v>46333</v>
      </c>
      <c r="F40" s="532"/>
      <c r="G40" s="537" t="s">
        <v>469</v>
      </c>
      <c r="H40" s="534" t="s">
        <v>813</v>
      </c>
      <c r="I40" s="463" t="s">
        <v>148</v>
      </c>
      <c r="J40" s="469" t="s">
        <v>149</v>
      </c>
      <c r="K40" s="327" t="s">
        <v>18</v>
      </c>
      <c r="L40" s="327">
        <v>5</v>
      </c>
      <c r="M40" s="780">
        <v>296296.3</v>
      </c>
      <c r="N40" s="780">
        <v>1481481.5</v>
      </c>
      <c r="O40" s="780">
        <v>118518.52</v>
      </c>
      <c r="P40" s="780">
        <v>1600000.02</v>
      </c>
      <c r="Q40" s="852"/>
    </row>
    <row r="41" spans="1:17">
      <c r="A41" s="528" t="s">
        <v>711</v>
      </c>
      <c r="B41" s="529" t="s">
        <v>715</v>
      </c>
      <c r="C41" s="461">
        <v>46302</v>
      </c>
      <c r="D41" s="531"/>
      <c r="E41" s="540">
        <v>46333</v>
      </c>
      <c r="F41" s="532"/>
      <c r="G41" s="537" t="s">
        <v>469</v>
      </c>
      <c r="H41" s="534" t="s">
        <v>813</v>
      </c>
      <c r="I41" s="463" t="s">
        <v>192</v>
      </c>
      <c r="J41" s="469" t="s">
        <v>193</v>
      </c>
      <c r="K41" s="327" t="s">
        <v>18</v>
      </c>
      <c r="L41" s="327">
        <v>10</v>
      </c>
      <c r="M41" s="780">
        <v>333333.33</v>
      </c>
      <c r="N41" s="780">
        <v>3333333.3000000003</v>
      </c>
      <c r="O41" s="780">
        <v>266666.66400000005</v>
      </c>
      <c r="P41" s="780">
        <v>3599999.9640000002</v>
      </c>
      <c r="Q41" s="852"/>
    </row>
    <row r="42" spans="1:17">
      <c r="A42" s="528" t="s">
        <v>711</v>
      </c>
      <c r="B42" s="529" t="s">
        <v>715</v>
      </c>
      <c r="C42" s="461">
        <v>46302</v>
      </c>
      <c r="D42" s="531"/>
      <c r="E42" s="540">
        <v>46333</v>
      </c>
      <c r="F42" s="532"/>
      <c r="G42" s="537" t="s">
        <v>469</v>
      </c>
      <c r="H42" s="534" t="s">
        <v>813</v>
      </c>
      <c r="I42" s="463" t="s">
        <v>46</v>
      </c>
      <c r="J42" s="744" t="s">
        <v>47</v>
      </c>
      <c r="K42" s="327" t="s">
        <v>18</v>
      </c>
      <c r="L42" s="327">
        <v>6</v>
      </c>
      <c r="M42" s="780">
        <v>240740.74</v>
      </c>
      <c r="N42" s="780">
        <v>1444444.44</v>
      </c>
      <c r="O42" s="780">
        <v>115555.5552</v>
      </c>
      <c r="P42" s="780">
        <v>1559999.9952</v>
      </c>
      <c r="Q42" s="852"/>
    </row>
    <row r="43" spans="1:17">
      <c r="A43" s="528" t="s">
        <v>711</v>
      </c>
      <c r="B43" s="529" t="s">
        <v>715</v>
      </c>
      <c r="C43" s="461" t="s">
        <v>470</v>
      </c>
      <c r="D43" s="531"/>
      <c r="E43" s="540" t="s">
        <v>106</v>
      </c>
      <c r="F43" s="532"/>
      <c r="G43" s="537" t="s">
        <v>471</v>
      </c>
      <c r="H43" s="534" t="s">
        <v>813</v>
      </c>
      <c r="I43" s="463" t="s">
        <v>119</v>
      </c>
      <c r="J43" s="469" t="s">
        <v>191</v>
      </c>
      <c r="K43" s="327" t="s">
        <v>18</v>
      </c>
      <c r="L43" s="327">
        <v>4</v>
      </c>
      <c r="M43" s="780">
        <v>574074.06999999995</v>
      </c>
      <c r="N43" s="780">
        <v>2296296.2799999998</v>
      </c>
      <c r="O43" s="780">
        <v>183703.70239999998</v>
      </c>
      <c r="P43" s="780">
        <v>2479999.9823999996</v>
      </c>
      <c r="Q43" s="852"/>
    </row>
    <row r="44" spans="1:17">
      <c r="A44" s="528" t="s">
        <v>711</v>
      </c>
      <c r="B44" s="529" t="s">
        <v>715</v>
      </c>
      <c r="C44" s="461" t="s">
        <v>470</v>
      </c>
      <c r="D44" s="531"/>
      <c r="E44" s="540" t="s">
        <v>106</v>
      </c>
      <c r="F44" s="532"/>
      <c r="G44" s="537" t="s">
        <v>471</v>
      </c>
      <c r="H44" s="534" t="s">
        <v>813</v>
      </c>
      <c r="I44" s="463" t="s">
        <v>42</v>
      </c>
      <c r="J44" s="469" t="s">
        <v>43</v>
      </c>
      <c r="K44" s="327" t="s">
        <v>18</v>
      </c>
      <c r="L44" s="327">
        <v>2</v>
      </c>
      <c r="M44" s="780">
        <v>527777.78</v>
      </c>
      <c r="N44" s="780">
        <v>1055555.56</v>
      </c>
      <c r="O44" s="780">
        <v>84444.444800000012</v>
      </c>
      <c r="P44" s="780">
        <v>1140000.0048</v>
      </c>
      <c r="Q44" s="852"/>
    </row>
    <row r="45" spans="1:17">
      <c r="A45" s="528" t="s">
        <v>711</v>
      </c>
      <c r="B45" s="529" t="s">
        <v>715</v>
      </c>
      <c r="C45" s="461" t="s">
        <v>470</v>
      </c>
      <c r="D45" s="531"/>
      <c r="E45" s="540" t="s">
        <v>106</v>
      </c>
      <c r="F45" s="532"/>
      <c r="G45" s="537" t="s">
        <v>471</v>
      </c>
      <c r="H45" s="534" t="s">
        <v>813</v>
      </c>
      <c r="I45" s="463" t="s">
        <v>44</v>
      </c>
      <c r="J45" s="469" t="s">
        <v>45</v>
      </c>
      <c r="K45" s="327" t="s">
        <v>18</v>
      </c>
      <c r="L45" s="327">
        <v>2</v>
      </c>
      <c r="M45" s="780">
        <v>537037.04</v>
      </c>
      <c r="N45" s="780">
        <v>1074074.08</v>
      </c>
      <c r="O45" s="780">
        <v>85925.926400000011</v>
      </c>
      <c r="P45" s="780">
        <v>1160000.0064000001</v>
      </c>
      <c r="Q45" s="852"/>
    </row>
    <row r="46" spans="1:17">
      <c r="A46" s="528" t="s">
        <v>711</v>
      </c>
      <c r="B46" s="529" t="s">
        <v>715</v>
      </c>
      <c r="C46" s="461" t="s">
        <v>470</v>
      </c>
      <c r="D46" s="531"/>
      <c r="E46" s="540" t="s">
        <v>106</v>
      </c>
      <c r="F46" s="532"/>
      <c r="G46" s="537" t="s">
        <v>471</v>
      </c>
      <c r="H46" s="534" t="s">
        <v>813</v>
      </c>
      <c r="I46" s="463" t="s">
        <v>148</v>
      </c>
      <c r="J46" s="469" t="s">
        <v>149</v>
      </c>
      <c r="K46" s="327" t="s">
        <v>18</v>
      </c>
      <c r="L46" s="327">
        <v>2</v>
      </c>
      <c r="M46" s="780">
        <v>296296.3</v>
      </c>
      <c r="N46" s="780">
        <v>592592.6</v>
      </c>
      <c r="O46" s="780">
        <v>47407.407999999996</v>
      </c>
      <c r="P46" s="780">
        <v>640000.00800000003</v>
      </c>
      <c r="Q46" s="852"/>
    </row>
    <row r="47" spans="1:17">
      <c r="A47" s="528" t="s">
        <v>711</v>
      </c>
      <c r="B47" s="529" t="s">
        <v>715</v>
      </c>
      <c r="C47" s="461" t="s">
        <v>470</v>
      </c>
      <c r="D47" s="531"/>
      <c r="E47" s="540" t="s">
        <v>106</v>
      </c>
      <c r="F47" s="532"/>
      <c r="G47" s="537" t="s">
        <v>471</v>
      </c>
      <c r="H47" s="534" t="s">
        <v>813</v>
      </c>
      <c r="I47" s="463" t="s">
        <v>46</v>
      </c>
      <c r="J47" s="744" t="s">
        <v>47</v>
      </c>
      <c r="K47" s="327" t="s">
        <v>18</v>
      </c>
      <c r="L47" s="327">
        <v>4</v>
      </c>
      <c r="M47" s="780">
        <v>240740.74</v>
      </c>
      <c r="N47" s="780">
        <v>962962.96</v>
      </c>
      <c r="O47" s="780">
        <v>77037.036800000002</v>
      </c>
      <c r="P47" s="780">
        <v>1039999.9968</v>
      </c>
      <c r="Q47" s="852"/>
    </row>
    <row r="48" spans="1:17">
      <c r="A48" s="528" t="s">
        <v>711</v>
      </c>
      <c r="B48" s="529" t="s">
        <v>715</v>
      </c>
      <c r="C48" s="461" t="s">
        <v>470</v>
      </c>
      <c r="D48" s="531"/>
      <c r="E48" s="540" t="s">
        <v>106</v>
      </c>
      <c r="F48" s="532"/>
      <c r="G48" s="537" t="s">
        <v>471</v>
      </c>
      <c r="H48" s="534" t="s">
        <v>813</v>
      </c>
      <c r="I48" s="458" t="s">
        <v>58</v>
      </c>
      <c r="J48" s="457" t="s">
        <v>59</v>
      </c>
      <c r="K48" s="327" t="s">
        <v>465</v>
      </c>
      <c r="L48" s="329">
        <v>3</v>
      </c>
      <c r="M48" s="779">
        <v>1361111.11</v>
      </c>
      <c r="N48" s="779">
        <v>4083333.33</v>
      </c>
      <c r="O48" s="779">
        <v>326666.66639999999</v>
      </c>
      <c r="P48" s="779">
        <v>4409999.9964000005</v>
      </c>
      <c r="Q48" s="852"/>
    </row>
    <row r="49" spans="1:17">
      <c r="A49" s="528" t="s">
        <v>711</v>
      </c>
      <c r="B49" s="529" t="s">
        <v>715</v>
      </c>
      <c r="C49" s="461" t="s">
        <v>106</v>
      </c>
      <c r="D49" s="531"/>
      <c r="E49" s="540" t="s">
        <v>106</v>
      </c>
      <c r="F49" s="532"/>
      <c r="G49" s="537" t="s">
        <v>472</v>
      </c>
      <c r="H49" s="534" t="s">
        <v>813</v>
      </c>
      <c r="I49" s="458" t="s">
        <v>58</v>
      </c>
      <c r="J49" s="457" t="s">
        <v>59</v>
      </c>
      <c r="K49" s="327" t="s">
        <v>465</v>
      </c>
      <c r="L49" s="329">
        <v>3</v>
      </c>
      <c r="M49" s="779">
        <v>1361111.11</v>
      </c>
      <c r="N49" s="779">
        <v>4083333.33</v>
      </c>
      <c r="O49" s="779">
        <v>326666.66639999999</v>
      </c>
      <c r="P49" s="779">
        <v>4409999.9964000005</v>
      </c>
      <c r="Q49" s="852"/>
    </row>
    <row r="50" spans="1:17">
      <c r="A50" s="528" t="s">
        <v>711</v>
      </c>
      <c r="B50" s="529" t="s">
        <v>715</v>
      </c>
      <c r="C50" s="461" t="s">
        <v>106</v>
      </c>
      <c r="D50" s="531"/>
      <c r="E50" s="540" t="s">
        <v>106</v>
      </c>
      <c r="F50" s="532"/>
      <c r="G50" s="537" t="s">
        <v>472</v>
      </c>
      <c r="H50" s="534" t="s">
        <v>813</v>
      </c>
      <c r="I50" s="463" t="s">
        <v>44</v>
      </c>
      <c r="J50" s="469" t="s">
        <v>45</v>
      </c>
      <c r="K50" s="327" t="s">
        <v>18</v>
      </c>
      <c r="L50" s="327">
        <v>2</v>
      </c>
      <c r="M50" s="780">
        <v>537037.04</v>
      </c>
      <c r="N50" s="780">
        <v>1074074.08</v>
      </c>
      <c r="O50" s="780">
        <v>85925.926400000011</v>
      </c>
      <c r="P50" s="780">
        <v>1160000.0064000001</v>
      </c>
      <c r="Q50" s="852"/>
    </row>
    <row r="51" spans="1:17">
      <c r="A51" s="528" t="s">
        <v>711</v>
      </c>
      <c r="B51" s="529" t="s">
        <v>715</v>
      </c>
      <c r="C51" s="461" t="s">
        <v>106</v>
      </c>
      <c r="D51" s="531"/>
      <c r="E51" s="540" t="s">
        <v>106</v>
      </c>
      <c r="F51" s="532"/>
      <c r="G51" s="537" t="s">
        <v>472</v>
      </c>
      <c r="H51" s="534" t="s">
        <v>813</v>
      </c>
      <c r="I51" s="463" t="s">
        <v>192</v>
      </c>
      <c r="J51" s="469" t="s">
        <v>193</v>
      </c>
      <c r="K51" s="327" t="s">
        <v>18</v>
      </c>
      <c r="L51" s="327">
        <v>2</v>
      </c>
      <c r="M51" s="780">
        <v>333333.33</v>
      </c>
      <c r="N51" s="780">
        <v>666666.66</v>
      </c>
      <c r="O51" s="780">
        <v>53333.332799999996</v>
      </c>
      <c r="P51" s="780">
        <v>719999.99280000001</v>
      </c>
      <c r="Q51" s="852"/>
    </row>
    <row r="52" spans="1:17">
      <c r="A52" s="528" t="s">
        <v>711</v>
      </c>
      <c r="B52" s="802" t="s">
        <v>715</v>
      </c>
      <c r="C52" s="453" t="s">
        <v>854</v>
      </c>
      <c r="D52" s="531"/>
      <c r="E52" s="530"/>
      <c r="F52" s="532"/>
      <c r="G52" s="533"/>
      <c r="H52" s="534" t="s">
        <v>919</v>
      </c>
      <c r="I52" s="839"/>
      <c r="J52" s="839"/>
      <c r="K52" s="327"/>
      <c r="L52" s="865"/>
      <c r="M52" s="779"/>
      <c r="N52" s="779">
        <v>0</v>
      </c>
      <c r="O52" s="779">
        <v>0</v>
      </c>
      <c r="P52" s="779">
        <v>0</v>
      </c>
      <c r="Q52" s="866">
        <v>40000000</v>
      </c>
    </row>
    <row r="53" spans="1:17">
      <c r="A53" s="528" t="s">
        <v>711</v>
      </c>
      <c r="B53" s="529" t="s">
        <v>715</v>
      </c>
      <c r="C53" s="461">
        <v>46244</v>
      </c>
      <c r="D53" s="534" t="s">
        <v>710</v>
      </c>
      <c r="E53" s="540">
        <v>46244</v>
      </c>
      <c r="F53" s="853" t="s">
        <v>773</v>
      </c>
      <c r="G53" s="537">
        <v>272</v>
      </c>
      <c r="H53" s="534" t="s">
        <v>813</v>
      </c>
      <c r="I53" s="538" t="s">
        <v>260</v>
      </c>
      <c r="J53" s="538" t="s">
        <v>261</v>
      </c>
      <c r="K53" s="327" t="s">
        <v>92</v>
      </c>
      <c r="L53" s="538">
        <v>16</v>
      </c>
      <c r="M53" s="799">
        <v>407407.41</v>
      </c>
      <c r="N53" s="798">
        <v>6518518.5599999996</v>
      </c>
      <c r="O53" s="798">
        <v>521481.48479999998</v>
      </c>
      <c r="P53" s="798">
        <v>7040000.0447999993</v>
      </c>
      <c r="Q53" s="799"/>
    </row>
    <row r="54" spans="1:17">
      <c r="A54" s="528" t="s">
        <v>711</v>
      </c>
      <c r="B54" s="529" t="s">
        <v>715</v>
      </c>
      <c r="C54" s="461">
        <v>46244</v>
      </c>
      <c r="D54" s="534" t="s">
        <v>710</v>
      </c>
      <c r="E54" s="540">
        <v>46244</v>
      </c>
      <c r="F54" s="853" t="s">
        <v>773</v>
      </c>
      <c r="G54" s="537" t="s">
        <v>771</v>
      </c>
      <c r="H54" s="534" t="s">
        <v>813</v>
      </c>
      <c r="I54" s="538" t="s">
        <v>119</v>
      </c>
      <c r="J54" s="538" t="s">
        <v>191</v>
      </c>
      <c r="K54" s="327" t="s">
        <v>113</v>
      </c>
      <c r="L54" s="538">
        <v>4</v>
      </c>
      <c r="M54" s="799">
        <v>574074.06999999995</v>
      </c>
      <c r="N54" s="798">
        <v>2296296.2799999998</v>
      </c>
      <c r="O54" s="798">
        <v>183703.70239999998</v>
      </c>
      <c r="P54" s="798">
        <v>2479999.9823999996</v>
      </c>
      <c r="Q54" s="799"/>
    </row>
    <row r="55" spans="1:17">
      <c r="A55" s="528" t="s">
        <v>711</v>
      </c>
      <c r="B55" s="529" t="s">
        <v>715</v>
      </c>
      <c r="C55" s="461">
        <v>46244</v>
      </c>
      <c r="D55" s="534" t="s">
        <v>710</v>
      </c>
      <c r="E55" s="540">
        <v>46244</v>
      </c>
      <c r="F55" s="853" t="s">
        <v>773</v>
      </c>
      <c r="G55" s="537" t="s">
        <v>771</v>
      </c>
      <c r="H55" s="534" t="s">
        <v>813</v>
      </c>
      <c r="I55" s="538" t="s">
        <v>42</v>
      </c>
      <c r="J55" s="538" t="s">
        <v>43</v>
      </c>
      <c r="K55" s="327" t="s">
        <v>113</v>
      </c>
      <c r="L55" s="538">
        <v>3</v>
      </c>
      <c r="M55" s="799">
        <v>527777.78</v>
      </c>
      <c r="N55" s="798">
        <v>1583333.34</v>
      </c>
      <c r="O55" s="798">
        <v>126666.66720000001</v>
      </c>
      <c r="P55" s="798">
        <v>1710000.0072000001</v>
      </c>
      <c r="Q55" s="799"/>
    </row>
    <row r="56" spans="1:17">
      <c r="A56" s="528" t="s">
        <v>711</v>
      </c>
      <c r="B56" s="529" t="s">
        <v>715</v>
      </c>
      <c r="C56" s="461">
        <v>46244</v>
      </c>
      <c r="D56" s="534" t="s">
        <v>710</v>
      </c>
      <c r="E56" s="540">
        <v>46244</v>
      </c>
      <c r="F56" s="853" t="s">
        <v>773</v>
      </c>
      <c r="G56" s="537" t="s">
        <v>771</v>
      </c>
      <c r="H56" s="534" t="s">
        <v>813</v>
      </c>
      <c r="I56" s="538" t="s">
        <v>44</v>
      </c>
      <c r="J56" s="538" t="s">
        <v>45</v>
      </c>
      <c r="K56" s="327" t="s">
        <v>113</v>
      </c>
      <c r="L56" s="538">
        <v>4</v>
      </c>
      <c r="M56" s="799">
        <v>537037.04</v>
      </c>
      <c r="N56" s="798">
        <v>2148148.16</v>
      </c>
      <c r="O56" s="798">
        <v>171851.85280000002</v>
      </c>
      <c r="P56" s="798">
        <v>2320000.0128000001</v>
      </c>
      <c r="Q56" s="799"/>
    </row>
    <row r="57" spans="1:17">
      <c r="A57" s="528" t="s">
        <v>711</v>
      </c>
      <c r="B57" s="529" t="s">
        <v>715</v>
      </c>
      <c r="C57" s="461">
        <v>46244</v>
      </c>
      <c r="D57" s="534" t="s">
        <v>710</v>
      </c>
      <c r="E57" s="540">
        <v>46244</v>
      </c>
      <c r="F57" s="853" t="s">
        <v>773</v>
      </c>
      <c r="G57" s="537" t="s">
        <v>771</v>
      </c>
      <c r="H57" s="534" t="s">
        <v>813</v>
      </c>
      <c r="I57" s="538" t="s">
        <v>148</v>
      </c>
      <c r="J57" s="538" t="s">
        <v>149</v>
      </c>
      <c r="K57" s="327" t="s">
        <v>113</v>
      </c>
      <c r="L57" s="538">
        <v>6</v>
      </c>
      <c r="M57" s="799">
        <v>296296.3</v>
      </c>
      <c r="N57" s="798">
        <v>1777777.7999999998</v>
      </c>
      <c r="O57" s="798">
        <v>142222.22399999999</v>
      </c>
      <c r="P57" s="798">
        <v>1920000.0239999997</v>
      </c>
      <c r="Q57" s="799"/>
    </row>
    <row r="58" spans="1:17">
      <c r="A58" s="528" t="s">
        <v>711</v>
      </c>
      <c r="B58" s="529" t="s">
        <v>715</v>
      </c>
      <c r="C58" s="461">
        <v>46244</v>
      </c>
      <c r="D58" s="534" t="s">
        <v>710</v>
      </c>
      <c r="E58" s="540">
        <v>46244</v>
      </c>
      <c r="F58" s="853" t="s">
        <v>773</v>
      </c>
      <c r="G58" s="537" t="s">
        <v>771</v>
      </c>
      <c r="H58" s="534" t="s">
        <v>813</v>
      </c>
      <c r="I58" s="538" t="s">
        <v>192</v>
      </c>
      <c r="J58" s="538" t="s">
        <v>193</v>
      </c>
      <c r="K58" s="327" t="s">
        <v>113</v>
      </c>
      <c r="L58" s="538">
        <v>7</v>
      </c>
      <c r="M58" s="799">
        <v>333333.33</v>
      </c>
      <c r="N58" s="798">
        <v>2333333.31</v>
      </c>
      <c r="O58" s="798">
        <v>186666.6648</v>
      </c>
      <c r="P58" s="798">
        <v>2519999.9748</v>
      </c>
      <c r="Q58" s="799"/>
    </row>
    <row r="59" spans="1:17">
      <c r="A59" s="528" t="s">
        <v>711</v>
      </c>
      <c r="B59" s="529" t="s">
        <v>715</v>
      </c>
      <c r="C59" s="461">
        <v>46244</v>
      </c>
      <c r="D59" s="534" t="s">
        <v>710</v>
      </c>
      <c r="E59" s="540">
        <v>46244</v>
      </c>
      <c r="F59" s="853" t="s">
        <v>773</v>
      </c>
      <c r="G59" s="537" t="s">
        <v>771</v>
      </c>
      <c r="H59" s="534" t="s">
        <v>813</v>
      </c>
      <c r="I59" s="538" t="s">
        <v>46</v>
      </c>
      <c r="J59" s="538" t="s">
        <v>47</v>
      </c>
      <c r="K59" s="327" t="s">
        <v>113</v>
      </c>
      <c r="L59" s="538">
        <v>4</v>
      </c>
      <c r="M59" s="799">
        <v>240740.74</v>
      </c>
      <c r="N59" s="798">
        <v>962962.96</v>
      </c>
      <c r="O59" s="798">
        <v>77037.036800000002</v>
      </c>
      <c r="P59" s="798">
        <v>1039999.9968</v>
      </c>
      <c r="Q59" s="799"/>
    </row>
    <row r="60" spans="1:17">
      <c r="A60" s="528" t="s">
        <v>711</v>
      </c>
      <c r="B60" s="529" t="s">
        <v>715</v>
      </c>
      <c r="C60" s="461">
        <v>46244</v>
      </c>
      <c r="D60" s="534" t="s">
        <v>710</v>
      </c>
      <c r="E60" s="540">
        <v>46244</v>
      </c>
      <c r="F60" s="853" t="s">
        <v>773</v>
      </c>
      <c r="G60" s="537" t="s">
        <v>771</v>
      </c>
      <c r="H60" s="534" t="s">
        <v>813</v>
      </c>
      <c r="I60" s="538" t="s">
        <v>58</v>
      </c>
      <c r="J60" s="538" t="s">
        <v>59</v>
      </c>
      <c r="K60" s="327" t="s">
        <v>113</v>
      </c>
      <c r="L60" s="538">
        <v>3</v>
      </c>
      <c r="M60" s="799">
        <v>1361111.11</v>
      </c>
      <c r="N60" s="798">
        <v>4083333.33</v>
      </c>
      <c r="O60" s="798">
        <v>326666.66639999999</v>
      </c>
      <c r="P60" s="798">
        <v>4409999.9964000005</v>
      </c>
      <c r="Q60" s="799"/>
    </row>
    <row r="61" spans="1:17">
      <c r="A61" s="528" t="s">
        <v>711</v>
      </c>
      <c r="B61" s="529" t="s">
        <v>715</v>
      </c>
      <c r="C61" s="545">
        <v>46251</v>
      </c>
      <c r="D61" s="531" t="s">
        <v>845</v>
      </c>
      <c r="E61" s="867">
        <v>46256</v>
      </c>
      <c r="F61" s="854" t="s">
        <v>928</v>
      </c>
      <c r="G61" s="868" t="s">
        <v>927</v>
      </c>
      <c r="H61" s="534" t="s">
        <v>813</v>
      </c>
      <c r="I61" s="855" t="s">
        <v>260</v>
      </c>
      <c r="J61" s="856" t="s">
        <v>261</v>
      </c>
      <c r="K61" s="327" t="s">
        <v>18</v>
      </c>
      <c r="L61" s="451">
        <v>12</v>
      </c>
      <c r="M61" s="726">
        <v>407407.41</v>
      </c>
      <c r="N61" s="726">
        <v>4888888.92</v>
      </c>
      <c r="O61" s="798">
        <v>391111.11359999998</v>
      </c>
      <c r="P61" s="798">
        <v>5280000.0335999997</v>
      </c>
      <c r="Q61" s="801"/>
    </row>
    <row r="62" spans="1:17">
      <c r="A62" s="528" t="s">
        <v>711</v>
      </c>
      <c r="B62" s="529" t="s">
        <v>715</v>
      </c>
      <c r="C62" s="545">
        <v>46251</v>
      </c>
      <c r="D62" s="531" t="s">
        <v>845</v>
      </c>
      <c r="E62" s="867"/>
      <c r="F62" s="532"/>
      <c r="G62" s="869"/>
      <c r="H62" s="534" t="s">
        <v>813</v>
      </c>
      <c r="I62" s="463" t="s">
        <v>44</v>
      </c>
      <c r="J62" s="857" t="s">
        <v>45</v>
      </c>
      <c r="K62" s="327" t="s">
        <v>18</v>
      </c>
      <c r="L62" s="451">
        <v>4</v>
      </c>
      <c r="M62" s="726">
        <v>537037.04</v>
      </c>
      <c r="N62" s="726">
        <v>2148148.16</v>
      </c>
      <c r="O62" s="798">
        <v>171851.85280000002</v>
      </c>
      <c r="P62" s="799">
        <v>2320000.0128000001</v>
      </c>
      <c r="Q62" s="801"/>
    </row>
    <row r="63" spans="1:17">
      <c r="A63" s="528" t="s">
        <v>711</v>
      </c>
      <c r="B63" s="529" t="s">
        <v>715</v>
      </c>
      <c r="C63" s="800">
        <v>46255</v>
      </c>
      <c r="D63" s="531" t="s">
        <v>909</v>
      </c>
      <c r="E63" s="867">
        <v>46256</v>
      </c>
      <c r="F63" s="854" t="s">
        <v>928</v>
      </c>
      <c r="G63" s="868" t="s">
        <v>927</v>
      </c>
      <c r="H63" s="534" t="s">
        <v>813</v>
      </c>
      <c r="I63" s="463" t="s">
        <v>46</v>
      </c>
      <c r="J63" s="857" t="s">
        <v>47</v>
      </c>
      <c r="K63" s="327" t="s">
        <v>18</v>
      </c>
      <c r="L63" s="451">
        <v>30</v>
      </c>
      <c r="M63" s="726">
        <v>240740.74</v>
      </c>
      <c r="N63" s="726">
        <v>7222222.1999999993</v>
      </c>
      <c r="O63" s="798">
        <v>577777.77599999995</v>
      </c>
      <c r="P63" s="798">
        <v>7799999.9759999989</v>
      </c>
      <c r="Q63" s="858"/>
    </row>
    <row r="64" spans="1:17">
      <c r="A64" s="528" t="s">
        <v>711</v>
      </c>
      <c r="B64" s="529" t="s">
        <v>715</v>
      </c>
      <c r="C64" s="800">
        <v>46255</v>
      </c>
      <c r="D64" s="531" t="s">
        <v>909</v>
      </c>
      <c r="E64" s="867">
        <v>46256</v>
      </c>
      <c r="F64" s="854" t="s">
        <v>928</v>
      </c>
      <c r="G64" s="868" t="s">
        <v>927</v>
      </c>
      <c r="H64" s="534" t="s">
        <v>813</v>
      </c>
      <c r="I64" s="463" t="s">
        <v>119</v>
      </c>
      <c r="J64" s="857" t="s">
        <v>191</v>
      </c>
      <c r="K64" s="327" t="s">
        <v>18</v>
      </c>
      <c r="L64" s="451">
        <v>12</v>
      </c>
      <c r="M64" s="726">
        <v>574074.06999999995</v>
      </c>
      <c r="N64" s="726">
        <v>6888888.8399999999</v>
      </c>
      <c r="O64" s="798">
        <v>551111.10719999997</v>
      </c>
      <c r="P64" s="798">
        <v>7439999.9472000003</v>
      </c>
      <c r="Q64" s="858"/>
    </row>
    <row r="65" spans="1:17">
      <c r="A65" s="528" t="s">
        <v>711</v>
      </c>
      <c r="B65" s="529" t="s">
        <v>715</v>
      </c>
      <c r="C65" s="800">
        <v>46255</v>
      </c>
      <c r="D65" s="531" t="s">
        <v>909</v>
      </c>
      <c r="E65" s="867">
        <v>46256</v>
      </c>
      <c r="F65" s="854" t="s">
        <v>928</v>
      </c>
      <c r="G65" s="868" t="s">
        <v>927</v>
      </c>
      <c r="H65" s="534" t="s">
        <v>813</v>
      </c>
      <c r="I65" s="463" t="s">
        <v>148</v>
      </c>
      <c r="J65" s="857" t="s">
        <v>149</v>
      </c>
      <c r="K65" s="327" t="s">
        <v>18</v>
      </c>
      <c r="L65" s="451">
        <v>20</v>
      </c>
      <c r="M65" s="780">
        <v>296296.3</v>
      </c>
      <c r="N65" s="726">
        <v>5925926</v>
      </c>
      <c r="O65" s="798">
        <v>474074.08</v>
      </c>
      <c r="P65" s="798">
        <v>6400000.0800000001</v>
      </c>
      <c r="Q65" s="801"/>
    </row>
    <row r="66" spans="1:17">
      <c r="A66" s="528" t="s">
        <v>711</v>
      </c>
      <c r="B66" s="529" t="s">
        <v>715</v>
      </c>
      <c r="C66" s="800">
        <v>46255</v>
      </c>
      <c r="D66" s="531" t="s">
        <v>909</v>
      </c>
      <c r="E66" s="867">
        <v>46256</v>
      </c>
      <c r="F66" s="854" t="s">
        <v>928</v>
      </c>
      <c r="G66" s="868" t="s">
        <v>927</v>
      </c>
      <c r="H66" s="534" t="s">
        <v>813</v>
      </c>
      <c r="I66" s="463" t="s">
        <v>192</v>
      </c>
      <c r="J66" s="857" t="s">
        <v>193</v>
      </c>
      <c r="K66" s="327" t="s">
        <v>18</v>
      </c>
      <c r="L66" s="451">
        <v>30</v>
      </c>
      <c r="M66" s="780">
        <v>333333.33</v>
      </c>
      <c r="N66" s="726">
        <v>9999999.9000000004</v>
      </c>
      <c r="O66" s="798">
        <v>799999.99200000009</v>
      </c>
      <c r="P66" s="798">
        <v>10799999.892000001</v>
      </c>
      <c r="Q66" s="801"/>
    </row>
    <row r="67" spans="1:17">
      <c r="A67" s="528" t="s">
        <v>711</v>
      </c>
      <c r="B67" s="529" t="s">
        <v>715</v>
      </c>
      <c r="C67" s="800">
        <v>46255</v>
      </c>
      <c r="D67" s="531" t="s">
        <v>909</v>
      </c>
      <c r="E67" s="867">
        <v>46256</v>
      </c>
      <c r="F67" s="854" t="s">
        <v>928</v>
      </c>
      <c r="G67" s="868" t="s">
        <v>927</v>
      </c>
      <c r="H67" s="534" t="s">
        <v>813</v>
      </c>
      <c r="I67" s="463" t="s">
        <v>260</v>
      </c>
      <c r="J67" s="857" t="s">
        <v>261</v>
      </c>
      <c r="K67" s="327" t="s">
        <v>18</v>
      </c>
      <c r="L67" s="451">
        <v>24</v>
      </c>
      <c r="M67" s="780">
        <v>407407.41</v>
      </c>
      <c r="N67" s="726">
        <v>9777777.8399999999</v>
      </c>
      <c r="O67" s="798">
        <v>782222.22719999996</v>
      </c>
      <c r="P67" s="798">
        <v>10560000.067199999</v>
      </c>
      <c r="Q67" s="801"/>
    </row>
    <row r="68" spans="1:17">
      <c r="A68" s="528" t="s">
        <v>711</v>
      </c>
      <c r="B68" s="529" t="s">
        <v>715</v>
      </c>
      <c r="C68" s="800">
        <v>46258</v>
      </c>
      <c r="D68" s="531" t="s">
        <v>923</v>
      </c>
      <c r="E68" s="867">
        <v>46258</v>
      </c>
      <c r="F68" s="532" t="s">
        <v>939</v>
      </c>
      <c r="G68" s="870" t="s">
        <v>938</v>
      </c>
      <c r="H68" s="534" t="s">
        <v>813</v>
      </c>
      <c r="I68" s="463" t="s">
        <v>46</v>
      </c>
      <c r="J68" s="857" t="s">
        <v>47</v>
      </c>
      <c r="K68" s="327" t="s">
        <v>18</v>
      </c>
      <c r="L68" s="451">
        <v>12</v>
      </c>
      <c r="M68" s="726">
        <v>240740.74</v>
      </c>
      <c r="N68" s="726">
        <v>2888888.88</v>
      </c>
      <c r="O68" s="798">
        <v>231111.11040000001</v>
      </c>
      <c r="P68" s="798">
        <v>3119999.9904</v>
      </c>
      <c r="Q68" s="801"/>
    </row>
    <row r="69" spans="1:17">
      <c r="A69" s="528" t="s">
        <v>711</v>
      </c>
      <c r="B69" s="529" t="s">
        <v>715</v>
      </c>
      <c r="C69" s="800">
        <v>46258</v>
      </c>
      <c r="D69" s="531" t="s">
        <v>923</v>
      </c>
      <c r="E69" s="867">
        <v>46258</v>
      </c>
      <c r="F69" s="532" t="s">
        <v>939</v>
      </c>
      <c r="G69" s="870" t="s">
        <v>938</v>
      </c>
      <c r="H69" s="534" t="s">
        <v>813</v>
      </c>
      <c r="I69" s="463" t="s">
        <v>157</v>
      </c>
      <c r="J69" s="857" t="s">
        <v>158</v>
      </c>
      <c r="K69" s="327" t="s">
        <v>18</v>
      </c>
      <c r="L69" s="451">
        <v>40</v>
      </c>
      <c r="M69" s="726">
        <v>342592.59</v>
      </c>
      <c r="N69" s="726">
        <v>13703703.600000001</v>
      </c>
      <c r="O69" s="798">
        <v>1096296.2880000002</v>
      </c>
      <c r="P69" s="798">
        <v>14799999.888000002</v>
      </c>
      <c r="Q69" s="801"/>
    </row>
    <row r="70" spans="1:17">
      <c r="A70" s="528" t="s">
        <v>711</v>
      </c>
      <c r="B70" s="529" t="s">
        <v>715</v>
      </c>
      <c r="C70" s="800">
        <v>46258</v>
      </c>
      <c r="D70" s="531" t="s">
        <v>923</v>
      </c>
      <c r="E70" s="867">
        <v>46258</v>
      </c>
      <c r="F70" s="532" t="s">
        <v>939</v>
      </c>
      <c r="G70" s="870" t="s">
        <v>938</v>
      </c>
      <c r="H70" s="534" t="s">
        <v>813</v>
      </c>
      <c r="I70" s="463" t="s">
        <v>74</v>
      </c>
      <c r="J70" s="857" t="s">
        <v>141</v>
      </c>
      <c r="K70" s="327" t="s">
        <v>18</v>
      </c>
      <c r="L70" s="451">
        <v>8</v>
      </c>
      <c r="M70" s="780">
        <v>388888.89</v>
      </c>
      <c r="N70" s="726">
        <v>3111111.12</v>
      </c>
      <c r="O70" s="798">
        <v>248888.88960000002</v>
      </c>
      <c r="P70" s="798">
        <v>3360000.0096</v>
      </c>
      <c r="Q70" s="801"/>
    </row>
    <row r="71" spans="1:17">
      <c r="A71" s="528" t="s">
        <v>711</v>
      </c>
      <c r="B71" s="529" t="s">
        <v>715</v>
      </c>
      <c r="C71" s="545">
        <v>46259</v>
      </c>
      <c r="D71" s="531" t="s">
        <v>951</v>
      </c>
      <c r="E71" s="867">
        <v>46260</v>
      </c>
      <c r="F71" s="532" t="s">
        <v>1076</v>
      </c>
      <c r="G71" s="870" t="s">
        <v>1077</v>
      </c>
      <c r="H71" s="534" t="s">
        <v>813</v>
      </c>
      <c r="I71" s="463" t="s">
        <v>157</v>
      </c>
      <c r="J71" s="857" t="s">
        <v>158</v>
      </c>
      <c r="K71" s="327" t="s">
        <v>18</v>
      </c>
      <c r="L71" s="451">
        <v>12</v>
      </c>
      <c r="M71" s="859">
        <v>342592.59</v>
      </c>
      <c r="N71" s="859">
        <v>4111111.08</v>
      </c>
      <c r="O71" s="813">
        <v>328888.88640000002</v>
      </c>
      <c r="P71" s="860">
        <v>4439999.9664000003</v>
      </c>
      <c r="Q71" s="860"/>
    </row>
    <row r="72" spans="1:17">
      <c r="A72" s="528" t="s">
        <v>711</v>
      </c>
      <c r="B72" s="529" t="s">
        <v>715</v>
      </c>
      <c r="C72" s="545">
        <v>46259</v>
      </c>
      <c r="D72" s="531" t="s">
        <v>951</v>
      </c>
      <c r="E72" s="867">
        <v>46260</v>
      </c>
      <c r="F72" s="532" t="s">
        <v>1076</v>
      </c>
      <c r="G72" s="870" t="s">
        <v>1077</v>
      </c>
      <c r="H72" s="534" t="s">
        <v>813</v>
      </c>
      <c r="I72" s="463" t="s">
        <v>260</v>
      </c>
      <c r="J72" s="857" t="s">
        <v>261</v>
      </c>
      <c r="K72" s="327" t="s">
        <v>18</v>
      </c>
      <c r="L72" s="451">
        <v>16</v>
      </c>
      <c r="M72" s="806">
        <v>407407.41</v>
      </c>
      <c r="N72" s="859">
        <v>6518518.5599999996</v>
      </c>
      <c r="O72" s="813">
        <v>521481.48479999998</v>
      </c>
      <c r="P72" s="860">
        <v>7040000.0447999993</v>
      </c>
      <c r="Q72" s="860"/>
    </row>
    <row r="73" spans="1:17">
      <c r="A73" s="528" t="s">
        <v>711</v>
      </c>
      <c r="B73" s="529" t="s">
        <v>715</v>
      </c>
      <c r="C73" s="545">
        <v>46259</v>
      </c>
      <c r="D73" s="531" t="s">
        <v>951</v>
      </c>
      <c r="E73" s="867">
        <v>46260</v>
      </c>
      <c r="F73" s="532" t="s">
        <v>1076</v>
      </c>
      <c r="G73" s="870" t="s">
        <v>1077</v>
      </c>
      <c r="H73" s="534" t="s">
        <v>813</v>
      </c>
      <c r="I73" s="463" t="s">
        <v>119</v>
      </c>
      <c r="J73" s="857" t="s">
        <v>191</v>
      </c>
      <c r="K73" s="327" t="s">
        <v>18</v>
      </c>
      <c r="L73" s="451">
        <v>8</v>
      </c>
      <c r="M73" s="806">
        <v>574074.06999999995</v>
      </c>
      <c r="N73" s="859">
        <v>4592592.5599999996</v>
      </c>
      <c r="O73" s="813">
        <v>367407.40479999996</v>
      </c>
      <c r="P73" s="860">
        <v>4959999.9647999993</v>
      </c>
      <c r="Q73" s="860"/>
    </row>
    <row r="74" spans="1:17">
      <c r="A74" s="528" t="s">
        <v>711</v>
      </c>
      <c r="B74" s="529" t="s">
        <v>715</v>
      </c>
      <c r="C74" s="545">
        <v>46259</v>
      </c>
      <c r="D74" s="531" t="s">
        <v>951</v>
      </c>
      <c r="E74" s="867">
        <v>46260</v>
      </c>
      <c r="F74" s="532" t="s">
        <v>1076</v>
      </c>
      <c r="G74" s="870" t="s">
        <v>1077</v>
      </c>
      <c r="H74" s="534" t="s">
        <v>813</v>
      </c>
      <c r="I74" s="463" t="s">
        <v>42</v>
      </c>
      <c r="J74" s="857" t="s">
        <v>43</v>
      </c>
      <c r="K74" s="327" t="s">
        <v>18</v>
      </c>
      <c r="L74" s="451">
        <v>12</v>
      </c>
      <c r="M74" s="806">
        <v>527777.78</v>
      </c>
      <c r="N74" s="859">
        <v>6333333.3600000003</v>
      </c>
      <c r="O74" s="813">
        <v>506666.66880000004</v>
      </c>
      <c r="P74" s="860">
        <v>6840000.0288000004</v>
      </c>
      <c r="Q74" s="860"/>
    </row>
    <row r="75" spans="1:17">
      <c r="A75" s="528" t="s">
        <v>711</v>
      </c>
      <c r="B75" s="529" t="s">
        <v>715</v>
      </c>
      <c r="C75" s="545">
        <v>46260</v>
      </c>
      <c r="D75" s="531"/>
      <c r="E75" s="800"/>
      <c r="F75" s="808"/>
      <c r="G75" s="808"/>
      <c r="H75" s="534" t="s">
        <v>919</v>
      </c>
      <c r="I75" s="808"/>
      <c r="J75" s="534"/>
      <c r="K75" s="327"/>
      <c r="L75" s="804"/>
      <c r="M75" s="805"/>
      <c r="N75" s="859">
        <v>0</v>
      </c>
      <c r="O75" s="813">
        <v>0</v>
      </c>
      <c r="P75" s="860">
        <v>0</v>
      </c>
      <c r="Q75" s="805">
        <v>41460000</v>
      </c>
    </row>
    <row r="76" spans="1:17">
      <c r="A76" s="528" t="s">
        <v>711</v>
      </c>
      <c r="B76" s="529" t="s">
        <v>715</v>
      </c>
      <c r="C76" s="800">
        <v>46268</v>
      </c>
      <c r="D76" s="861" t="s">
        <v>1052</v>
      </c>
      <c r="E76" s="862">
        <v>46276</v>
      </c>
      <c r="F76" s="538" t="s">
        <v>1300</v>
      </c>
      <c r="G76" s="863" t="s">
        <v>1160</v>
      </c>
      <c r="H76" s="534" t="s">
        <v>813</v>
      </c>
      <c r="I76" s="463" t="s">
        <v>46</v>
      </c>
      <c r="J76" s="857" t="s">
        <v>47</v>
      </c>
      <c r="K76" s="327" t="s">
        <v>18</v>
      </c>
      <c r="L76" s="451">
        <v>4</v>
      </c>
      <c r="M76" s="316">
        <v>240740.74</v>
      </c>
      <c r="N76" s="319">
        <v>962962.96</v>
      </c>
      <c r="O76" s="871">
        <v>77037.036800000002</v>
      </c>
      <c r="P76" s="806">
        <v>1039999.9968</v>
      </c>
      <c r="Q76" s="805"/>
    </row>
    <row r="77" spans="1:17">
      <c r="A77" s="528" t="s">
        <v>711</v>
      </c>
      <c r="B77" s="529" t="s">
        <v>715</v>
      </c>
      <c r="C77" s="800">
        <v>46268</v>
      </c>
      <c r="D77" s="861" t="s">
        <v>1052</v>
      </c>
      <c r="E77" s="862">
        <v>46276</v>
      </c>
      <c r="F77" s="538" t="s">
        <v>1300</v>
      </c>
      <c r="G77" s="863" t="s">
        <v>1160</v>
      </c>
      <c r="H77" s="534" t="s">
        <v>813</v>
      </c>
      <c r="I77" s="463" t="s">
        <v>157</v>
      </c>
      <c r="J77" s="857" t="s">
        <v>158</v>
      </c>
      <c r="K77" s="327" t="s">
        <v>18</v>
      </c>
      <c r="L77" s="451">
        <v>4</v>
      </c>
      <c r="M77" s="316">
        <v>342592.59</v>
      </c>
      <c r="N77" s="319">
        <v>1370370.36</v>
      </c>
      <c r="O77" s="871">
        <v>109629.62880000001</v>
      </c>
      <c r="P77" s="806">
        <v>1479999.9888000002</v>
      </c>
      <c r="Q77" s="805"/>
    </row>
    <row r="78" spans="1:17">
      <c r="A78" s="528" t="s">
        <v>711</v>
      </c>
      <c r="B78" s="529" t="s">
        <v>715</v>
      </c>
      <c r="C78" s="800">
        <v>46268</v>
      </c>
      <c r="D78" s="861" t="s">
        <v>1052</v>
      </c>
      <c r="E78" s="862">
        <v>46276</v>
      </c>
      <c r="F78" s="538" t="s">
        <v>1300</v>
      </c>
      <c r="G78" s="863" t="s">
        <v>1160</v>
      </c>
      <c r="H78" s="534" t="s">
        <v>813</v>
      </c>
      <c r="I78" s="463" t="s">
        <v>119</v>
      </c>
      <c r="J78" s="857" t="s">
        <v>191</v>
      </c>
      <c r="K78" s="327" t="s">
        <v>18</v>
      </c>
      <c r="L78" s="451">
        <v>4</v>
      </c>
      <c r="M78" s="316">
        <v>574074.06999999995</v>
      </c>
      <c r="N78" s="319">
        <v>2296296.2799999998</v>
      </c>
      <c r="O78" s="871">
        <v>183703.70239999998</v>
      </c>
      <c r="P78" s="806">
        <v>2479999.9823999996</v>
      </c>
      <c r="Q78" s="805"/>
    </row>
    <row r="79" spans="1:17">
      <c r="A79" s="528" t="s">
        <v>711</v>
      </c>
      <c r="B79" s="529" t="s">
        <v>715</v>
      </c>
      <c r="C79" s="800">
        <v>46268</v>
      </c>
      <c r="D79" s="861" t="s">
        <v>1052</v>
      </c>
      <c r="E79" s="862">
        <v>46276</v>
      </c>
      <c r="F79" s="538" t="s">
        <v>1300</v>
      </c>
      <c r="G79" s="863" t="s">
        <v>1160</v>
      </c>
      <c r="H79" s="534" t="s">
        <v>813</v>
      </c>
      <c r="I79" s="463" t="s">
        <v>42</v>
      </c>
      <c r="J79" s="463" t="s">
        <v>43</v>
      </c>
      <c r="K79" s="327" t="s">
        <v>18</v>
      </c>
      <c r="L79" s="451">
        <v>18</v>
      </c>
      <c r="M79" s="316">
        <v>527777.78</v>
      </c>
      <c r="N79" s="319">
        <v>9500000.040000001</v>
      </c>
      <c r="O79" s="871">
        <v>760000.00320000004</v>
      </c>
      <c r="P79" s="806">
        <v>10260000.043200001</v>
      </c>
      <c r="Q79" s="805"/>
    </row>
    <row r="80" spans="1:17">
      <c r="A80" s="528" t="s">
        <v>711</v>
      </c>
      <c r="B80" s="529" t="s">
        <v>715</v>
      </c>
      <c r="C80" s="800">
        <v>46268</v>
      </c>
      <c r="D80" s="861" t="s">
        <v>1052</v>
      </c>
      <c r="E80" s="862">
        <v>46276</v>
      </c>
      <c r="F80" s="538" t="s">
        <v>1300</v>
      </c>
      <c r="G80" s="863" t="s">
        <v>1160</v>
      </c>
      <c r="H80" s="534" t="s">
        <v>813</v>
      </c>
      <c r="I80" s="463" t="s">
        <v>44</v>
      </c>
      <c r="J80" s="463" t="s">
        <v>45</v>
      </c>
      <c r="K80" s="327" t="s">
        <v>18</v>
      </c>
      <c r="L80" s="451">
        <v>4</v>
      </c>
      <c r="M80" s="316">
        <v>537037.04</v>
      </c>
      <c r="N80" s="319">
        <v>2148148.16</v>
      </c>
      <c r="O80" s="871">
        <v>171851.85280000002</v>
      </c>
      <c r="P80" s="806">
        <v>2320000.0128000001</v>
      </c>
      <c r="Q80" s="805"/>
    </row>
    <row r="81" spans="1:17">
      <c r="A81" s="528" t="s">
        <v>711</v>
      </c>
      <c r="B81" s="529" t="s">
        <v>715</v>
      </c>
      <c r="C81" s="800">
        <v>46268</v>
      </c>
      <c r="D81" s="861" t="s">
        <v>1052</v>
      </c>
      <c r="E81" s="862">
        <v>46276</v>
      </c>
      <c r="F81" s="538" t="s">
        <v>1300</v>
      </c>
      <c r="G81" s="863" t="s">
        <v>1160</v>
      </c>
      <c r="H81" s="534" t="s">
        <v>813</v>
      </c>
      <c r="I81" s="463" t="s">
        <v>148</v>
      </c>
      <c r="J81" s="463" t="s">
        <v>149</v>
      </c>
      <c r="K81" s="327" t="s">
        <v>18</v>
      </c>
      <c r="L81" s="451">
        <v>12</v>
      </c>
      <c r="M81" s="316">
        <v>296296.3</v>
      </c>
      <c r="N81" s="319">
        <v>3555555.5999999996</v>
      </c>
      <c r="O81" s="871">
        <v>284444.44799999997</v>
      </c>
      <c r="P81" s="806">
        <v>3840000.0479999995</v>
      </c>
      <c r="Q81" s="805"/>
    </row>
    <row r="82" spans="1:17">
      <c r="A82" s="528" t="s">
        <v>711</v>
      </c>
      <c r="B82" s="529" t="s">
        <v>715</v>
      </c>
      <c r="C82" s="800">
        <v>46268</v>
      </c>
      <c r="D82" s="861" t="s">
        <v>1052</v>
      </c>
      <c r="E82" s="862">
        <v>46276</v>
      </c>
      <c r="F82" s="538" t="s">
        <v>1300</v>
      </c>
      <c r="G82" s="863" t="s">
        <v>1160</v>
      </c>
      <c r="H82" s="534" t="s">
        <v>813</v>
      </c>
      <c r="I82" s="463" t="s">
        <v>192</v>
      </c>
      <c r="J82" s="463" t="s">
        <v>193</v>
      </c>
      <c r="K82" s="327" t="s">
        <v>18</v>
      </c>
      <c r="L82" s="451">
        <v>8</v>
      </c>
      <c r="M82" s="316">
        <v>333333.33</v>
      </c>
      <c r="N82" s="319">
        <v>2666666.64</v>
      </c>
      <c r="O82" s="871">
        <v>213333.33120000002</v>
      </c>
      <c r="P82" s="806">
        <v>2879999.9712</v>
      </c>
      <c r="Q82" s="805"/>
    </row>
    <row r="83" spans="1:17">
      <c r="A83" s="528" t="s">
        <v>711</v>
      </c>
      <c r="B83" s="529" t="s">
        <v>715</v>
      </c>
      <c r="C83" s="800">
        <v>46268</v>
      </c>
      <c r="D83" s="861" t="s">
        <v>1052</v>
      </c>
      <c r="E83" s="862">
        <v>46276</v>
      </c>
      <c r="F83" s="538" t="s">
        <v>1300</v>
      </c>
      <c r="G83" s="863" t="s">
        <v>1160</v>
      </c>
      <c r="H83" s="534" t="s">
        <v>813</v>
      </c>
      <c r="I83" s="463" t="s">
        <v>260</v>
      </c>
      <c r="J83" s="463" t="s">
        <v>261</v>
      </c>
      <c r="K83" s="327" t="s">
        <v>18</v>
      </c>
      <c r="L83" s="451">
        <v>12</v>
      </c>
      <c r="M83" s="316">
        <v>407407.41</v>
      </c>
      <c r="N83" s="319">
        <v>4888888.92</v>
      </c>
      <c r="O83" s="871">
        <v>391111.11359999998</v>
      </c>
      <c r="P83" s="806">
        <v>5280000.0335999997</v>
      </c>
      <c r="Q83" s="805"/>
    </row>
    <row r="84" spans="1:17">
      <c r="A84" s="528" t="s">
        <v>711</v>
      </c>
      <c r="B84" s="529" t="s">
        <v>715</v>
      </c>
      <c r="C84" s="800">
        <v>46270</v>
      </c>
      <c r="D84" s="861" t="s">
        <v>1058</v>
      </c>
      <c r="E84" s="862">
        <v>46276</v>
      </c>
      <c r="F84" s="538" t="s">
        <v>1300</v>
      </c>
      <c r="G84" s="863" t="s">
        <v>1160</v>
      </c>
      <c r="H84" s="534" t="s">
        <v>813</v>
      </c>
      <c r="I84" s="463" t="s">
        <v>46</v>
      </c>
      <c r="J84" s="857" t="s">
        <v>47</v>
      </c>
      <c r="K84" s="327" t="s">
        <v>18</v>
      </c>
      <c r="L84" s="451">
        <v>4</v>
      </c>
      <c r="M84" s="316">
        <v>240740.74</v>
      </c>
      <c r="N84" s="319">
        <v>962962.96</v>
      </c>
      <c r="O84" s="871">
        <v>77037.036800000002</v>
      </c>
      <c r="P84" s="806">
        <v>1039999.9968</v>
      </c>
      <c r="Q84" s="805"/>
    </row>
    <row r="85" spans="1:17">
      <c r="A85" s="528" t="s">
        <v>711</v>
      </c>
      <c r="B85" s="529" t="s">
        <v>715</v>
      </c>
      <c r="C85" s="800">
        <v>46270</v>
      </c>
      <c r="D85" s="861" t="s">
        <v>1058</v>
      </c>
      <c r="E85" s="862">
        <v>46276</v>
      </c>
      <c r="F85" s="538" t="s">
        <v>1300</v>
      </c>
      <c r="G85" s="863" t="s">
        <v>1160</v>
      </c>
      <c r="H85" s="534" t="s">
        <v>813</v>
      </c>
      <c r="I85" s="463" t="s">
        <v>119</v>
      </c>
      <c r="J85" s="857" t="s">
        <v>191</v>
      </c>
      <c r="K85" s="327" t="s">
        <v>18</v>
      </c>
      <c r="L85" s="451">
        <v>4</v>
      </c>
      <c r="M85" s="316">
        <v>574074.06999999995</v>
      </c>
      <c r="N85" s="319">
        <v>2296296.2799999998</v>
      </c>
      <c r="O85" s="871">
        <v>183703.70239999998</v>
      </c>
      <c r="P85" s="806">
        <v>2479999.9823999996</v>
      </c>
      <c r="Q85" s="805"/>
    </row>
    <row r="86" spans="1:17">
      <c r="A86" s="528" t="s">
        <v>711</v>
      </c>
      <c r="B86" s="529" t="s">
        <v>715</v>
      </c>
      <c r="C86" s="800">
        <v>46270</v>
      </c>
      <c r="D86" s="861" t="s">
        <v>1058</v>
      </c>
      <c r="E86" s="862">
        <v>46276</v>
      </c>
      <c r="F86" s="538" t="s">
        <v>1300</v>
      </c>
      <c r="G86" s="863" t="s">
        <v>1160</v>
      </c>
      <c r="H86" s="534" t="s">
        <v>813</v>
      </c>
      <c r="I86" s="463" t="s">
        <v>42</v>
      </c>
      <c r="J86" s="463" t="s">
        <v>43</v>
      </c>
      <c r="K86" s="327" t="s">
        <v>18</v>
      </c>
      <c r="L86" s="451">
        <v>4</v>
      </c>
      <c r="M86" s="316">
        <v>527777.78</v>
      </c>
      <c r="N86" s="319">
        <v>2111111.12</v>
      </c>
      <c r="O86" s="871">
        <v>168888.88960000002</v>
      </c>
      <c r="P86" s="806">
        <v>2280000.0096</v>
      </c>
      <c r="Q86" s="805"/>
    </row>
    <row r="87" spans="1:17">
      <c r="A87" s="528" t="s">
        <v>711</v>
      </c>
      <c r="B87" s="529" t="s">
        <v>715</v>
      </c>
      <c r="C87" s="800">
        <v>46270</v>
      </c>
      <c r="D87" s="861" t="s">
        <v>1058</v>
      </c>
      <c r="E87" s="862">
        <v>46276</v>
      </c>
      <c r="F87" s="538" t="s">
        <v>1300</v>
      </c>
      <c r="G87" s="863" t="s">
        <v>1160</v>
      </c>
      <c r="H87" s="534" t="s">
        <v>813</v>
      </c>
      <c r="I87" s="463" t="s">
        <v>44</v>
      </c>
      <c r="J87" s="463" t="s">
        <v>45</v>
      </c>
      <c r="K87" s="327" t="s">
        <v>18</v>
      </c>
      <c r="L87" s="451">
        <v>4</v>
      </c>
      <c r="M87" s="316">
        <v>537037.04</v>
      </c>
      <c r="N87" s="319">
        <v>2148148.16</v>
      </c>
      <c r="O87" s="871">
        <v>171851.85280000002</v>
      </c>
      <c r="P87" s="806">
        <v>2320000.0128000001</v>
      </c>
      <c r="Q87" s="805"/>
    </row>
    <row r="88" spans="1:17">
      <c r="A88" s="528" t="s">
        <v>711</v>
      </c>
      <c r="B88" s="529" t="s">
        <v>715</v>
      </c>
      <c r="C88" s="800">
        <v>46270</v>
      </c>
      <c r="D88" s="861" t="s">
        <v>1058</v>
      </c>
      <c r="E88" s="862">
        <v>46276</v>
      </c>
      <c r="F88" s="538" t="s">
        <v>1300</v>
      </c>
      <c r="G88" s="863" t="s">
        <v>1160</v>
      </c>
      <c r="H88" s="534" t="s">
        <v>813</v>
      </c>
      <c r="I88" s="463" t="s">
        <v>148</v>
      </c>
      <c r="J88" s="463" t="s">
        <v>149</v>
      </c>
      <c r="K88" s="327" t="s">
        <v>18</v>
      </c>
      <c r="L88" s="451">
        <v>12</v>
      </c>
      <c r="M88" s="316">
        <v>296296.3</v>
      </c>
      <c r="N88" s="319">
        <v>3555555.5999999996</v>
      </c>
      <c r="O88" s="871">
        <v>284444.44799999997</v>
      </c>
      <c r="P88" s="806">
        <v>3840000.0479999995</v>
      </c>
      <c r="Q88" s="805"/>
    </row>
    <row r="89" spans="1:17">
      <c r="A89" s="528" t="s">
        <v>711</v>
      </c>
      <c r="B89" s="529" t="s">
        <v>715</v>
      </c>
      <c r="C89" s="800">
        <v>46270</v>
      </c>
      <c r="D89" s="861" t="s">
        <v>1058</v>
      </c>
      <c r="E89" s="862">
        <v>46276</v>
      </c>
      <c r="F89" s="538" t="s">
        <v>1300</v>
      </c>
      <c r="G89" s="863" t="s">
        <v>1160</v>
      </c>
      <c r="H89" s="534" t="s">
        <v>813</v>
      </c>
      <c r="I89" s="463" t="s">
        <v>192</v>
      </c>
      <c r="J89" s="463" t="s">
        <v>193</v>
      </c>
      <c r="K89" s="327" t="s">
        <v>18</v>
      </c>
      <c r="L89" s="451">
        <v>16</v>
      </c>
      <c r="M89" s="316">
        <v>333333.33</v>
      </c>
      <c r="N89" s="319">
        <v>5333333.28</v>
      </c>
      <c r="O89" s="871">
        <v>426666.66240000003</v>
      </c>
      <c r="P89" s="806">
        <v>5759999.9424000001</v>
      </c>
      <c r="Q89" s="805"/>
    </row>
    <row r="90" spans="1:17">
      <c r="A90" s="528" t="s">
        <v>711</v>
      </c>
      <c r="B90" s="529" t="s">
        <v>715</v>
      </c>
      <c r="C90" s="800">
        <v>46270</v>
      </c>
      <c r="D90" s="861" t="s">
        <v>1058</v>
      </c>
      <c r="E90" s="862">
        <v>46276</v>
      </c>
      <c r="F90" s="538" t="s">
        <v>1300</v>
      </c>
      <c r="G90" s="863" t="s">
        <v>1160</v>
      </c>
      <c r="H90" s="534" t="s">
        <v>813</v>
      </c>
      <c r="I90" s="463" t="s">
        <v>260</v>
      </c>
      <c r="J90" s="463" t="s">
        <v>261</v>
      </c>
      <c r="K90" s="327" t="s">
        <v>18</v>
      </c>
      <c r="L90" s="451">
        <v>8</v>
      </c>
      <c r="M90" s="316">
        <v>407407.41</v>
      </c>
      <c r="N90" s="319">
        <v>3259259.28</v>
      </c>
      <c r="O90" s="871">
        <v>260740.74239999999</v>
      </c>
      <c r="P90" s="806">
        <v>3520000.0223999997</v>
      </c>
      <c r="Q90" s="805"/>
    </row>
    <row r="91" spans="1:17">
      <c r="A91" s="802" t="s">
        <v>711</v>
      </c>
      <c r="B91" s="529" t="s">
        <v>715</v>
      </c>
      <c r="C91" s="800">
        <v>46273</v>
      </c>
      <c r="D91" s="795" t="s">
        <v>1065</v>
      </c>
      <c r="E91" s="862">
        <v>46276</v>
      </c>
      <c r="F91" s="538" t="s">
        <v>1300</v>
      </c>
      <c r="G91" s="863" t="s">
        <v>1160</v>
      </c>
      <c r="H91" s="534" t="s">
        <v>813</v>
      </c>
      <c r="I91" s="803" t="s">
        <v>157</v>
      </c>
      <c r="J91" s="538" t="s">
        <v>158</v>
      </c>
      <c r="K91" s="327" t="s">
        <v>18</v>
      </c>
      <c r="L91" s="451">
        <v>4</v>
      </c>
      <c r="M91" s="864">
        <v>342592.59</v>
      </c>
      <c r="N91" s="815">
        <f>L91*M91</f>
        <v>1370370.36</v>
      </c>
      <c r="O91" s="815">
        <f t="shared" ref="O91:O95" si="3">N91*8%</f>
        <v>109629.62880000001</v>
      </c>
      <c r="P91" s="860">
        <f t="shared" ref="P91:P95" si="4">N91+O91</f>
        <v>1479999.9888000002</v>
      </c>
      <c r="Q91" s="805"/>
    </row>
    <row r="92" spans="1:17">
      <c r="A92" s="802" t="s">
        <v>711</v>
      </c>
      <c r="B92" s="529" t="s">
        <v>715</v>
      </c>
      <c r="C92" s="800">
        <v>46273</v>
      </c>
      <c r="D92" s="795" t="s">
        <v>1065</v>
      </c>
      <c r="E92" s="862">
        <v>46276</v>
      </c>
      <c r="F92" s="538" t="s">
        <v>1300</v>
      </c>
      <c r="G92" s="863" t="s">
        <v>1160</v>
      </c>
      <c r="H92" s="534" t="s">
        <v>813</v>
      </c>
      <c r="I92" s="803" t="s">
        <v>119</v>
      </c>
      <c r="J92" s="538" t="s">
        <v>191</v>
      </c>
      <c r="K92" s="327" t="s">
        <v>18</v>
      </c>
      <c r="L92" s="451">
        <v>4</v>
      </c>
      <c r="M92" s="864">
        <v>574074.06999999995</v>
      </c>
      <c r="N92" s="815">
        <f>L92*M92</f>
        <v>2296296.2799999998</v>
      </c>
      <c r="O92" s="815">
        <f t="shared" si="3"/>
        <v>183703.70239999998</v>
      </c>
      <c r="P92" s="860">
        <f t="shared" si="4"/>
        <v>2479999.9823999996</v>
      </c>
      <c r="Q92" s="805"/>
    </row>
    <row r="93" spans="1:17">
      <c r="A93" s="802" t="s">
        <v>711</v>
      </c>
      <c r="B93" s="529" t="s">
        <v>715</v>
      </c>
      <c r="C93" s="800">
        <v>46273</v>
      </c>
      <c r="D93" s="795" t="s">
        <v>1065</v>
      </c>
      <c r="E93" s="862">
        <v>46276</v>
      </c>
      <c r="F93" s="538" t="s">
        <v>1300</v>
      </c>
      <c r="G93" s="863" t="s">
        <v>1160</v>
      </c>
      <c r="H93" s="534" t="s">
        <v>813</v>
      </c>
      <c r="I93" s="803" t="s">
        <v>148</v>
      </c>
      <c r="J93" s="538" t="s">
        <v>149</v>
      </c>
      <c r="K93" s="327" t="s">
        <v>18</v>
      </c>
      <c r="L93" s="451">
        <v>4</v>
      </c>
      <c r="M93" s="864">
        <v>296296.3</v>
      </c>
      <c r="N93" s="815">
        <f t="shared" ref="N93:N95" si="5">L93*M93</f>
        <v>1185185.2</v>
      </c>
      <c r="O93" s="815">
        <f t="shared" si="3"/>
        <v>94814.815999999992</v>
      </c>
      <c r="P93" s="860">
        <f t="shared" si="4"/>
        <v>1280000.0159999998</v>
      </c>
      <c r="Q93" s="805"/>
    </row>
    <row r="94" spans="1:17">
      <c r="A94" s="802" t="s">
        <v>711</v>
      </c>
      <c r="B94" s="529" t="s">
        <v>715</v>
      </c>
      <c r="C94" s="800">
        <v>46273</v>
      </c>
      <c r="D94" s="795" t="s">
        <v>1065</v>
      </c>
      <c r="E94" s="862">
        <v>46276</v>
      </c>
      <c r="F94" s="538" t="s">
        <v>1300</v>
      </c>
      <c r="G94" s="863" t="s">
        <v>1160</v>
      </c>
      <c r="H94" s="534" t="s">
        <v>813</v>
      </c>
      <c r="I94" s="803" t="s">
        <v>192</v>
      </c>
      <c r="J94" s="538" t="s">
        <v>193</v>
      </c>
      <c r="K94" s="327" t="s">
        <v>18</v>
      </c>
      <c r="L94" s="451">
        <v>4</v>
      </c>
      <c r="M94" s="864">
        <v>333333.33</v>
      </c>
      <c r="N94" s="815">
        <f t="shared" si="5"/>
        <v>1333333.32</v>
      </c>
      <c r="O94" s="815">
        <f t="shared" si="3"/>
        <v>106666.66560000001</v>
      </c>
      <c r="P94" s="860">
        <f t="shared" si="4"/>
        <v>1439999.9856</v>
      </c>
      <c r="Q94" s="805"/>
    </row>
    <row r="95" spans="1:17">
      <c r="A95" s="802" t="s">
        <v>711</v>
      </c>
      <c r="B95" s="529" t="s">
        <v>715</v>
      </c>
      <c r="C95" s="800">
        <v>46273</v>
      </c>
      <c r="D95" s="795" t="s">
        <v>1065</v>
      </c>
      <c r="E95" s="862">
        <v>46276</v>
      </c>
      <c r="F95" s="538" t="s">
        <v>1300</v>
      </c>
      <c r="G95" s="863" t="s">
        <v>1160</v>
      </c>
      <c r="H95" s="534" t="s">
        <v>813</v>
      </c>
      <c r="I95" s="803" t="s">
        <v>194</v>
      </c>
      <c r="J95" s="538" t="s">
        <v>720</v>
      </c>
      <c r="K95" s="327" t="s">
        <v>18</v>
      </c>
      <c r="L95" s="451">
        <v>3</v>
      </c>
      <c r="M95" s="864">
        <v>1203703.7</v>
      </c>
      <c r="N95" s="815">
        <f t="shared" si="5"/>
        <v>3611111.0999999996</v>
      </c>
      <c r="O95" s="815">
        <f t="shared" si="3"/>
        <v>288888.88799999998</v>
      </c>
      <c r="P95" s="860">
        <f t="shared" si="4"/>
        <v>3899999.9879999994</v>
      </c>
      <c r="Q95" s="805"/>
    </row>
    <row r="96" spans="1:17">
      <c r="A96" s="548"/>
      <c r="B96" s="548"/>
      <c r="C96" s="548"/>
      <c r="D96" s="548"/>
      <c r="E96" s="548"/>
      <c r="F96" s="548"/>
      <c r="G96" s="548"/>
      <c r="H96" s="548"/>
      <c r="I96" s="548"/>
      <c r="J96" s="548"/>
      <c r="K96" s="854"/>
      <c r="L96" s="548"/>
      <c r="M96" s="817"/>
      <c r="N96" s="872">
        <f>SUM(N29:N95)</f>
        <v>242092592.56</v>
      </c>
      <c r="O96" s="872">
        <f t="shared" ref="O96" si="6">SUM(O29:O95)</f>
        <v>19367407.404800005</v>
      </c>
      <c r="P96" s="872">
        <f>SUM(P29:P95)</f>
        <v>261459999.96480006</v>
      </c>
      <c r="Q96" s="872">
        <f>SUM(Q2:Q95)</f>
        <v>81460000</v>
      </c>
    </row>
    <row r="99" spans="8:18" ht="15.75" thickBot="1"/>
    <row r="100" spans="8:18" ht="15.75">
      <c r="H100" s="477" t="s">
        <v>894</v>
      </c>
      <c r="I100" s="596">
        <f>P96</f>
        <v>261459999.96480006</v>
      </c>
    </row>
    <row r="101" spans="8:18" ht="15.75">
      <c r="H101" s="478" t="s">
        <v>895</v>
      </c>
      <c r="I101" s="597">
        <f>Q96</f>
        <v>81460000</v>
      </c>
    </row>
    <row r="102" spans="8:18" ht="15.75">
      <c r="H102" s="478" t="s">
        <v>940</v>
      </c>
      <c r="I102" s="597">
        <f>SUM(P2:P28)</f>
        <v>12190999.964399999</v>
      </c>
    </row>
    <row r="103" spans="8:18">
      <c r="H103" s="478" t="s">
        <v>941</v>
      </c>
      <c r="I103" s="492">
        <f>I100-I101</f>
        <v>179999999.96480006</v>
      </c>
    </row>
    <row r="104" spans="8:18" ht="16.5" thickBot="1">
      <c r="H104" s="480" t="s">
        <v>942</v>
      </c>
      <c r="I104" s="598">
        <f>I103-I102</f>
        <v>167809000.00040007</v>
      </c>
    </row>
    <row r="106" spans="8:18" ht="14.45" customHeight="1">
      <c r="H106" s="997" t="s">
        <v>1301</v>
      </c>
      <c r="I106" s="998"/>
      <c r="J106" s="580"/>
      <c r="K106" s="873"/>
      <c r="L106" s="580"/>
      <c r="N106"/>
      <c r="O106"/>
      <c r="P106"/>
      <c r="Q106"/>
      <c r="R106"/>
    </row>
    <row r="107" spans="8:18" ht="14.45" customHeight="1">
      <c r="H107" s="874" t="s">
        <v>1302</v>
      </c>
      <c r="I107" s="875">
        <f>SUM(P29:P74)</f>
        <v>200059999.91280004</v>
      </c>
      <c r="J107" s="580"/>
      <c r="K107" s="873"/>
      <c r="L107" s="580"/>
      <c r="N107"/>
      <c r="O107"/>
      <c r="P107"/>
      <c r="Q107"/>
      <c r="R107"/>
    </row>
    <row r="108" spans="8:18" ht="14.45" customHeight="1">
      <c r="H108" s="874" t="s">
        <v>14</v>
      </c>
      <c r="I108" s="875"/>
      <c r="J108" s="580"/>
      <c r="K108" s="873"/>
      <c r="L108" s="580"/>
      <c r="N108"/>
      <c r="O108"/>
      <c r="P108"/>
      <c r="Q108"/>
      <c r="R108"/>
    </row>
    <row r="109" spans="8:18" ht="14.45" customHeight="1">
      <c r="H109" s="874" t="s">
        <v>1303</v>
      </c>
      <c r="I109" s="875">
        <f>SUM(P29:P74)</f>
        <v>200059999.91280004</v>
      </c>
      <c r="J109" s="580"/>
      <c r="K109" s="873"/>
      <c r="L109" s="580"/>
      <c r="N109"/>
      <c r="O109"/>
      <c r="P109"/>
      <c r="Q109"/>
      <c r="R109"/>
    </row>
    <row r="110" spans="8:18" ht="14.45" customHeight="1">
      <c r="H110" s="874" t="s">
        <v>895</v>
      </c>
      <c r="I110" s="875">
        <f>Q96</f>
        <v>81460000</v>
      </c>
      <c r="J110" s="580"/>
      <c r="K110" s="873"/>
      <c r="L110" s="580"/>
      <c r="N110"/>
      <c r="O110"/>
      <c r="P110"/>
      <c r="Q110"/>
      <c r="R110"/>
    </row>
    <row r="111" spans="8:18" ht="14.45" customHeight="1">
      <c r="H111" s="874" t="s">
        <v>1142</v>
      </c>
      <c r="I111" s="876">
        <f>I109-I110</f>
        <v>118599999.91280004</v>
      </c>
      <c r="J111" s="580"/>
      <c r="K111" s="873"/>
      <c r="L111" s="580"/>
      <c r="N111"/>
      <c r="O111"/>
      <c r="P111"/>
      <c r="Q111"/>
      <c r="R111"/>
    </row>
    <row r="112" spans="8:18" ht="14.45" customHeight="1">
      <c r="H112" s="877" t="s">
        <v>1304</v>
      </c>
      <c r="I112" s="878">
        <f>I104-I111</f>
        <v>49209000.087600023</v>
      </c>
      <c r="J112" s="580"/>
      <c r="K112" s="873"/>
      <c r="L112" s="580"/>
      <c r="N112"/>
      <c r="O112"/>
      <c r="P112"/>
      <c r="Q112"/>
      <c r="R112"/>
    </row>
    <row r="113" spans="8:18" ht="14.45" customHeight="1">
      <c r="H113" s="580"/>
      <c r="I113" s="580"/>
      <c r="J113" s="580"/>
      <c r="K113" s="873"/>
      <c r="L113" s="580"/>
      <c r="N113"/>
      <c r="O113"/>
      <c r="P113"/>
      <c r="Q113"/>
      <c r="R113"/>
    </row>
    <row r="114" spans="8:18" ht="14.45" customHeight="1">
      <c r="H114" s="580"/>
      <c r="I114" s="580"/>
      <c r="J114" s="580"/>
      <c r="K114" s="873"/>
      <c r="L114" s="580"/>
      <c r="N114"/>
      <c r="O114"/>
      <c r="P114"/>
      <c r="Q114"/>
      <c r="R114"/>
    </row>
  </sheetData>
  <autoFilter ref="A1:R1" xr:uid="{8612EC73-4E21-4D87-B6E3-1C47700989A8}"/>
  <mergeCells count="1">
    <mergeCell ref="H106:I106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C0CA-087B-497A-8ECE-D661BF728783}">
  <sheetPr>
    <tabColor rgb="FF00B050"/>
  </sheetPr>
  <dimension ref="A2:CJ213"/>
  <sheetViews>
    <sheetView zoomScale="84" zoomScaleNormal="84" workbookViewId="0">
      <pane ySplit="2" topLeftCell="A170" activePane="bottomLeft" state="frozen"/>
      <selection activeCell="B79" sqref="B79"/>
      <selection pane="bottomLeft" activeCell="I215" sqref="I215"/>
    </sheetView>
  </sheetViews>
  <sheetFormatPr defaultColWidth="9.140625" defaultRowHeight="15"/>
  <cols>
    <col min="2" max="2" width="53.5703125" customWidth="1"/>
    <col min="3" max="3" width="12.140625" customWidth="1"/>
    <col min="4" max="4" width="16.140625" bestFit="1" customWidth="1"/>
    <col min="5" max="5" width="11.28515625" customWidth="1"/>
    <col min="8" max="8" width="57.140625" customWidth="1"/>
    <col min="10" max="10" width="41.85546875" bestFit="1" customWidth="1"/>
    <col min="11" max="11" width="16.7109375" bestFit="1" customWidth="1"/>
    <col min="12" max="12" width="9.28515625" bestFit="1" customWidth="1"/>
    <col min="13" max="13" width="12.5703125" bestFit="1" customWidth="1"/>
    <col min="14" max="14" width="15.42578125" bestFit="1" customWidth="1"/>
    <col min="15" max="15" width="12.7109375" bestFit="1" customWidth="1"/>
    <col min="16" max="16" width="16.7109375" bestFit="1" customWidth="1"/>
    <col min="17" max="17" width="15" bestFit="1" customWidth="1"/>
    <col min="18" max="18" width="12.5703125" bestFit="1" customWidth="1"/>
    <col min="21" max="21" width="11.140625" bestFit="1" customWidth="1"/>
  </cols>
  <sheetData>
    <row r="2" spans="1:18" ht="73.5" customHeight="1">
      <c r="A2" s="498" t="s">
        <v>666</v>
      </c>
      <c r="B2" s="499" t="s">
        <v>912</v>
      </c>
      <c r="C2" s="499" t="s">
        <v>624</v>
      </c>
      <c r="D2" s="500" t="s">
        <v>636</v>
      </c>
      <c r="E2" s="499" t="s">
        <v>635</v>
      </c>
      <c r="F2" s="501" t="s">
        <v>637</v>
      </c>
      <c r="G2" s="501" t="s">
        <v>634</v>
      </c>
      <c r="H2" s="502" t="s">
        <v>625</v>
      </c>
      <c r="I2" s="501" t="s">
        <v>626</v>
      </c>
      <c r="J2" s="501" t="s">
        <v>627</v>
      </c>
      <c r="K2" s="501" t="s">
        <v>628</v>
      </c>
      <c r="L2" s="503" t="s">
        <v>629</v>
      </c>
      <c r="M2" s="504" t="s">
        <v>630</v>
      </c>
      <c r="N2" s="504" t="s">
        <v>631</v>
      </c>
      <c r="O2" s="504" t="s">
        <v>632</v>
      </c>
      <c r="P2" s="504" t="s">
        <v>913</v>
      </c>
      <c r="Q2" s="504" t="s">
        <v>914</v>
      </c>
      <c r="R2" s="695" t="s">
        <v>622</v>
      </c>
    </row>
    <row r="3" spans="1:18">
      <c r="A3" s="296" t="s">
        <v>761</v>
      </c>
      <c r="B3" s="306" t="s">
        <v>696</v>
      </c>
      <c r="C3" s="346" t="s">
        <v>176</v>
      </c>
      <c r="D3" s="312"/>
      <c r="E3" s="346" t="s">
        <v>176</v>
      </c>
      <c r="F3" s="292"/>
      <c r="G3" s="380" t="s">
        <v>177</v>
      </c>
      <c r="H3" s="299" t="s">
        <v>817</v>
      </c>
      <c r="I3" s="326" t="s">
        <v>80</v>
      </c>
      <c r="J3" s="386" t="s">
        <v>81</v>
      </c>
      <c r="K3" s="292"/>
      <c r="L3" s="326">
        <v>20</v>
      </c>
      <c r="M3" s="309">
        <v>824074.05</v>
      </c>
      <c r="N3" s="309">
        <v>16481481</v>
      </c>
      <c r="O3" s="330">
        <v>1318522</v>
      </c>
      <c r="P3" s="309">
        <v>17800003</v>
      </c>
      <c r="Q3" s="309"/>
      <c r="R3" s="696"/>
    </row>
    <row r="4" spans="1:18">
      <c r="A4" s="296" t="s">
        <v>761</v>
      </c>
      <c r="B4" s="306" t="s">
        <v>696</v>
      </c>
      <c r="C4" s="346" t="s">
        <v>176</v>
      </c>
      <c r="D4" s="312"/>
      <c r="E4" s="346" t="s">
        <v>176</v>
      </c>
      <c r="F4" s="292"/>
      <c r="G4" s="380" t="s">
        <v>177</v>
      </c>
      <c r="H4" s="299" t="s">
        <v>817</v>
      </c>
      <c r="I4" s="326" t="s">
        <v>21</v>
      </c>
      <c r="J4" s="386" t="s">
        <v>22</v>
      </c>
      <c r="K4" s="292"/>
      <c r="L4" s="326">
        <v>20</v>
      </c>
      <c r="M4" s="309">
        <v>937962.95</v>
      </c>
      <c r="N4" s="309">
        <v>18759259</v>
      </c>
      <c r="O4" s="330">
        <v>1500740.72</v>
      </c>
      <c r="P4" s="309">
        <v>20259999.719999999</v>
      </c>
      <c r="Q4" s="309"/>
      <c r="R4" s="696"/>
    </row>
    <row r="5" spans="1:18">
      <c r="A5" s="296" t="s">
        <v>761</v>
      </c>
      <c r="B5" s="306" t="s">
        <v>696</v>
      </c>
      <c r="C5" s="346" t="s">
        <v>176</v>
      </c>
      <c r="D5" s="312"/>
      <c r="E5" s="346" t="s">
        <v>176</v>
      </c>
      <c r="F5" s="292"/>
      <c r="G5" s="380" t="s">
        <v>177</v>
      </c>
      <c r="H5" s="299" t="s">
        <v>817</v>
      </c>
      <c r="I5" s="326" t="s">
        <v>68</v>
      </c>
      <c r="J5" s="386" t="s">
        <v>69</v>
      </c>
      <c r="K5" s="292"/>
      <c r="L5" s="326">
        <v>60</v>
      </c>
      <c r="M5" s="309">
        <v>111111.11</v>
      </c>
      <c r="N5" s="309">
        <v>6666666.5999999996</v>
      </c>
      <c r="O5" s="330">
        <v>533333.32799999998</v>
      </c>
      <c r="P5" s="309">
        <v>7199999.9279999994</v>
      </c>
      <c r="Q5" s="309"/>
      <c r="R5" s="696"/>
    </row>
    <row r="6" spans="1:18">
      <c r="A6" s="296" t="s">
        <v>761</v>
      </c>
      <c r="B6" s="306" t="s">
        <v>696</v>
      </c>
      <c r="C6" s="346" t="s">
        <v>176</v>
      </c>
      <c r="D6" s="312"/>
      <c r="E6" s="346" t="s">
        <v>176</v>
      </c>
      <c r="F6" s="292"/>
      <c r="G6" s="380" t="s">
        <v>177</v>
      </c>
      <c r="H6" s="299" t="s">
        <v>817</v>
      </c>
      <c r="I6" s="326" t="s">
        <v>70</v>
      </c>
      <c r="J6" s="386" t="s">
        <v>179</v>
      </c>
      <c r="K6" s="292"/>
      <c r="L6" s="326">
        <v>60</v>
      </c>
      <c r="M6" s="309">
        <v>120370.37</v>
      </c>
      <c r="N6" s="309">
        <v>7222222.1999999993</v>
      </c>
      <c r="O6" s="330">
        <v>577777.77599999995</v>
      </c>
      <c r="P6" s="309">
        <v>7799999.9759999989</v>
      </c>
      <c r="Q6" s="309"/>
      <c r="R6" s="696"/>
    </row>
    <row r="7" spans="1:18">
      <c r="A7" s="296" t="s">
        <v>761</v>
      </c>
      <c r="B7" s="306" t="s">
        <v>696</v>
      </c>
      <c r="C7" s="346" t="s">
        <v>176</v>
      </c>
      <c r="D7" s="312"/>
      <c r="E7" s="346" t="s">
        <v>176</v>
      </c>
      <c r="F7" s="292"/>
      <c r="G7" s="380" t="s">
        <v>177</v>
      </c>
      <c r="H7" s="299" t="s">
        <v>817</v>
      </c>
      <c r="I7" s="382" t="s">
        <v>72</v>
      </c>
      <c r="J7" s="386" t="s">
        <v>73</v>
      </c>
      <c r="K7" s="292"/>
      <c r="L7" s="326">
        <v>60</v>
      </c>
      <c r="M7" s="309">
        <v>129629.63</v>
      </c>
      <c r="N7" s="309">
        <v>7777777.8000000007</v>
      </c>
      <c r="O7" s="330">
        <v>622222.22400000005</v>
      </c>
      <c r="P7" s="309">
        <v>8400000.0240000002</v>
      </c>
      <c r="Q7" s="309"/>
      <c r="R7" s="696"/>
    </row>
    <row r="8" spans="1:18">
      <c r="A8" s="296" t="s">
        <v>761</v>
      </c>
      <c r="B8" s="306" t="s">
        <v>696</v>
      </c>
      <c r="C8" s="346" t="s">
        <v>176</v>
      </c>
      <c r="D8" s="312"/>
      <c r="E8" s="346" t="s">
        <v>176</v>
      </c>
      <c r="F8" s="292"/>
      <c r="G8" s="380" t="s">
        <v>177</v>
      </c>
      <c r="H8" s="299" t="s">
        <v>817</v>
      </c>
      <c r="I8" s="326" t="s">
        <v>180</v>
      </c>
      <c r="J8" s="386" t="s">
        <v>181</v>
      </c>
      <c r="K8" s="292"/>
      <c r="L8" s="326">
        <v>20</v>
      </c>
      <c r="M8" s="309">
        <v>234259.26</v>
      </c>
      <c r="N8" s="309">
        <v>4685185.2</v>
      </c>
      <c r="O8" s="330">
        <v>374814.81600000005</v>
      </c>
      <c r="P8" s="309">
        <v>5060000.0159999998</v>
      </c>
      <c r="Q8" s="309"/>
      <c r="R8" s="696"/>
    </row>
    <row r="9" spans="1:18">
      <c r="A9" s="296" t="s">
        <v>761</v>
      </c>
      <c r="B9" s="306" t="s">
        <v>696</v>
      </c>
      <c r="C9" s="346" t="s">
        <v>176</v>
      </c>
      <c r="D9" s="312"/>
      <c r="E9" s="346" t="s">
        <v>176</v>
      </c>
      <c r="F9" s="292"/>
      <c r="G9" s="380" t="s">
        <v>177</v>
      </c>
      <c r="H9" s="299" t="s">
        <v>817</v>
      </c>
      <c r="I9" s="326" t="s">
        <v>26</v>
      </c>
      <c r="J9" s="386" t="s">
        <v>182</v>
      </c>
      <c r="K9" s="292"/>
      <c r="L9" s="326">
        <v>20</v>
      </c>
      <c r="M9" s="309">
        <v>256481.48</v>
      </c>
      <c r="N9" s="309">
        <v>5129629.6000000006</v>
      </c>
      <c r="O9" s="330">
        <v>410370.36800000007</v>
      </c>
      <c r="P9" s="309">
        <v>5539999.9680000003</v>
      </c>
      <c r="Q9" s="309"/>
      <c r="R9" s="696"/>
    </row>
    <row r="10" spans="1:18">
      <c r="A10" s="296" t="s">
        <v>761</v>
      </c>
      <c r="B10" s="306" t="s">
        <v>696</v>
      </c>
      <c r="C10" s="346" t="s">
        <v>176</v>
      </c>
      <c r="D10" s="312"/>
      <c r="E10" s="346" t="s">
        <v>176</v>
      </c>
      <c r="F10" s="292"/>
      <c r="G10" s="380" t="s">
        <v>177</v>
      </c>
      <c r="H10" s="299" t="s">
        <v>817</v>
      </c>
      <c r="I10" s="326" t="s">
        <v>28</v>
      </c>
      <c r="J10" s="386" t="s">
        <v>183</v>
      </c>
      <c r="K10" s="292"/>
      <c r="L10" s="326">
        <v>20</v>
      </c>
      <c r="M10" s="309">
        <v>281481.48</v>
      </c>
      <c r="N10" s="309">
        <v>5629629.5999999996</v>
      </c>
      <c r="O10" s="330">
        <v>450370.36799999996</v>
      </c>
      <c r="P10" s="309">
        <v>6079999.9679999994</v>
      </c>
      <c r="Q10" s="309"/>
      <c r="R10" s="696"/>
    </row>
    <row r="11" spans="1:18">
      <c r="A11" s="296" t="s">
        <v>761</v>
      </c>
      <c r="B11" s="306" t="s">
        <v>696</v>
      </c>
      <c r="C11" s="346" t="s">
        <v>176</v>
      </c>
      <c r="D11" s="312"/>
      <c r="E11" s="346" t="s">
        <v>176</v>
      </c>
      <c r="F11" s="292"/>
      <c r="G11" s="380" t="s">
        <v>177</v>
      </c>
      <c r="H11" s="299" t="s">
        <v>817</v>
      </c>
      <c r="I11" s="326" t="s">
        <v>184</v>
      </c>
      <c r="J11" s="386" t="s">
        <v>185</v>
      </c>
      <c r="K11" s="292"/>
      <c r="L11" s="326">
        <v>20</v>
      </c>
      <c r="M11" s="309">
        <v>227777.78</v>
      </c>
      <c r="N11" s="309">
        <v>4555555.5999999996</v>
      </c>
      <c r="O11" s="330">
        <v>364444.44799999997</v>
      </c>
      <c r="P11" s="309">
        <v>4920000.0479999995</v>
      </c>
      <c r="Q11" s="309"/>
      <c r="R11" s="696"/>
    </row>
    <row r="12" spans="1:18" ht="30">
      <c r="A12" s="296" t="s">
        <v>761</v>
      </c>
      <c r="B12" s="306" t="s">
        <v>696</v>
      </c>
      <c r="C12" s="346" t="s">
        <v>176</v>
      </c>
      <c r="D12" s="312"/>
      <c r="E12" s="346" t="s">
        <v>176</v>
      </c>
      <c r="F12" s="292"/>
      <c r="G12" s="380" t="s">
        <v>177</v>
      </c>
      <c r="H12" s="299" t="s">
        <v>817</v>
      </c>
      <c r="I12" s="382" t="s">
        <v>30</v>
      </c>
      <c r="J12" s="385" t="s">
        <v>186</v>
      </c>
      <c r="K12" s="292"/>
      <c r="L12" s="326">
        <v>20</v>
      </c>
      <c r="M12" s="309">
        <v>252777.78</v>
      </c>
      <c r="N12" s="309">
        <v>5055555.5999999996</v>
      </c>
      <c r="O12" s="330">
        <v>404444.44799999997</v>
      </c>
      <c r="P12" s="309">
        <v>5460000.0479999995</v>
      </c>
      <c r="Q12" s="309"/>
      <c r="R12" s="696"/>
    </row>
    <row r="13" spans="1:18">
      <c r="A13" s="296" t="s">
        <v>761</v>
      </c>
      <c r="B13" s="306" t="s">
        <v>696</v>
      </c>
      <c r="C13" s="346" t="s">
        <v>176</v>
      </c>
      <c r="D13" s="312"/>
      <c r="E13" s="346" t="s">
        <v>176</v>
      </c>
      <c r="F13" s="292"/>
      <c r="G13" s="380" t="s">
        <v>177</v>
      </c>
      <c r="H13" s="299" t="s">
        <v>817</v>
      </c>
      <c r="I13" s="382" t="s">
        <v>32</v>
      </c>
      <c r="J13" s="386" t="s">
        <v>187</v>
      </c>
      <c r="K13" s="292"/>
      <c r="L13" s="326">
        <v>20</v>
      </c>
      <c r="M13" s="309">
        <v>256481.48</v>
      </c>
      <c r="N13" s="309">
        <v>5129629.6000000006</v>
      </c>
      <c r="O13" s="330">
        <v>410370.36800000007</v>
      </c>
      <c r="P13" s="309">
        <v>5539999.9680000003</v>
      </c>
      <c r="Q13" s="309"/>
      <c r="R13" s="696"/>
    </row>
    <row r="14" spans="1:18">
      <c r="A14" s="296" t="s">
        <v>761</v>
      </c>
      <c r="B14" s="306" t="s">
        <v>696</v>
      </c>
      <c r="C14" s="346" t="s">
        <v>176</v>
      </c>
      <c r="D14" s="312"/>
      <c r="E14" s="346" t="s">
        <v>176</v>
      </c>
      <c r="F14" s="292"/>
      <c r="G14" s="380" t="s">
        <v>177</v>
      </c>
      <c r="H14" s="299" t="s">
        <v>817</v>
      </c>
      <c r="I14" s="326" t="s">
        <v>34</v>
      </c>
      <c r="J14" s="386" t="s">
        <v>188</v>
      </c>
      <c r="K14" s="292"/>
      <c r="L14" s="326">
        <v>20</v>
      </c>
      <c r="M14" s="309">
        <v>227777.78</v>
      </c>
      <c r="N14" s="309">
        <v>4555555.5999999996</v>
      </c>
      <c r="O14" s="330">
        <v>364444.44799999997</v>
      </c>
      <c r="P14" s="309">
        <v>4920000.0479999995</v>
      </c>
      <c r="Q14" s="309"/>
      <c r="R14" s="696"/>
    </row>
    <row r="15" spans="1:18">
      <c r="A15" s="296" t="s">
        <v>761</v>
      </c>
      <c r="B15" s="306" t="s">
        <v>696</v>
      </c>
      <c r="C15" s="346" t="s">
        <v>176</v>
      </c>
      <c r="D15" s="312"/>
      <c r="E15" s="346" t="s">
        <v>176</v>
      </c>
      <c r="F15" s="292"/>
      <c r="G15" s="380" t="s">
        <v>177</v>
      </c>
      <c r="H15" s="299" t="s">
        <v>817</v>
      </c>
      <c r="I15" s="382" t="s">
        <v>36</v>
      </c>
      <c r="J15" s="386" t="s">
        <v>189</v>
      </c>
      <c r="K15" s="292"/>
      <c r="L15" s="326">
        <v>20</v>
      </c>
      <c r="M15" s="309">
        <v>252777.78</v>
      </c>
      <c r="N15" s="309">
        <v>5055555.5999999996</v>
      </c>
      <c r="O15" s="330">
        <v>404444.44799999997</v>
      </c>
      <c r="P15" s="309">
        <v>5460000.0479999995</v>
      </c>
      <c r="Q15" s="309"/>
      <c r="R15" s="696"/>
    </row>
    <row r="16" spans="1:18">
      <c r="A16" s="296" t="s">
        <v>761</v>
      </c>
      <c r="B16" s="306" t="s">
        <v>696</v>
      </c>
      <c r="C16" s="346" t="s">
        <v>176</v>
      </c>
      <c r="D16" s="312"/>
      <c r="E16" s="346" t="s">
        <v>176</v>
      </c>
      <c r="F16" s="292"/>
      <c r="G16" s="380" t="s">
        <v>177</v>
      </c>
      <c r="H16" s="299" t="s">
        <v>817</v>
      </c>
      <c r="I16" s="326" t="s">
        <v>38</v>
      </c>
      <c r="J16" s="386" t="s">
        <v>190</v>
      </c>
      <c r="K16" s="292"/>
      <c r="L16" s="326">
        <v>20</v>
      </c>
      <c r="M16" s="309">
        <v>277777.78000000003</v>
      </c>
      <c r="N16" s="309">
        <v>5555555.6000000006</v>
      </c>
      <c r="O16" s="330">
        <v>444444.44800000003</v>
      </c>
      <c r="P16" s="309">
        <v>6000000.0480000004</v>
      </c>
      <c r="Q16" s="309"/>
      <c r="R16" s="696"/>
    </row>
    <row r="17" spans="1:18">
      <c r="A17" s="296" t="s">
        <v>761</v>
      </c>
      <c r="B17" s="306" t="s">
        <v>696</v>
      </c>
      <c r="C17" s="346" t="s">
        <v>176</v>
      </c>
      <c r="D17" s="312"/>
      <c r="E17" s="346" t="s">
        <v>176</v>
      </c>
      <c r="F17" s="292"/>
      <c r="G17" s="380" t="s">
        <v>177</v>
      </c>
      <c r="H17" s="299" t="s">
        <v>817</v>
      </c>
      <c r="I17" s="382" t="s">
        <v>40</v>
      </c>
      <c r="J17" s="386" t="s">
        <v>41</v>
      </c>
      <c r="K17" s="292"/>
      <c r="L17" s="326">
        <v>20</v>
      </c>
      <c r="M17" s="309">
        <v>844444.44</v>
      </c>
      <c r="N17" s="309">
        <v>16888888.799999997</v>
      </c>
      <c r="O17" s="330">
        <v>1351111.1039999998</v>
      </c>
      <c r="P17" s="309">
        <v>18239999.903999995</v>
      </c>
      <c r="Q17" s="309"/>
      <c r="R17" s="696"/>
    </row>
    <row r="18" spans="1:18">
      <c r="A18" s="296" t="s">
        <v>761</v>
      </c>
      <c r="B18" s="306" t="s">
        <v>696</v>
      </c>
      <c r="C18" s="346" t="s">
        <v>176</v>
      </c>
      <c r="D18" s="312"/>
      <c r="E18" s="346" t="s">
        <v>176</v>
      </c>
      <c r="F18" s="292"/>
      <c r="G18" s="380" t="s">
        <v>177</v>
      </c>
      <c r="H18" s="299" t="s">
        <v>817</v>
      </c>
      <c r="I18" s="382" t="s">
        <v>119</v>
      </c>
      <c r="J18" s="386" t="s">
        <v>191</v>
      </c>
      <c r="K18" s="292"/>
      <c r="L18" s="326">
        <v>6</v>
      </c>
      <c r="M18" s="309">
        <v>659259.26</v>
      </c>
      <c r="N18" s="309">
        <v>3955555.56</v>
      </c>
      <c r="O18" s="330">
        <v>316444.44</v>
      </c>
      <c r="P18" s="309">
        <v>4272000</v>
      </c>
      <c r="Q18" s="309"/>
      <c r="R18" s="696"/>
    </row>
    <row r="19" spans="1:18">
      <c r="A19" s="296" t="s">
        <v>761</v>
      </c>
      <c r="B19" s="306" t="s">
        <v>696</v>
      </c>
      <c r="C19" s="346" t="s">
        <v>176</v>
      </c>
      <c r="D19" s="312"/>
      <c r="E19" s="346" t="s">
        <v>176</v>
      </c>
      <c r="F19" s="292"/>
      <c r="G19" s="380" t="s">
        <v>177</v>
      </c>
      <c r="H19" s="299" t="s">
        <v>817</v>
      </c>
      <c r="I19" s="382" t="s">
        <v>42</v>
      </c>
      <c r="J19" s="386" t="s">
        <v>43</v>
      </c>
      <c r="K19" s="292"/>
      <c r="L19" s="326">
        <v>6</v>
      </c>
      <c r="M19" s="309">
        <v>569444.43999999994</v>
      </c>
      <c r="N19" s="309">
        <v>3416666.6399999997</v>
      </c>
      <c r="O19" s="330">
        <v>273333.33119999996</v>
      </c>
      <c r="P19" s="309">
        <v>3689999.9711999996</v>
      </c>
      <c r="Q19" s="309"/>
      <c r="R19" s="696"/>
    </row>
    <row r="20" spans="1:18">
      <c r="A20" s="296" t="s">
        <v>761</v>
      </c>
      <c r="B20" s="306" t="s">
        <v>696</v>
      </c>
      <c r="C20" s="346" t="s">
        <v>176</v>
      </c>
      <c r="D20" s="312"/>
      <c r="E20" s="346" t="s">
        <v>176</v>
      </c>
      <c r="F20" s="292"/>
      <c r="G20" s="380" t="s">
        <v>177</v>
      </c>
      <c r="H20" s="299" t="s">
        <v>817</v>
      </c>
      <c r="I20" s="382" t="s">
        <v>44</v>
      </c>
      <c r="J20" s="386" t="s">
        <v>45</v>
      </c>
      <c r="K20" s="292"/>
      <c r="L20" s="326">
        <v>20</v>
      </c>
      <c r="M20" s="309">
        <v>564814.81000000006</v>
      </c>
      <c r="N20" s="309">
        <v>11296296.200000001</v>
      </c>
      <c r="O20" s="330">
        <v>903703.69600000011</v>
      </c>
      <c r="P20" s="309">
        <v>12199999.896000002</v>
      </c>
      <c r="Q20" s="309"/>
      <c r="R20" s="696"/>
    </row>
    <row r="21" spans="1:18">
      <c r="A21" s="296" t="s">
        <v>761</v>
      </c>
      <c r="B21" s="306" t="s">
        <v>696</v>
      </c>
      <c r="C21" s="346" t="s">
        <v>176</v>
      </c>
      <c r="D21" s="312"/>
      <c r="E21" s="346" t="s">
        <v>176</v>
      </c>
      <c r="F21" s="292"/>
      <c r="G21" s="380" t="s">
        <v>177</v>
      </c>
      <c r="H21" s="299" t="s">
        <v>817</v>
      </c>
      <c r="I21" s="382" t="s">
        <v>148</v>
      </c>
      <c r="J21" s="386" t="s">
        <v>149</v>
      </c>
      <c r="K21" s="292"/>
      <c r="L21" s="326">
        <v>20</v>
      </c>
      <c r="M21" s="309">
        <v>358333.33</v>
      </c>
      <c r="N21" s="309">
        <v>7166666.6000000006</v>
      </c>
      <c r="O21" s="330">
        <v>573333.3280000001</v>
      </c>
      <c r="P21" s="309">
        <v>7739999.9280000003</v>
      </c>
      <c r="Q21" s="309"/>
      <c r="R21" s="696"/>
    </row>
    <row r="22" spans="1:18">
      <c r="A22" s="296" t="s">
        <v>761</v>
      </c>
      <c r="B22" s="306" t="s">
        <v>696</v>
      </c>
      <c r="C22" s="346" t="s">
        <v>176</v>
      </c>
      <c r="D22" s="312"/>
      <c r="E22" s="346" t="s">
        <v>176</v>
      </c>
      <c r="F22" s="292"/>
      <c r="G22" s="380" t="s">
        <v>177</v>
      </c>
      <c r="H22" s="299" t="s">
        <v>817</v>
      </c>
      <c r="I22" s="382" t="s">
        <v>192</v>
      </c>
      <c r="J22" s="386" t="s">
        <v>193</v>
      </c>
      <c r="K22" s="292"/>
      <c r="L22" s="326">
        <v>20</v>
      </c>
      <c r="M22" s="309">
        <v>398148.15</v>
      </c>
      <c r="N22" s="309">
        <v>7962963</v>
      </c>
      <c r="O22" s="330">
        <v>637037.04</v>
      </c>
      <c r="P22" s="309">
        <v>8600000.0399999991</v>
      </c>
      <c r="Q22" s="309"/>
      <c r="R22" s="696"/>
    </row>
    <row r="23" spans="1:18">
      <c r="A23" s="296" t="s">
        <v>761</v>
      </c>
      <c r="B23" s="306" t="s">
        <v>696</v>
      </c>
      <c r="C23" s="346" t="s">
        <v>176</v>
      </c>
      <c r="D23" s="312"/>
      <c r="E23" s="346" t="s">
        <v>176</v>
      </c>
      <c r="F23" s="292"/>
      <c r="G23" s="380" t="s">
        <v>177</v>
      </c>
      <c r="H23" s="299" t="s">
        <v>817</v>
      </c>
      <c r="I23" s="382" t="s">
        <v>46</v>
      </c>
      <c r="J23" s="386" t="s">
        <v>47</v>
      </c>
      <c r="K23" s="292"/>
      <c r="L23" s="326">
        <v>30</v>
      </c>
      <c r="M23" s="309">
        <v>194444.44</v>
      </c>
      <c r="N23" s="309">
        <v>5833333.2000000002</v>
      </c>
      <c r="O23" s="330">
        <v>466666.65600000002</v>
      </c>
      <c r="P23" s="309">
        <v>6299999.8560000006</v>
      </c>
      <c r="Q23" s="309"/>
      <c r="R23" s="696"/>
    </row>
    <row r="24" spans="1:18" ht="30">
      <c r="A24" s="296" t="s">
        <v>761</v>
      </c>
      <c r="B24" s="306" t="s">
        <v>696</v>
      </c>
      <c r="C24" s="346" t="s">
        <v>176</v>
      </c>
      <c r="D24" s="312"/>
      <c r="E24" s="346" t="s">
        <v>176</v>
      </c>
      <c r="F24" s="292"/>
      <c r="G24" s="380" t="s">
        <v>177</v>
      </c>
      <c r="H24" s="299" t="s">
        <v>817</v>
      </c>
      <c r="I24" s="382" t="s">
        <v>194</v>
      </c>
      <c r="J24" s="385" t="s">
        <v>195</v>
      </c>
      <c r="K24" s="292"/>
      <c r="L24" s="326">
        <v>10</v>
      </c>
      <c r="M24" s="309">
        <v>1203703.7</v>
      </c>
      <c r="N24" s="309">
        <v>12037037</v>
      </c>
      <c r="O24" s="330">
        <v>962962.96</v>
      </c>
      <c r="P24" s="309">
        <v>12999999.960000001</v>
      </c>
      <c r="Q24" s="309"/>
      <c r="R24" s="696"/>
    </row>
    <row r="25" spans="1:18" ht="30">
      <c r="A25" s="296" t="s">
        <v>761</v>
      </c>
      <c r="B25" s="306" t="s">
        <v>696</v>
      </c>
      <c r="C25" s="326" t="s">
        <v>176</v>
      </c>
      <c r="D25" s="312"/>
      <c r="E25" s="326" t="s">
        <v>176</v>
      </c>
      <c r="F25" s="292"/>
      <c r="G25" s="380" t="s">
        <v>177</v>
      </c>
      <c r="H25" s="299" t="s">
        <v>817</v>
      </c>
      <c r="I25" s="382" t="s">
        <v>58</v>
      </c>
      <c r="J25" s="385" t="s">
        <v>196</v>
      </c>
      <c r="K25" s="292"/>
      <c r="L25" s="326">
        <v>10</v>
      </c>
      <c r="M25" s="309">
        <v>1361111.11</v>
      </c>
      <c r="N25" s="309">
        <v>13611111.100000001</v>
      </c>
      <c r="O25" s="330">
        <v>1088888.888</v>
      </c>
      <c r="P25" s="309">
        <v>14699999.988000002</v>
      </c>
      <c r="Q25" s="309"/>
      <c r="R25" s="696"/>
    </row>
    <row r="26" spans="1:18">
      <c r="A26" s="296" t="s">
        <v>761</v>
      </c>
      <c r="B26" s="306" t="s">
        <v>696</v>
      </c>
      <c r="C26" s="326" t="s">
        <v>176</v>
      </c>
      <c r="D26" s="312"/>
      <c r="E26" s="326" t="s">
        <v>176</v>
      </c>
      <c r="F26" s="292"/>
      <c r="G26" s="380" t="s">
        <v>177</v>
      </c>
      <c r="H26" s="299" t="s">
        <v>817</v>
      </c>
      <c r="I26" s="326" t="s">
        <v>77</v>
      </c>
      <c r="J26" s="386" t="s">
        <v>197</v>
      </c>
      <c r="K26" s="292"/>
      <c r="L26" s="326">
        <v>40</v>
      </c>
      <c r="M26" s="309">
        <v>324074</v>
      </c>
      <c r="N26" s="309">
        <v>12962960</v>
      </c>
      <c r="O26" s="330">
        <v>1037036.8</v>
      </c>
      <c r="P26" s="309">
        <v>13999996.800000001</v>
      </c>
      <c r="Q26" s="309"/>
      <c r="R26" s="696"/>
    </row>
    <row r="27" spans="1:18">
      <c r="A27" s="296" t="s">
        <v>761</v>
      </c>
      <c r="B27" s="306" t="s">
        <v>696</v>
      </c>
      <c r="C27" s="349" t="s">
        <v>176</v>
      </c>
      <c r="D27" s="312"/>
      <c r="E27" s="349"/>
      <c r="F27" s="292"/>
      <c r="G27" s="408"/>
      <c r="H27" s="332" t="s">
        <v>198</v>
      </c>
      <c r="I27" s="332"/>
      <c r="J27" s="410"/>
      <c r="K27" s="292"/>
      <c r="L27" s="390"/>
      <c r="M27" s="309"/>
      <c r="N27" s="309"/>
      <c r="O27" s="342"/>
      <c r="P27" s="309"/>
      <c r="Q27" s="309"/>
      <c r="R27" s="696">
        <v>500000</v>
      </c>
    </row>
    <row r="28" spans="1:18">
      <c r="A28" s="296" t="s">
        <v>761</v>
      </c>
      <c r="B28" s="306" t="s">
        <v>696</v>
      </c>
      <c r="C28" s="326" t="s">
        <v>19</v>
      </c>
      <c r="D28" s="312"/>
      <c r="E28" s="326" t="s">
        <v>19</v>
      </c>
      <c r="F28" s="292"/>
      <c r="G28" s="380" t="s">
        <v>200</v>
      </c>
      <c r="H28" s="299" t="s">
        <v>817</v>
      </c>
      <c r="I28" s="326" t="s">
        <v>77</v>
      </c>
      <c r="J28" s="386" t="s">
        <v>197</v>
      </c>
      <c r="K28" s="292"/>
      <c r="L28" s="326">
        <v>100</v>
      </c>
      <c r="M28" s="309">
        <v>324074.07</v>
      </c>
      <c r="N28" s="309">
        <v>32407407</v>
      </c>
      <c r="O28" s="330">
        <v>2592592.56</v>
      </c>
      <c r="P28" s="309">
        <v>34999999.560000002</v>
      </c>
      <c r="Q28" s="309"/>
      <c r="R28" s="696"/>
    </row>
    <row r="29" spans="1:18">
      <c r="A29" s="296" t="s">
        <v>761</v>
      </c>
      <c r="B29" s="306" t="s">
        <v>696</v>
      </c>
      <c r="C29" s="349" t="s">
        <v>19</v>
      </c>
      <c r="D29" s="312"/>
      <c r="E29" s="349"/>
      <c r="F29" s="292"/>
      <c r="G29" s="408"/>
      <c r="H29" s="332" t="s">
        <v>198</v>
      </c>
      <c r="I29" s="332"/>
      <c r="J29" s="410"/>
      <c r="K29" s="292"/>
      <c r="L29" s="390"/>
      <c r="M29" s="309"/>
      <c r="N29" s="309"/>
      <c r="O29" s="342"/>
      <c r="P29" s="309"/>
      <c r="Q29" s="309"/>
      <c r="R29" s="696">
        <v>500000</v>
      </c>
    </row>
    <row r="30" spans="1:18">
      <c r="A30" s="296" t="s">
        <v>761</v>
      </c>
      <c r="B30" s="306" t="s">
        <v>696</v>
      </c>
      <c r="C30" s="332" t="s">
        <v>19</v>
      </c>
      <c r="D30" s="312"/>
      <c r="E30" s="332"/>
      <c r="F30" s="292"/>
      <c r="G30" s="334" t="s">
        <v>201</v>
      </c>
      <c r="H30" s="299" t="s">
        <v>859</v>
      </c>
      <c r="I30" s="332"/>
      <c r="J30" s="389"/>
      <c r="K30" s="292"/>
      <c r="L30" s="332"/>
      <c r="M30" s="309"/>
      <c r="N30" s="309"/>
      <c r="O30" s="342"/>
      <c r="P30" s="309"/>
      <c r="Q30" s="309">
        <v>50000000</v>
      </c>
      <c r="R30" s="696"/>
    </row>
    <row r="31" spans="1:18" ht="30">
      <c r="A31" s="296" t="s">
        <v>761</v>
      </c>
      <c r="B31" s="306" t="s">
        <v>696</v>
      </c>
      <c r="C31" s="346">
        <v>46082</v>
      </c>
      <c r="D31" s="312"/>
      <c r="E31" s="346">
        <v>46357</v>
      </c>
      <c r="F31" s="292"/>
      <c r="G31" s="380" t="s">
        <v>203</v>
      </c>
      <c r="H31" s="299" t="s">
        <v>817</v>
      </c>
      <c r="I31" s="326" t="s">
        <v>204</v>
      </c>
      <c r="J31" s="385" t="s">
        <v>205</v>
      </c>
      <c r="K31" s="292"/>
      <c r="L31" s="326">
        <v>20</v>
      </c>
      <c r="M31" s="309">
        <v>480555.55</v>
      </c>
      <c r="N31" s="309">
        <v>9611111</v>
      </c>
      <c r="O31" s="330">
        <v>768888.88</v>
      </c>
      <c r="P31" s="309">
        <v>10379999.880000001</v>
      </c>
      <c r="Q31" s="309"/>
      <c r="R31" s="696"/>
    </row>
    <row r="32" spans="1:18" ht="30">
      <c r="A32" s="296" t="s">
        <v>761</v>
      </c>
      <c r="B32" s="306" t="s">
        <v>696</v>
      </c>
      <c r="C32" s="346">
        <v>46082</v>
      </c>
      <c r="D32" s="312"/>
      <c r="E32" s="346">
        <v>46357</v>
      </c>
      <c r="F32" s="292"/>
      <c r="G32" s="380" t="s">
        <v>203</v>
      </c>
      <c r="H32" s="299" t="s">
        <v>817</v>
      </c>
      <c r="I32" s="326" t="s">
        <v>206</v>
      </c>
      <c r="J32" s="385" t="s">
        <v>207</v>
      </c>
      <c r="K32" s="292"/>
      <c r="L32" s="326">
        <v>20</v>
      </c>
      <c r="M32" s="309">
        <v>483333.33</v>
      </c>
      <c r="N32" s="309">
        <v>9666666.5999999996</v>
      </c>
      <c r="O32" s="330">
        <v>773333.32799999998</v>
      </c>
      <c r="P32" s="309">
        <v>10439999.927999999</v>
      </c>
      <c r="Q32" s="309"/>
      <c r="R32" s="696"/>
    </row>
    <row r="33" spans="1:18">
      <c r="A33" s="296" t="s">
        <v>761</v>
      </c>
      <c r="B33" s="306" t="s">
        <v>696</v>
      </c>
      <c r="C33" s="346">
        <v>46082</v>
      </c>
      <c r="D33" s="312"/>
      <c r="E33" s="346">
        <v>46357</v>
      </c>
      <c r="F33" s="292"/>
      <c r="G33" s="380" t="s">
        <v>203</v>
      </c>
      <c r="H33" s="299" t="s">
        <v>817</v>
      </c>
      <c r="I33" s="326" t="s">
        <v>208</v>
      </c>
      <c r="J33" s="386" t="s">
        <v>209</v>
      </c>
      <c r="K33" s="292"/>
      <c r="L33" s="326">
        <v>10</v>
      </c>
      <c r="M33" s="309">
        <v>647222.22</v>
      </c>
      <c r="N33" s="309">
        <v>6472222.1999999993</v>
      </c>
      <c r="O33" s="330">
        <v>517777.77599999995</v>
      </c>
      <c r="P33" s="309">
        <v>6989999.9759999989</v>
      </c>
      <c r="Q33" s="309"/>
      <c r="R33" s="696"/>
    </row>
    <row r="34" spans="1:18">
      <c r="A34" s="296" t="s">
        <v>761</v>
      </c>
      <c r="B34" s="306" t="s">
        <v>696</v>
      </c>
      <c r="C34" s="346">
        <v>46082</v>
      </c>
      <c r="D34" s="312"/>
      <c r="E34" s="346">
        <v>46357</v>
      </c>
      <c r="F34" s="292"/>
      <c r="G34" s="380" t="s">
        <v>203</v>
      </c>
      <c r="H34" s="299" t="s">
        <v>817</v>
      </c>
      <c r="I34" s="326" t="s">
        <v>23</v>
      </c>
      <c r="J34" s="386" t="s">
        <v>24</v>
      </c>
      <c r="K34" s="292"/>
      <c r="L34" s="326">
        <v>10</v>
      </c>
      <c r="M34" s="309">
        <v>1185185.18</v>
      </c>
      <c r="N34" s="309">
        <v>11851851.799999999</v>
      </c>
      <c r="O34" s="330">
        <v>948148.14399999997</v>
      </c>
      <c r="P34" s="309">
        <v>12799999.943999998</v>
      </c>
      <c r="Q34" s="309"/>
      <c r="R34" s="696"/>
    </row>
    <row r="35" spans="1:18" ht="30">
      <c r="A35" s="296" t="s">
        <v>761</v>
      </c>
      <c r="B35" s="306" t="s">
        <v>696</v>
      </c>
      <c r="C35" s="346">
        <v>46082</v>
      </c>
      <c r="D35" s="312"/>
      <c r="E35" s="346">
        <v>46357</v>
      </c>
      <c r="F35" s="292"/>
      <c r="G35" s="380" t="s">
        <v>203</v>
      </c>
      <c r="H35" s="299" t="s">
        <v>817</v>
      </c>
      <c r="I35" s="326" t="s">
        <v>77</v>
      </c>
      <c r="J35" s="385" t="s">
        <v>210</v>
      </c>
      <c r="K35" s="292"/>
      <c r="L35" s="326">
        <v>100</v>
      </c>
      <c r="M35" s="309">
        <v>324074.07</v>
      </c>
      <c r="N35" s="309">
        <v>32407407</v>
      </c>
      <c r="O35" s="330">
        <v>2592592.56</v>
      </c>
      <c r="P35" s="309">
        <v>34999999.560000002</v>
      </c>
      <c r="Q35" s="309"/>
      <c r="R35" s="696"/>
    </row>
    <row r="36" spans="1:18">
      <c r="A36" s="296" t="s">
        <v>761</v>
      </c>
      <c r="B36" s="306" t="s">
        <v>696</v>
      </c>
      <c r="C36" s="349">
        <v>46082</v>
      </c>
      <c r="D36" s="312"/>
      <c r="E36" s="349"/>
      <c r="F36" s="292"/>
      <c r="G36" s="408"/>
      <c r="H36" s="332" t="s">
        <v>198</v>
      </c>
      <c r="I36" s="332"/>
      <c r="J36" s="410"/>
      <c r="K36" s="292"/>
      <c r="L36" s="390"/>
      <c r="M36" s="309"/>
      <c r="N36" s="309"/>
      <c r="O36" s="342"/>
      <c r="P36" s="309"/>
      <c r="Q36" s="309"/>
      <c r="R36" s="696">
        <v>500000</v>
      </c>
    </row>
    <row r="37" spans="1:18">
      <c r="A37" s="296" t="s">
        <v>761</v>
      </c>
      <c r="B37" s="306" t="s">
        <v>696</v>
      </c>
      <c r="C37" s="346">
        <v>46235</v>
      </c>
      <c r="D37" s="312"/>
      <c r="E37" s="346">
        <v>46357</v>
      </c>
      <c r="F37" s="292"/>
      <c r="G37" s="380" t="s">
        <v>211</v>
      </c>
      <c r="H37" s="299" t="s">
        <v>817</v>
      </c>
      <c r="I37" s="326" t="s">
        <v>23</v>
      </c>
      <c r="J37" s="386" t="s">
        <v>24</v>
      </c>
      <c r="K37" s="292"/>
      <c r="L37" s="326">
        <v>20</v>
      </c>
      <c r="M37" s="309">
        <v>1185185.18</v>
      </c>
      <c r="N37" s="309">
        <v>23703703.599999998</v>
      </c>
      <c r="O37" s="330">
        <v>1896296.2879999999</v>
      </c>
      <c r="P37" s="309">
        <v>25599999.887999997</v>
      </c>
      <c r="Q37" s="309"/>
      <c r="R37" s="696"/>
    </row>
    <row r="38" spans="1:18">
      <c r="A38" s="296" t="s">
        <v>761</v>
      </c>
      <c r="B38" s="306" t="s">
        <v>696</v>
      </c>
      <c r="C38" s="349">
        <v>46235</v>
      </c>
      <c r="D38" s="312"/>
      <c r="E38" s="349"/>
      <c r="F38" s="292"/>
      <c r="G38" s="408"/>
      <c r="H38" s="332" t="s">
        <v>198</v>
      </c>
      <c r="I38" s="332"/>
      <c r="J38" s="410"/>
      <c r="K38" s="292"/>
      <c r="L38" s="390"/>
      <c r="M38" s="309"/>
      <c r="N38" s="309"/>
      <c r="O38" s="342"/>
      <c r="P38" s="309"/>
      <c r="Q38" s="309"/>
      <c r="R38" s="696">
        <v>500000</v>
      </c>
    </row>
    <row r="39" spans="1:18">
      <c r="A39" s="296" t="s">
        <v>761</v>
      </c>
      <c r="B39" s="306" t="s">
        <v>696</v>
      </c>
      <c r="C39" s="346" t="s">
        <v>212</v>
      </c>
      <c r="D39" s="312"/>
      <c r="E39" s="346">
        <v>46144</v>
      </c>
      <c r="F39" s="292"/>
      <c r="G39" s="380" t="s">
        <v>213</v>
      </c>
      <c r="H39" s="299" t="s">
        <v>817</v>
      </c>
      <c r="I39" s="326" t="s">
        <v>40</v>
      </c>
      <c r="J39" s="386" t="s">
        <v>41</v>
      </c>
      <c r="K39" s="292"/>
      <c r="L39" s="326">
        <v>10</v>
      </c>
      <c r="M39" s="309">
        <v>844444.45</v>
      </c>
      <c r="N39" s="309">
        <v>8444444.5</v>
      </c>
      <c r="O39" s="330">
        <v>675555.56</v>
      </c>
      <c r="P39" s="309">
        <v>9120000.0600000005</v>
      </c>
      <c r="Q39" s="309"/>
      <c r="R39" s="696"/>
    </row>
    <row r="40" spans="1:18">
      <c r="A40" s="296" t="s">
        <v>761</v>
      </c>
      <c r="B40" s="306" t="s">
        <v>696</v>
      </c>
      <c r="C40" s="346" t="s">
        <v>212</v>
      </c>
      <c r="D40" s="312"/>
      <c r="E40" s="346">
        <v>46144</v>
      </c>
      <c r="F40" s="292"/>
      <c r="G40" s="380" t="s">
        <v>213</v>
      </c>
      <c r="H40" s="299" t="s">
        <v>817</v>
      </c>
      <c r="I40" s="326" t="s">
        <v>23</v>
      </c>
      <c r="J40" s="386" t="s">
        <v>82</v>
      </c>
      <c r="K40" s="292"/>
      <c r="L40" s="326">
        <v>8</v>
      </c>
      <c r="M40" s="309">
        <v>1185185.18</v>
      </c>
      <c r="N40" s="309">
        <v>9481481.4399999995</v>
      </c>
      <c r="O40" s="330">
        <v>758518.51520000002</v>
      </c>
      <c r="P40" s="309">
        <v>10239999.9552</v>
      </c>
      <c r="Q40" s="309"/>
      <c r="R40" s="696"/>
    </row>
    <row r="41" spans="1:18">
      <c r="A41" s="296" t="s">
        <v>761</v>
      </c>
      <c r="B41" s="306" t="s">
        <v>696</v>
      </c>
      <c r="C41" s="347" t="s">
        <v>212</v>
      </c>
      <c r="D41" s="312"/>
      <c r="E41" s="347" t="s">
        <v>214</v>
      </c>
      <c r="F41" s="292"/>
      <c r="G41" s="381" t="s">
        <v>215</v>
      </c>
      <c r="H41" s="299" t="s">
        <v>817</v>
      </c>
      <c r="I41" s="325" t="s">
        <v>74</v>
      </c>
      <c r="J41" s="387" t="s">
        <v>141</v>
      </c>
      <c r="K41" s="292"/>
      <c r="L41" s="325">
        <v>64</v>
      </c>
      <c r="M41" s="309">
        <v>361111.11</v>
      </c>
      <c r="N41" s="309">
        <v>23111111.039999999</v>
      </c>
      <c r="O41" s="328">
        <v>1848888.8832</v>
      </c>
      <c r="P41" s="309">
        <v>24959999.9232</v>
      </c>
      <c r="Q41" s="309"/>
      <c r="R41" s="696"/>
    </row>
    <row r="42" spans="1:18">
      <c r="A42" s="296" t="s">
        <v>761</v>
      </c>
      <c r="B42" s="306" t="s">
        <v>696</v>
      </c>
      <c r="C42" s="349" t="s">
        <v>212</v>
      </c>
      <c r="D42" s="312"/>
      <c r="E42" s="349"/>
      <c r="F42" s="292"/>
      <c r="G42" s="408"/>
      <c r="H42" s="332" t="s">
        <v>198</v>
      </c>
      <c r="I42" s="332"/>
      <c r="J42" s="410"/>
      <c r="K42" s="292"/>
      <c r="L42" s="390"/>
      <c r="M42" s="309"/>
      <c r="N42" s="309"/>
      <c r="O42" s="342"/>
      <c r="P42" s="309"/>
      <c r="Q42" s="309"/>
      <c r="R42" s="696">
        <v>500000</v>
      </c>
    </row>
    <row r="43" spans="1:18">
      <c r="A43" s="296" t="s">
        <v>761</v>
      </c>
      <c r="B43" s="306" t="s">
        <v>696</v>
      </c>
      <c r="C43" s="349">
        <v>46328</v>
      </c>
      <c r="D43" s="312"/>
      <c r="E43" s="349"/>
      <c r="F43" s="292"/>
      <c r="G43" s="334" t="s">
        <v>216</v>
      </c>
      <c r="H43" s="299" t="s">
        <v>859</v>
      </c>
      <c r="I43" s="332"/>
      <c r="J43" s="389"/>
      <c r="K43" s="292"/>
      <c r="L43" s="332"/>
      <c r="M43" s="309"/>
      <c r="N43" s="309"/>
      <c r="O43" s="342"/>
      <c r="P43" s="309"/>
      <c r="Q43" s="309">
        <v>300000000</v>
      </c>
      <c r="R43" s="696"/>
    </row>
    <row r="44" spans="1:18" ht="30">
      <c r="A44" s="296" t="s">
        <v>761</v>
      </c>
      <c r="B44" s="306" t="s">
        <v>696</v>
      </c>
      <c r="C44" s="347">
        <v>46298</v>
      </c>
      <c r="D44" s="312"/>
      <c r="E44" s="347">
        <v>46298</v>
      </c>
      <c r="F44" s="292"/>
      <c r="G44" s="336" t="s">
        <v>846</v>
      </c>
      <c r="H44" s="299" t="s">
        <v>817</v>
      </c>
      <c r="I44" s="326" t="s">
        <v>77</v>
      </c>
      <c r="J44" s="385" t="s">
        <v>210</v>
      </c>
      <c r="K44" s="292"/>
      <c r="L44" s="326">
        <v>40</v>
      </c>
      <c r="M44" s="309">
        <v>324074.07</v>
      </c>
      <c r="N44" s="309">
        <v>12962962.800000001</v>
      </c>
      <c r="O44" s="328">
        <v>1037037.0240000001</v>
      </c>
      <c r="P44" s="309">
        <v>13999999.824000001</v>
      </c>
      <c r="Q44" s="309"/>
      <c r="R44" s="696"/>
    </row>
    <row r="45" spans="1:18">
      <c r="A45" s="296" t="s">
        <v>761</v>
      </c>
      <c r="B45" s="306" t="s">
        <v>696</v>
      </c>
      <c r="C45" s="349">
        <v>46298</v>
      </c>
      <c r="D45" s="312"/>
      <c r="E45" s="349"/>
      <c r="F45" s="292"/>
      <c r="G45" s="408"/>
      <c r="H45" s="332" t="s">
        <v>198</v>
      </c>
      <c r="I45" s="332"/>
      <c r="J45" s="410"/>
      <c r="K45" s="292"/>
      <c r="L45" s="390"/>
      <c r="M45" s="309"/>
      <c r="N45" s="309"/>
      <c r="O45" s="342"/>
      <c r="P45" s="309"/>
      <c r="Q45" s="309"/>
      <c r="R45" s="696">
        <v>500000</v>
      </c>
    </row>
    <row r="46" spans="1:18" ht="30">
      <c r="A46" s="296" t="s">
        <v>761</v>
      </c>
      <c r="B46" s="306" t="s">
        <v>696</v>
      </c>
      <c r="C46" s="347" t="s">
        <v>217</v>
      </c>
      <c r="D46" s="312"/>
      <c r="E46" s="347">
        <v>46298</v>
      </c>
      <c r="F46" s="292"/>
      <c r="G46" s="336" t="s">
        <v>846</v>
      </c>
      <c r="H46" s="299" t="s">
        <v>817</v>
      </c>
      <c r="I46" s="325" t="s">
        <v>56</v>
      </c>
      <c r="J46" s="388" t="s">
        <v>218</v>
      </c>
      <c r="K46" s="292"/>
      <c r="L46" s="325">
        <v>36</v>
      </c>
      <c r="M46" s="309">
        <v>325925.93</v>
      </c>
      <c r="N46" s="309">
        <v>11733333.48</v>
      </c>
      <c r="O46" s="328">
        <v>938666.67840000009</v>
      </c>
      <c r="P46" s="309">
        <v>12672000.158400001</v>
      </c>
      <c r="Q46" s="309"/>
      <c r="R46" s="696"/>
    </row>
    <row r="47" spans="1:18">
      <c r="A47" s="296" t="s">
        <v>761</v>
      </c>
      <c r="B47" s="306" t="s">
        <v>696</v>
      </c>
      <c r="C47" s="347" t="s">
        <v>217</v>
      </c>
      <c r="D47" s="312"/>
      <c r="E47" s="347">
        <v>46298</v>
      </c>
      <c r="F47" s="292"/>
      <c r="G47" s="336" t="s">
        <v>846</v>
      </c>
      <c r="H47" s="299" t="s">
        <v>817</v>
      </c>
      <c r="I47" s="325" t="s">
        <v>219</v>
      </c>
      <c r="J47" s="387" t="s">
        <v>220</v>
      </c>
      <c r="K47" s="292"/>
      <c r="L47" s="325">
        <v>36</v>
      </c>
      <c r="M47" s="309">
        <v>263888.89</v>
      </c>
      <c r="N47" s="309">
        <v>9500000.040000001</v>
      </c>
      <c r="O47" s="328">
        <v>760000.00320000004</v>
      </c>
      <c r="P47" s="309">
        <v>10260000.043200001</v>
      </c>
      <c r="Q47" s="309"/>
      <c r="R47" s="696"/>
    </row>
    <row r="48" spans="1:18" ht="30">
      <c r="A48" s="296" t="s">
        <v>761</v>
      </c>
      <c r="B48" s="306" t="s">
        <v>696</v>
      </c>
      <c r="C48" s="347" t="s">
        <v>217</v>
      </c>
      <c r="D48" s="312"/>
      <c r="E48" s="347" t="s">
        <v>221</v>
      </c>
      <c r="F48" s="292"/>
      <c r="G48" s="381" t="s">
        <v>222</v>
      </c>
      <c r="H48" s="299" t="s">
        <v>817</v>
      </c>
      <c r="I48" s="325" t="s">
        <v>77</v>
      </c>
      <c r="J48" s="388" t="s">
        <v>210</v>
      </c>
      <c r="K48" s="292"/>
      <c r="L48" s="325">
        <v>40</v>
      </c>
      <c r="M48" s="309">
        <v>324074.07</v>
      </c>
      <c r="N48" s="309">
        <v>12962962.800000001</v>
      </c>
      <c r="O48" s="328">
        <v>1037037.0240000001</v>
      </c>
      <c r="P48" s="309">
        <v>13999999.824000001</v>
      </c>
      <c r="Q48" s="309"/>
      <c r="R48" s="696"/>
    </row>
    <row r="49" spans="1:18" ht="30">
      <c r="A49" s="296" t="s">
        <v>761</v>
      </c>
      <c r="B49" s="306" t="s">
        <v>696</v>
      </c>
      <c r="C49" s="347" t="s">
        <v>217</v>
      </c>
      <c r="D49" s="312"/>
      <c r="E49" s="347" t="s">
        <v>221</v>
      </c>
      <c r="F49" s="292"/>
      <c r="G49" s="381" t="s">
        <v>222</v>
      </c>
      <c r="H49" s="299" t="s">
        <v>817</v>
      </c>
      <c r="I49" s="325" t="s">
        <v>60</v>
      </c>
      <c r="J49" s="388" t="s">
        <v>223</v>
      </c>
      <c r="K49" s="292"/>
      <c r="L49" s="325">
        <v>4</v>
      </c>
      <c r="M49" s="309">
        <v>1138888.8899999999</v>
      </c>
      <c r="N49" s="309">
        <v>4555555.5599999996</v>
      </c>
      <c r="O49" s="328">
        <v>364444.4448</v>
      </c>
      <c r="P49" s="309">
        <v>4920000.0047999993</v>
      </c>
      <c r="Q49" s="309"/>
      <c r="R49" s="696"/>
    </row>
    <row r="50" spans="1:18" ht="30">
      <c r="A50" s="296" t="s">
        <v>761</v>
      </c>
      <c r="B50" s="306" t="s">
        <v>696</v>
      </c>
      <c r="C50" s="347" t="s">
        <v>217</v>
      </c>
      <c r="D50" s="312"/>
      <c r="E50" s="347" t="s">
        <v>221</v>
      </c>
      <c r="F50" s="292"/>
      <c r="G50" s="381" t="s">
        <v>222</v>
      </c>
      <c r="H50" s="299" t="s">
        <v>817</v>
      </c>
      <c r="I50" s="325" t="s">
        <v>16</v>
      </c>
      <c r="J50" s="388" t="s">
        <v>224</v>
      </c>
      <c r="K50" s="292"/>
      <c r="L50" s="325">
        <v>8</v>
      </c>
      <c r="M50" s="309">
        <v>851851.85</v>
      </c>
      <c r="N50" s="309">
        <v>6814814.7999999998</v>
      </c>
      <c r="O50" s="328">
        <v>545185.18400000001</v>
      </c>
      <c r="P50" s="309">
        <v>7359999.9840000002</v>
      </c>
      <c r="Q50" s="309"/>
      <c r="R50" s="696"/>
    </row>
    <row r="51" spans="1:18">
      <c r="A51" s="296" t="s">
        <v>761</v>
      </c>
      <c r="B51" s="306" t="s">
        <v>696</v>
      </c>
      <c r="C51" s="347" t="s">
        <v>217</v>
      </c>
      <c r="D51" s="312"/>
      <c r="E51" s="347" t="s">
        <v>221</v>
      </c>
      <c r="F51" s="292"/>
      <c r="G51" s="381" t="s">
        <v>222</v>
      </c>
      <c r="H51" s="299" t="s">
        <v>817</v>
      </c>
      <c r="I51" s="325" t="s">
        <v>34</v>
      </c>
      <c r="J51" s="387" t="s">
        <v>188</v>
      </c>
      <c r="K51" s="292"/>
      <c r="L51" s="325">
        <v>30</v>
      </c>
      <c r="M51" s="309">
        <v>240740.74</v>
      </c>
      <c r="N51" s="309">
        <v>7222222.1999999993</v>
      </c>
      <c r="O51" s="328">
        <v>577777.77599999995</v>
      </c>
      <c r="P51" s="309">
        <v>7799999.9759999989</v>
      </c>
      <c r="Q51" s="309"/>
      <c r="R51" s="696"/>
    </row>
    <row r="52" spans="1:18">
      <c r="A52" s="296" t="s">
        <v>761</v>
      </c>
      <c r="B52" s="306" t="s">
        <v>696</v>
      </c>
      <c r="C52" s="347" t="s">
        <v>217</v>
      </c>
      <c r="D52" s="312"/>
      <c r="E52" s="347" t="s">
        <v>221</v>
      </c>
      <c r="F52" s="292"/>
      <c r="G52" s="381" t="s">
        <v>222</v>
      </c>
      <c r="H52" s="299" t="s">
        <v>817</v>
      </c>
      <c r="I52" s="337" t="s">
        <v>36</v>
      </c>
      <c r="J52" s="387" t="s">
        <v>189</v>
      </c>
      <c r="K52" s="292"/>
      <c r="L52" s="325">
        <v>30</v>
      </c>
      <c r="M52" s="309">
        <v>259259.26</v>
      </c>
      <c r="N52" s="309">
        <v>7777777.8000000007</v>
      </c>
      <c r="O52" s="328">
        <v>622222.22400000005</v>
      </c>
      <c r="P52" s="309">
        <v>8400000.0240000002</v>
      </c>
      <c r="Q52" s="309"/>
      <c r="R52" s="696"/>
    </row>
    <row r="53" spans="1:18">
      <c r="A53" s="296" t="s">
        <v>761</v>
      </c>
      <c r="B53" s="306" t="s">
        <v>696</v>
      </c>
      <c r="C53" s="347" t="s">
        <v>217</v>
      </c>
      <c r="D53" s="312"/>
      <c r="E53" s="347" t="s">
        <v>221</v>
      </c>
      <c r="F53" s="292"/>
      <c r="G53" s="381" t="s">
        <v>222</v>
      </c>
      <c r="H53" s="299" t="s">
        <v>817</v>
      </c>
      <c r="I53" s="325" t="s">
        <v>38</v>
      </c>
      <c r="J53" s="387" t="s">
        <v>190</v>
      </c>
      <c r="K53" s="292"/>
      <c r="L53" s="325">
        <v>30</v>
      </c>
      <c r="M53" s="309">
        <v>277777.78000000003</v>
      </c>
      <c r="N53" s="309">
        <v>8333333.4000000004</v>
      </c>
      <c r="O53" s="328">
        <v>666666.67200000002</v>
      </c>
      <c r="P53" s="309">
        <v>9000000.0720000006</v>
      </c>
      <c r="Q53" s="309"/>
      <c r="R53" s="696"/>
    </row>
    <row r="54" spans="1:18" ht="30">
      <c r="A54" s="296" t="s">
        <v>761</v>
      </c>
      <c r="B54" s="306" t="s">
        <v>696</v>
      </c>
      <c r="C54" s="347" t="s">
        <v>217</v>
      </c>
      <c r="D54" s="312"/>
      <c r="E54" s="347" t="s">
        <v>221</v>
      </c>
      <c r="F54" s="292"/>
      <c r="G54" s="381" t="s">
        <v>222</v>
      </c>
      <c r="H54" s="299" t="s">
        <v>817</v>
      </c>
      <c r="I54" s="337" t="s">
        <v>48</v>
      </c>
      <c r="J54" s="388" t="s">
        <v>225</v>
      </c>
      <c r="K54" s="292"/>
      <c r="L54" s="325">
        <v>6</v>
      </c>
      <c r="M54" s="309">
        <v>601851.85</v>
      </c>
      <c r="N54" s="309">
        <v>3611111.0999999996</v>
      </c>
      <c r="O54" s="328">
        <v>288888.88799999998</v>
      </c>
      <c r="P54" s="309">
        <v>3899999.9879999994</v>
      </c>
      <c r="Q54" s="309"/>
      <c r="R54" s="696"/>
    </row>
    <row r="55" spans="1:18">
      <c r="A55" s="296" t="s">
        <v>761</v>
      </c>
      <c r="B55" s="306" t="s">
        <v>696</v>
      </c>
      <c r="C55" s="347" t="s">
        <v>217</v>
      </c>
      <c r="D55" s="312"/>
      <c r="E55" s="347" t="s">
        <v>221</v>
      </c>
      <c r="F55" s="292"/>
      <c r="G55" s="381" t="s">
        <v>222</v>
      </c>
      <c r="H55" s="299" t="s">
        <v>817</v>
      </c>
      <c r="I55" s="337" t="s">
        <v>50</v>
      </c>
      <c r="J55" s="388" t="s">
        <v>51</v>
      </c>
      <c r="K55" s="292"/>
      <c r="L55" s="325">
        <v>6</v>
      </c>
      <c r="M55" s="309">
        <v>937962.96</v>
      </c>
      <c r="N55" s="309">
        <v>5627777.7599999998</v>
      </c>
      <c r="O55" s="328">
        <v>450222.22080000001</v>
      </c>
      <c r="P55" s="309">
        <v>6077999.9808</v>
      </c>
      <c r="Q55" s="309"/>
      <c r="R55" s="696"/>
    </row>
    <row r="56" spans="1:18">
      <c r="A56" s="296" t="s">
        <v>761</v>
      </c>
      <c r="B56" s="306" t="s">
        <v>696</v>
      </c>
      <c r="C56" s="347" t="s">
        <v>217</v>
      </c>
      <c r="D56" s="299"/>
      <c r="E56" s="347" t="s">
        <v>221</v>
      </c>
      <c r="F56" s="298"/>
      <c r="G56" s="381" t="s">
        <v>222</v>
      </c>
      <c r="H56" s="299" t="s">
        <v>817</v>
      </c>
      <c r="I56" s="325" t="s">
        <v>226</v>
      </c>
      <c r="J56" s="387" t="s">
        <v>227</v>
      </c>
      <c r="K56" s="298"/>
      <c r="L56" s="325">
        <v>6</v>
      </c>
      <c r="M56" s="309">
        <v>799074.07</v>
      </c>
      <c r="N56" s="309">
        <v>4794444.42</v>
      </c>
      <c r="O56" s="328">
        <v>383555.55359999998</v>
      </c>
      <c r="P56" s="309">
        <v>5177999.9736000001</v>
      </c>
      <c r="Q56" s="309"/>
      <c r="R56" s="696"/>
    </row>
    <row r="57" spans="1:18">
      <c r="A57" s="296" t="s">
        <v>761</v>
      </c>
      <c r="B57" s="306" t="s">
        <v>696</v>
      </c>
      <c r="C57" s="347" t="s">
        <v>217</v>
      </c>
      <c r="D57" s="299"/>
      <c r="E57" s="347" t="s">
        <v>221</v>
      </c>
      <c r="F57" s="298"/>
      <c r="G57" s="381" t="s">
        <v>222</v>
      </c>
      <c r="H57" s="299" t="s">
        <v>817</v>
      </c>
      <c r="I57" s="337" t="s">
        <v>52</v>
      </c>
      <c r="J57" s="387" t="s">
        <v>228</v>
      </c>
      <c r="K57" s="298"/>
      <c r="L57" s="325">
        <v>6</v>
      </c>
      <c r="M57" s="309">
        <v>1007407.41</v>
      </c>
      <c r="N57" s="309">
        <v>6044444.46</v>
      </c>
      <c r="O57" s="328">
        <v>483555.55680000002</v>
      </c>
      <c r="P57" s="309">
        <v>6528000.0168000003</v>
      </c>
      <c r="Q57" s="309"/>
      <c r="R57" s="696"/>
    </row>
    <row r="58" spans="1:18">
      <c r="A58" s="296" t="s">
        <v>761</v>
      </c>
      <c r="B58" s="306" t="s">
        <v>696</v>
      </c>
      <c r="C58" s="347" t="s">
        <v>217</v>
      </c>
      <c r="D58" s="299"/>
      <c r="E58" s="347" t="s">
        <v>221</v>
      </c>
      <c r="F58" s="298"/>
      <c r="G58" s="381" t="s">
        <v>222</v>
      </c>
      <c r="H58" s="299" t="s">
        <v>817</v>
      </c>
      <c r="I58" s="325" t="s">
        <v>54</v>
      </c>
      <c r="J58" s="387" t="s">
        <v>229</v>
      </c>
      <c r="K58" s="298"/>
      <c r="L58" s="325">
        <v>12</v>
      </c>
      <c r="M58" s="309">
        <v>324074.07</v>
      </c>
      <c r="N58" s="309">
        <v>3888888.84</v>
      </c>
      <c r="O58" s="328">
        <v>311111.10719999997</v>
      </c>
      <c r="P58" s="309">
        <v>4199999.9472000003</v>
      </c>
      <c r="Q58" s="309"/>
      <c r="R58" s="696"/>
    </row>
    <row r="59" spans="1:18">
      <c r="A59" s="296" t="s">
        <v>761</v>
      </c>
      <c r="B59" s="306" t="s">
        <v>696</v>
      </c>
      <c r="C59" s="347" t="s">
        <v>217</v>
      </c>
      <c r="D59" s="299"/>
      <c r="E59" s="347" t="s">
        <v>221</v>
      </c>
      <c r="F59" s="298"/>
      <c r="G59" s="381" t="s">
        <v>222</v>
      </c>
      <c r="H59" s="299" t="s">
        <v>817</v>
      </c>
      <c r="I59" s="325" t="s">
        <v>107</v>
      </c>
      <c r="J59" s="387" t="s">
        <v>108</v>
      </c>
      <c r="K59" s="298"/>
      <c r="L59" s="325">
        <v>12</v>
      </c>
      <c r="M59" s="309">
        <v>349074.07</v>
      </c>
      <c r="N59" s="309">
        <v>4188888.84</v>
      </c>
      <c r="O59" s="328">
        <v>335111.10719999997</v>
      </c>
      <c r="P59" s="309">
        <v>4523999.9472000003</v>
      </c>
      <c r="Q59" s="309"/>
      <c r="R59" s="696"/>
    </row>
    <row r="60" spans="1:18">
      <c r="A60" s="296" t="s">
        <v>761</v>
      </c>
      <c r="B60" s="306" t="s">
        <v>696</v>
      </c>
      <c r="C60" s="347" t="s">
        <v>217</v>
      </c>
      <c r="D60" s="299"/>
      <c r="E60" s="347" t="s">
        <v>221</v>
      </c>
      <c r="F60" s="298"/>
      <c r="G60" s="381" t="s">
        <v>222</v>
      </c>
      <c r="H60" s="299" t="s">
        <v>817</v>
      </c>
      <c r="I60" s="337" t="s">
        <v>127</v>
      </c>
      <c r="J60" s="388" t="s">
        <v>230</v>
      </c>
      <c r="K60" s="298"/>
      <c r="L60" s="325">
        <v>12</v>
      </c>
      <c r="M60" s="309">
        <v>284259.26</v>
      </c>
      <c r="N60" s="309">
        <v>3411111.12</v>
      </c>
      <c r="O60" s="328">
        <v>272888.88959999999</v>
      </c>
      <c r="P60" s="309">
        <v>3684000.0096</v>
      </c>
      <c r="Q60" s="309"/>
      <c r="R60" s="696"/>
    </row>
    <row r="61" spans="1:18">
      <c r="A61" s="296" t="s">
        <v>761</v>
      </c>
      <c r="B61" s="306" t="s">
        <v>696</v>
      </c>
      <c r="C61" s="347" t="s">
        <v>217</v>
      </c>
      <c r="D61" s="299"/>
      <c r="E61" s="347" t="s">
        <v>221</v>
      </c>
      <c r="F61" s="298"/>
      <c r="G61" s="381" t="s">
        <v>222</v>
      </c>
      <c r="H61" s="299" t="s">
        <v>817</v>
      </c>
      <c r="I61" s="325" t="s">
        <v>130</v>
      </c>
      <c r="J61" s="387" t="s">
        <v>231</v>
      </c>
      <c r="K61" s="298"/>
      <c r="L61" s="325">
        <v>12</v>
      </c>
      <c r="M61" s="309">
        <v>280555.56</v>
      </c>
      <c r="N61" s="309">
        <v>3366666.7199999997</v>
      </c>
      <c r="O61" s="328">
        <v>269333.33759999997</v>
      </c>
      <c r="P61" s="309">
        <v>3636000.0575999999</v>
      </c>
      <c r="Q61" s="309"/>
      <c r="R61" s="696"/>
    </row>
    <row r="62" spans="1:18">
      <c r="A62" s="296" t="s">
        <v>761</v>
      </c>
      <c r="B62" s="306" t="s">
        <v>696</v>
      </c>
      <c r="C62" s="347" t="s">
        <v>217</v>
      </c>
      <c r="D62" s="299"/>
      <c r="E62" s="347" t="s">
        <v>232</v>
      </c>
      <c r="F62" s="298"/>
      <c r="G62" s="381" t="s">
        <v>233</v>
      </c>
      <c r="H62" s="299" t="s">
        <v>862</v>
      </c>
      <c r="I62" s="325" t="s">
        <v>62</v>
      </c>
      <c r="J62" s="394" t="s">
        <v>234</v>
      </c>
      <c r="K62" s="298"/>
      <c r="L62" s="411">
        <v>24</v>
      </c>
      <c r="M62" s="309"/>
      <c r="N62" s="309"/>
      <c r="O62" s="328"/>
      <c r="P62" s="309"/>
      <c r="Q62" s="309"/>
      <c r="R62" s="696"/>
    </row>
    <row r="63" spans="1:18">
      <c r="A63" s="296" t="s">
        <v>761</v>
      </c>
      <c r="B63" s="306" t="s">
        <v>696</v>
      </c>
      <c r="C63" s="349" t="s">
        <v>217</v>
      </c>
      <c r="D63" s="299"/>
      <c r="E63" s="349"/>
      <c r="F63" s="298"/>
      <c r="G63" s="408"/>
      <c r="H63" s="332" t="s">
        <v>198</v>
      </c>
      <c r="I63" s="332"/>
      <c r="J63" s="410"/>
      <c r="K63" s="298"/>
      <c r="L63" s="390"/>
      <c r="M63" s="309"/>
      <c r="N63" s="309"/>
      <c r="O63" s="342"/>
      <c r="P63" s="309"/>
      <c r="Q63" s="309"/>
      <c r="R63" s="696">
        <v>500000</v>
      </c>
    </row>
    <row r="64" spans="1:18">
      <c r="A64" s="296" t="s">
        <v>761</v>
      </c>
      <c r="B64" s="306" t="s">
        <v>696</v>
      </c>
      <c r="C64" s="347" t="s">
        <v>235</v>
      </c>
      <c r="D64" s="299"/>
      <c r="E64" s="347" t="s">
        <v>235</v>
      </c>
      <c r="F64" s="298"/>
      <c r="G64" s="381" t="s">
        <v>236</v>
      </c>
      <c r="H64" s="331" t="s">
        <v>237</v>
      </c>
      <c r="I64" s="412" t="s">
        <v>46</v>
      </c>
      <c r="J64" s="413" t="s">
        <v>47</v>
      </c>
      <c r="K64" s="298"/>
      <c r="L64" s="344">
        <v>-22</v>
      </c>
      <c r="M64" s="309">
        <v>194444.44</v>
      </c>
      <c r="N64" s="309">
        <v>-4277777.68</v>
      </c>
      <c r="O64" s="345">
        <v>-342222.2144</v>
      </c>
      <c r="P64" s="309">
        <v>-4619999.8943999996</v>
      </c>
      <c r="Q64" s="309"/>
      <c r="R64" s="696"/>
    </row>
    <row r="65" spans="1:18">
      <c r="A65" s="296" t="s">
        <v>761</v>
      </c>
      <c r="B65" s="306" t="s">
        <v>696</v>
      </c>
      <c r="C65" s="347" t="s">
        <v>235</v>
      </c>
      <c r="D65" s="299"/>
      <c r="E65" s="347">
        <v>46117</v>
      </c>
      <c r="F65" s="298"/>
      <c r="G65" s="381" t="s">
        <v>238</v>
      </c>
      <c r="H65" s="299" t="s">
        <v>817</v>
      </c>
      <c r="I65" s="337" t="s">
        <v>180</v>
      </c>
      <c r="J65" s="387" t="s">
        <v>239</v>
      </c>
      <c r="K65" s="298"/>
      <c r="L65" s="344">
        <v>40</v>
      </c>
      <c r="M65" s="309">
        <v>234259.26</v>
      </c>
      <c r="N65" s="309">
        <v>9370370.4000000004</v>
      </c>
      <c r="O65" s="345">
        <v>749629.6320000001</v>
      </c>
      <c r="P65" s="309">
        <v>10120000.032</v>
      </c>
      <c r="Q65" s="309"/>
      <c r="R65" s="696"/>
    </row>
    <row r="66" spans="1:18">
      <c r="A66" s="296" t="s">
        <v>761</v>
      </c>
      <c r="B66" s="306" t="s">
        <v>696</v>
      </c>
      <c r="C66" s="347" t="s">
        <v>235</v>
      </c>
      <c r="D66" s="299"/>
      <c r="E66" s="347">
        <v>46117</v>
      </c>
      <c r="F66" s="298"/>
      <c r="G66" s="381" t="s">
        <v>238</v>
      </c>
      <c r="H66" s="299" t="s">
        <v>817</v>
      </c>
      <c r="I66" s="337" t="s">
        <v>26</v>
      </c>
      <c r="J66" s="387" t="s">
        <v>182</v>
      </c>
      <c r="K66" s="298"/>
      <c r="L66" s="344">
        <v>40</v>
      </c>
      <c r="M66" s="309">
        <v>256481.48</v>
      </c>
      <c r="N66" s="309">
        <v>10259259.200000001</v>
      </c>
      <c r="O66" s="345">
        <v>820740.73600000015</v>
      </c>
      <c r="P66" s="309">
        <v>11079999.936000001</v>
      </c>
      <c r="Q66" s="309"/>
      <c r="R66" s="696"/>
    </row>
    <row r="67" spans="1:18">
      <c r="A67" s="296" t="s">
        <v>761</v>
      </c>
      <c r="B67" s="306" t="s">
        <v>696</v>
      </c>
      <c r="C67" s="347" t="s">
        <v>235</v>
      </c>
      <c r="D67" s="299"/>
      <c r="E67" s="347">
        <v>46117</v>
      </c>
      <c r="F67" s="298"/>
      <c r="G67" s="381" t="s">
        <v>238</v>
      </c>
      <c r="H67" s="299" t="s">
        <v>817</v>
      </c>
      <c r="I67" s="337" t="s">
        <v>28</v>
      </c>
      <c r="J67" s="387" t="s">
        <v>183</v>
      </c>
      <c r="K67" s="298"/>
      <c r="L67" s="344">
        <v>40</v>
      </c>
      <c r="M67" s="309">
        <v>281481.48</v>
      </c>
      <c r="N67" s="309">
        <v>11259259.199999999</v>
      </c>
      <c r="O67" s="345">
        <v>900740.73599999992</v>
      </c>
      <c r="P67" s="309">
        <v>12159999.935999999</v>
      </c>
      <c r="Q67" s="309"/>
      <c r="R67" s="696"/>
    </row>
    <row r="68" spans="1:18" ht="30">
      <c r="A68" s="296" t="s">
        <v>761</v>
      </c>
      <c r="B68" s="306" t="s">
        <v>696</v>
      </c>
      <c r="C68" s="347" t="s">
        <v>235</v>
      </c>
      <c r="D68" s="299"/>
      <c r="E68" s="347">
        <v>46117</v>
      </c>
      <c r="F68" s="298"/>
      <c r="G68" s="381" t="s">
        <v>238</v>
      </c>
      <c r="H68" s="299" t="s">
        <v>817</v>
      </c>
      <c r="I68" s="325" t="s">
        <v>60</v>
      </c>
      <c r="J68" s="388" t="s">
        <v>223</v>
      </c>
      <c r="K68" s="298"/>
      <c r="L68" s="344">
        <v>16</v>
      </c>
      <c r="M68" s="309">
        <v>1138888.8899999999</v>
      </c>
      <c r="N68" s="309">
        <v>18222222.239999998</v>
      </c>
      <c r="O68" s="345">
        <v>1457777.7792</v>
      </c>
      <c r="P68" s="309">
        <v>19680000.019199997</v>
      </c>
      <c r="Q68" s="309"/>
      <c r="R68" s="696"/>
    </row>
    <row r="69" spans="1:18" ht="30">
      <c r="A69" s="296" t="s">
        <v>761</v>
      </c>
      <c r="B69" s="306" t="s">
        <v>696</v>
      </c>
      <c r="C69" s="347" t="s">
        <v>235</v>
      </c>
      <c r="D69" s="299"/>
      <c r="E69" s="347">
        <v>46117</v>
      </c>
      <c r="F69" s="298"/>
      <c r="G69" s="381" t="s">
        <v>238</v>
      </c>
      <c r="H69" s="299" t="s">
        <v>817</v>
      </c>
      <c r="I69" s="325" t="s">
        <v>83</v>
      </c>
      <c r="J69" s="388" t="s">
        <v>240</v>
      </c>
      <c r="K69" s="298"/>
      <c r="L69" s="344">
        <v>16</v>
      </c>
      <c r="M69" s="309">
        <v>1097222.22</v>
      </c>
      <c r="N69" s="309">
        <v>17555555.52</v>
      </c>
      <c r="O69" s="345">
        <v>1404444.4416</v>
      </c>
      <c r="P69" s="309">
        <v>18959999.961599998</v>
      </c>
      <c r="Q69" s="309"/>
      <c r="R69" s="696"/>
    </row>
    <row r="70" spans="1:18">
      <c r="A70" s="296" t="s">
        <v>761</v>
      </c>
      <c r="B70" s="306" t="s">
        <v>696</v>
      </c>
      <c r="C70" s="347"/>
      <c r="D70" s="299"/>
      <c r="E70" s="347">
        <v>46117</v>
      </c>
      <c r="F70" s="298"/>
      <c r="G70" s="381" t="s">
        <v>238</v>
      </c>
      <c r="H70" s="299" t="s">
        <v>817</v>
      </c>
      <c r="I70" s="325" t="s">
        <v>226</v>
      </c>
      <c r="J70" s="387" t="s">
        <v>227</v>
      </c>
      <c r="K70" s="298"/>
      <c r="L70" s="344">
        <v>12</v>
      </c>
      <c r="M70" s="309">
        <v>799074.07</v>
      </c>
      <c r="N70" s="309">
        <v>9588888.8399999999</v>
      </c>
      <c r="O70" s="345">
        <v>767111.10719999997</v>
      </c>
      <c r="P70" s="309">
        <v>10355999.9472</v>
      </c>
      <c r="Q70" s="309"/>
      <c r="R70" s="696"/>
    </row>
    <row r="71" spans="1:18">
      <c r="A71" s="296" t="s">
        <v>761</v>
      </c>
      <c r="B71" s="306" t="s">
        <v>696</v>
      </c>
      <c r="C71" s="347" t="s">
        <v>235</v>
      </c>
      <c r="D71" s="299"/>
      <c r="E71" s="347">
        <v>46117</v>
      </c>
      <c r="F71" s="298"/>
      <c r="G71" s="381" t="s">
        <v>238</v>
      </c>
      <c r="H71" s="299" t="s">
        <v>862</v>
      </c>
      <c r="I71" s="325" t="s">
        <v>62</v>
      </c>
      <c r="J71" s="394" t="s">
        <v>234</v>
      </c>
      <c r="K71" s="298"/>
      <c r="L71" s="344">
        <v>12</v>
      </c>
      <c r="M71" s="309"/>
      <c r="N71" s="309"/>
      <c r="O71" s="345"/>
      <c r="P71" s="309"/>
      <c r="Q71" s="309"/>
      <c r="R71" s="696"/>
    </row>
    <row r="72" spans="1:18">
      <c r="A72" s="296" t="s">
        <v>761</v>
      </c>
      <c r="B72" s="306" t="s">
        <v>696</v>
      </c>
      <c r="C72" s="347" t="s">
        <v>235</v>
      </c>
      <c r="D72" s="299"/>
      <c r="E72" s="347" t="s">
        <v>241</v>
      </c>
      <c r="F72" s="298"/>
      <c r="G72" s="381" t="s">
        <v>242</v>
      </c>
      <c r="H72" s="299" t="s">
        <v>817</v>
      </c>
      <c r="I72" s="337" t="s">
        <v>243</v>
      </c>
      <c r="J72" s="387" t="s">
        <v>244</v>
      </c>
      <c r="K72" s="298"/>
      <c r="L72" s="344">
        <v>40</v>
      </c>
      <c r="M72" s="309">
        <v>298148.15000000002</v>
      </c>
      <c r="N72" s="309">
        <v>11925926</v>
      </c>
      <c r="O72" s="345">
        <v>954074.08000000007</v>
      </c>
      <c r="P72" s="309">
        <v>12880000.08</v>
      </c>
      <c r="Q72" s="309"/>
      <c r="R72" s="696"/>
    </row>
    <row r="73" spans="1:18">
      <c r="A73" s="296" t="s">
        <v>761</v>
      </c>
      <c r="B73" s="306" t="s">
        <v>696</v>
      </c>
      <c r="C73" s="349" t="s">
        <v>235</v>
      </c>
      <c r="D73" s="299"/>
      <c r="E73" s="349"/>
      <c r="F73" s="298"/>
      <c r="G73" s="408"/>
      <c r="H73" s="332" t="s">
        <v>198</v>
      </c>
      <c r="I73" s="332"/>
      <c r="J73" s="410"/>
      <c r="K73" s="298"/>
      <c r="L73" s="390"/>
      <c r="M73" s="309"/>
      <c r="N73" s="309"/>
      <c r="O73" s="342"/>
      <c r="P73" s="309"/>
      <c r="Q73" s="309"/>
      <c r="R73" s="696">
        <v>500000</v>
      </c>
    </row>
    <row r="74" spans="1:18">
      <c r="A74" s="296" t="s">
        <v>761</v>
      </c>
      <c r="B74" s="306" t="s">
        <v>696</v>
      </c>
      <c r="C74" s="347">
        <v>46087</v>
      </c>
      <c r="D74" s="299"/>
      <c r="E74" s="347">
        <v>46087</v>
      </c>
      <c r="F74" s="298"/>
      <c r="G74" s="381" t="s">
        <v>245</v>
      </c>
      <c r="H74" s="331" t="s">
        <v>246</v>
      </c>
      <c r="I74" s="412" t="s">
        <v>77</v>
      </c>
      <c r="J74" s="413" t="s">
        <v>210</v>
      </c>
      <c r="K74" s="298"/>
      <c r="L74" s="344">
        <v>-20</v>
      </c>
      <c r="M74" s="309">
        <v>324074.07</v>
      </c>
      <c r="N74" s="309">
        <v>-6481481.4000000004</v>
      </c>
      <c r="O74" s="345">
        <v>-518518.51200000005</v>
      </c>
      <c r="P74" s="309">
        <v>-6999999.9120000005</v>
      </c>
      <c r="Q74" s="309"/>
      <c r="R74" s="696"/>
    </row>
    <row r="75" spans="1:18">
      <c r="A75" s="296" t="s">
        <v>761</v>
      </c>
      <c r="B75" s="306" t="s">
        <v>696</v>
      </c>
      <c r="C75" s="347" t="s">
        <v>247</v>
      </c>
      <c r="D75" s="299"/>
      <c r="E75" s="347" t="s">
        <v>89</v>
      </c>
      <c r="F75" s="298"/>
      <c r="G75" s="381" t="s">
        <v>248</v>
      </c>
      <c r="H75" s="299" t="s">
        <v>817</v>
      </c>
      <c r="I75" s="326" t="s">
        <v>74</v>
      </c>
      <c r="J75" s="385" t="s">
        <v>141</v>
      </c>
      <c r="K75" s="298"/>
      <c r="L75" s="344">
        <v>96</v>
      </c>
      <c r="M75" s="309">
        <v>361111.11</v>
      </c>
      <c r="N75" s="309">
        <v>34666666.560000002</v>
      </c>
      <c r="O75" s="345">
        <v>2773333.3248000001</v>
      </c>
      <c r="P75" s="309">
        <v>37439999.884800002</v>
      </c>
      <c r="Q75" s="309"/>
      <c r="R75" s="696"/>
    </row>
    <row r="76" spans="1:18" ht="30">
      <c r="A76" s="296" t="s">
        <v>761</v>
      </c>
      <c r="B76" s="306" t="s">
        <v>696</v>
      </c>
      <c r="C76" s="347" t="s">
        <v>247</v>
      </c>
      <c r="D76" s="299"/>
      <c r="E76" s="347" t="s">
        <v>89</v>
      </c>
      <c r="F76" s="298"/>
      <c r="G76" s="381" t="s">
        <v>248</v>
      </c>
      <c r="H76" s="299" t="s">
        <v>817</v>
      </c>
      <c r="I76" s="326" t="s">
        <v>180</v>
      </c>
      <c r="J76" s="385" t="s">
        <v>181</v>
      </c>
      <c r="K76" s="298"/>
      <c r="L76" s="344">
        <v>30</v>
      </c>
      <c r="M76" s="309">
        <v>234259.26</v>
      </c>
      <c r="N76" s="309">
        <v>7027777.8000000007</v>
      </c>
      <c r="O76" s="345">
        <v>562222.22400000005</v>
      </c>
      <c r="P76" s="309">
        <v>7590000.0240000011</v>
      </c>
      <c r="Q76" s="309"/>
      <c r="R76" s="696"/>
    </row>
    <row r="77" spans="1:18" ht="30">
      <c r="A77" s="296" t="s">
        <v>761</v>
      </c>
      <c r="B77" s="306" t="s">
        <v>696</v>
      </c>
      <c r="C77" s="347" t="s">
        <v>247</v>
      </c>
      <c r="D77" s="299"/>
      <c r="E77" s="347" t="s">
        <v>89</v>
      </c>
      <c r="F77" s="298"/>
      <c r="G77" s="381" t="s">
        <v>248</v>
      </c>
      <c r="H77" s="299" t="s">
        <v>817</v>
      </c>
      <c r="I77" s="326" t="s">
        <v>26</v>
      </c>
      <c r="J77" s="385" t="s">
        <v>27</v>
      </c>
      <c r="K77" s="298"/>
      <c r="L77" s="344">
        <v>30</v>
      </c>
      <c r="M77" s="309">
        <v>256481.48</v>
      </c>
      <c r="N77" s="309">
        <v>7694444.4000000004</v>
      </c>
      <c r="O77" s="345">
        <v>615555.55200000003</v>
      </c>
      <c r="P77" s="309">
        <v>8309999.9520000005</v>
      </c>
      <c r="Q77" s="309"/>
      <c r="R77" s="696"/>
    </row>
    <row r="78" spans="1:18" ht="30">
      <c r="A78" s="296" t="s">
        <v>761</v>
      </c>
      <c r="B78" s="306" t="s">
        <v>696</v>
      </c>
      <c r="C78" s="347" t="s">
        <v>247</v>
      </c>
      <c r="D78" s="299"/>
      <c r="E78" s="347" t="s">
        <v>89</v>
      </c>
      <c r="F78" s="298"/>
      <c r="G78" s="381" t="s">
        <v>248</v>
      </c>
      <c r="H78" s="299" t="s">
        <v>817</v>
      </c>
      <c r="I78" s="326" t="s">
        <v>28</v>
      </c>
      <c r="J78" s="385" t="s">
        <v>29</v>
      </c>
      <c r="K78" s="298"/>
      <c r="L78" s="344">
        <v>30</v>
      </c>
      <c r="M78" s="309">
        <v>281481.48</v>
      </c>
      <c r="N78" s="309">
        <v>8444444.3999999985</v>
      </c>
      <c r="O78" s="345">
        <v>675555.55199999991</v>
      </c>
      <c r="P78" s="309">
        <v>9119999.9519999977</v>
      </c>
      <c r="Q78" s="309"/>
      <c r="R78" s="696"/>
    </row>
    <row r="79" spans="1:18" ht="30">
      <c r="A79" s="296" t="s">
        <v>761</v>
      </c>
      <c r="B79" s="306" t="s">
        <v>696</v>
      </c>
      <c r="C79" s="347" t="s">
        <v>247</v>
      </c>
      <c r="D79" s="299"/>
      <c r="E79" s="347" t="s">
        <v>89</v>
      </c>
      <c r="F79" s="298"/>
      <c r="G79" s="381" t="s">
        <v>248</v>
      </c>
      <c r="H79" s="299" t="s">
        <v>817</v>
      </c>
      <c r="I79" s="326" t="s">
        <v>243</v>
      </c>
      <c r="J79" s="385" t="s">
        <v>249</v>
      </c>
      <c r="K79" s="298"/>
      <c r="L79" s="344">
        <v>30</v>
      </c>
      <c r="M79" s="309">
        <v>298148.15000000002</v>
      </c>
      <c r="N79" s="309">
        <v>8944444.5</v>
      </c>
      <c r="O79" s="345">
        <v>715555.56</v>
      </c>
      <c r="P79" s="309">
        <v>9660000.0600000005</v>
      </c>
      <c r="Q79" s="309"/>
      <c r="R79" s="696"/>
    </row>
    <row r="80" spans="1:18" ht="30">
      <c r="A80" s="296" t="s">
        <v>761</v>
      </c>
      <c r="B80" s="306" t="s">
        <v>696</v>
      </c>
      <c r="C80" s="347" t="s">
        <v>247</v>
      </c>
      <c r="D80" s="299"/>
      <c r="E80" s="347" t="s">
        <v>89</v>
      </c>
      <c r="F80" s="298"/>
      <c r="G80" s="381" t="s">
        <v>248</v>
      </c>
      <c r="H80" s="299" t="s">
        <v>817</v>
      </c>
      <c r="I80" s="326" t="s">
        <v>48</v>
      </c>
      <c r="J80" s="385" t="s">
        <v>49</v>
      </c>
      <c r="K80" s="298"/>
      <c r="L80" s="344">
        <v>18</v>
      </c>
      <c r="M80" s="309">
        <v>601851.85</v>
      </c>
      <c r="N80" s="309">
        <v>10833333.299999999</v>
      </c>
      <c r="O80" s="345">
        <v>866666.66399999987</v>
      </c>
      <c r="P80" s="309">
        <v>11699999.963999998</v>
      </c>
      <c r="Q80" s="309"/>
      <c r="R80" s="696"/>
    </row>
    <row r="81" spans="1:18">
      <c r="A81" s="296" t="s">
        <v>761</v>
      </c>
      <c r="B81" s="306" t="s">
        <v>696</v>
      </c>
      <c r="C81" s="347" t="s">
        <v>247</v>
      </c>
      <c r="D81" s="299"/>
      <c r="E81" s="347" t="s">
        <v>89</v>
      </c>
      <c r="F81" s="298"/>
      <c r="G81" s="381" t="s">
        <v>248</v>
      </c>
      <c r="H81" s="299" t="s">
        <v>862</v>
      </c>
      <c r="I81" s="326" t="s">
        <v>62</v>
      </c>
      <c r="J81" s="385" t="s">
        <v>63</v>
      </c>
      <c r="K81" s="298"/>
      <c r="L81" s="344">
        <v>18</v>
      </c>
      <c r="M81" s="309">
        <v>0</v>
      </c>
      <c r="N81" s="309">
        <v>0</v>
      </c>
      <c r="O81" s="345">
        <v>0</v>
      </c>
      <c r="P81" s="309">
        <v>0</v>
      </c>
      <c r="Q81" s="309"/>
      <c r="R81" s="696"/>
    </row>
    <row r="82" spans="1:18">
      <c r="A82" s="296" t="s">
        <v>761</v>
      </c>
      <c r="B82" s="306" t="s">
        <v>696</v>
      </c>
      <c r="C82" s="347" t="s">
        <v>247</v>
      </c>
      <c r="D82" s="299"/>
      <c r="E82" s="347">
        <v>46029</v>
      </c>
      <c r="F82" s="298"/>
      <c r="G82" s="381" t="s">
        <v>250</v>
      </c>
      <c r="H82" s="299" t="s">
        <v>817</v>
      </c>
      <c r="I82" s="339" t="s">
        <v>98</v>
      </c>
      <c r="J82" s="391" t="s">
        <v>251</v>
      </c>
      <c r="K82" s="298"/>
      <c r="L82" s="414">
        <v>20</v>
      </c>
      <c r="M82" s="309">
        <v>694444.44</v>
      </c>
      <c r="N82" s="309">
        <v>13888888.799999999</v>
      </c>
      <c r="O82" s="395">
        <v>1111111.1039999998</v>
      </c>
      <c r="P82" s="309">
        <v>14999999.903999999</v>
      </c>
      <c r="Q82" s="309"/>
      <c r="R82" s="696"/>
    </row>
    <row r="83" spans="1:18">
      <c r="A83" s="296" t="s">
        <v>761</v>
      </c>
      <c r="B83" s="306" t="s">
        <v>696</v>
      </c>
      <c r="C83" s="347" t="s">
        <v>247</v>
      </c>
      <c r="D83" s="299"/>
      <c r="E83" s="347" t="s">
        <v>829</v>
      </c>
      <c r="F83" s="298"/>
      <c r="G83" s="381" t="s">
        <v>847</v>
      </c>
      <c r="H83" s="299" t="s">
        <v>817</v>
      </c>
      <c r="I83" s="325" t="s">
        <v>90</v>
      </c>
      <c r="J83" s="388" t="s">
        <v>91</v>
      </c>
      <c r="K83" s="298"/>
      <c r="L83" s="344">
        <v>10</v>
      </c>
      <c r="M83" s="309">
        <v>814814.81</v>
      </c>
      <c r="N83" s="309">
        <v>8148148.1000000006</v>
      </c>
      <c r="O83" s="345">
        <v>651851.84800000011</v>
      </c>
      <c r="P83" s="309">
        <v>8799999.9480000008</v>
      </c>
      <c r="Q83" s="309"/>
      <c r="R83" s="696"/>
    </row>
    <row r="84" spans="1:18">
      <c r="A84" s="296" t="s">
        <v>761</v>
      </c>
      <c r="B84" s="306" t="s">
        <v>696</v>
      </c>
      <c r="C84" s="347" t="s">
        <v>247</v>
      </c>
      <c r="D84" s="299"/>
      <c r="E84" s="347" t="s">
        <v>829</v>
      </c>
      <c r="F84" s="298"/>
      <c r="G84" s="381" t="s">
        <v>847</v>
      </c>
      <c r="H84" s="299" t="s">
        <v>817</v>
      </c>
      <c r="I84" s="325" t="s">
        <v>93</v>
      </c>
      <c r="J84" s="388" t="s">
        <v>94</v>
      </c>
      <c r="K84" s="298"/>
      <c r="L84" s="344">
        <v>6</v>
      </c>
      <c r="M84" s="309">
        <v>907407.4</v>
      </c>
      <c r="N84" s="309">
        <v>5444444.4000000004</v>
      </c>
      <c r="O84" s="345">
        <v>435555.55200000003</v>
      </c>
      <c r="P84" s="309">
        <v>5879999.9520000005</v>
      </c>
      <c r="Q84" s="309"/>
      <c r="R84" s="696"/>
    </row>
    <row r="85" spans="1:18">
      <c r="A85" s="296" t="s">
        <v>761</v>
      </c>
      <c r="B85" s="306" t="s">
        <v>696</v>
      </c>
      <c r="C85" s="349" t="s">
        <v>247</v>
      </c>
      <c r="D85" s="299"/>
      <c r="E85" s="349"/>
      <c r="F85" s="298"/>
      <c r="G85" s="408"/>
      <c r="H85" s="332" t="s">
        <v>198</v>
      </c>
      <c r="I85" s="332"/>
      <c r="J85" s="410"/>
      <c r="K85" s="298"/>
      <c r="L85" s="390"/>
      <c r="M85" s="309"/>
      <c r="N85" s="309"/>
      <c r="O85" s="342"/>
      <c r="P85" s="309"/>
      <c r="Q85" s="309"/>
      <c r="R85" s="696">
        <v>500000</v>
      </c>
    </row>
    <row r="86" spans="1:18">
      <c r="A86" s="296" t="s">
        <v>761</v>
      </c>
      <c r="B86" s="306" t="s">
        <v>696</v>
      </c>
      <c r="C86" s="349" t="s">
        <v>95</v>
      </c>
      <c r="D86" s="299"/>
      <c r="E86" s="349"/>
      <c r="F86" s="298"/>
      <c r="G86" s="334"/>
      <c r="H86" s="299" t="s">
        <v>859</v>
      </c>
      <c r="I86" s="332"/>
      <c r="J86" s="389"/>
      <c r="K86" s="298"/>
      <c r="L86" s="332"/>
      <c r="M86" s="309"/>
      <c r="N86" s="309"/>
      <c r="O86" s="342"/>
      <c r="P86" s="309"/>
      <c r="Q86" s="309">
        <v>150000000</v>
      </c>
      <c r="R86" s="696"/>
    </row>
    <row r="87" spans="1:18">
      <c r="A87" s="296" t="s">
        <v>761</v>
      </c>
      <c r="B87" s="306" t="s">
        <v>696</v>
      </c>
      <c r="C87" s="347">
        <v>46302</v>
      </c>
      <c r="D87" s="299"/>
      <c r="E87" s="347" t="s">
        <v>829</v>
      </c>
      <c r="F87" s="298"/>
      <c r="G87" s="381" t="s">
        <v>847</v>
      </c>
      <c r="H87" s="299" t="s">
        <v>817</v>
      </c>
      <c r="I87" s="325" t="s">
        <v>90</v>
      </c>
      <c r="J87" s="388" t="s">
        <v>91</v>
      </c>
      <c r="K87" s="298"/>
      <c r="L87" s="325">
        <v>20</v>
      </c>
      <c r="M87" s="309">
        <v>814814.81</v>
      </c>
      <c r="N87" s="309">
        <v>16296296.200000001</v>
      </c>
      <c r="O87" s="345">
        <v>1303703.6960000002</v>
      </c>
      <c r="P87" s="309">
        <v>17599999.896000002</v>
      </c>
      <c r="Q87" s="309"/>
      <c r="R87" s="696"/>
    </row>
    <row r="88" spans="1:18">
      <c r="A88" s="296" t="s">
        <v>761</v>
      </c>
      <c r="B88" s="306" t="s">
        <v>696</v>
      </c>
      <c r="C88" s="347">
        <v>46302</v>
      </c>
      <c r="D88" s="299"/>
      <c r="E88" s="347" t="s">
        <v>100</v>
      </c>
      <c r="F88" s="298"/>
      <c r="G88" s="381" t="s">
        <v>253</v>
      </c>
      <c r="H88" s="299" t="s">
        <v>817</v>
      </c>
      <c r="I88" s="325" t="s">
        <v>40</v>
      </c>
      <c r="J88" s="387" t="s">
        <v>41</v>
      </c>
      <c r="K88" s="298"/>
      <c r="L88" s="325">
        <v>8</v>
      </c>
      <c r="M88" s="309">
        <v>844444.45</v>
      </c>
      <c r="N88" s="309">
        <v>6755555.5999999996</v>
      </c>
      <c r="O88" s="328">
        <v>540444.44799999997</v>
      </c>
      <c r="P88" s="309">
        <v>7296000.0479999995</v>
      </c>
      <c r="Q88" s="309"/>
      <c r="R88" s="696"/>
    </row>
    <row r="89" spans="1:18">
      <c r="A89" s="296" t="s">
        <v>761</v>
      </c>
      <c r="B89" s="306" t="s">
        <v>696</v>
      </c>
      <c r="C89" s="349">
        <v>46302</v>
      </c>
      <c r="D89" s="299"/>
      <c r="E89" s="349"/>
      <c r="F89" s="298"/>
      <c r="G89" s="408"/>
      <c r="H89" s="332" t="s">
        <v>198</v>
      </c>
      <c r="I89" s="332"/>
      <c r="J89" s="410"/>
      <c r="K89" s="298"/>
      <c r="L89" s="390"/>
      <c r="M89" s="309"/>
      <c r="N89" s="309"/>
      <c r="O89" s="342"/>
      <c r="P89" s="309"/>
      <c r="Q89" s="309"/>
      <c r="R89" s="696">
        <v>500000</v>
      </c>
    </row>
    <row r="90" spans="1:18" ht="30">
      <c r="A90" s="296" t="s">
        <v>761</v>
      </c>
      <c r="B90" s="306" t="s">
        <v>696</v>
      </c>
      <c r="C90" s="347" t="s">
        <v>254</v>
      </c>
      <c r="D90" s="299"/>
      <c r="E90" s="347" t="s">
        <v>100</v>
      </c>
      <c r="F90" s="298"/>
      <c r="G90" s="381" t="s">
        <v>253</v>
      </c>
      <c r="H90" s="299" t="s">
        <v>817</v>
      </c>
      <c r="I90" s="325" t="s">
        <v>243</v>
      </c>
      <c r="J90" s="388" t="s">
        <v>249</v>
      </c>
      <c r="K90" s="298"/>
      <c r="L90" s="344">
        <v>40</v>
      </c>
      <c r="M90" s="309">
        <v>298148.15000000002</v>
      </c>
      <c r="N90" s="309">
        <v>11925926</v>
      </c>
      <c r="O90" s="345">
        <v>954074.08000000007</v>
      </c>
      <c r="P90" s="309">
        <v>12880000.08</v>
      </c>
      <c r="Q90" s="309"/>
      <c r="R90" s="696"/>
    </row>
    <row r="91" spans="1:18">
      <c r="A91" s="296" t="s">
        <v>761</v>
      </c>
      <c r="B91" s="306" t="s">
        <v>696</v>
      </c>
      <c r="C91" s="347" t="s">
        <v>254</v>
      </c>
      <c r="D91" s="299"/>
      <c r="E91" s="347" t="s">
        <v>100</v>
      </c>
      <c r="F91" s="298"/>
      <c r="G91" s="381" t="s">
        <v>253</v>
      </c>
      <c r="H91" s="299" t="s">
        <v>817</v>
      </c>
      <c r="I91" s="339" t="s">
        <v>98</v>
      </c>
      <c r="J91" s="391" t="s">
        <v>251</v>
      </c>
      <c r="K91" s="298"/>
      <c r="L91" s="414">
        <v>16</v>
      </c>
      <c r="M91" s="309">
        <v>694444.44</v>
      </c>
      <c r="N91" s="309">
        <v>11111111.039999999</v>
      </c>
      <c r="O91" s="395">
        <v>888888.88319999992</v>
      </c>
      <c r="P91" s="309">
        <v>11999999.923199998</v>
      </c>
      <c r="Q91" s="309"/>
      <c r="R91" s="696"/>
    </row>
    <row r="92" spans="1:18">
      <c r="A92" s="296" t="s">
        <v>761</v>
      </c>
      <c r="B92" s="306" t="s">
        <v>696</v>
      </c>
      <c r="C92" s="347" t="s">
        <v>254</v>
      </c>
      <c r="D92" s="299"/>
      <c r="E92" s="347" t="s">
        <v>100</v>
      </c>
      <c r="F92" s="298"/>
      <c r="G92" s="381" t="s">
        <v>253</v>
      </c>
      <c r="H92" s="299" t="s">
        <v>817</v>
      </c>
      <c r="I92" s="325" t="s">
        <v>226</v>
      </c>
      <c r="J92" s="387" t="s">
        <v>227</v>
      </c>
      <c r="K92" s="298"/>
      <c r="L92" s="325">
        <v>12</v>
      </c>
      <c r="M92" s="309">
        <v>799074.07</v>
      </c>
      <c r="N92" s="309">
        <v>9588888.8399999999</v>
      </c>
      <c r="O92" s="328">
        <v>767111.10719999997</v>
      </c>
      <c r="P92" s="309">
        <v>10355999.9472</v>
      </c>
      <c r="Q92" s="309"/>
      <c r="R92" s="696"/>
    </row>
    <row r="93" spans="1:18">
      <c r="A93" s="296" t="s">
        <v>761</v>
      </c>
      <c r="B93" s="306" t="s">
        <v>696</v>
      </c>
      <c r="C93" s="347" t="s">
        <v>254</v>
      </c>
      <c r="D93" s="299"/>
      <c r="E93" s="347" t="s">
        <v>100</v>
      </c>
      <c r="F93" s="298"/>
      <c r="G93" s="381" t="s">
        <v>253</v>
      </c>
      <c r="H93" s="299" t="s">
        <v>862</v>
      </c>
      <c r="I93" s="325" t="s">
        <v>62</v>
      </c>
      <c r="J93" s="394" t="s">
        <v>234</v>
      </c>
      <c r="K93" s="298"/>
      <c r="L93" s="411">
        <v>12</v>
      </c>
      <c r="M93" s="309">
        <v>0</v>
      </c>
      <c r="N93" s="309">
        <v>0</v>
      </c>
      <c r="O93" s="328">
        <v>0</v>
      </c>
      <c r="P93" s="309">
        <v>0</v>
      </c>
      <c r="Q93" s="309"/>
      <c r="R93" s="696"/>
    </row>
    <row r="94" spans="1:18">
      <c r="A94" s="296" t="s">
        <v>761</v>
      </c>
      <c r="B94" s="306" t="s">
        <v>696</v>
      </c>
      <c r="C94" s="347" t="s">
        <v>254</v>
      </c>
      <c r="D94" s="299"/>
      <c r="E94" s="347" t="s">
        <v>100</v>
      </c>
      <c r="F94" s="298"/>
      <c r="G94" s="381" t="s">
        <v>253</v>
      </c>
      <c r="H94" s="299" t="s">
        <v>817</v>
      </c>
      <c r="I94" s="325" t="s">
        <v>107</v>
      </c>
      <c r="J94" s="387" t="s">
        <v>108</v>
      </c>
      <c r="K94" s="298"/>
      <c r="L94" s="325">
        <v>3</v>
      </c>
      <c r="M94" s="309">
        <v>0</v>
      </c>
      <c r="N94" s="309">
        <v>0</v>
      </c>
      <c r="O94" s="328">
        <v>0</v>
      </c>
      <c r="P94" s="309">
        <v>0</v>
      </c>
      <c r="Q94" s="309"/>
      <c r="R94" s="696"/>
    </row>
    <row r="95" spans="1:18">
      <c r="A95" s="296" t="s">
        <v>761</v>
      </c>
      <c r="B95" s="306" t="s">
        <v>696</v>
      </c>
      <c r="C95" s="347" t="s">
        <v>100</v>
      </c>
      <c r="D95" s="299"/>
      <c r="E95" s="347" t="s">
        <v>256</v>
      </c>
      <c r="F95" s="298"/>
      <c r="G95" s="381" t="s">
        <v>257</v>
      </c>
      <c r="H95" s="299" t="s">
        <v>817</v>
      </c>
      <c r="I95" s="325" t="s">
        <v>258</v>
      </c>
      <c r="J95" s="387" t="s">
        <v>259</v>
      </c>
      <c r="K95" s="298"/>
      <c r="L95" s="325">
        <v>4</v>
      </c>
      <c r="M95" s="309">
        <v>472222.22</v>
      </c>
      <c r="N95" s="309">
        <v>1888888.88</v>
      </c>
      <c r="O95" s="328">
        <v>151111.11040000001</v>
      </c>
      <c r="P95" s="309">
        <v>2039999.9904</v>
      </c>
      <c r="Q95" s="309"/>
      <c r="R95" s="696"/>
    </row>
    <row r="96" spans="1:18">
      <c r="A96" s="296" t="s">
        <v>761</v>
      </c>
      <c r="B96" s="306" t="s">
        <v>696</v>
      </c>
      <c r="C96" s="347" t="s">
        <v>100</v>
      </c>
      <c r="D96" s="299"/>
      <c r="E96" s="347" t="s">
        <v>256</v>
      </c>
      <c r="F96" s="298"/>
      <c r="G96" s="381" t="s">
        <v>257</v>
      </c>
      <c r="H96" s="299" t="s">
        <v>817</v>
      </c>
      <c r="I96" s="325" t="s">
        <v>260</v>
      </c>
      <c r="J96" s="387" t="s">
        <v>261</v>
      </c>
      <c r="K96" s="298"/>
      <c r="L96" s="325">
        <v>4</v>
      </c>
      <c r="M96" s="309">
        <v>492592.59</v>
      </c>
      <c r="N96" s="309">
        <v>1970370.36</v>
      </c>
      <c r="O96" s="328">
        <v>157629.62880000001</v>
      </c>
      <c r="P96" s="309">
        <v>2127999.9887999999</v>
      </c>
      <c r="Q96" s="309"/>
      <c r="R96" s="696"/>
    </row>
    <row r="97" spans="1:18">
      <c r="A97" s="296" t="s">
        <v>761</v>
      </c>
      <c r="B97" s="306" t="s">
        <v>696</v>
      </c>
      <c r="C97" s="347" t="s">
        <v>100</v>
      </c>
      <c r="D97" s="299"/>
      <c r="E97" s="347" t="s">
        <v>256</v>
      </c>
      <c r="F97" s="298"/>
      <c r="G97" s="381" t="s">
        <v>257</v>
      </c>
      <c r="H97" s="299" t="s">
        <v>817</v>
      </c>
      <c r="I97" s="325" t="s">
        <v>262</v>
      </c>
      <c r="J97" s="387" t="s">
        <v>263</v>
      </c>
      <c r="K97" s="298"/>
      <c r="L97" s="325">
        <v>4</v>
      </c>
      <c r="M97" s="309">
        <v>851851.85</v>
      </c>
      <c r="N97" s="309">
        <v>3407407.4</v>
      </c>
      <c r="O97" s="328">
        <v>272592.592</v>
      </c>
      <c r="P97" s="309">
        <v>3679999.9920000001</v>
      </c>
      <c r="Q97" s="309"/>
      <c r="R97" s="696"/>
    </row>
    <row r="98" spans="1:18">
      <c r="A98" s="296" t="s">
        <v>761</v>
      </c>
      <c r="B98" s="306" t="s">
        <v>696</v>
      </c>
      <c r="C98" s="347" t="s">
        <v>100</v>
      </c>
      <c r="D98" s="299"/>
      <c r="E98" s="347" t="s">
        <v>256</v>
      </c>
      <c r="F98" s="298"/>
      <c r="G98" s="381" t="s">
        <v>257</v>
      </c>
      <c r="H98" s="299" t="s">
        <v>817</v>
      </c>
      <c r="I98" s="325" t="s">
        <v>23</v>
      </c>
      <c r="J98" s="387" t="s">
        <v>82</v>
      </c>
      <c r="K98" s="298"/>
      <c r="L98" s="325">
        <v>16</v>
      </c>
      <c r="M98" s="309">
        <v>1185185.18</v>
      </c>
      <c r="N98" s="309">
        <v>18962962.879999999</v>
      </c>
      <c r="O98" s="328">
        <v>1517037.0304</v>
      </c>
      <c r="P98" s="309">
        <v>20479999.910399999</v>
      </c>
      <c r="Q98" s="309"/>
      <c r="R98" s="696"/>
    </row>
    <row r="99" spans="1:18">
      <c r="A99" s="296" t="s">
        <v>761</v>
      </c>
      <c r="B99" s="306" t="s">
        <v>696</v>
      </c>
      <c r="C99" s="347" t="s">
        <v>100</v>
      </c>
      <c r="D99" s="299"/>
      <c r="E99" s="347" t="s">
        <v>256</v>
      </c>
      <c r="F99" s="298"/>
      <c r="G99" s="381" t="s">
        <v>257</v>
      </c>
      <c r="H99" s="299" t="s">
        <v>817</v>
      </c>
      <c r="I99" s="339" t="s">
        <v>98</v>
      </c>
      <c r="J99" s="391" t="s">
        <v>251</v>
      </c>
      <c r="K99" s="298"/>
      <c r="L99" s="414">
        <v>20</v>
      </c>
      <c r="M99" s="309">
        <v>694444.44</v>
      </c>
      <c r="N99" s="309">
        <v>13888888.799999999</v>
      </c>
      <c r="O99" s="395">
        <v>1111111.1039999998</v>
      </c>
      <c r="P99" s="309">
        <v>14999999.903999999</v>
      </c>
      <c r="Q99" s="309"/>
      <c r="R99" s="696"/>
    </row>
    <row r="100" spans="1:18">
      <c r="A100" s="296" t="s">
        <v>761</v>
      </c>
      <c r="B100" s="306" t="s">
        <v>696</v>
      </c>
      <c r="C100" s="347" t="s">
        <v>100</v>
      </c>
      <c r="D100" s="299"/>
      <c r="E100" s="347" t="s">
        <v>829</v>
      </c>
      <c r="F100" s="298"/>
      <c r="G100" s="381" t="s">
        <v>847</v>
      </c>
      <c r="H100" s="299" t="s">
        <v>817</v>
      </c>
      <c r="I100" s="325" t="s">
        <v>90</v>
      </c>
      <c r="J100" s="388" t="s">
        <v>91</v>
      </c>
      <c r="K100" s="298"/>
      <c r="L100" s="344">
        <v>12</v>
      </c>
      <c r="M100" s="309">
        <v>814814.81</v>
      </c>
      <c r="N100" s="309">
        <v>9777777.7200000007</v>
      </c>
      <c r="O100" s="345">
        <v>782222.21760000009</v>
      </c>
      <c r="P100" s="309">
        <v>10559999.937600002</v>
      </c>
      <c r="Q100" s="309"/>
      <c r="R100" s="696"/>
    </row>
    <row r="101" spans="1:18">
      <c r="A101" s="296" t="s">
        <v>761</v>
      </c>
      <c r="B101" s="306" t="s">
        <v>696</v>
      </c>
      <c r="C101" s="379" t="s">
        <v>100</v>
      </c>
      <c r="D101" s="299"/>
      <c r="E101" s="379"/>
      <c r="F101" s="298"/>
      <c r="G101" s="409" t="s">
        <v>252</v>
      </c>
      <c r="H101" s="299" t="s">
        <v>817</v>
      </c>
      <c r="I101" s="393" t="s">
        <v>101</v>
      </c>
      <c r="J101" s="415" t="s">
        <v>102</v>
      </c>
      <c r="K101" s="298"/>
      <c r="L101" s="393">
        <v>20</v>
      </c>
      <c r="M101" s="309">
        <v>861111.11</v>
      </c>
      <c r="N101" s="309">
        <v>17222222.199999999</v>
      </c>
      <c r="O101" s="416">
        <v>1377777.7760000001</v>
      </c>
      <c r="P101" s="309">
        <v>18599999.976</v>
      </c>
      <c r="Q101" s="309"/>
      <c r="R101" s="696"/>
    </row>
    <row r="102" spans="1:18">
      <c r="A102" s="296" t="s">
        <v>761</v>
      </c>
      <c r="B102" s="306" t="s">
        <v>696</v>
      </c>
      <c r="C102" s="349" t="s">
        <v>100</v>
      </c>
      <c r="D102" s="299"/>
      <c r="E102" s="349"/>
      <c r="F102" s="298"/>
      <c r="G102" s="408"/>
      <c r="H102" s="332" t="s">
        <v>198</v>
      </c>
      <c r="I102" s="332"/>
      <c r="J102" s="410"/>
      <c r="K102" s="298"/>
      <c r="L102" s="390"/>
      <c r="M102" s="309"/>
      <c r="N102" s="309"/>
      <c r="O102" s="342"/>
      <c r="P102" s="309"/>
      <c r="Q102" s="309"/>
      <c r="R102" s="696">
        <v>500000</v>
      </c>
    </row>
    <row r="103" spans="1:18">
      <c r="A103" s="296" t="s">
        <v>761</v>
      </c>
      <c r="B103" s="306" t="s">
        <v>696</v>
      </c>
      <c r="C103" s="347" t="s">
        <v>256</v>
      </c>
      <c r="D103" s="299"/>
      <c r="E103" s="347" t="s">
        <v>264</v>
      </c>
      <c r="F103" s="298"/>
      <c r="G103" s="381" t="s">
        <v>265</v>
      </c>
      <c r="H103" s="299" t="s">
        <v>817</v>
      </c>
      <c r="I103" s="339" t="s">
        <v>98</v>
      </c>
      <c r="J103" s="391" t="s">
        <v>251</v>
      </c>
      <c r="K103" s="298"/>
      <c r="L103" s="414">
        <v>6</v>
      </c>
      <c r="M103" s="309">
        <v>694444.44</v>
      </c>
      <c r="N103" s="309">
        <v>4166666.6399999997</v>
      </c>
      <c r="O103" s="395">
        <v>333333.33119999996</v>
      </c>
      <c r="P103" s="309">
        <v>4499999.9711999996</v>
      </c>
      <c r="Q103" s="309"/>
      <c r="R103" s="696"/>
    </row>
    <row r="104" spans="1:18">
      <c r="A104" s="296" t="s">
        <v>761</v>
      </c>
      <c r="B104" s="306" t="s">
        <v>696</v>
      </c>
      <c r="C104" s="347" t="s">
        <v>256</v>
      </c>
      <c r="D104" s="299"/>
      <c r="E104" s="347" t="s">
        <v>829</v>
      </c>
      <c r="F104" s="298"/>
      <c r="G104" s="381" t="s">
        <v>847</v>
      </c>
      <c r="H104" s="299" t="s">
        <v>817</v>
      </c>
      <c r="I104" s="325" t="s">
        <v>90</v>
      </c>
      <c r="J104" s="388" t="s">
        <v>91</v>
      </c>
      <c r="K104" s="298"/>
      <c r="L104" s="344">
        <v>6</v>
      </c>
      <c r="M104" s="309">
        <v>814814.81</v>
      </c>
      <c r="N104" s="309">
        <v>4888888.8600000003</v>
      </c>
      <c r="O104" s="345">
        <v>391111.10880000005</v>
      </c>
      <c r="P104" s="309">
        <v>5279999.9688000008</v>
      </c>
      <c r="Q104" s="309"/>
      <c r="R104" s="696"/>
    </row>
    <row r="105" spans="1:18">
      <c r="A105" s="296" t="s">
        <v>761</v>
      </c>
      <c r="B105" s="306" t="s">
        <v>696</v>
      </c>
      <c r="C105" s="347" t="s">
        <v>256</v>
      </c>
      <c r="D105" s="299"/>
      <c r="E105" s="347" t="s">
        <v>829</v>
      </c>
      <c r="F105" s="298"/>
      <c r="G105" s="381" t="s">
        <v>847</v>
      </c>
      <c r="H105" s="299" t="s">
        <v>817</v>
      </c>
      <c r="I105" s="325" t="s">
        <v>93</v>
      </c>
      <c r="J105" s="388" t="s">
        <v>94</v>
      </c>
      <c r="K105" s="298"/>
      <c r="L105" s="344">
        <v>4</v>
      </c>
      <c r="M105" s="309">
        <v>907407.4</v>
      </c>
      <c r="N105" s="309">
        <v>3629629.6</v>
      </c>
      <c r="O105" s="345">
        <v>290370.36800000002</v>
      </c>
      <c r="P105" s="309">
        <v>3919999.9680000003</v>
      </c>
      <c r="Q105" s="309"/>
      <c r="R105" s="696"/>
    </row>
    <row r="106" spans="1:18">
      <c r="A106" s="296" t="s">
        <v>761</v>
      </c>
      <c r="B106" s="306" t="s">
        <v>696</v>
      </c>
      <c r="C106" s="379" t="s">
        <v>256</v>
      </c>
      <c r="D106" s="299"/>
      <c r="E106" s="379"/>
      <c r="F106" s="298"/>
      <c r="G106" s="409" t="s">
        <v>252</v>
      </c>
      <c r="H106" s="299" t="s">
        <v>817</v>
      </c>
      <c r="I106" s="393" t="s">
        <v>101</v>
      </c>
      <c r="J106" s="415" t="s">
        <v>102</v>
      </c>
      <c r="K106" s="298"/>
      <c r="L106" s="393">
        <v>12</v>
      </c>
      <c r="M106" s="309">
        <v>861111.11</v>
      </c>
      <c r="N106" s="309">
        <v>10333333.32</v>
      </c>
      <c r="O106" s="416">
        <v>826666.66560000007</v>
      </c>
      <c r="P106" s="309">
        <v>11159999.9856</v>
      </c>
      <c r="Q106" s="309"/>
      <c r="R106" s="696"/>
    </row>
    <row r="107" spans="1:18">
      <c r="A107" s="296" t="s">
        <v>761</v>
      </c>
      <c r="B107" s="306" t="s">
        <v>696</v>
      </c>
      <c r="C107" s="379" t="s">
        <v>256</v>
      </c>
      <c r="D107" s="299"/>
      <c r="E107" s="379"/>
      <c r="F107" s="298"/>
      <c r="G107" s="409" t="s">
        <v>252</v>
      </c>
      <c r="H107" s="299" t="s">
        <v>817</v>
      </c>
      <c r="I107" s="393" t="s">
        <v>103</v>
      </c>
      <c r="J107" s="417" t="s">
        <v>104</v>
      </c>
      <c r="K107" s="298"/>
      <c r="L107" s="418">
        <v>24</v>
      </c>
      <c r="M107" s="309">
        <v>629629.63</v>
      </c>
      <c r="N107" s="309">
        <v>15111111.120000001</v>
      </c>
      <c r="O107" s="419">
        <v>1208888.8896000001</v>
      </c>
      <c r="P107" s="309">
        <v>16320000.0096</v>
      </c>
      <c r="Q107" s="309"/>
      <c r="R107" s="696"/>
    </row>
    <row r="108" spans="1:18" ht="15.75" customHeight="1">
      <c r="A108" s="296" t="s">
        <v>761</v>
      </c>
      <c r="B108" s="306" t="s">
        <v>696</v>
      </c>
      <c r="C108" s="379" t="s">
        <v>256</v>
      </c>
      <c r="D108" s="299"/>
      <c r="E108" s="379"/>
      <c r="F108" s="298"/>
      <c r="G108" s="409" t="s">
        <v>252</v>
      </c>
      <c r="H108" s="299" t="s">
        <v>862</v>
      </c>
      <c r="I108" s="393" t="s">
        <v>62</v>
      </c>
      <c r="J108" s="420" t="s">
        <v>234</v>
      </c>
      <c r="K108" s="298"/>
      <c r="L108" s="421">
        <v>24</v>
      </c>
      <c r="M108" s="309">
        <v>0</v>
      </c>
      <c r="N108" s="309">
        <v>0</v>
      </c>
      <c r="O108" s="416">
        <v>0</v>
      </c>
      <c r="P108" s="309">
        <v>0</v>
      </c>
      <c r="Q108" s="309"/>
      <c r="R108" s="696"/>
    </row>
    <row r="109" spans="1:18">
      <c r="A109" s="296" t="s">
        <v>761</v>
      </c>
      <c r="B109" s="306" t="s">
        <v>696</v>
      </c>
      <c r="C109" s="297">
        <v>46238</v>
      </c>
      <c r="D109" s="299" t="s">
        <v>665</v>
      </c>
      <c r="E109" s="297"/>
      <c r="F109" s="298"/>
      <c r="G109" s="298"/>
      <c r="H109" s="299" t="s">
        <v>817</v>
      </c>
      <c r="I109" s="303" t="s">
        <v>639</v>
      </c>
      <c r="J109" s="303" t="s">
        <v>640</v>
      </c>
      <c r="K109" s="298" t="s">
        <v>113</v>
      </c>
      <c r="L109" s="298">
        <v>15</v>
      </c>
      <c r="M109" s="309">
        <v>542592.59</v>
      </c>
      <c r="N109" s="309">
        <v>8138888.8499999996</v>
      </c>
      <c r="O109" s="309">
        <v>651111.10800000001</v>
      </c>
      <c r="P109" s="309">
        <v>8789999.9580000006</v>
      </c>
      <c r="Q109" s="309"/>
      <c r="R109" s="696"/>
    </row>
    <row r="110" spans="1:18">
      <c r="A110" s="296" t="s">
        <v>761</v>
      </c>
      <c r="B110" s="306" t="s">
        <v>696</v>
      </c>
      <c r="C110" s="297">
        <v>46238</v>
      </c>
      <c r="D110" s="299" t="s">
        <v>665</v>
      </c>
      <c r="E110" s="297"/>
      <c r="F110" s="298"/>
      <c r="G110" s="298"/>
      <c r="H110" s="299" t="s">
        <v>817</v>
      </c>
      <c r="I110" s="303" t="s">
        <v>641</v>
      </c>
      <c r="J110" s="303" t="s">
        <v>657</v>
      </c>
      <c r="K110" s="298" t="s">
        <v>113</v>
      </c>
      <c r="L110" s="298">
        <v>15</v>
      </c>
      <c r="M110" s="309">
        <v>644444.43999999994</v>
      </c>
      <c r="N110" s="309">
        <v>9666666.5999999996</v>
      </c>
      <c r="O110" s="309">
        <v>773333.32799999998</v>
      </c>
      <c r="P110" s="309">
        <v>10439999.927999999</v>
      </c>
      <c r="Q110" s="309"/>
      <c r="R110" s="696"/>
    </row>
    <row r="111" spans="1:18">
      <c r="A111" s="296" t="s">
        <v>761</v>
      </c>
      <c r="B111" s="306" t="s">
        <v>696</v>
      </c>
      <c r="C111" s="297">
        <v>46238</v>
      </c>
      <c r="D111" s="299" t="s">
        <v>665</v>
      </c>
      <c r="E111" s="297"/>
      <c r="F111" s="298"/>
      <c r="G111" s="298"/>
      <c r="H111" s="299" t="s">
        <v>817</v>
      </c>
      <c r="I111" s="303" t="s">
        <v>643</v>
      </c>
      <c r="J111" s="303" t="s">
        <v>644</v>
      </c>
      <c r="K111" s="298" t="s">
        <v>113</v>
      </c>
      <c r="L111" s="298">
        <v>15</v>
      </c>
      <c r="M111" s="309">
        <v>527777.77</v>
      </c>
      <c r="N111" s="309">
        <v>7916666.5500000007</v>
      </c>
      <c r="O111" s="309">
        <v>633333.32400000002</v>
      </c>
      <c r="P111" s="309">
        <v>8549999.8740000017</v>
      </c>
      <c r="Q111" s="309"/>
      <c r="R111" s="696"/>
    </row>
    <row r="112" spans="1:18">
      <c r="A112" s="296" t="s">
        <v>761</v>
      </c>
      <c r="B112" s="306" t="s">
        <v>696</v>
      </c>
      <c r="C112" s="297">
        <v>46238</v>
      </c>
      <c r="D112" s="299" t="s">
        <v>665</v>
      </c>
      <c r="E112" s="297"/>
      <c r="F112" s="298"/>
      <c r="G112" s="298"/>
      <c r="H112" s="299" t="s">
        <v>817</v>
      </c>
      <c r="I112" s="303" t="s">
        <v>645</v>
      </c>
      <c r="J112" s="303" t="s">
        <v>646</v>
      </c>
      <c r="K112" s="298" t="s">
        <v>113</v>
      </c>
      <c r="L112" s="298">
        <v>15</v>
      </c>
      <c r="M112" s="309">
        <v>629629.63</v>
      </c>
      <c r="N112" s="309">
        <v>9444444.4499999993</v>
      </c>
      <c r="O112" s="309">
        <v>755555.55599999998</v>
      </c>
      <c r="P112" s="309">
        <v>10200000.005999999</v>
      </c>
      <c r="Q112" s="309"/>
      <c r="R112" s="696"/>
    </row>
    <row r="113" spans="1:18">
      <c r="A113" s="296" t="s">
        <v>761</v>
      </c>
      <c r="B113" s="306" t="s">
        <v>696</v>
      </c>
      <c r="C113" s="297">
        <v>46238</v>
      </c>
      <c r="D113" s="299" t="s">
        <v>665</v>
      </c>
      <c r="E113" s="297"/>
      <c r="F113" s="298"/>
      <c r="G113" s="298"/>
      <c r="H113" s="299" t="s">
        <v>817</v>
      </c>
      <c r="I113" s="303" t="s">
        <v>649</v>
      </c>
      <c r="J113" s="303" t="s">
        <v>650</v>
      </c>
      <c r="K113" s="298" t="s">
        <v>113</v>
      </c>
      <c r="L113" s="298">
        <v>15</v>
      </c>
      <c r="M113" s="309">
        <v>574074.06999999995</v>
      </c>
      <c r="N113" s="309">
        <v>8611111.0499999989</v>
      </c>
      <c r="O113" s="309">
        <v>688888.88399999996</v>
      </c>
      <c r="P113" s="309">
        <v>9299999.9339999985</v>
      </c>
      <c r="Q113" s="309"/>
      <c r="R113" s="696"/>
    </row>
    <row r="114" spans="1:18">
      <c r="A114" s="296" t="s">
        <v>761</v>
      </c>
      <c r="B114" s="306" t="s">
        <v>696</v>
      </c>
      <c r="C114" s="297">
        <v>46238</v>
      </c>
      <c r="D114" s="299" t="s">
        <v>665</v>
      </c>
      <c r="E114" s="297"/>
      <c r="F114" s="298"/>
      <c r="G114" s="298"/>
      <c r="H114" s="299" t="s">
        <v>817</v>
      </c>
      <c r="I114" s="303" t="s">
        <v>651</v>
      </c>
      <c r="J114" s="303" t="s">
        <v>652</v>
      </c>
      <c r="K114" s="298" t="s">
        <v>113</v>
      </c>
      <c r="L114" s="298">
        <v>15</v>
      </c>
      <c r="M114" s="309">
        <v>694444.44</v>
      </c>
      <c r="N114" s="309">
        <v>10416666.6</v>
      </c>
      <c r="O114" s="309">
        <v>833333.32799999998</v>
      </c>
      <c r="P114" s="309">
        <v>11249999.927999999</v>
      </c>
      <c r="Q114" s="309"/>
      <c r="R114" s="696"/>
    </row>
    <row r="115" spans="1:18">
      <c r="A115" s="296" t="s">
        <v>761</v>
      </c>
      <c r="B115" s="306" t="s">
        <v>696</v>
      </c>
      <c r="C115" s="297">
        <v>46238</v>
      </c>
      <c r="D115" s="299" t="s">
        <v>665</v>
      </c>
      <c r="E115" s="297"/>
      <c r="F115" s="298"/>
      <c r="G115" s="298"/>
      <c r="H115" s="299" t="s">
        <v>817</v>
      </c>
      <c r="I115" s="303" t="s">
        <v>653</v>
      </c>
      <c r="J115" s="303" t="s">
        <v>654</v>
      </c>
      <c r="K115" s="298" t="s">
        <v>113</v>
      </c>
      <c r="L115" s="298">
        <v>15</v>
      </c>
      <c r="M115" s="309">
        <v>481481.48</v>
      </c>
      <c r="N115" s="309">
        <v>7222222.1999999993</v>
      </c>
      <c r="O115" s="309">
        <v>577777.77599999995</v>
      </c>
      <c r="P115" s="309">
        <v>7799999.9759999989</v>
      </c>
      <c r="Q115" s="309"/>
      <c r="R115" s="696"/>
    </row>
    <row r="116" spans="1:18">
      <c r="A116" s="296" t="s">
        <v>761</v>
      </c>
      <c r="B116" s="306" t="s">
        <v>696</v>
      </c>
      <c r="C116" s="297">
        <v>46238</v>
      </c>
      <c r="D116" s="299" t="s">
        <v>665</v>
      </c>
      <c r="E116" s="297"/>
      <c r="F116" s="298"/>
      <c r="G116" s="298"/>
      <c r="H116" s="299" t="s">
        <v>817</v>
      </c>
      <c r="I116" s="303" t="s">
        <v>655</v>
      </c>
      <c r="J116" s="303" t="s">
        <v>656</v>
      </c>
      <c r="K116" s="298" t="s">
        <v>113</v>
      </c>
      <c r="L116" s="298">
        <v>15</v>
      </c>
      <c r="M116" s="309">
        <v>574074.06999999995</v>
      </c>
      <c r="N116" s="309">
        <v>8611111.0499999989</v>
      </c>
      <c r="O116" s="309">
        <v>688888.88399999996</v>
      </c>
      <c r="P116" s="309">
        <v>9299999.9339999985</v>
      </c>
      <c r="Q116" s="309"/>
      <c r="R116" s="696"/>
    </row>
    <row r="117" spans="1:18">
      <c r="A117" s="296" t="s">
        <v>761</v>
      </c>
      <c r="B117" s="306" t="s">
        <v>696</v>
      </c>
      <c r="C117" s="297">
        <v>46238</v>
      </c>
      <c r="D117" s="299" t="s">
        <v>665</v>
      </c>
      <c r="E117" s="297">
        <v>46240</v>
      </c>
      <c r="F117" s="298" t="s">
        <v>704</v>
      </c>
      <c r="G117" s="313" t="s">
        <v>703</v>
      </c>
      <c r="H117" s="299" t="s">
        <v>817</v>
      </c>
      <c r="I117" s="303" t="s">
        <v>90</v>
      </c>
      <c r="J117" s="303" t="s">
        <v>91</v>
      </c>
      <c r="K117" s="298" t="s">
        <v>113</v>
      </c>
      <c r="L117" s="298">
        <v>30</v>
      </c>
      <c r="M117" s="309">
        <v>814814.81</v>
      </c>
      <c r="N117" s="309">
        <v>24444444.300000001</v>
      </c>
      <c r="O117" s="309">
        <v>1955555.544</v>
      </c>
      <c r="P117" s="309">
        <v>26399999.844000001</v>
      </c>
      <c r="Q117" s="309"/>
      <c r="R117" s="696"/>
    </row>
    <row r="118" spans="1:18">
      <c r="A118" s="296" t="s">
        <v>761</v>
      </c>
      <c r="B118" s="306" t="s">
        <v>696</v>
      </c>
      <c r="C118" s="297">
        <v>46238</v>
      </c>
      <c r="D118" s="299" t="s">
        <v>665</v>
      </c>
      <c r="E118" s="297"/>
      <c r="F118" s="298"/>
      <c r="G118" s="298"/>
      <c r="H118" s="302" t="s">
        <v>691</v>
      </c>
      <c r="I118" s="303" t="s">
        <v>639</v>
      </c>
      <c r="J118" s="303" t="s">
        <v>640</v>
      </c>
      <c r="K118" s="298" t="s">
        <v>113</v>
      </c>
      <c r="L118" s="298">
        <v>1</v>
      </c>
      <c r="M118" s="309">
        <v>0</v>
      </c>
      <c r="N118" s="309">
        <v>0</v>
      </c>
      <c r="O118" s="309">
        <v>0</v>
      </c>
      <c r="P118" s="309">
        <v>0</v>
      </c>
      <c r="Q118" s="309"/>
      <c r="R118" s="696"/>
    </row>
    <row r="119" spans="1:18">
      <c r="A119" s="296" t="s">
        <v>761</v>
      </c>
      <c r="B119" s="306" t="s">
        <v>696</v>
      </c>
      <c r="C119" s="297">
        <v>46238</v>
      </c>
      <c r="D119" s="299" t="s">
        <v>665</v>
      </c>
      <c r="E119" s="297"/>
      <c r="F119" s="298"/>
      <c r="G119" s="298"/>
      <c r="H119" s="302" t="s">
        <v>691</v>
      </c>
      <c r="I119" s="303" t="s">
        <v>641</v>
      </c>
      <c r="J119" s="303" t="s">
        <v>657</v>
      </c>
      <c r="K119" s="298" t="s">
        <v>113</v>
      </c>
      <c r="L119" s="298">
        <v>1</v>
      </c>
      <c r="M119" s="309">
        <v>0</v>
      </c>
      <c r="N119" s="309">
        <v>0</v>
      </c>
      <c r="O119" s="309">
        <v>0</v>
      </c>
      <c r="P119" s="309">
        <v>0</v>
      </c>
      <c r="Q119" s="309"/>
      <c r="R119" s="696"/>
    </row>
    <row r="120" spans="1:18">
      <c r="A120" s="296" t="s">
        <v>761</v>
      </c>
      <c r="B120" s="306" t="s">
        <v>696</v>
      </c>
      <c r="C120" s="297">
        <v>46238</v>
      </c>
      <c r="D120" s="299" t="s">
        <v>665</v>
      </c>
      <c r="E120" s="297"/>
      <c r="F120" s="298"/>
      <c r="G120" s="298"/>
      <c r="H120" s="302" t="s">
        <v>691</v>
      </c>
      <c r="I120" s="303" t="s">
        <v>643</v>
      </c>
      <c r="J120" s="303" t="s">
        <v>644</v>
      </c>
      <c r="K120" s="298" t="s">
        <v>113</v>
      </c>
      <c r="L120" s="298">
        <v>1</v>
      </c>
      <c r="M120" s="309">
        <v>0</v>
      </c>
      <c r="N120" s="309">
        <v>0</v>
      </c>
      <c r="O120" s="309">
        <v>0</v>
      </c>
      <c r="P120" s="309">
        <v>0</v>
      </c>
      <c r="Q120" s="309"/>
      <c r="R120" s="696"/>
    </row>
    <row r="121" spans="1:18">
      <c r="A121" s="296" t="s">
        <v>761</v>
      </c>
      <c r="B121" s="306" t="s">
        <v>696</v>
      </c>
      <c r="C121" s="297">
        <v>46238</v>
      </c>
      <c r="D121" s="299" t="s">
        <v>665</v>
      </c>
      <c r="E121" s="297"/>
      <c r="F121" s="298"/>
      <c r="G121" s="298"/>
      <c r="H121" s="302" t="s">
        <v>691</v>
      </c>
      <c r="I121" s="303" t="s">
        <v>645</v>
      </c>
      <c r="J121" s="303" t="s">
        <v>646</v>
      </c>
      <c r="K121" s="298" t="s">
        <v>113</v>
      </c>
      <c r="L121" s="298">
        <v>1</v>
      </c>
      <c r="M121" s="309">
        <v>0</v>
      </c>
      <c r="N121" s="309">
        <v>0</v>
      </c>
      <c r="O121" s="309">
        <v>0</v>
      </c>
      <c r="P121" s="309">
        <v>0</v>
      </c>
      <c r="Q121" s="309"/>
      <c r="R121" s="696"/>
    </row>
    <row r="122" spans="1:18">
      <c r="A122" s="296" t="s">
        <v>761</v>
      </c>
      <c r="B122" s="306" t="s">
        <v>696</v>
      </c>
      <c r="C122" s="297">
        <v>46238</v>
      </c>
      <c r="D122" s="299" t="s">
        <v>665</v>
      </c>
      <c r="E122" s="297"/>
      <c r="F122" s="298"/>
      <c r="G122" s="298"/>
      <c r="H122" s="302" t="s">
        <v>691</v>
      </c>
      <c r="I122" s="303" t="s">
        <v>649</v>
      </c>
      <c r="J122" s="303" t="s">
        <v>650</v>
      </c>
      <c r="K122" s="298" t="s">
        <v>113</v>
      </c>
      <c r="L122" s="298">
        <v>1</v>
      </c>
      <c r="M122" s="309">
        <v>0</v>
      </c>
      <c r="N122" s="309">
        <v>0</v>
      </c>
      <c r="O122" s="309">
        <v>0</v>
      </c>
      <c r="P122" s="309">
        <v>0</v>
      </c>
      <c r="Q122" s="309"/>
      <c r="R122" s="696"/>
    </row>
    <row r="123" spans="1:18">
      <c r="A123" s="296" t="s">
        <v>761</v>
      </c>
      <c r="B123" s="306" t="s">
        <v>696</v>
      </c>
      <c r="C123" s="297">
        <v>46238</v>
      </c>
      <c r="D123" s="299" t="s">
        <v>665</v>
      </c>
      <c r="E123" s="297"/>
      <c r="F123" s="298"/>
      <c r="G123" s="298"/>
      <c r="H123" s="302" t="s">
        <v>691</v>
      </c>
      <c r="I123" s="303" t="s">
        <v>651</v>
      </c>
      <c r="J123" s="303" t="s">
        <v>652</v>
      </c>
      <c r="K123" s="298" t="s">
        <v>113</v>
      </c>
      <c r="L123" s="298">
        <v>1</v>
      </c>
      <c r="M123" s="309">
        <v>0</v>
      </c>
      <c r="N123" s="309">
        <v>0</v>
      </c>
      <c r="O123" s="309">
        <v>0</v>
      </c>
      <c r="P123" s="309">
        <v>0</v>
      </c>
      <c r="Q123" s="309"/>
      <c r="R123" s="696"/>
    </row>
    <row r="124" spans="1:18">
      <c r="A124" s="296" t="s">
        <v>761</v>
      </c>
      <c r="B124" s="306" t="s">
        <v>696</v>
      </c>
      <c r="C124" s="297">
        <v>46238</v>
      </c>
      <c r="D124" s="299" t="s">
        <v>665</v>
      </c>
      <c r="E124" s="297"/>
      <c r="F124" s="298"/>
      <c r="G124" s="298"/>
      <c r="H124" s="302" t="s">
        <v>691</v>
      </c>
      <c r="I124" s="303" t="s">
        <v>653</v>
      </c>
      <c r="J124" s="303" t="s">
        <v>654</v>
      </c>
      <c r="K124" s="298" t="s">
        <v>113</v>
      </c>
      <c r="L124" s="298">
        <v>1</v>
      </c>
      <c r="M124" s="309">
        <v>0</v>
      </c>
      <c r="N124" s="309">
        <v>0</v>
      </c>
      <c r="O124" s="309">
        <v>0</v>
      </c>
      <c r="P124" s="309">
        <v>0</v>
      </c>
      <c r="Q124" s="309"/>
      <c r="R124" s="696"/>
    </row>
    <row r="125" spans="1:18">
      <c r="A125" s="296" t="s">
        <v>761</v>
      </c>
      <c r="B125" s="306" t="s">
        <v>696</v>
      </c>
      <c r="C125" s="297">
        <v>46238</v>
      </c>
      <c r="D125" s="299" t="s">
        <v>665</v>
      </c>
      <c r="E125" s="297"/>
      <c r="F125" s="298"/>
      <c r="G125" s="298"/>
      <c r="H125" s="302" t="s">
        <v>691</v>
      </c>
      <c r="I125" s="303" t="s">
        <v>655</v>
      </c>
      <c r="J125" s="303" t="s">
        <v>656</v>
      </c>
      <c r="K125" s="298" t="s">
        <v>113</v>
      </c>
      <c r="L125" s="298">
        <v>1</v>
      </c>
      <c r="M125" s="309">
        <v>0</v>
      </c>
      <c r="N125" s="309">
        <v>0</v>
      </c>
      <c r="O125" s="309">
        <v>0</v>
      </c>
      <c r="P125" s="309">
        <v>0</v>
      </c>
      <c r="Q125" s="309"/>
      <c r="R125" s="696"/>
    </row>
    <row r="126" spans="1:18">
      <c r="A126" s="296" t="s">
        <v>761</v>
      </c>
      <c r="B126" s="306" t="s">
        <v>696</v>
      </c>
      <c r="C126" s="297">
        <v>46238</v>
      </c>
      <c r="D126" s="299" t="s">
        <v>665</v>
      </c>
      <c r="E126" s="297"/>
      <c r="F126" s="298"/>
      <c r="G126" s="298"/>
      <c r="H126" s="299" t="s">
        <v>817</v>
      </c>
      <c r="I126" s="303" t="s">
        <v>647</v>
      </c>
      <c r="J126" s="303" t="s">
        <v>648</v>
      </c>
      <c r="K126" s="298" t="s">
        <v>113</v>
      </c>
      <c r="L126" s="298">
        <v>4</v>
      </c>
      <c r="M126" s="309">
        <v>601851.85</v>
      </c>
      <c r="N126" s="309">
        <v>2407407.4</v>
      </c>
      <c r="O126" s="309">
        <v>192592.592</v>
      </c>
      <c r="P126" s="309">
        <v>2599999.9920000001</v>
      </c>
      <c r="Q126" s="309"/>
      <c r="R126" s="696"/>
    </row>
    <row r="127" spans="1:18">
      <c r="A127" s="296" t="s">
        <v>761</v>
      </c>
      <c r="B127" s="306" t="s">
        <v>696</v>
      </c>
      <c r="C127" s="297">
        <v>46240</v>
      </c>
      <c r="D127" s="299" t="s">
        <v>680</v>
      </c>
      <c r="E127" s="297"/>
      <c r="F127" s="298"/>
      <c r="G127" s="298"/>
      <c r="H127" s="299" t="s">
        <v>817</v>
      </c>
      <c r="I127" s="303" t="s">
        <v>639</v>
      </c>
      <c r="J127" s="303" t="s">
        <v>640</v>
      </c>
      <c r="K127" s="298" t="s">
        <v>113</v>
      </c>
      <c r="L127" s="298">
        <v>15</v>
      </c>
      <c r="M127" s="309">
        <v>542592.59</v>
      </c>
      <c r="N127" s="309">
        <v>8138888.8499999996</v>
      </c>
      <c r="O127" s="309">
        <v>651111.10800000001</v>
      </c>
      <c r="P127" s="309">
        <v>8789999.9580000006</v>
      </c>
      <c r="Q127" s="309"/>
      <c r="R127" s="696"/>
    </row>
    <row r="128" spans="1:18">
      <c r="A128" s="296" t="s">
        <v>761</v>
      </c>
      <c r="B128" s="306" t="s">
        <v>696</v>
      </c>
      <c r="C128" s="297">
        <v>46240</v>
      </c>
      <c r="D128" s="299" t="s">
        <v>680</v>
      </c>
      <c r="E128" s="297"/>
      <c r="F128" s="298"/>
      <c r="G128" s="298"/>
      <c r="H128" s="299" t="s">
        <v>817</v>
      </c>
      <c r="I128" s="303" t="s">
        <v>641</v>
      </c>
      <c r="J128" s="303" t="s">
        <v>657</v>
      </c>
      <c r="K128" s="298" t="s">
        <v>113</v>
      </c>
      <c r="L128" s="298">
        <v>15</v>
      </c>
      <c r="M128" s="309">
        <v>644444.43999999994</v>
      </c>
      <c r="N128" s="309">
        <v>9666666.5999999996</v>
      </c>
      <c r="O128" s="309">
        <v>773333.32799999998</v>
      </c>
      <c r="P128" s="309">
        <v>10439999.927999999</v>
      </c>
      <c r="Q128" s="309"/>
      <c r="R128" s="696"/>
    </row>
    <row r="129" spans="1:18">
      <c r="A129" s="296" t="s">
        <v>761</v>
      </c>
      <c r="B129" s="306" t="s">
        <v>696</v>
      </c>
      <c r="C129" s="297">
        <v>46240</v>
      </c>
      <c r="D129" s="299" t="s">
        <v>680</v>
      </c>
      <c r="E129" s="297"/>
      <c r="F129" s="298"/>
      <c r="G129" s="298"/>
      <c r="H129" s="299" t="s">
        <v>817</v>
      </c>
      <c r="I129" s="303" t="s">
        <v>643</v>
      </c>
      <c r="J129" s="303" t="s">
        <v>644</v>
      </c>
      <c r="K129" s="298" t="s">
        <v>113</v>
      </c>
      <c r="L129" s="298">
        <v>15</v>
      </c>
      <c r="M129" s="309">
        <v>527777.77</v>
      </c>
      <c r="N129" s="309">
        <v>7916666.5500000007</v>
      </c>
      <c r="O129" s="309">
        <v>633333.32400000002</v>
      </c>
      <c r="P129" s="309">
        <v>8549999.8740000017</v>
      </c>
      <c r="Q129" s="309"/>
      <c r="R129" s="696"/>
    </row>
    <row r="130" spans="1:18">
      <c r="A130" s="296" t="s">
        <v>761</v>
      </c>
      <c r="B130" s="306" t="s">
        <v>696</v>
      </c>
      <c r="C130" s="297">
        <v>46240</v>
      </c>
      <c r="D130" s="299" t="s">
        <v>680</v>
      </c>
      <c r="E130" s="297"/>
      <c r="F130" s="298"/>
      <c r="G130" s="298"/>
      <c r="H130" s="299" t="s">
        <v>817</v>
      </c>
      <c r="I130" s="303" t="s">
        <v>645</v>
      </c>
      <c r="J130" s="303" t="s">
        <v>646</v>
      </c>
      <c r="K130" s="298" t="s">
        <v>113</v>
      </c>
      <c r="L130" s="298">
        <v>15</v>
      </c>
      <c r="M130" s="309">
        <v>629629.63</v>
      </c>
      <c r="N130" s="309">
        <v>9444444.4499999993</v>
      </c>
      <c r="O130" s="309">
        <v>755555.55599999998</v>
      </c>
      <c r="P130" s="309">
        <v>10200000.005999999</v>
      </c>
      <c r="Q130" s="309"/>
      <c r="R130" s="696"/>
    </row>
    <row r="131" spans="1:18">
      <c r="A131" s="296" t="s">
        <v>761</v>
      </c>
      <c r="B131" s="306" t="s">
        <v>696</v>
      </c>
      <c r="C131" s="297">
        <v>46240</v>
      </c>
      <c r="D131" s="299" t="s">
        <v>680</v>
      </c>
      <c r="E131" s="297"/>
      <c r="F131" s="298"/>
      <c r="G131" s="298"/>
      <c r="H131" s="299" t="s">
        <v>817</v>
      </c>
      <c r="I131" s="303" t="s">
        <v>649</v>
      </c>
      <c r="J131" s="303" t="s">
        <v>650</v>
      </c>
      <c r="K131" s="298" t="s">
        <v>113</v>
      </c>
      <c r="L131" s="298">
        <v>15</v>
      </c>
      <c r="M131" s="309">
        <v>574074.06999999995</v>
      </c>
      <c r="N131" s="309">
        <v>8611111.0499999989</v>
      </c>
      <c r="O131" s="309">
        <v>688888.88399999996</v>
      </c>
      <c r="P131" s="309">
        <v>9299999.9339999985</v>
      </c>
      <c r="Q131" s="309"/>
      <c r="R131" s="696"/>
    </row>
    <row r="132" spans="1:18">
      <c r="A132" s="296" t="s">
        <v>761</v>
      </c>
      <c r="B132" s="306" t="s">
        <v>696</v>
      </c>
      <c r="C132" s="297">
        <v>46240</v>
      </c>
      <c r="D132" s="299" t="s">
        <v>680</v>
      </c>
      <c r="E132" s="297"/>
      <c r="F132" s="298"/>
      <c r="G132" s="298"/>
      <c r="H132" s="299" t="s">
        <v>817</v>
      </c>
      <c r="I132" s="303" t="s">
        <v>651</v>
      </c>
      <c r="J132" s="303" t="s">
        <v>652</v>
      </c>
      <c r="K132" s="298" t="s">
        <v>113</v>
      </c>
      <c r="L132" s="298">
        <v>15</v>
      </c>
      <c r="M132" s="309">
        <v>694444.44</v>
      </c>
      <c r="N132" s="309">
        <v>10416666.6</v>
      </c>
      <c r="O132" s="309">
        <v>833333.32799999998</v>
      </c>
      <c r="P132" s="309">
        <v>11249999.927999999</v>
      </c>
      <c r="Q132" s="309"/>
      <c r="R132" s="696"/>
    </row>
    <row r="133" spans="1:18">
      <c r="A133" s="296" t="s">
        <v>761</v>
      </c>
      <c r="B133" s="306" t="s">
        <v>696</v>
      </c>
      <c r="C133" s="297">
        <v>46240</v>
      </c>
      <c r="D133" s="299" t="s">
        <v>680</v>
      </c>
      <c r="E133" s="297"/>
      <c r="F133" s="298"/>
      <c r="G133" s="298"/>
      <c r="H133" s="299" t="s">
        <v>817</v>
      </c>
      <c r="I133" s="303" t="s">
        <v>653</v>
      </c>
      <c r="J133" s="303" t="s">
        <v>654</v>
      </c>
      <c r="K133" s="298" t="s">
        <v>113</v>
      </c>
      <c r="L133" s="298">
        <v>15</v>
      </c>
      <c r="M133" s="309">
        <v>481481.48</v>
      </c>
      <c r="N133" s="309">
        <v>7222222.1999999993</v>
      </c>
      <c r="O133" s="309">
        <v>577777.77599999995</v>
      </c>
      <c r="P133" s="309">
        <v>7799999.9759999989</v>
      </c>
      <c r="Q133" s="309"/>
      <c r="R133" s="696"/>
    </row>
    <row r="134" spans="1:18">
      <c r="A134" s="296" t="s">
        <v>761</v>
      </c>
      <c r="B134" s="306" t="s">
        <v>696</v>
      </c>
      <c r="C134" s="297">
        <v>46240</v>
      </c>
      <c r="D134" s="299" t="s">
        <v>680</v>
      </c>
      <c r="E134" s="297"/>
      <c r="F134" s="298"/>
      <c r="G134" s="298"/>
      <c r="H134" s="299" t="s">
        <v>817</v>
      </c>
      <c r="I134" s="303" t="s">
        <v>655</v>
      </c>
      <c r="J134" s="303" t="s">
        <v>656</v>
      </c>
      <c r="K134" s="298" t="s">
        <v>113</v>
      </c>
      <c r="L134" s="298">
        <v>15</v>
      </c>
      <c r="M134" s="309">
        <v>574074.06999999995</v>
      </c>
      <c r="N134" s="309">
        <v>8611111.0499999989</v>
      </c>
      <c r="O134" s="309">
        <v>688888.88399999996</v>
      </c>
      <c r="P134" s="309">
        <v>9299999.9339999985</v>
      </c>
      <c r="Q134" s="309"/>
      <c r="R134" s="696"/>
    </row>
    <row r="135" spans="1:18">
      <c r="A135" s="296" t="s">
        <v>761</v>
      </c>
      <c r="B135" s="306" t="s">
        <v>696</v>
      </c>
      <c r="C135" s="297">
        <v>46240</v>
      </c>
      <c r="D135" s="299" t="s">
        <v>680</v>
      </c>
      <c r="E135" s="297"/>
      <c r="F135" s="298"/>
      <c r="G135" s="298"/>
      <c r="H135" s="302" t="s">
        <v>691</v>
      </c>
      <c r="I135" s="303" t="s">
        <v>639</v>
      </c>
      <c r="J135" s="303" t="s">
        <v>640</v>
      </c>
      <c r="K135" s="298" t="s">
        <v>113</v>
      </c>
      <c r="L135" s="298">
        <v>1</v>
      </c>
      <c r="M135" s="309">
        <v>0</v>
      </c>
      <c r="N135" s="309">
        <v>0</v>
      </c>
      <c r="O135" s="309">
        <v>0</v>
      </c>
      <c r="P135" s="309">
        <v>0</v>
      </c>
      <c r="Q135" s="309"/>
      <c r="R135" s="696"/>
    </row>
    <row r="136" spans="1:18">
      <c r="A136" s="296" t="s">
        <v>761</v>
      </c>
      <c r="B136" s="306" t="s">
        <v>696</v>
      </c>
      <c r="C136" s="297">
        <v>46240</v>
      </c>
      <c r="D136" s="299" t="s">
        <v>680</v>
      </c>
      <c r="E136" s="297"/>
      <c r="F136" s="298"/>
      <c r="G136" s="298"/>
      <c r="H136" s="302" t="s">
        <v>691</v>
      </c>
      <c r="I136" s="303" t="s">
        <v>641</v>
      </c>
      <c r="J136" s="303" t="s">
        <v>657</v>
      </c>
      <c r="K136" s="298" t="s">
        <v>113</v>
      </c>
      <c r="L136" s="298">
        <v>1</v>
      </c>
      <c r="M136" s="309">
        <v>0</v>
      </c>
      <c r="N136" s="309">
        <v>0</v>
      </c>
      <c r="O136" s="309">
        <v>0</v>
      </c>
      <c r="P136" s="309">
        <v>0</v>
      </c>
      <c r="Q136" s="309"/>
      <c r="R136" s="696"/>
    </row>
    <row r="137" spans="1:18">
      <c r="A137" s="296" t="s">
        <v>761</v>
      </c>
      <c r="B137" s="306" t="s">
        <v>696</v>
      </c>
      <c r="C137" s="297">
        <v>46240</v>
      </c>
      <c r="D137" s="299" t="s">
        <v>680</v>
      </c>
      <c r="E137" s="297"/>
      <c r="F137" s="298"/>
      <c r="G137" s="298"/>
      <c r="H137" s="302" t="s">
        <v>691</v>
      </c>
      <c r="I137" s="303" t="s">
        <v>643</v>
      </c>
      <c r="J137" s="303" t="s">
        <v>644</v>
      </c>
      <c r="K137" s="298" t="s">
        <v>113</v>
      </c>
      <c r="L137" s="298">
        <v>1</v>
      </c>
      <c r="M137" s="309">
        <v>0</v>
      </c>
      <c r="N137" s="309">
        <v>0</v>
      </c>
      <c r="O137" s="309">
        <v>0</v>
      </c>
      <c r="P137" s="309">
        <v>0</v>
      </c>
      <c r="Q137" s="309"/>
      <c r="R137" s="696"/>
    </row>
    <row r="138" spans="1:18">
      <c r="A138" s="296" t="s">
        <v>761</v>
      </c>
      <c r="B138" s="306" t="s">
        <v>696</v>
      </c>
      <c r="C138" s="297">
        <v>46240</v>
      </c>
      <c r="D138" s="299" t="s">
        <v>680</v>
      </c>
      <c r="E138" s="297"/>
      <c r="F138" s="298"/>
      <c r="G138" s="298"/>
      <c r="H138" s="302" t="s">
        <v>691</v>
      </c>
      <c r="I138" s="303" t="s">
        <v>645</v>
      </c>
      <c r="J138" s="303" t="s">
        <v>646</v>
      </c>
      <c r="K138" s="298" t="s">
        <v>113</v>
      </c>
      <c r="L138" s="298">
        <v>1</v>
      </c>
      <c r="M138" s="309">
        <v>0</v>
      </c>
      <c r="N138" s="309">
        <v>0</v>
      </c>
      <c r="O138" s="309">
        <v>0</v>
      </c>
      <c r="P138" s="309">
        <v>0</v>
      </c>
      <c r="Q138" s="309"/>
      <c r="R138" s="696"/>
    </row>
    <row r="139" spans="1:18">
      <c r="A139" s="296" t="s">
        <v>761</v>
      </c>
      <c r="B139" s="306" t="s">
        <v>696</v>
      </c>
      <c r="C139" s="297">
        <v>46240</v>
      </c>
      <c r="D139" s="299" t="s">
        <v>680</v>
      </c>
      <c r="E139" s="297"/>
      <c r="F139" s="298"/>
      <c r="G139" s="298"/>
      <c r="H139" s="302" t="s">
        <v>691</v>
      </c>
      <c r="I139" s="303" t="s">
        <v>649</v>
      </c>
      <c r="J139" s="303" t="s">
        <v>650</v>
      </c>
      <c r="K139" s="298" t="s">
        <v>113</v>
      </c>
      <c r="L139" s="298">
        <v>1</v>
      </c>
      <c r="M139" s="309">
        <v>0</v>
      </c>
      <c r="N139" s="309">
        <v>0</v>
      </c>
      <c r="O139" s="309">
        <v>0</v>
      </c>
      <c r="P139" s="309">
        <v>0</v>
      </c>
      <c r="Q139" s="309"/>
      <c r="R139" s="696"/>
    </row>
    <row r="140" spans="1:18">
      <c r="A140" s="296" t="s">
        <v>761</v>
      </c>
      <c r="B140" s="306" t="s">
        <v>696</v>
      </c>
      <c r="C140" s="297">
        <v>46240</v>
      </c>
      <c r="D140" s="299" t="s">
        <v>680</v>
      </c>
      <c r="E140" s="297"/>
      <c r="F140" s="298"/>
      <c r="G140" s="298"/>
      <c r="H140" s="302" t="s">
        <v>691</v>
      </c>
      <c r="I140" s="303" t="s">
        <v>651</v>
      </c>
      <c r="J140" s="303" t="s">
        <v>652</v>
      </c>
      <c r="K140" s="298" t="s">
        <v>113</v>
      </c>
      <c r="L140" s="298">
        <v>1</v>
      </c>
      <c r="M140" s="309">
        <v>0</v>
      </c>
      <c r="N140" s="309">
        <v>0</v>
      </c>
      <c r="O140" s="309">
        <v>0</v>
      </c>
      <c r="P140" s="309">
        <v>0</v>
      </c>
      <c r="Q140" s="309"/>
      <c r="R140" s="696"/>
    </row>
    <row r="141" spans="1:18">
      <c r="A141" s="296" t="s">
        <v>761</v>
      </c>
      <c r="B141" s="306" t="s">
        <v>696</v>
      </c>
      <c r="C141" s="297">
        <v>46240</v>
      </c>
      <c r="D141" s="299" t="s">
        <v>680</v>
      </c>
      <c r="E141" s="297"/>
      <c r="F141" s="298"/>
      <c r="G141" s="298"/>
      <c r="H141" s="302" t="s">
        <v>691</v>
      </c>
      <c r="I141" s="303" t="s">
        <v>653</v>
      </c>
      <c r="J141" s="303" t="s">
        <v>654</v>
      </c>
      <c r="K141" s="298" t="s">
        <v>113</v>
      </c>
      <c r="L141" s="298">
        <v>1</v>
      </c>
      <c r="M141" s="309">
        <v>0</v>
      </c>
      <c r="N141" s="309">
        <v>0</v>
      </c>
      <c r="O141" s="309">
        <v>0</v>
      </c>
      <c r="P141" s="309">
        <v>0</v>
      </c>
      <c r="Q141" s="309"/>
      <c r="R141" s="696"/>
    </row>
    <row r="142" spans="1:18">
      <c r="A142" s="296" t="s">
        <v>761</v>
      </c>
      <c r="B142" s="306" t="s">
        <v>696</v>
      </c>
      <c r="C142" s="297">
        <v>46240</v>
      </c>
      <c r="D142" s="299" t="s">
        <v>680</v>
      </c>
      <c r="E142" s="297"/>
      <c r="F142" s="298"/>
      <c r="G142" s="298"/>
      <c r="H142" s="302" t="s">
        <v>691</v>
      </c>
      <c r="I142" s="303" t="s">
        <v>655</v>
      </c>
      <c r="J142" s="303" t="s">
        <v>656</v>
      </c>
      <c r="K142" s="298" t="s">
        <v>113</v>
      </c>
      <c r="L142" s="298">
        <v>1</v>
      </c>
      <c r="M142" s="309">
        <v>0</v>
      </c>
      <c r="N142" s="309">
        <v>0</v>
      </c>
      <c r="O142" s="309">
        <v>0</v>
      </c>
      <c r="P142" s="309">
        <v>0</v>
      </c>
      <c r="Q142" s="309"/>
      <c r="R142" s="696"/>
    </row>
    <row r="143" spans="1:18">
      <c r="A143" s="296" t="s">
        <v>761</v>
      </c>
      <c r="B143" s="306" t="s">
        <v>696</v>
      </c>
      <c r="C143" s="297">
        <v>46240</v>
      </c>
      <c r="D143" s="299" t="s">
        <v>680</v>
      </c>
      <c r="E143" s="297"/>
      <c r="F143" s="298"/>
      <c r="G143" s="298"/>
      <c r="H143" s="299" t="s">
        <v>817</v>
      </c>
      <c r="I143" s="303" t="s">
        <v>647</v>
      </c>
      <c r="J143" s="303" t="s">
        <v>648</v>
      </c>
      <c r="K143" s="298" t="s">
        <v>113</v>
      </c>
      <c r="L143" s="298">
        <v>4</v>
      </c>
      <c r="M143" s="309">
        <v>601851.85</v>
      </c>
      <c r="N143" s="309">
        <v>2407407.4</v>
      </c>
      <c r="O143" s="309">
        <v>192592.592</v>
      </c>
      <c r="P143" s="309">
        <v>2599999.9920000001</v>
      </c>
      <c r="Q143" s="309"/>
      <c r="R143" s="696"/>
    </row>
    <row r="144" spans="1:18">
      <c r="A144" s="296" t="s">
        <v>761</v>
      </c>
      <c r="B144" s="306" t="s">
        <v>696</v>
      </c>
      <c r="C144" s="297">
        <v>46240</v>
      </c>
      <c r="D144" s="299" t="s">
        <v>682</v>
      </c>
      <c r="E144" s="297"/>
      <c r="F144" s="298"/>
      <c r="G144" s="298"/>
      <c r="H144" s="299" t="s">
        <v>859</v>
      </c>
      <c r="I144" s="298"/>
      <c r="J144" s="298"/>
      <c r="K144" s="298"/>
      <c r="L144" s="298"/>
      <c r="M144" s="309"/>
      <c r="N144" s="309">
        <v>0</v>
      </c>
      <c r="O144" s="309">
        <v>0</v>
      </c>
      <c r="P144" s="309">
        <v>0</v>
      </c>
      <c r="Q144" s="309">
        <v>100000000</v>
      </c>
      <c r="R144" s="696"/>
    </row>
    <row r="145" spans="1:18">
      <c r="A145" s="296" t="s">
        <v>761</v>
      </c>
      <c r="B145" s="306" t="s">
        <v>696</v>
      </c>
      <c r="C145" s="297">
        <v>46247</v>
      </c>
      <c r="D145" s="299" t="s">
        <v>762</v>
      </c>
      <c r="E145" s="297"/>
      <c r="F145" s="298"/>
      <c r="G145" s="298"/>
      <c r="H145" s="299" t="s">
        <v>817</v>
      </c>
      <c r="I145" s="298" t="s">
        <v>641</v>
      </c>
      <c r="J145" s="298" t="s">
        <v>657</v>
      </c>
      <c r="K145" s="298" t="s">
        <v>18</v>
      </c>
      <c r="L145" s="494">
        <v>15</v>
      </c>
      <c r="M145" s="309">
        <v>644444.43999999994</v>
      </c>
      <c r="N145" s="309">
        <v>9666666.5999999996</v>
      </c>
      <c r="O145" s="309">
        <v>773333.32799999998</v>
      </c>
      <c r="P145" s="309">
        <v>10439999.927999999</v>
      </c>
      <c r="Q145" s="309"/>
      <c r="R145" s="696"/>
    </row>
    <row r="146" spans="1:18">
      <c r="A146" s="296" t="s">
        <v>761</v>
      </c>
      <c r="B146" s="306" t="s">
        <v>696</v>
      </c>
      <c r="C146" s="297">
        <v>46247</v>
      </c>
      <c r="D146" s="299" t="s">
        <v>762</v>
      </c>
      <c r="E146" s="297"/>
      <c r="F146" s="298"/>
      <c r="G146" s="298"/>
      <c r="H146" s="299" t="s">
        <v>817</v>
      </c>
      <c r="I146" s="298" t="s">
        <v>643</v>
      </c>
      <c r="J146" s="298" t="s">
        <v>644</v>
      </c>
      <c r="K146" s="298" t="s">
        <v>18</v>
      </c>
      <c r="L146" s="494">
        <v>15</v>
      </c>
      <c r="M146" s="309">
        <v>527777.78</v>
      </c>
      <c r="N146" s="309">
        <v>7916666.7000000002</v>
      </c>
      <c r="O146" s="309">
        <v>633333.33600000001</v>
      </c>
      <c r="P146" s="309">
        <v>8550000.0360000003</v>
      </c>
      <c r="Q146" s="309"/>
      <c r="R146" s="696"/>
    </row>
    <row r="147" spans="1:18">
      <c r="A147" s="296" t="s">
        <v>761</v>
      </c>
      <c r="B147" s="306" t="s">
        <v>696</v>
      </c>
      <c r="C147" s="297">
        <v>46247</v>
      </c>
      <c r="D147" s="299" t="s">
        <v>762</v>
      </c>
      <c r="E147" s="297"/>
      <c r="F147" s="298"/>
      <c r="G147" s="298"/>
      <c r="H147" s="299" t="s">
        <v>817</v>
      </c>
      <c r="I147" s="298" t="s">
        <v>645</v>
      </c>
      <c r="J147" s="298" t="s">
        <v>646</v>
      </c>
      <c r="K147" s="298" t="s">
        <v>18</v>
      </c>
      <c r="L147" s="494">
        <v>15</v>
      </c>
      <c r="M147" s="309">
        <v>629629.63</v>
      </c>
      <c r="N147" s="309">
        <v>9444444.4499999993</v>
      </c>
      <c r="O147" s="309">
        <v>755555.55599999998</v>
      </c>
      <c r="P147" s="309">
        <v>10200000.005999999</v>
      </c>
      <c r="Q147" s="309"/>
      <c r="R147" s="696"/>
    </row>
    <row r="148" spans="1:18">
      <c r="A148" s="296" t="s">
        <v>761</v>
      </c>
      <c r="B148" s="306" t="s">
        <v>696</v>
      </c>
      <c r="C148" s="297">
        <v>46247</v>
      </c>
      <c r="D148" s="299" t="s">
        <v>762</v>
      </c>
      <c r="E148" s="297"/>
      <c r="F148" s="298"/>
      <c r="G148" s="298"/>
      <c r="H148" s="299" t="s">
        <v>817</v>
      </c>
      <c r="I148" s="298" t="s">
        <v>651</v>
      </c>
      <c r="J148" s="298" t="s">
        <v>652</v>
      </c>
      <c r="K148" s="298" t="s">
        <v>18</v>
      </c>
      <c r="L148" s="494">
        <v>15</v>
      </c>
      <c r="M148" s="309">
        <v>694444.44</v>
      </c>
      <c r="N148" s="309">
        <v>10416666.6</v>
      </c>
      <c r="O148" s="309">
        <v>833333.32799999998</v>
      </c>
      <c r="P148" s="309">
        <v>11249999.927999999</v>
      </c>
      <c r="Q148" s="309"/>
      <c r="R148" s="696"/>
    </row>
    <row r="149" spans="1:18">
      <c r="A149" s="296" t="s">
        <v>761</v>
      </c>
      <c r="B149" s="306" t="s">
        <v>696</v>
      </c>
      <c r="C149" s="297">
        <v>46247</v>
      </c>
      <c r="D149" s="299" t="s">
        <v>762</v>
      </c>
      <c r="E149" s="297"/>
      <c r="F149" s="298"/>
      <c r="G149" s="298"/>
      <c r="H149" s="299" t="s">
        <v>817</v>
      </c>
      <c r="I149" s="298" t="s">
        <v>655</v>
      </c>
      <c r="J149" s="298" t="s">
        <v>656</v>
      </c>
      <c r="K149" s="298" t="s">
        <v>18</v>
      </c>
      <c r="L149" s="494">
        <v>15</v>
      </c>
      <c r="M149" s="309">
        <v>574074.06999999995</v>
      </c>
      <c r="N149" s="309">
        <v>8611111.0499999989</v>
      </c>
      <c r="O149" s="309">
        <v>688888.88399999996</v>
      </c>
      <c r="P149" s="309">
        <v>9299999.9339999985</v>
      </c>
      <c r="Q149" s="309"/>
      <c r="R149" s="696"/>
    </row>
    <row r="150" spans="1:18">
      <c r="A150" s="296" t="s">
        <v>761</v>
      </c>
      <c r="B150" s="306" t="s">
        <v>696</v>
      </c>
      <c r="C150" s="297">
        <v>46247</v>
      </c>
      <c r="D150" s="299" t="s">
        <v>762</v>
      </c>
      <c r="E150" s="297"/>
      <c r="F150" s="298"/>
      <c r="G150" s="298"/>
      <c r="H150" s="299" t="s">
        <v>817</v>
      </c>
      <c r="I150" s="298" t="s">
        <v>647</v>
      </c>
      <c r="J150" s="298" t="s">
        <v>648</v>
      </c>
      <c r="K150" s="298" t="s">
        <v>18</v>
      </c>
      <c r="L150" s="494">
        <v>7</v>
      </c>
      <c r="M150" s="309">
        <v>601851.85</v>
      </c>
      <c r="N150" s="309">
        <v>4212962.95</v>
      </c>
      <c r="O150" s="309">
        <v>337037.03600000002</v>
      </c>
      <c r="P150" s="309">
        <v>4549999.9860000005</v>
      </c>
      <c r="Q150" s="309"/>
      <c r="R150" s="696"/>
    </row>
    <row r="151" spans="1:18">
      <c r="A151" s="296" t="s">
        <v>761</v>
      </c>
      <c r="B151" s="306" t="s">
        <v>696</v>
      </c>
      <c r="C151" s="297">
        <v>46247</v>
      </c>
      <c r="D151" s="299" t="s">
        <v>762</v>
      </c>
      <c r="E151" s="297">
        <v>46248</v>
      </c>
      <c r="F151" s="298" t="s">
        <v>788</v>
      </c>
      <c r="G151" s="313" t="s">
        <v>787</v>
      </c>
      <c r="H151" s="299" t="s">
        <v>817</v>
      </c>
      <c r="I151" s="298" t="s">
        <v>62</v>
      </c>
      <c r="J151" s="298" t="s">
        <v>63</v>
      </c>
      <c r="K151" s="298" t="s">
        <v>18</v>
      </c>
      <c r="L151" s="494">
        <v>30</v>
      </c>
      <c r="M151" s="309">
        <v>78703.7</v>
      </c>
      <c r="N151" s="309">
        <v>2361111</v>
      </c>
      <c r="O151" s="309">
        <v>188888.88</v>
      </c>
      <c r="P151" s="309">
        <v>2549999.88</v>
      </c>
      <c r="Q151" s="309"/>
      <c r="R151" s="696"/>
    </row>
    <row r="152" spans="1:18">
      <c r="A152" s="296" t="s">
        <v>761</v>
      </c>
      <c r="B152" s="306" t="s">
        <v>696</v>
      </c>
      <c r="C152" s="297">
        <v>46247</v>
      </c>
      <c r="D152" s="299" t="s">
        <v>762</v>
      </c>
      <c r="E152" s="297">
        <v>46248</v>
      </c>
      <c r="F152" s="298" t="s">
        <v>788</v>
      </c>
      <c r="G152" s="313" t="s">
        <v>787</v>
      </c>
      <c r="H152" s="299" t="s">
        <v>817</v>
      </c>
      <c r="I152" s="298" t="s">
        <v>62</v>
      </c>
      <c r="J152" s="298" t="s">
        <v>63</v>
      </c>
      <c r="K152" s="298" t="s">
        <v>18</v>
      </c>
      <c r="L152" s="494">
        <v>10</v>
      </c>
      <c r="M152" s="309">
        <v>101851.85</v>
      </c>
      <c r="N152" s="309">
        <v>1018518.5</v>
      </c>
      <c r="O152" s="309">
        <v>81481.48</v>
      </c>
      <c r="P152" s="309">
        <v>1099999.98</v>
      </c>
      <c r="Q152" s="309"/>
      <c r="R152" s="696"/>
    </row>
    <row r="153" spans="1:18">
      <c r="A153" s="296" t="s">
        <v>761</v>
      </c>
      <c r="B153" s="306" t="s">
        <v>696</v>
      </c>
      <c r="C153" s="297">
        <v>46247</v>
      </c>
      <c r="D153" s="299" t="s">
        <v>762</v>
      </c>
      <c r="E153" s="297"/>
      <c r="F153" s="298"/>
      <c r="G153" s="298"/>
      <c r="H153" s="302" t="s">
        <v>691</v>
      </c>
      <c r="I153" s="298" t="s">
        <v>641</v>
      </c>
      <c r="J153" s="298" t="s">
        <v>657</v>
      </c>
      <c r="K153" s="298" t="s">
        <v>18</v>
      </c>
      <c r="L153" s="494">
        <v>1</v>
      </c>
      <c r="M153" s="309">
        <v>0</v>
      </c>
      <c r="N153" s="309">
        <v>0</v>
      </c>
      <c r="O153" s="309">
        <v>0</v>
      </c>
      <c r="P153" s="309">
        <v>0</v>
      </c>
      <c r="Q153" s="309"/>
      <c r="R153" s="696"/>
    </row>
    <row r="154" spans="1:18">
      <c r="A154" s="296" t="s">
        <v>761</v>
      </c>
      <c r="B154" s="306" t="s">
        <v>696</v>
      </c>
      <c r="C154" s="297">
        <v>46247</v>
      </c>
      <c r="D154" s="299" t="s">
        <v>762</v>
      </c>
      <c r="E154" s="297"/>
      <c r="F154" s="298"/>
      <c r="G154" s="298"/>
      <c r="H154" s="302" t="s">
        <v>691</v>
      </c>
      <c r="I154" s="298" t="s">
        <v>643</v>
      </c>
      <c r="J154" s="298" t="s">
        <v>644</v>
      </c>
      <c r="K154" s="298" t="s">
        <v>18</v>
      </c>
      <c r="L154" s="494">
        <v>1</v>
      </c>
      <c r="M154" s="309">
        <v>0</v>
      </c>
      <c r="N154" s="309">
        <v>0</v>
      </c>
      <c r="O154" s="309">
        <v>0</v>
      </c>
      <c r="P154" s="309">
        <v>0</v>
      </c>
      <c r="Q154" s="309"/>
      <c r="R154" s="696"/>
    </row>
    <row r="155" spans="1:18">
      <c r="A155" s="296" t="s">
        <v>761</v>
      </c>
      <c r="B155" s="306" t="s">
        <v>696</v>
      </c>
      <c r="C155" s="297">
        <v>46247</v>
      </c>
      <c r="D155" s="299" t="s">
        <v>762</v>
      </c>
      <c r="E155" s="297"/>
      <c r="F155" s="298"/>
      <c r="G155" s="298"/>
      <c r="H155" s="302" t="s">
        <v>691</v>
      </c>
      <c r="I155" s="298" t="s">
        <v>645</v>
      </c>
      <c r="J155" s="298" t="s">
        <v>646</v>
      </c>
      <c r="K155" s="298" t="s">
        <v>18</v>
      </c>
      <c r="L155" s="494">
        <v>1</v>
      </c>
      <c r="M155" s="309">
        <v>0</v>
      </c>
      <c r="N155" s="309">
        <v>0</v>
      </c>
      <c r="O155" s="309">
        <v>0</v>
      </c>
      <c r="P155" s="309">
        <v>0</v>
      </c>
      <c r="Q155" s="309"/>
      <c r="R155" s="696"/>
    </row>
    <row r="156" spans="1:18">
      <c r="A156" s="296" t="s">
        <v>761</v>
      </c>
      <c r="B156" s="306" t="s">
        <v>696</v>
      </c>
      <c r="C156" s="297">
        <v>46247</v>
      </c>
      <c r="D156" s="299" t="s">
        <v>762</v>
      </c>
      <c r="E156" s="297"/>
      <c r="F156" s="298"/>
      <c r="G156" s="298"/>
      <c r="H156" s="302" t="s">
        <v>691</v>
      </c>
      <c r="I156" s="298" t="s">
        <v>651</v>
      </c>
      <c r="J156" s="298" t="s">
        <v>652</v>
      </c>
      <c r="K156" s="298" t="s">
        <v>18</v>
      </c>
      <c r="L156" s="494">
        <v>1</v>
      </c>
      <c r="M156" s="309">
        <v>0</v>
      </c>
      <c r="N156" s="309">
        <v>0</v>
      </c>
      <c r="O156" s="309">
        <v>0</v>
      </c>
      <c r="P156" s="309">
        <v>0</v>
      </c>
      <c r="Q156" s="309"/>
      <c r="R156" s="696"/>
    </row>
    <row r="157" spans="1:18">
      <c r="A157" s="296" t="s">
        <v>761</v>
      </c>
      <c r="B157" s="306" t="s">
        <v>696</v>
      </c>
      <c r="C157" s="297">
        <v>46247</v>
      </c>
      <c r="D157" s="299" t="s">
        <v>762</v>
      </c>
      <c r="E157" s="297"/>
      <c r="F157" s="298"/>
      <c r="G157" s="298"/>
      <c r="H157" s="302" t="s">
        <v>691</v>
      </c>
      <c r="I157" s="298" t="s">
        <v>655</v>
      </c>
      <c r="J157" s="298" t="s">
        <v>656</v>
      </c>
      <c r="K157" s="298" t="s">
        <v>18</v>
      </c>
      <c r="L157" s="494">
        <v>1</v>
      </c>
      <c r="M157" s="309">
        <v>0</v>
      </c>
      <c r="N157" s="309">
        <v>0</v>
      </c>
      <c r="O157" s="309">
        <v>0</v>
      </c>
      <c r="P157" s="309">
        <v>0</v>
      </c>
      <c r="Q157" s="309"/>
      <c r="R157" s="696"/>
    </row>
    <row r="158" spans="1:18">
      <c r="A158" s="296" t="s">
        <v>761</v>
      </c>
      <c r="B158" s="306" t="s">
        <v>696</v>
      </c>
      <c r="C158" s="297">
        <v>46247</v>
      </c>
      <c r="D158" s="299" t="s">
        <v>762</v>
      </c>
      <c r="E158" s="297"/>
      <c r="F158" s="298"/>
      <c r="G158" s="298"/>
      <c r="H158" s="302" t="s">
        <v>691</v>
      </c>
      <c r="I158" s="298" t="s">
        <v>647</v>
      </c>
      <c r="J158" s="298" t="s">
        <v>648</v>
      </c>
      <c r="K158" s="298" t="s">
        <v>18</v>
      </c>
      <c r="L158" s="494">
        <v>1</v>
      </c>
      <c r="M158" s="309">
        <v>0</v>
      </c>
      <c r="N158" s="309">
        <v>0</v>
      </c>
      <c r="O158" s="309">
        <v>0</v>
      </c>
      <c r="P158" s="309">
        <v>0</v>
      </c>
      <c r="Q158" s="309"/>
      <c r="R158" s="696"/>
    </row>
    <row r="159" spans="1:18">
      <c r="A159" s="296" t="s">
        <v>761</v>
      </c>
      <c r="B159" s="306" t="s">
        <v>696</v>
      </c>
      <c r="C159" s="297">
        <v>46247</v>
      </c>
      <c r="D159" s="299" t="s">
        <v>763</v>
      </c>
      <c r="E159" s="297">
        <v>46248</v>
      </c>
      <c r="F159" s="298" t="s">
        <v>788</v>
      </c>
      <c r="G159" s="313" t="s">
        <v>787</v>
      </c>
      <c r="H159" s="299" t="s">
        <v>817</v>
      </c>
      <c r="I159" s="495" t="s">
        <v>98</v>
      </c>
      <c r="J159" s="495" t="s">
        <v>251</v>
      </c>
      <c r="K159" s="298" t="s">
        <v>18</v>
      </c>
      <c r="L159" s="497">
        <v>30</v>
      </c>
      <c r="M159" s="309">
        <v>694444.44</v>
      </c>
      <c r="N159" s="309">
        <v>20833333.199999999</v>
      </c>
      <c r="O159" s="309">
        <v>1666666.656</v>
      </c>
      <c r="P159" s="309">
        <v>22499999.855999999</v>
      </c>
      <c r="Q159" s="309"/>
      <c r="R159" s="696"/>
    </row>
    <row r="160" spans="1:18">
      <c r="A160" s="296" t="s">
        <v>761</v>
      </c>
      <c r="B160" s="306" t="s">
        <v>696</v>
      </c>
      <c r="C160" s="446">
        <v>46255</v>
      </c>
      <c r="D160" s="312" t="s">
        <v>910</v>
      </c>
      <c r="E160" s="293"/>
      <c r="F160" s="292"/>
      <c r="G160" s="292"/>
      <c r="H160" s="299" t="s">
        <v>817</v>
      </c>
      <c r="I160" s="317" t="s">
        <v>643</v>
      </c>
      <c r="J160" s="317" t="s">
        <v>644</v>
      </c>
      <c r="K160" s="317" t="s">
        <v>18</v>
      </c>
      <c r="L160" s="494">
        <v>15</v>
      </c>
      <c r="M160" s="309">
        <v>527777.78</v>
      </c>
      <c r="N160" s="309">
        <v>7916666.7000000002</v>
      </c>
      <c r="O160" s="309">
        <v>633333.33600000001</v>
      </c>
      <c r="P160" s="309">
        <v>8550000.0360000003</v>
      </c>
      <c r="Q160" s="309"/>
      <c r="R160" s="696"/>
    </row>
    <row r="161" spans="1:88">
      <c r="A161" s="296" t="s">
        <v>761</v>
      </c>
      <c r="B161" s="306" t="s">
        <v>696</v>
      </c>
      <c r="C161" s="446">
        <v>46255</v>
      </c>
      <c r="D161" s="312" t="s">
        <v>910</v>
      </c>
      <c r="E161" s="293"/>
      <c r="F161" s="292"/>
      <c r="G161" s="292"/>
      <c r="H161" s="299" t="s">
        <v>817</v>
      </c>
      <c r="I161" s="317" t="s">
        <v>645</v>
      </c>
      <c r="J161" s="317" t="s">
        <v>646</v>
      </c>
      <c r="K161" s="317" t="s">
        <v>18</v>
      </c>
      <c r="L161" s="494">
        <v>15</v>
      </c>
      <c r="M161" s="309">
        <v>629629.63</v>
      </c>
      <c r="N161" s="309">
        <v>9444444.4499999993</v>
      </c>
      <c r="O161" s="309">
        <v>755555.55599999998</v>
      </c>
      <c r="P161" s="309">
        <v>10200000.005999999</v>
      </c>
      <c r="Q161" s="309"/>
      <c r="R161" s="696"/>
    </row>
    <row r="162" spans="1:88">
      <c r="A162" s="296" t="s">
        <v>761</v>
      </c>
      <c r="B162" s="306" t="s">
        <v>696</v>
      </c>
      <c r="C162" s="446">
        <v>46255</v>
      </c>
      <c r="D162" s="312" t="s">
        <v>910</v>
      </c>
      <c r="E162" s="293"/>
      <c r="F162" s="292"/>
      <c r="G162" s="292"/>
      <c r="H162" s="299" t="s">
        <v>817</v>
      </c>
      <c r="I162" s="317" t="s">
        <v>655</v>
      </c>
      <c r="J162" s="317" t="s">
        <v>656</v>
      </c>
      <c r="K162" s="317" t="s">
        <v>18</v>
      </c>
      <c r="L162" s="494">
        <v>15</v>
      </c>
      <c r="M162" s="309">
        <v>574074.06999999995</v>
      </c>
      <c r="N162" s="309">
        <v>8611111.0499999989</v>
      </c>
      <c r="O162" s="309">
        <v>688888.88399999996</v>
      </c>
      <c r="P162" s="309">
        <v>9299999.9339999985</v>
      </c>
      <c r="Q162" s="309"/>
      <c r="R162" s="696"/>
    </row>
    <row r="163" spans="1:88">
      <c r="A163" s="296" t="s">
        <v>761</v>
      </c>
      <c r="B163" s="306" t="s">
        <v>696</v>
      </c>
      <c r="C163" s="446">
        <v>46255</v>
      </c>
      <c r="D163" s="312" t="s">
        <v>910</v>
      </c>
      <c r="E163" s="293"/>
      <c r="F163" s="292"/>
      <c r="G163" s="292"/>
      <c r="H163" s="299" t="s">
        <v>817</v>
      </c>
      <c r="I163" s="496" t="s">
        <v>98</v>
      </c>
      <c r="J163" s="496" t="s">
        <v>251</v>
      </c>
      <c r="K163" s="317" t="s">
        <v>18</v>
      </c>
      <c r="L163" s="497">
        <v>5</v>
      </c>
      <c r="M163" s="309">
        <v>694444.44</v>
      </c>
      <c r="N163" s="309">
        <v>3472222.1999999997</v>
      </c>
      <c r="O163" s="309">
        <v>277777.77599999995</v>
      </c>
      <c r="P163" s="309">
        <v>3749999.9759999998</v>
      </c>
      <c r="Q163" s="309"/>
      <c r="R163" s="696"/>
    </row>
    <row r="164" spans="1:88">
      <c r="A164" s="296" t="s">
        <v>761</v>
      </c>
      <c r="B164" s="306" t="s">
        <v>696</v>
      </c>
      <c r="C164" s="446">
        <v>46255</v>
      </c>
      <c r="D164" s="312" t="s">
        <v>910</v>
      </c>
      <c r="E164" s="293"/>
      <c r="F164" s="292"/>
      <c r="G164" s="292"/>
      <c r="H164" s="302" t="s">
        <v>691</v>
      </c>
      <c r="I164" s="317" t="s">
        <v>643</v>
      </c>
      <c r="J164" s="317" t="s">
        <v>644</v>
      </c>
      <c r="K164" s="317" t="s">
        <v>18</v>
      </c>
      <c r="L164" s="494">
        <v>1</v>
      </c>
      <c r="M164" s="309">
        <v>0</v>
      </c>
      <c r="N164" s="309">
        <v>0</v>
      </c>
      <c r="O164" s="309">
        <v>0</v>
      </c>
      <c r="P164" s="309">
        <v>0</v>
      </c>
      <c r="Q164" s="309"/>
      <c r="R164" s="696"/>
    </row>
    <row r="165" spans="1:88">
      <c r="A165" s="296" t="s">
        <v>761</v>
      </c>
      <c r="B165" s="306" t="s">
        <v>696</v>
      </c>
      <c r="C165" s="446">
        <v>46255</v>
      </c>
      <c r="D165" s="312" t="s">
        <v>910</v>
      </c>
      <c r="E165" s="293"/>
      <c r="F165" s="292"/>
      <c r="G165" s="292"/>
      <c r="H165" s="302" t="s">
        <v>691</v>
      </c>
      <c r="I165" s="317" t="s">
        <v>645</v>
      </c>
      <c r="J165" s="317" t="s">
        <v>646</v>
      </c>
      <c r="K165" s="317" t="s">
        <v>18</v>
      </c>
      <c r="L165" s="494">
        <v>1</v>
      </c>
      <c r="M165" s="309">
        <v>0</v>
      </c>
      <c r="N165" s="309">
        <v>0</v>
      </c>
      <c r="O165" s="309">
        <v>0</v>
      </c>
      <c r="P165" s="309">
        <v>0</v>
      </c>
      <c r="Q165" s="309"/>
      <c r="R165" s="696"/>
    </row>
    <row r="166" spans="1:88">
      <c r="A166" s="296" t="s">
        <v>761</v>
      </c>
      <c r="B166" s="306" t="s">
        <v>696</v>
      </c>
      <c r="C166" s="446">
        <v>46255</v>
      </c>
      <c r="D166" s="312" t="s">
        <v>910</v>
      </c>
      <c r="E166" s="293"/>
      <c r="F166" s="292"/>
      <c r="G166" s="292"/>
      <c r="H166" s="302" t="s">
        <v>691</v>
      </c>
      <c r="I166" s="317" t="s">
        <v>655</v>
      </c>
      <c r="J166" s="317" t="s">
        <v>656</v>
      </c>
      <c r="K166" s="317" t="s">
        <v>18</v>
      </c>
      <c r="L166" s="494">
        <v>1</v>
      </c>
      <c r="M166" s="309">
        <v>0</v>
      </c>
      <c r="N166" s="309">
        <v>0</v>
      </c>
      <c r="O166" s="309">
        <v>0</v>
      </c>
      <c r="P166" s="309">
        <v>0</v>
      </c>
      <c r="Q166" s="309"/>
      <c r="R166" s="696"/>
    </row>
    <row r="167" spans="1:88">
      <c r="A167" s="296" t="s">
        <v>761</v>
      </c>
      <c r="B167" s="306" t="s">
        <v>696</v>
      </c>
      <c r="C167" s="446">
        <v>46255</v>
      </c>
      <c r="D167" s="312" t="s">
        <v>911</v>
      </c>
      <c r="E167" s="446"/>
      <c r="F167" s="447"/>
      <c r="G167" s="447"/>
      <c r="H167" s="444" t="s">
        <v>915</v>
      </c>
      <c r="I167" s="317" t="s">
        <v>148</v>
      </c>
      <c r="J167" s="317" t="s">
        <v>149</v>
      </c>
      <c r="K167" s="447"/>
      <c r="L167" s="447">
        <v>-16</v>
      </c>
      <c r="M167" s="309">
        <v>358333.33</v>
      </c>
      <c r="N167" s="309">
        <v>-5733333.2800000003</v>
      </c>
      <c r="O167" s="309">
        <v>-458666.66240000003</v>
      </c>
      <c r="P167" s="309">
        <v>-6191999.9424000001</v>
      </c>
      <c r="Q167" s="309"/>
      <c r="R167" s="696"/>
    </row>
    <row r="168" spans="1:88">
      <c r="A168" s="296" t="s">
        <v>761</v>
      </c>
      <c r="B168" s="306" t="s">
        <v>696</v>
      </c>
      <c r="C168" s="446">
        <v>46255</v>
      </c>
      <c r="D168" s="312" t="s">
        <v>911</v>
      </c>
      <c r="E168" s="446"/>
      <c r="F168" s="447"/>
      <c r="G168" s="447"/>
      <c r="H168" s="444" t="s">
        <v>915</v>
      </c>
      <c r="I168" s="317" t="s">
        <v>42</v>
      </c>
      <c r="J168" s="317" t="s">
        <v>43</v>
      </c>
      <c r="K168" s="447"/>
      <c r="L168" s="447">
        <v>-4</v>
      </c>
      <c r="M168" s="309">
        <v>569444.43999999994</v>
      </c>
      <c r="N168" s="309">
        <v>-2277777.7599999998</v>
      </c>
      <c r="O168" s="309">
        <v>-182222.22079999998</v>
      </c>
      <c r="P168" s="309">
        <v>-2459999.9807999996</v>
      </c>
      <c r="Q168" s="309"/>
      <c r="R168" s="696"/>
    </row>
    <row r="169" spans="1:88">
      <c r="A169" s="296" t="s">
        <v>761</v>
      </c>
      <c r="B169" s="306" t="s">
        <v>696</v>
      </c>
      <c r="C169" s="446">
        <v>46255</v>
      </c>
      <c r="D169" s="312" t="s">
        <v>911</v>
      </c>
      <c r="E169" s="446"/>
      <c r="F169" s="447"/>
      <c r="G169" s="447"/>
      <c r="H169" s="444" t="s">
        <v>915</v>
      </c>
      <c r="I169" s="317" t="s">
        <v>119</v>
      </c>
      <c r="J169" s="317" t="s">
        <v>191</v>
      </c>
      <c r="K169" s="447"/>
      <c r="L169" s="447">
        <v>-5</v>
      </c>
      <c r="M169" s="309">
        <v>659259.26</v>
      </c>
      <c r="N169" s="309">
        <v>-3296296.3</v>
      </c>
      <c r="O169" s="309">
        <v>-263703.70399999997</v>
      </c>
      <c r="P169" s="309">
        <v>-3560000.0039999997</v>
      </c>
      <c r="Q169" s="309"/>
      <c r="R169" s="696"/>
    </row>
    <row r="170" spans="1:88">
      <c r="A170" s="296" t="s">
        <v>761</v>
      </c>
      <c r="B170" s="306" t="s">
        <v>696</v>
      </c>
      <c r="C170" s="446">
        <v>46255</v>
      </c>
      <c r="D170" s="312" t="s">
        <v>911</v>
      </c>
      <c r="E170" s="446"/>
      <c r="F170" s="447"/>
      <c r="G170" s="447"/>
      <c r="H170" s="444" t="s">
        <v>915</v>
      </c>
      <c r="I170" s="317" t="s">
        <v>44</v>
      </c>
      <c r="J170" s="317" t="s">
        <v>45</v>
      </c>
      <c r="K170" s="447"/>
      <c r="L170" s="447">
        <v>-13</v>
      </c>
      <c r="M170" s="309">
        <v>564814.81000000006</v>
      </c>
      <c r="N170" s="309">
        <v>-7342592.5300000012</v>
      </c>
      <c r="O170" s="309">
        <v>-587407.40240000014</v>
      </c>
      <c r="P170" s="309">
        <v>-7929999.9324000012</v>
      </c>
      <c r="Q170" s="309"/>
      <c r="R170" s="696"/>
    </row>
    <row r="171" spans="1:88">
      <c r="A171" s="296" t="s">
        <v>761</v>
      </c>
      <c r="B171" s="306" t="s">
        <v>696</v>
      </c>
      <c r="C171" s="446">
        <v>46255</v>
      </c>
      <c r="D171" s="312" t="s">
        <v>911</v>
      </c>
      <c r="E171" s="446"/>
      <c r="F171" s="447"/>
      <c r="G171" s="447"/>
      <c r="H171" s="444" t="s">
        <v>915</v>
      </c>
      <c r="I171" s="317" t="s">
        <v>68</v>
      </c>
      <c r="J171" s="317" t="s">
        <v>69</v>
      </c>
      <c r="K171" s="447"/>
      <c r="L171" s="447">
        <v>-42</v>
      </c>
      <c r="M171" s="309">
        <v>111111.11</v>
      </c>
      <c r="N171" s="309">
        <v>-4666666.62</v>
      </c>
      <c r="O171" s="309">
        <v>-373333.3296</v>
      </c>
      <c r="P171" s="309">
        <v>-5039999.9495999999</v>
      </c>
      <c r="Q171" s="309"/>
      <c r="R171" s="696"/>
    </row>
    <row r="172" spans="1:88">
      <c r="A172" s="296" t="s">
        <v>761</v>
      </c>
      <c r="B172" s="306" t="s">
        <v>696</v>
      </c>
      <c r="C172" s="446">
        <v>46255</v>
      </c>
      <c r="D172" s="312" t="s">
        <v>911</v>
      </c>
      <c r="E172" s="446"/>
      <c r="F172" s="447"/>
      <c r="G172" s="447"/>
      <c r="H172" s="444" t="s">
        <v>915</v>
      </c>
      <c r="I172" s="317" t="s">
        <v>70</v>
      </c>
      <c r="J172" s="317" t="s">
        <v>179</v>
      </c>
      <c r="K172" s="447"/>
      <c r="L172" s="447">
        <v>-59</v>
      </c>
      <c r="M172" s="309">
        <v>120370.37</v>
      </c>
      <c r="N172" s="309">
        <v>-7101851.8300000001</v>
      </c>
      <c r="O172" s="309">
        <v>-568148.14639999997</v>
      </c>
      <c r="P172" s="309">
        <v>-7669999.9764</v>
      </c>
      <c r="Q172" s="309"/>
      <c r="R172" s="696"/>
    </row>
    <row r="173" spans="1:88">
      <c r="A173" s="296" t="s">
        <v>761</v>
      </c>
      <c r="B173" s="306" t="s">
        <v>696</v>
      </c>
      <c r="C173" s="446">
        <v>46255</v>
      </c>
      <c r="D173" s="312" t="s">
        <v>911</v>
      </c>
      <c r="E173" s="446"/>
      <c r="F173" s="447"/>
      <c r="G173" s="447"/>
      <c r="H173" s="444" t="s">
        <v>915</v>
      </c>
      <c r="I173" s="317" t="s">
        <v>72</v>
      </c>
      <c r="J173" s="317" t="s">
        <v>73</v>
      </c>
      <c r="K173" s="447"/>
      <c r="L173" s="447">
        <v>-33</v>
      </c>
      <c r="M173" s="309">
        <v>129629.63</v>
      </c>
      <c r="N173" s="309">
        <v>-4277777.79</v>
      </c>
      <c r="O173" s="309">
        <v>-342222.22320000001</v>
      </c>
      <c r="P173" s="309">
        <v>-4620000.0131999999</v>
      </c>
      <c r="Q173" s="309"/>
      <c r="R173" s="696"/>
    </row>
    <row r="174" spans="1:88">
      <c r="A174" s="296" t="s">
        <v>761</v>
      </c>
      <c r="B174" s="306" t="s">
        <v>696</v>
      </c>
      <c r="C174" s="446">
        <v>46255</v>
      </c>
      <c r="D174" s="312" t="s">
        <v>911</v>
      </c>
      <c r="E174" s="446"/>
      <c r="F174" s="447"/>
      <c r="G174" s="447"/>
      <c r="H174" s="444" t="s">
        <v>915</v>
      </c>
      <c r="I174" s="317" t="s">
        <v>192</v>
      </c>
      <c r="J174" s="317" t="s">
        <v>193</v>
      </c>
      <c r="K174" s="447"/>
      <c r="L174" s="447">
        <v>-15</v>
      </c>
      <c r="M174" s="309">
        <v>398148.15</v>
      </c>
      <c r="N174" s="309">
        <v>-5972222.25</v>
      </c>
      <c r="O174" s="309">
        <v>-477777.78</v>
      </c>
      <c r="P174" s="309">
        <v>-6450000.0300000003</v>
      </c>
      <c r="Q174" s="309"/>
      <c r="R174" s="696"/>
    </row>
    <row r="175" spans="1:88" s="292" customFormat="1">
      <c r="A175" s="296" t="s">
        <v>761</v>
      </c>
      <c r="B175" s="306" t="s">
        <v>695</v>
      </c>
      <c r="C175" s="297">
        <v>46259</v>
      </c>
      <c r="D175" s="299" t="s">
        <v>949</v>
      </c>
      <c r="E175" s="555">
        <v>46270</v>
      </c>
      <c r="F175" s="298" t="s">
        <v>1073</v>
      </c>
      <c r="G175" s="336" t="s">
        <v>1072</v>
      </c>
      <c r="H175" s="299"/>
      <c r="I175" s="643"/>
      <c r="J175" s="299" t="s">
        <v>948</v>
      </c>
      <c r="K175" s="304" t="s">
        <v>18</v>
      </c>
      <c r="L175" s="648">
        <v>24</v>
      </c>
      <c r="M175" s="656">
        <v>78703.7</v>
      </c>
      <c r="N175" s="656">
        <v>1888888.7999999998</v>
      </c>
      <c r="O175" s="301">
        <v>151111.10399999999</v>
      </c>
      <c r="P175" s="301">
        <v>2039999.9039999999</v>
      </c>
      <c r="Q175" s="651"/>
      <c r="R175" s="697"/>
      <c r="S175" s="693"/>
      <c r="T175" s="693"/>
      <c r="U175" s="693"/>
      <c r="V175" s="694"/>
      <c r="W175" s="694"/>
      <c r="X175" s="694"/>
      <c r="Y175" s="694"/>
      <c r="Z175" s="694"/>
      <c r="AA175" s="694"/>
      <c r="AB175" s="694"/>
      <c r="AC175" s="694"/>
      <c r="AD175" s="694"/>
      <c r="AE175" s="694"/>
      <c r="AF175" s="694"/>
      <c r="AG175" s="694"/>
      <c r="AH175" s="694"/>
      <c r="AI175" s="694"/>
      <c r="AJ175" s="694"/>
      <c r="AK175" s="694"/>
      <c r="AL175" s="694"/>
      <c r="AM175" s="694"/>
      <c r="AN175" s="694"/>
      <c r="AO175" s="694"/>
      <c r="AP175" s="694"/>
      <c r="AQ175" s="694"/>
      <c r="AR175" s="694"/>
      <c r="AS175" s="694"/>
      <c r="AT175" s="694"/>
      <c r="AU175" s="694"/>
      <c r="AV175" s="694"/>
      <c r="AW175" s="694"/>
      <c r="AX175" s="694"/>
      <c r="AY175" s="694"/>
      <c r="AZ175" s="694"/>
      <c r="BA175" s="694"/>
      <c r="BB175" s="694"/>
      <c r="BC175" s="694"/>
      <c r="BD175" s="694"/>
      <c r="BE175" s="694"/>
      <c r="BF175" s="694"/>
      <c r="BG175" s="694"/>
      <c r="BH175" s="694"/>
      <c r="BI175" s="694"/>
      <c r="BJ175" s="694"/>
      <c r="BK175" s="694"/>
      <c r="BL175" s="694"/>
      <c r="BM175" s="694"/>
      <c r="BN175" s="694"/>
      <c r="BO175" s="694"/>
      <c r="BP175" s="694"/>
      <c r="BQ175" s="694"/>
      <c r="BR175" s="694"/>
      <c r="BS175" s="694"/>
      <c r="BT175" s="694"/>
      <c r="BU175" s="694"/>
      <c r="BV175" s="694"/>
      <c r="BW175" s="694"/>
      <c r="BX175" s="694"/>
      <c r="BY175" s="694"/>
      <c r="BZ175" s="694"/>
      <c r="CA175" s="694"/>
      <c r="CB175" s="694"/>
      <c r="CC175" s="694"/>
      <c r="CD175" s="694"/>
      <c r="CE175" s="694"/>
      <c r="CF175" s="694"/>
      <c r="CG175" s="694"/>
      <c r="CH175" s="694"/>
      <c r="CI175" s="694"/>
      <c r="CJ175" s="694"/>
    </row>
    <row r="176" spans="1:88" s="443" customFormat="1">
      <c r="A176" s="296" t="s">
        <v>761</v>
      </c>
      <c r="B176" s="306" t="s">
        <v>695</v>
      </c>
      <c r="C176" s="446">
        <v>46269</v>
      </c>
      <c r="D176" s="299" t="s">
        <v>1055</v>
      </c>
      <c r="E176" s="555">
        <v>46270</v>
      </c>
      <c r="F176" s="298" t="s">
        <v>1073</v>
      </c>
      <c r="G176" s="336" t="s">
        <v>1072</v>
      </c>
      <c r="H176" s="299" t="s">
        <v>817</v>
      </c>
      <c r="I176" s="643" t="s">
        <v>262</v>
      </c>
      <c r="J176" s="299" t="s">
        <v>435</v>
      </c>
      <c r="K176" s="647" t="s">
        <v>18</v>
      </c>
      <c r="L176" s="648">
        <v>10</v>
      </c>
      <c r="M176" s="654">
        <v>851851.85</v>
      </c>
      <c r="N176" s="656">
        <v>8518518.5</v>
      </c>
      <c r="O176" s="301">
        <v>681481.48</v>
      </c>
      <c r="P176" s="301">
        <v>9199999.9800000004</v>
      </c>
      <c r="Q176" s="652"/>
      <c r="R176" s="698"/>
      <c r="S176" s="700"/>
      <c r="T176" s="700"/>
      <c r="U176" s="700"/>
      <c r="V176" s="600"/>
      <c r="W176" s="600"/>
      <c r="X176" s="600"/>
      <c r="Y176" s="600"/>
      <c r="Z176" s="600"/>
      <c r="AA176" s="600"/>
      <c r="AB176" s="600"/>
      <c r="AC176" s="600"/>
      <c r="AD176" s="600"/>
      <c r="AE176" s="600"/>
      <c r="AF176" s="600"/>
      <c r="AG176" s="600"/>
      <c r="AH176" s="600"/>
      <c r="AI176" s="600"/>
      <c r="AJ176" s="600"/>
      <c r="AK176" s="600"/>
      <c r="AL176" s="600"/>
      <c r="AM176" s="600"/>
      <c r="AN176" s="600"/>
      <c r="AO176" s="600"/>
      <c r="AP176" s="600"/>
      <c r="AQ176" s="600"/>
      <c r="AR176" s="600"/>
      <c r="AS176" s="600"/>
      <c r="AT176" s="600"/>
      <c r="AU176" s="600"/>
      <c r="AV176" s="600"/>
      <c r="AW176" s="600"/>
      <c r="AX176" s="600"/>
      <c r="AY176" s="600"/>
      <c r="AZ176" s="600"/>
      <c r="BA176" s="600"/>
      <c r="BB176" s="600"/>
      <c r="BC176" s="600"/>
      <c r="BD176" s="600"/>
      <c r="BE176" s="600"/>
      <c r="BF176" s="600"/>
      <c r="BG176" s="600"/>
      <c r="BH176" s="600"/>
      <c r="BI176" s="600"/>
      <c r="BJ176" s="600"/>
      <c r="BK176" s="600"/>
      <c r="BL176" s="600"/>
      <c r="BM176" s="600"/>
      <c r="BN176" s="600"/>
      <c r="BO176" s="600"/>
      <c r="BP176" s="600"/>
      <c r="BQ176" s="600"/>
      <c r="BR176" s="600"/>
      <c r="BS176" s="600"/>
      <c r="BT176" s="600"/>
      <c r="BU176" s="600"/>
      <c r="BV176" s="600"/>
      <c r="BW176" s="600"/>
      <c r="BX176" s="600"/>
      <c r="BY176" s="600"/>
      <c r="BZ176" s="600"/>
      <c r="CA176" s="600"/>
      <c r="CB176" s="600"/>
      <c r="CC176" s="600"/>
      <c r="CD176" s="600"/>
      <c r="CE176" s="600"/>
      <c r="CF176" s="600"/>
      <c r="CG176" s="600"/>
      <c r="CH176" s="600"/>
      <c r="CI176" s="600"/>
      <c r="CJ176" s="600"/>
    </row>
    <row r="177" spans="1:88" s="443" customFormat="1">
      <c r="A177" s="296" t="s">
        <v>761</v>
      </c>
      <c r="B177" s="306" t="s">
        <v>695</v>
      </c>
      <c r="C177" s="446">
        <v>46277</v>
      </c>
      <c r="D177" s="442"/>
      <c r="E177" s="450"/>
      <c r="H177" s="299" t="s">
        <v>672</v>
      </c>
      <c r="I177" s="447"/>
      <c r="J177" s="312"/>
      <c r="K177" s="298"/>
      <c r="L177" s="635"/>
      <c r="M177" s="612"/>
      <c r="N177" s="613"/>
      <c r="O177" s="613"/>
      <c r="P177" s="613"/>
      <c r="Q177" s="652">
        <v>150000000</v>
      </c>
      <c r="R177" s="698"/>
      <c r="S177" s="700"/>
      <c r="T177" s="700"/>
      <c r="U177" s="700"/>
      <c r="V177" s="600"/>
      <c r="W177" s="600"/>
      <c r="X177" s="600"/>
      <c r="Y177" s="600"/>
      <c r="Z177" s="600"/>
      <c r="AA177" s="600"/>
      <c r="AB177" s="600"/>
      <c r="AC177" s="600"/>
      <c r="AD177" s="600"/>
      <c r="AE177" s="600"/>
      <c r="AF177" s="600"/>
      <c r="AG177" s="600"/>
      <c r="AH177" s="600"/>
      <c r="AI177" s="600"/>
      <c r="AJ177" s="600"/>
      <c r="AK177" s="600"/>
      <c r="AL177" s="600"/>
      <c r="AM177" s="600"/>
      <c r="AN177" s="600"/>
      <c r="AO177" s="600"/>
      <c r="AP177" s="600"/>
      <c r="AQ177" s="600"/>
      <c r="AR177" s="600"/>
      <c r="AS177" s="600"/>
      <c r="AT177" s="600"/>
      <c r="AU177" s="600"/>
      <c r="AV177" s="600"/>
      <c r="AW177" s="600"/>
      <c r="AX177" s="600"/>
      <c r="AY177" s="600"/>
      <c r="AZ177" s="600"/>
      <c r="BA177" s="600"/>
      <c r="BB177" s="600"/>
      <c r="BC177" s="600"/>
      <c r="BD177" s="600"/>
      <c r="BE177" s="600"/>
      <c r="BF177" s="600"/>
      <c r="BG177" s="600"/>
      <c r="BH177" s="600"/>
      <c r="BI177" s="600"/>
      <c r="BJ177" s="600"/>
      <c r="BK177" s="600"/>
      <c r="BL177" s="600"/>
      <c r="BM177" s="600"/>
      <c r="BN177" s="600"/>
      <c r="BO177" s="600"/>
      <c r="BP177" s="600"/>
      <c r="BQ177" s="600"/>
      <c r="BR177" s="600"/>
      <c r="BS177" s="600"/>
      <c r="BT177" s="600"/>
      <c r="BU177" s="600"/>
      <c r="BV177" s="600"/>
      <c r="BW177" s="600"/>
      <c r="BX177" s="600"/>
      <c r="BY177" s="600"/>
      <c r="BZ177" s="600"/>
      <c r="CA177" s="600"/>
      <c r="CB177" s="600"/>
      <c r="CC177" s="600"/>
      <c r="CD177" s="600"/>
      <c r="CE177" s="600"/>
      <c r="CF177" s="600"/>
      <c r="CG177" s="600"/>
      <c r="CH177" s="600"/>
      <c r="CI177" s="600"/>
      <c r="CJ177" s="600"/>
    </row>
    <row r="178" spans="1:88" s="600" customFormat="1">
      <c r="A178" s="711" t="s">
        <v>761</v>
      </c>
      <c r="B178" s="306" t="s">
        <v>695</v>
      </c>
      <c r="C178" s="446">
        <v>46279</v>
      </c>
      <c r="D178" s="752" t="s">
        <v>1185</v>
      </c>
      <c r="E178" s="446"/>
      <c r="F178" s="447"/>
      <c r="G178" s="447"/>
      <c r="H178" s="299" t="s">
        <v>817</v>
      </c>
      <c r="I178" s="447" t="s">
        <v>655</v>
      </c>
      <c r="J178" s="322" t="s">
        <v>656</v>
      </c>
      <c r="K178" s="635" t="s">
        <v>18</v>
      </c>
      <c r="L178" s="635">
        <v>8</v>
      </c>
      <c r="M178" s="750">
        <v>574074.06999999995</v>
      </c>
      <c r="N178" s="723">
        <v>4592592.5599999996</v>
      </c>
      <c r="O178" s="613">
        <v>367407.40479999996</v>
      </c>
      <c r="P178" s="613">
        <v>4959999.9647999993</v>
      </c>
      <c r="Q178" s="652"/>
      <c r="R178" s="698"/>
      <c r="S178" s="700"/>
      <c r="T178" s="700"/>
      <c r="U178" s="700"/>
    </row>
    <row r="179" spans="1:88" s="600" customFormat="1">
      <c r="A179" s="711" t="s">
        <v>761</v>
      </c>
      <c r="B179" s="306" t="s">
        <v>695</v>
      </c>
      <c r="C179" s="446">
        <v>46282</v>
      </c>
      <c r="D179" s="752" t="s">
        <v>1203</v>
      </c>
      <c r="E179" s="446"/>
      <c r="F179" s="447"/>
      <c r="G179" s="447"/>
      <c r="H179" s="299" t="s">
        <v>817</v>
      </c>
      <c r="I179" s="643" t="s">
        <v>641</v>
      </c>
      <c r="J179" s="771" t="s">
        <v>657</v>
      </c>
      <c r="K179" s="298" t="s">
        <v>18</v>
      </c>
      <c r="L179" s="721">
        <v>15</v>
      </c>
      <c r="M179" s="750">
        <v>638888.89</v>
      </c>
      <c r="N179" s="723">
        <v>9583333.3499999996</v>
      </c>
      <c r="O179" s="613">
        <v>766666.66799999995</v>
      </c>
      <c r="P179" s="613">
        <v>10350000.017999999</v>
      </c>
      <c r="Q179" s="652"/>
      <c r="R179" s="698"/>
      <c r="S179" s="700"/>
      <c r="T179" s="700"/>
      <c r="U179" s="700"/>
    </row>
    <row r="180" spans="1:88" s="600" customFormat="1">
      <c r="A180" s="711" t="s">
        <v>761</v>
      </c>
      <c r="B180" s="306" t="s">
        <v>695</v>
      </c>
      <c r="C180" s="446">
        <v>46282</v>
      </c>
      <c r="D180" s="752" t="s">
        <v>1203</v>
      </c>
      <c r="E180" s="446"/>
      <c r="F180" s="447"/>
      <c r="G180" s="447"/>
      <c r="H180" s="299" t="s">
        <v>817</v>
      </c>
      <c r="I180" s="643" t="s">
        <v>643</v>
      </c>
      <c r="J180" s="771" t="s">
        <v>644</v>
      </c>
      <c r="K180" s="298" t="s">
        <v>18</v>
      </c>
      <c r="L180" s="721">
        <v>15</v>
      </c>
      <c r="M180" s="750">
        <v>527777.78</v>
      </c>
      <c r="N180" s="723">
        <v>7916666.7000000002</v>
      </c>
      <c r="O180" s="613">
        <v>633333.33600000001</v>
      </c>
      <c r="P180" s="613">
        <v>8550000.0360000003</v>
      </c>
      <c r="Q180" s="652"/>
      <c r="R180" s="698"/>
      <c r="S180" s="700"/>
      <c r="T180" s="700"/>
      <c r="U180" s="700"/>
    </row>
    <row r="181" spans="1:88" s="600" customFormat="1">
      <c r="A181" s="711" t="s">
        <v>761</v>
      </c>
      <c r="B181" s="306" t="s">
        <v>695</v>
      </c>
      <c r="C181" s="446">
        <v>46282</v>
      </c>
      <c r="D181" s="752" t="s">
        <v>1203</v>
      </c>
      <c r="E181" s="446"/>
      <c r="F181" s="447"/>
      <c r="G181" s="447"/>
      <c r="H181" s="299" t="s">
        <v>817</v>
      </c>
      <c r="I181" s="643" t="s">
        <v>645</v>
      </c>
      <c r="J181" s="771" t="s">
        <v>646</v>
      </c>
      <c r="K181" s="298" t="s">
        <v>18</v>
      </c>
      <c r="L181" s="721">
        <v>15</v>
      </c>
      <c r="M181" s="750">
        <v>629629.63</v>
      </c>
      <c r="N181" s="723">
        <v>9444444.4499999993</v>
      </c>
      <c r="O181" s="613">
        <v>755555.55599999998</v>
      </c>
      <c r="P181" s="613">
        <v>10200000.005999999</v>
      </c>
      <c r="Q181" s="652"/>
      <c r="R181" s="698"/>
      <c r="S181" s="700"/>
      <c r="T181" s="700"/>
      <c r="U181" s="700"/>
    </row>
    <row r="182" spans="1:88" s="600" customFormat="1">
      <c r="A182" s="711" t="s">
        <v>761</v>
      </c>
      <c r="B182" s="306" t="s">
        <v>695</v>
      </c>
      <c r="C182" s="446">
        <v>46282</v>
      </c>
      <c r="D182" s="752" t="s">
        <v>1203</v>
      </c>
      <c r="E182" s="446"/>
      <c r="F182" s="447"/>
      <c r="G182" s="447"/>
      <c r="H182" s="299" t="s">
        <v>817</v>
      </c>
      <c r="I182" s="643" t="s">
        <v>649</v>
      </c>
      <c r="J182" s="771" t="s">
        <v>650</v>
      </c>
      <c r="K182" s="298" t="s">
        <v>18</v>
      </c>
      <c r="L182" s="721">
        <v>15</v>
      </c>
      <c r="M182" s="750">
        <v>574074.06999999995</v>
      </c>
      <c r="N182" s="723">
        <v>8611111.0499999989</v>
      </c>
      <c r="O182" s="613">
        <v>688888.88399999996</v>
      </c>
      <c r="P182" s="613">
        <v>9299999.9339999985</v>
      </c>
      <c r="Q182" s="652"/>
      <c r="R182" s="698"/>
      <c r="S182" s="700"/>
      <c r="T182" s="700"/>
      <c r="U182" s="700"/>
    </row>
    <row r="183" spans="1:88" s="600" customFormat="1">
      <c r="A183" s="711" t="s">
        <v>761</v>
      </c>
      <c r="B183" s="306" t="s">
        <v>695</v>
      </c>
      <c r="C183" s="446">
        <v>46282</v>
      </c>
      <c r="D183" s="752" t="s">
        <v>1203</v>
      </c>
      <c r="E183" s="446"/>
      <c r="F183" s="447"/>
      <c r="G183" s="447"/>
      <c r="H183" s="299" t="s">
        <v>817</v>
      </c>
      <c r="I183" s="643" t="s">
        <v>651</v>
      </c>
      <c r="J183" s="771" t="s">
        <v>652</v>
      </c>
      <c r="K183" s="298" t="s">
        <v>18</v>
      </c>
      <c r="L183" s="721">
        <v>15</v>
      </c>
      <c r="M183" s="750">
        <v>694444.44</v>
      </c>
      <c r="N183" s="723">
        <v>10416666.6</v>
      </c>
      <c r="O183" s="613">
        <v>833333.32799999998</v>
      </c>
      <c r="P183" s="613">
        <v>11249999.927999999</v>
      </c>
      <c r="Q183" s="652"/>
      <c r="R183" s="698"/>
      <c r="S183" s="700"/>
      <c r="T183" s="700"/>
      <c r="U183" s="700"/>
    </row>
    <row r="184" spans="1:88" s="600" customFormat="1">
      <c r="A184" s="711" t="s">
        <v>761</v>
      </c>
      <c r="B184" s="306" t="s">
        <v>695</v>
      </c>
      <c r="C184" s="446">
        <v>46282</v>
      </c>
      <c r="D184" s="752" t="s">
        <v>1203</v>
      </c>
      <c r="E184" s="446"/>
      <c r="F184" s="447"/>
      <c r="G184" s="447"/>
      <c r="H184" s="299" t="s">
        <v>817</v>
      </c>
      <c r="I184" s="643" t="s">
        <v>653</v>
      </c>
      <c r="J184" s="771" t="s">
        <v>654</v>
      </c>
      <c r="K184" s="298" t="s">
        <v>18</v>
      </c>
      <c r="L184" s="721">
        <v>15</v>
      </c>
      <c r="M184" s="750">
        <v>481481.48</v>
      </c>
      <c r="N184" s="723">
        <v>7222222.1999999993</v>
      </c>
      <c r="O184" s="613">
        <v>577777.77599999995</v>
      </c>
      <c r="P184" s="613">
        <v>7799999.9759999989</v>
      </c>
      <c r="Q184" s="652"/>
      <c r="R184" s="698"/>
      <c r="S184" s="700"/>
      <c r="T184" s="700"/>
      <c r="U184" s="700"/>
    </row>
    <row r="185" spans="1:88" s="600" customFormat="1">
      <c r="A185" s="711" t="s">
        <v>761</v>
      </c>
      <c r="B185" s="306" t="s">
        <v>695</v>
      </c>
      <c r="C185" s="446">
        <v>46282</v>
      </c>
      <c r="D185" s="752" t="s">
        <v>1203</v>
      </c>
      <c r="E185" s="446"/>
      <c r="F185" s="447"/>
      <c r="G185" s="447"/>
      <c r="H185" s="299" t="s">
        <v>817</v>
      </c>
      <c r="I185" s="643" t="s">
        <v>655</v>
      </c>
      <c r="J185" s="771" t="s">
        <v>656</v>
      </c>
      <c r="K185" s="298" t="s">
        <v>18</v>
      </c>
      <c r="L185" s="721">
        <v>7</v>
      </c>
      <c r="M185" s="750">
        <v>574074.06999999995</v>
      </c>
      <c r="N185" s="723">
        <v>4018518.4899999998</v>
      </c>
      <c r="O185" s="613">
        <v>321481.4792</v>
      </c>
      <c r="P185" s="613">
        <v>4339999.9692000002</v>
      </c>
      <c r="Q185" s="652"/>
      <c r="R185" s="698"/>
      <c r="S185" s="700"/>
      <c r="T185" s="700"/>
      <c r="U185" s="700"/>
    </row>
    <row r="186" spans="1:88" s="600" customFormat="1">
      <c r="A186" s="711" t="s">
        <v>761</v>
      </c>
      <c r="B186" s="306" t="s">
        <v>695</v>
      </c>
      <c r="C186" s="446">
        <v>46282</v>
      </c>
      <c r="D186" s="752" t="s">
        <v>1203</v>
      </c>
      <c r="E186" s="446"/>
      <c r="F186" s="447"/>
      <c r="G186" s="447"/>
      <c r="H186" s="299" t="s">
        <v>817</v>
      </c>
      <c r="I186" s="643" t="s">
        <v>796</v>
      </c>
      <c r="J186" s="771" t="s">
        <v>797</v>
      </c>
      <c r="K186" s="298" t="s">
        <v>18</v>
      </c>
      <c r="L186" s="721">
        <v>50</v>
      </c>
      <c r="M186" s="750">
        <v>292592.59000000003</v>
      </c>
      <c r="N186" s="723">
        <v>14629629.500000002</v>
      </c>
      <c r="O186" s="613">
        <v>1170370.3600000001</v>
      </c>
      <c r="P186" s="613">
        <v>15799999.860000001</v>
      </c>
      <c r="Q186" s="652"/>
      <c r="R186" s="698"/>
      <c r="S186" s="700"/>
      <c r="T186" s="700"/>
      <c r="U186" s="700"/>
    </row>
    <row r="187" spans="1:88" s="600" customFormat="1">
      <c r="A187" s="711" t="s">
        <v>761</v>
      </c>
      <c r="B187" s="306" t="s">
        <v>695</v>
      </c>
      <c r="C187" s="446">
        <v>46282</v>
      </c>
      <c r="D187" s="752" t="s">
        <v>1203</v>
      </c>
      <c r="E187" s="446"/>
      <c r="F187" s="447"/>
      <c r="G187" s="447"/>
      <c r="H187" s="299" t="s">
        <v>817</v>
      </c>
      <c r="I187" s="643" t="s">
        <v>798</v>
      </c>
      <c r="J187" s="771" t="s">
        <v>799</v>
      </c>
      <c r="K187" s="298" t="s">
        <v>18</v>
      </c>
      <c r="L187" s="721">
        <v>50</v>
      </c>
      <c r="M187" s="750">
        <v>231481.48</v>
      </c>
      <c r="N187" s="723">
        <v>11574074</v>
      </c>
      <c r="O187" s="613">
        <v>925925.92</v>
      </c>
      <c r="P187" s="613">
        <v>12499999.92</v>
      </c>
      <c r="Q187" s="652"/>
      <c r="R187" s="698"/>
      <c r="S187" s="700"/>
      <c r="T187" s="700"/>
      <c r="U187" s="700"/>
    </row>
    <row r="188" spans="1:88" s="600" customFormat="1">
      <c r="A188" s="711" t="s">
        <v>761</v>
      </c>
      <c r="B188" s="306" t="s">
        <v>695</v>
      </c>
      <c r="C188" s="446">
        <v>46282</v>
      </c>
      <c r="D188" s="752" t="s">
        <v>1203</v>
      </c>
      <c r="E188" s="446"/>
      <c r="F188" s="447"/>
      <c r="G188" s="447"/>
      <c r="H188" s="302" t="s">
        <v>689</v>
      </c>
      <c r="I188" s="643" t="s">
        <v>641</v>
      </c>
      <c r="J188" s="771" t="s">
        <v>657</v>
      </c>
      <c r="K188" s="298" t="s">
        <v>18</v>
      </c>
      <c r="L188" s="721">
        <v>1</v>
      </c>
      <c r="M188" s="750">
        <v>0</v>
      </c>
      <c r="N188" s="723">
        <v>0</v>
      </c>
      <c r="O188" s="613">
        <v>0</v>
      </c>
      <c r="P188" s="613">
        <v>0</v>
      </c>
      <c r="Q188" s="652"/>
      <c r="R188" s="698"/>
      <c r="S188" s="700"/>
      <c r="T188" s="700"/>
      <c r="U188" s="700"/>
    </row>
    <row r="189" spans="1:88" s="600" customFormat="1">
      <c r="A189" s="711" t="s">
        <v>761</v>
      </c>
      <c r="B189" s="306" t="s">
        <v>695</v>
      </c>
      <c r="C189" s="446">
        <v>46282</v>
      </c>
      <c r="D189" s="752" t="s">
        <v>1203</v>
      </c>
      <c r="E189" s="446"/>
      <c r="F189" s="447"/>
      <c r="G189" s="447"/>
      <c r="H189" s="302" t="s">
        <v>689</v>
      </c>
      <c r="I189" s="643" t="s">
        <v>643</v>
      </c>
      <c r="J189" s="771" t="s">
        <v>644</v>
      </c>
      <c r="K189" s="298" t="s">
        <v>18</v>
      </c>
      <c r="L189" s="721">
        <v>1</v>
      </c>
      <c r="M189" s="750">
        <v>0</v>
      </c>
      <c r="N189" s="723">
        <v>0</v>
      </c>
      <c r="O189" s="613">
        <v>0</v>
      </c>
      <c r="P189" s="613">
        <v>0</v>
      </c>
      <c r="Q189" s="652"/>
      <c r="R189" s="698"/>
      <c r="S189" s="700"/>
      <c r="T189" s="700"/>
      <c r="U189" s="700"/>
    </row>
    <row r="190" spans="1:88" s="600" customFormat="1">
      <c r="A190" s="711" t="s">
        <v>761</v>
      </c>
      <c r="B190" s="306" t="s">
        <v>695</v>
      </c>
      <c r="C190" s="446">
        <v>46282</v>
      </c>
      <c r="D190" s="752" t="s">
        <v>1203</v>
      </c>
      <c r="E190" s="446"/>
      <c r="F190" s="447"/>
      <c r="G190" s="447"/>
      <c r="H190" s="302" t="s">
        <v>689</v>
      </c>
      <c r="I190" s="643" t="s">
        <v>645</v>
      </c>
      <c r="J190" s="771" t="s">
        <v>646</v>
      </c>
      <c r="K190" s="298" t="s">
        <v>18</v>
      </c>
      <c r="L190" s="721">
        <v>1</v>
      </c>
      <c r="M190" s="750">
        <v>0</v>
      </c>
      <c r="N190" s="723">
        <v>0</v>
      </c>
      <c r="O190" s="613">
        <v>0</v>
      </c>
      <c r="P190" s="613">
        <v>0</v>
      </c>
      <c r="Q190" s="652"/>
      <c r="R190" s="698"/>
      <c r="S190" s="700"/>
      <c r="T190" s="700"/>
      <c r="U190" s="700"/>
    </row>
    <row r="191" spans="1:88" s="600" customFormat="1">
      <c r="A191" s="711" t="s">
        <v>761</v>
      </c>
      <c r="B191" s="306" t="s">
        <v>695</v>
      </c>
      <c r="C191" s="446">
        <v>46282</v>
      </c>
      <c r="D191" s="752" t="s">
        <v>1203</v>
      </c>
      <c r="E191" s="446"/>
      <c r="F191" s="447"/>
      <c r="G191" s="447"/>
      <c r="H191" s="302" t="s">
        <v>689</v>
      </c>
      <c r="I191" s="643" t="s">
        <v>649</v>
      </c>
      <c r="J191" s="771" t="s">
        <v>650</v>
      </c>
      <c r="K191" s="298" t="s">
        <v>18</v>
      </c>
      <c r="L191" s="721">
        <v>1</v>
      </c>
      <c r="M191" s="750">
        <v>0</v>
      </c>
      <c r="N191" s="723">
        <v>0</v>
      </c>
      <c r="O191" s="613">
        <v>0</v>
      </c>
      <c r="P191" s="613">
        <v>0</v>
      </c>
      <c r="Q191" s="652"/>
      <c r="R191" s="698"/>
      <c r="S191" s="700"/>
      <c r="T191" s="700"/>
      <c r="U191" s="700"/>
    </row>
    <row r="192" spans="1:88" s="600" customFormat="1">
      <c r="A192" s="711" t="s">
        <v>761</v>
      </c>
      <c r="B192" s="306" t="s">
        <v>695</v>
      </c>
      <c r="C192" s="446">
        <v>46282</v>
      </c>
      <c r="D192" s="752" t="s">
        <v>1203</v>
      </c>
      <c r="E192" s="446"/>
      <c r="F192" s="447"/>
      <c r="G192" s="447"/>
      <c r="H192" s="302" t="s">
        <v>689</v>
      </c>
      <c r="I192" s="643" t="s">
        <v>651</v>
      </c>
      <c r="J192" s="771" t="s">
        <v>652</v>
      </c>
      <c r="K192" s="298" t="s">
        <v>18</v>
      </c>
      <c r="L192" s="721">
        <v>1</v>
      </c>
      <c r="M192" s="750">
        <v>0</v>
      </c>
      <c r="N192" s="723">
        <v>0</v>
      </c>
      <c r="O192" s="613">
        <v>0</v>
      </c>
      <c r="P192" s="613">
        <v>0</v>
      </c>
      <c r="Q192" s="652"/>
      <c r="R192" s="698"/>
      <c r="S192" s="700"/>
      <c r="T192" s="700"/>
      <c r="U192" s="700"/>
    </row>
    <row r="193" spans="1:21" s="600" customFormat="1">
      <c r="A193" s="711" t="s">
        <v>761</v>
      </c>
      <c r="B193" s="306" t="s">
        <v>695</v>
      </c>
      <c r="C193" s="446">
        <v>46282</v>
      </c>
      <c r="D193" s="752" t="s">
        <v>1203</v>
      </c>
      <c r="E193" s="446"/>
      <c r="F193" s="447"/>
      <c r="G193" s="447"/>
      <c r="H193" s="302" t="s">
        <v>689</v>
      </c>
      <c r="I193" s="643" t="s">
        <v>653</v>
      </c>
      <c r="J193" s="771" t="s">
        <v>654</v>
      </c>
      <c r="K193" s="298" t="s">
        <v>18</v>
      </c>
      <c r="L193" s="721">
        <v>1</v>
      </c>
      <c r="M193" s="750">
        <v>0</v>
      </c>
      <c r="N193" s="723">
        <v>0</v>
      </c>
      <c r="O193" s="613">
        <v>0</v>
      </c>
      <c r="P193" s="613">
        <v>0</v>
      </c>
      <c r="Q193" s="652"/>
      <c r="R193" s="698"/>
      <c r="S193" s="700"/>
      <c r="T193" s="700"/>
      <c r="U193" s="700"/>
    </row>
    <row r="194" spans="1:21" s="600" customFormat="1">
      <c r="A194" s="711" t="s">
        <v>761</v>
      </c>
      <c r="B194" s="306" t="s">
        <v>695</v>
      </c>
      <c r="C194" s="446">
        <v>46282</v>
      </c>
      <c r="D194" s="752" t="s">
        <v>1203</v>
      </c>
      <c r="E194" s="446"/>
      <c r="F194" s="447"/>
      <c r="G194" s="447"/>
      <c r="H194" s="302" t="s">
        <v>689</v>
      </c>
      <c r="I194" s="643" t="s">
        <v>655</v>
      </c>
      <c r="J194" s="771" t="s">
        <v>656</v>
      </c>
      <c r="K194" s="298" t="s">
        <v>18</v>
      </c>
      <c r="L194" s="721">
        <v>1</v>
      </c>
      <c r="M194" s="750">
        <v>0</v>
      </c>
      <c r="N194" s="723">
        <v>0</v>
      </c>
      <c r="O194" s="613">
        <v>0</v>
      </c>
      <c r="P194" s="613">
        <v>0</v>
      </c>
      <c r="Q194" s="652"/>
      <c r="R194" s="698"/>
      <c r="S194" s="700"/>
      <c r="T194" s="700"/>
      <c r="U194" s="700"/>
    </row>
    <row r="195" spans="1:21" s="600" customFormat="1">
      <c r="A195" s="711" t="s">
        <v>761</v>
      </c>
      <c r="B195" s="306" t="s">
        <v>695</v>
      </c>
      <c r="C195" s="446">
        <v>46290</v>
      </c>
      <c r="D195" s="752" t="s">
        <v>1268</v>
      </c>
      <c r="E195" s="446"/>
      <c r="F195" s="447"/>
      <c r="G195" s="447"/>
      <c r="H195" s="299" t="s">
        <v>817</v>
      </c>
      <c r="I195" s="643" t="s">
        <v>23</v>
      </c>
      <c r="J195" s="320" t="s">
        <v>82</v>
      </c>
      <c r="K195" s="643" t="s">
        <v>18</v>
      </c>
      <c r="L195" s="721">
        <v>6</v>
      </c>
      <c r="M195" s="722">
        <v>1185185.19</v>
      </c>
      <c r="N195" s="723">
        <v>7111111.1399999997</v>
      </c>
      <c r="O195" s="301">
        <v>568888.89119999995</v>
      </c>
      <c r="P195" s="756">
        <v>7680000.0311999992</v>
      </c>
      <c r="Q195" s="652"/>
      <c r="R195" s="698"/>
      <c r="S195" s="700"/>
      <c r="T195" s="700"/>
      <c r="U195" s="700"/>
    </row>
    <row r="196" spans="1:21" s="600" customFormat="1" ht="30">
      <c r="A196" s="711" t="s">
        <v>761</v>
      </c>
      <c r="B196" s="306" t="s">
        <v>695</v>
      </c>
      <c r="C196" s="446">
        <v>46290</v>
      </c>
      <c r="D196" s="752" t="s">
        <v>1268</v>
      </c>
      <c r="E196" s="446"/>
      <c r="F196" s="447"/>
      <c r="G196" s="447"/>
      <c r="H196" s="299" t="s">
        <v>817</v>
      </c>
      <c r="I196" s="643" t="s">
        <v>28</v>
      </c>
      <c r="J196" s="320" t="s">
        <v>29</v>
      </c>
      <c r="K196" s="643" t="s">
        <v>18</v>
      </c>
      <c r="L196" s="721">
        <v>40</v>
      </c>
      <c r="M196" s="722">
        <v>281481.48</v>
      </c>
      <c r="N196" s="723">
        <v>11259259.199999999</v>
      </c>
      <c r="O196" s="301">
        <v>900740.73599999992</v>
      </c>
      <c r="P196" s="756">
        <v>12159999.935999999</v>
      </c>
      <c r="Q196" s="652"/>
      <c r="R196" s="698"/>
      <c r="S196" s="700"/>
      <c r="T196" s="700"/>
      <c r="U196" s="700"/>
    </row>
    <row r="197" spans="1:21" s="600" customFormat="1">
      <c r="A197" s="711" t="s">
        <v>761</v>
      </c>
      <c r="B197" s="306" t="s">
        <v>695</v>
      </c>
      <c r="C197" s="446">
        <v>46290</v>
      </c>
      <c r="D197" s="752" t="s">
        <v>1268</v>
      </c>
      <c r="E197" s="446"/>
      <c r="F197" s="447"/>
      <c r="G197" s="447"/>
      <c r="H197" s="299" t="s">
        <v>817</v>
      </c>
      <c r="I197" s="643" t="s">
        <v>645</v>
      </c>
      <c r="J197" s="320" t="s">
        <v>646</v>
      </c>
      <c r="K197" s="643" t="s">
        <v>18</v>
      </c>
      <c r="L197" s="721">
        <v>15</v>
      </c>
      <c r="M197" s="722">
        <v>629629.63</v>
      </c>
      <c r="N197" s="723">
        <v>9444444.4499999993</v>
      </c>
      <c r="O197" s="301">
        <v>755555.55599999998</v>
      </c>
      <c r="P197" s="756">
        <v>10200000.005999999</v>
      </c>
      <c r="Q197" s="652"/>
      <c r="R197" s="698"/>
      <c r="S197" s="700"/>
      <c r="T197" s="700"/>
      <c r="U197" s="700"/>
    </row>
    <row r="198" spans="1:21" s="600" customFormat="1">
      <c r="A198" s="711" t="s">
        <v>761</v>
      </c>
      <c r="B198" s="306" t="s">
        <v>695</v>
      </c>
      <c r="C198" s="446">
        <v>46290</v>
      </c>
      <c r="D198" s="752" t="s">
        <v>1268</v>
      </c>
      <c r="E198" s="446"/>
      <c r="F198" s="447"/>
      <c r="G198" s="447"/>
      <c r="H198" s="302" t="s">
        <v>689</v>
      </c>
      <c r="I198" s="643" t="s">
        <v>645</v>
      </c>
      <c r="J198" s="320" t="s">
        <v>646</v>
      </c>
      <c r="K198" s="643" t="s">
        <v>18</v>
      </c>
      <c r="L198" s="721">
        <v>1</v>
      </c>
      <c r="M198" s="722">
        <v>0</v>
      </c>
      <c r="N198" s="723">
        <v>0</v>
      </c>
      <c r="O198" s="301">
        <v>0</v>
      </c>
      <c r="P198" s="756">
        <v>0</v>
      </c>
      <c r="Q198" s="652"/>
      <c r="R198" s="698"/>
      <c r="S198" s="700"/>
      <c r="T198" s="700"/>
      <c r="U198" s="700"/>
    </row>
    <row r="199" spans="1:21" s="600" customFormat="1">
      <c r="A199" s="711" t="s">
        <v>761</v>
      </c>
      <c r="B199" s="306" t="s">
        <v>695</v>
      </c>
      <c r="C199" s="446">
        <v>46293</v>
      </c>
      <c r="D199" s="752" t="s">
        <v>1284</v>
      </c>
      <c r="E199" s="446"/>
      <c r="F199" s="447"/>
      <c r="G199" s="447"/>
      <c r="H199" s="299" t="s">
        <v>817</v>
      </c>
      <c r="I199" s="643" t="s">
        <v>98</v>
      </c>
      <c r="J199" s="320" t="s">
        <v>251</v>
      </c>
      <c r="K199" s="643" t="s">
        <v>18</v>
      </c>
      <c r="L199" s="721">
        <v>20</v>
      </c>
      <c r="M199" s="722">
        <v>694444.44</v>
      </c>
      <c r="N199" s="723">
        <v>13888888.799999999</v>
      </c>
      <c r="O199" s="613">
        <v>1111111.1039999998</v>
      </c>
      <c r="P199" s="756">
        <v>14999999.903999999</v>
      </c>
      <c r="Q199" s="652"/>
      <c r="R199" s="698"/>
      <c r="S199" s="700"/>
      <c r="T199" s="700"/>
      <c r="U199" s="700"/>
    </row>
    <row r="200" spans="1:21" s="600" customFormat="1">
      <c r="A200" s="711" t="s">
        <v>761</v>
      </c>
      <c r="B200" s="306" t="s">
        <v>695</v>
      </c>
      <c r="C200" s="446">
        <v>46293</v>
      </c>
      <c r="D200" s="752" t="s">
        <v>1289</v>
      </c>
      <c r="E200" s="446"/>
      <c r="F200" s="447"/>
      <c r="G200" s="447"/>
      <c r="H200" s="299" t="s">
        <v>817</v>
      </c>
      <c r="I200" s="643" t="s">
        <v>98</v>
      </c>
      <c r="J200" s="320" t="s">
        <v>251</v>
      </c>
      <c r="K200" s="643" t="s">
        <v>18</v>
      </c>
      <c r="L200" s="721">
        <v>10</v>
      </c>
      <c r="M200" s="722">
        <v>694444.44</v>
      </c>
      <c r="N200" s="723">
        <v>6944444.3999999994</v>
      </c>
      <c r="O200" s="613">
        <v>555555.55199999991</v>
      </c>
      <c r="P200" s="756">
        <v>7499999.9519999996</v>
      </c>
      <c r="Q200" s="652"/>
      <c r="R200" s="698"/>
      <c r="S200" s="700"/>
      <c r="T200" s="700"/>
      <c r="U200" s="700"/>
    </row>
    <row r="201" spans="1:21">
      <c r="A201" s="490"/>
      <c r="B201" s="490"/>
      <c r="C201" s="490"/>
      <c r="D201" s="490"/>
      <c r="E201" s="490"/>
      <c r="F201" s="490"/>
      <c r="G201" s="490"/>
      <c r="H201" s="490"/>
      <c r="I201" s="490"/>
      <c r="J201" s="490"/>
      <c r="K201" s="490"/>
      <c r="L201" s="490"/>
      <c r="M201" s="490"/>
      <c r="N201" s="505">
        <f>SUM(N3:N200)</f>
        <v>1204422214.1400006</v>
      </c>
      <c r="O201" s="505">
        <f>SUM(O3:O200)</f>
        <v>96353780.646399885</v>
      </c>
      <c r="P201" s="506">
        <f>N201+O201</f>
        <v>1300775994.7864006</v>
      </c>
      <c r="Q201" s="506">
        <f>SUM(Q3:Q200)</f>
        <v>750000000</v>
      </c>
      <c r="R201" s="699">
        <f>SUM(R3:R174)</f>
        <v>5500000</v>
      </c>
    </row>
    <row r="203" spans="1:21" ht="15.75" thickBot="1"/>
    <row r="204" spans="1:21">
      <c r="J204" s="477" t="s">
        <v>894</v>
      </c>
      <c r="K204" s="491">
        <f>P201</f>
        <v>1300775994.7864006</v>
      </c>
      <c r="M204" s="993" t="s">
        <v>900</v>
      </c>
      <c r="N204" s="994"/>
      <c r="O204" s="994"/>
      <c r="P204" s="994"/>
      <c r="Q204" s="994"/>
    </row>
    <row r="205" spans="1:21">
      <c r="J205" s="478" t="s">
        <v>895</v>
      </c>
      <c r="K205" s="492">
        <f>Q201</f>
        <v>750000000</v>
      </c>
      <c r="M205" s="994"/>
      <c r="N205" s="994"/>
      <c r="O205" s="994"/>
      <c r="P205" s="994"/>
      <c r="Q205" s="994"/>
    </row>
    <row r="206" spans="1:21">
      <c r="J206" s="478" t="s">
        <v>896</v>
      </c>
      <c r="K206" s="492">
        <f>R201</f>
        <v>5500000</v>
      </c>
      <c r="M206" s="994"/>
      <c r="N206" s="994"/>
      <c r="O206" s="994"/>
      <c r="P206" s="994"/>
      <c r="Q206" s="994"/>
    </row>
    <row r="207" spans="1:21">
      <c r="J207" s="478" t="s">
        <v>898</v>
      </c>
      <c r="K207" s="554">
        <f>K204-K205-K206</f>
        <v>545275994.78640056</v>
      </c>
      <c r="M207" s="994"/>
      <c r="N207" s="994"/>
      <c r="O207" s="994"/>
      <c r="P207" s="994"/>
      <c r="Q207" s="994"/>
    </row>
    <row r="208" spans="1:21">
      <c r="M208" s="994"/>
      <c r="N208" s="994"/>
      <c r="O208" s="994"/>
      <c r="P208" s="994"/>
      <c r="Q208" s="994"/>
    </row>
    <row r="209" spans="8:17">
      <c r="M209" s="994"/>
      <c r="N209" s="994"/>
      <c r="O209" s="994"/>
      <c r="P209" s="994"/>
      <c r="Q209" s="994"/>
    </row>
    <row r="210" spans="8:17">
      <c r="H210" t="s">
        <v>937</v>
      </c>
      <c r="M210" s="994"/>
      <c r="N210" s="994"/>
      <c r="O210" s="994"/>
      <c r="P210" s="994"/>
      <c r="Q210" s="994"/>
    </row>
    <row r="211" spans="8:17">
      <c r="M211" s="994"/>
      <c r="N211" s="994"/>
      <c r="O211" s="994"/>
      <c r="P211" s="994"/>
      <c r="Q211" s="994"/>
    </row>
    <row r="212" spans="8:17">
      <c r="M212" s="994"/>
      <c r="N212" s="994"/>
      <c r="O212" s="994"/>
      <c r="P212" s="994"/>
      <c r="Q212" s="994"/>
    </row>
    <row r="213" spans="8:17">
      <c r="M213" s="994"/>
      <c r="N213" s="994"/>
      <c r="O213" s="994"/>
      <c r="P213" s="994"/>
      <c r="Q213" s="994"/>
    </row>
  </sheetData>
  <autoFilter ref="A2:R201" xr:uid="{080FC0CA-087B-497A-8ECE-D661BF728783}"/>
  <mergeCells count="1">
    <mergeCell ref="M204:Q213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E16E-2DE1-4424-B53C-9C49E81CB371}">
  <sheetPr>
    <tabColor rgb="FF00B050"/>
  </sheetPr>
  <dimension ref="A2:P248"/>
  <sheetViews>
    <sheetView topLeftCell="A222" zoomScale="95" zoomScaleNormal="95" workbookViewId="0">
      <selection activeCell="B247" sqref="B247"/>
    </sheetView>
  </sheetViews>
  <sheetFormatPr defaultRowHeight="15"/>
  <cols>
    <col min="1" max="1" width="16.140625" bestFit="1" customWidth="1"/>
    <col min="2" max="2" width="50.140625" customWidth="1"/>
    <col min="3" max="3" width="12.140625" bestFit="1" customWidth="1"/>
    <col min="4" max="4" width="15.42578125" bestFit="1" customWidth="1"/>
    <col min="5" max="5" width="12.140625" bestFit="1" customWidth="1"/>
    <col min="6" max="6" width="9" bestFit="1" customWidth="1"/>
    <col min="7" max="7" width="14" bestFit="1" customWidth="1"/>
    <col min="8" max="8" width="15.140625" customWidth="1"/>
    <col min="9" max="9" width="10.28515625" bestFit="1" customWidth="1"/>
    <col min="10" max="10" width="28.5703125" customWidth="1"/>
    <col min="11" max="11" width="5.5703125" bestFit="1" customWidth="1"/>
    <col min="12" max="12" width="7.85546875" bestFit="1" customWidth="1"/>
    <col min="13" max="13" width="13.140625" bestFit="1" customWidth="1"/>
    <col min="14" max="14" width="15" bestFit="1" customWidth="1"/>
    <col min="15" max="15" width="13.85546875" bestFit="1" customWidth="1"/>
    <col min="16" max="16" width="15.5703125" bestFit="1" customWidth="1"/>
  </cols>
  <sheetData>
    <row r="2" spans="1:16" ht="74.25">
      <c r="A2" s="745" t="s">
        <v>1219</v>
      </c>
      <c r="B2" s="640" t="s">
        <v>1220</v>
      </c>
      <c r="C2" s="640" t="s">
        <v>994</v>
      </c>
      <c r="D2" s="746" t="s">
        <v>1221</v>
      </c>
      <c r="E2" s="640" t="s">
        <v>1222</v>
      </c>
      <c r="F2" s="645" t="s">
        <v>1223</v>
      </c>
      <c r="G2" s="645" t="s">
        <v>1224</v>
      </c>
      <c r="H2" s="747" t="s">
        <v>1225</v>
      </c>
      <c r="I2" s="645" t="s">
        <v>995</v>
      </c>
      <c r="J2" s="766" t="s">
        <v>1226</v>
      </c>
      <c r="K2" s="646" t="s">
        <v>996</v>
      </c>
      <c r="L2" s="649" t="s">
        <v>997</v>
      </c>
      <c r="M2" s="660" t="s">
        <v>998</v>
      </c>
      <c r="N2" s="660" t="s">
        <v>999</v>
      </c>
      <c r="O2" s="660" t="s">
        <v>1000</v>
      </c>
      <c r="P2" s="660" t="s">
        <v>913</v>
      </c>
    </row>
    <row r="3" spans="1:16">
      <c r="A3" s="711" t="s">
        <v>711</v>
      </c>
      <c r="B3" s="307" t="s">
        <v>715</v>
      </c>
      <c r="C3" s="446">
        <v>46268</v>
      </c>
      <c r="D3" s="322" t="s">
        <v>1052</v>
      </c>
      <c r="E3" s="748">
        <v>46276</v>
      </c>
      <c r="F3" s="298"/>
      <c r="G3" s="754" t="s">
        <v>1160</v>
      </c>
      <c r="H3" s="299" t="s">
        <v>813</v>
      </c>
      <c r="I3" s="643" t="s">
        <v>46</v>
      </c>
      <c r="J3" s="322" t="s">
        <v>47</v>
      </c>
      <c r="K3" s="647" t="s">
        <v>18</v>
      </c>
      <c r="L3" s="648">
        <v>4</v>
      </c>
      <c r="M3" s="750">
        <v>240740.74</v>
      </c>
      <c r="N3" s="613">
        <v>962962.96</v>
      </c>
      <c r="O3" s="613">
        <v>77037.036800000002</v>
      </c>
      <c r="P3" s="579">
        <v>1039999.9968</v>
      </c>
    </row>
    <row r="4" spans="1:16">
      <c r="A4" s="711" t="s">
        <v>711</v>
      </c>
      <c r="B4" s="307" t="s">
        <v>715</v>
      </c>
      <c r="C4" s="446">
        <v>46268</v>
      </c>
      <c r="D4" s="322" t="s">
        <v>1052</v>
      </c>
      <c r="E4" s="748">
        <v>46276</v>
      </c>
      <c r="F4" s="298"/>
      <c r="G4" s="754" t="s">
        <v>1160</v>
      </c>
      <c r="H4" s="299" t="s">
        <v>813</v>
      </c>
      <c r="I4" s="643" t="s">
        <v>157</v>
      </c>
      <c r="J4" s="322" t="s">
        <v>158</v>
      </c>
      <c r="K4" s="647" t="s">
        <v>18</v>
      </c>
      <c r="L4" s="648">
        <v>4</v>
      </c>
      <c r="M4" s="750">
        <v>342592.59</v>
      </c>
      <c r="N4" s="613">
        <v>1370370.36</v>
      </c>
      <c r="O4" s="613">
        <v>109629.62880000001</v>
      </c>
      <c r="P4" s="579">
        <v>1479999.9888000002</v>
      </c>
    </row>
    <row r="5" spans="1:16">
      <c r="A5" s="711" t="s">
        <v>711</v>
      </c>
      <c r="B5" s="307" t="s">
        <v>715</v>
      </c>
      <c r="C5" s="446">
        <v>46268</v>
      </c>
      <c r="D5" s="322" t="s">
        <v>1052</v>
      </c>
      <c r="E5" s="748">
        <v>46276</v>
      </c>
      <c r="F5" s="298"/>
      <c r="G5" s="754" t="s">
        <v>1160</v>
      </c>
      <c r="H5" s="299" t="s">
        <v>813</v>
      </c>
      <c r="I5" s="643" t="s">
        <v>119</v>
      </c>
      <c r="J5" s="322" t="s">
        <v>191</v>
      </c>
      <c r="K5" s="647" t="s">
        <v>18</v>
      </c>
      <c r="L5" s="648">
        <v>4</v>
      </c>
      <c r="M5" s="750">
        <v>574074.06999999995</v>
      </c>
      <c r="N5" s="613">
        <v>2296296.2799999998</v>
      </c>
      <c r="O5" s="613">
        <v>183703.70239999998</v>
      </c>
      <c r="P5" s="579">
        <v>2479999.9823999996</v>
      </c>
    </row>
    <row r="6" spans="1:16">
      <c r="A6" s="711" t="s">
        <v>711</v>
      </c>
      <c r="B6" s="307" t="s">
        <v>715</v>
      </c>
      <c r="C6" s="446">
        <v>46268</v>
      </c>
      <c r="D6" s="322" t="s">
        <v>1052</v>
      </c>
      <c r="E6" s="748">
        <v>46276</v>
      </c>
      <c r="F6" s="298"/>
      <c r="G6" s="754" t="s">
        <v>1160</v>
      </c>
      <c r="H6" s="299" t="s">
        <v>813</v>
      </c>
      <c r="I6" s="643" t="s">
        <v>42</v>
      </c>
      <c r="J6" s="322" t="s">
        <v>43</v>
      </c>
      <c r="K6" s="647" t="s">
        <v>18</v>
      </c>
      <c r="L6" s="648">
        <v>18</v>
      </c>
      <c r="M6" s="750">
        <v>527777.78</v>
      </c>
      <c r="N6" s="613">
        <v>9500000.040000001</v>
      </c>
      <c r="O6" s="613">
        <v>760000.00320000004</v>
      </c>
      <c r="P6" s="579">
        <v>10260000.043200001</v>
      </c>
    </row>
    <row r="7" spans="1:16">
      <c r="A7" s="711" t="s">
        <v>711</v>
      </c>
      <c r="B7" s="307" t="s">
        <v>715</v>
      </c>
      <c r="C7" s="446">
        <v>46268</v>
      </c>
      <c r="D7" s="322" t="s">
        <v>1052</v>
      </c>
      <c r="E7" s="748">
        <v>46276</v>
      </c>
      <c r="F7" s="298"/>
      <c r="G7" s="754" t="s">
        <v>1160</v>
      </c>
      <c r="H7" s="299" t="s">
        <v>813</v>
      </c>
      <c r="I7" s="643" t="s">
        <v>44</v>
      </c>
      <c r="J7" s="322" t="s">
        <v>45</v>
      </c>
      <c r="K7" s="647" t="s">
        <v>18</v>
      </c>
      <c r="L7" s="648">
        <v>4</v>
      </c>
      <c r="M7" s="750">
        <v>537037.04</v>
      </c>
      <c r="N7" s="613">
        <v>2148148.16</v>
      </c>
      <c r="O7" s="613">
        <v>171851.85280000002</v>
      </c>
      <c r="P7" s="579">
        <v>2320000.0128000001</v>
      </c>
    </row>
    <row r="8" spans="1:16">
      <c r="A8" s="711" t="s">
        <v>711</v>
      </c>
      <c r="B8" s="307" t="s">
        <v>715</v>
      </c>
      <c r="C8" s="446">
        <v>46268</v>
      </c>
      <c r="D8" s="322" t="s">
        <v>1052</v>
      </c>
      <c r="E8" s="748">
        <v>46276</v>
      </c>
      <c r="F8" s="298"/>
      <c r="G8" s="754" t="s">
        <v>1160</v>
      </c>
      <c r="H8" s="299" t="s">
        <v>813</v>
      </c>
      <c r="I8" s="643" t="s">
        <v>148</v>
      </c>
      <c r="J8" s="322" t="s">
        <v>149</v>
      </c>
      <c r="K8" s="647" t="s">
        <v>18</v>
      </c>
      <c r="L8" s="648">
        <v>12</v>
      </c>
      <c r="M8" s="750">
        <v>296296.3</v>
      </c>
      <c r="N8" s="613">
        <v>3555555.5999999996</v>
      </c>
      <c r="O8" s="613">
        <v>284444.44799999997</v>
      </c>
      <c r="P8" s="579">
        <v>3840000.0479999995</v>
      </c>
    </row>
    <row r="9" spans="1:16">
      <c r="A9" s="711" t="s">
        <v>711</v>
      </c>
      <c r="B9" s="307" t="s">
        <v>715</v>
      </c>
      <c r="C9" s="446">
        <v>46268</v>
      </c>
      <c r="D9" s="322" t="s">
        <v>1052</v>
      </c>
      <c r="E9" s="748">
        <v>46276</v>
      </c>
      <c r="F9" s="298"/>
      <c r="G9" s="754" t="s">
        <v>1160</v>
      </c>
      <c r="H9" s="299" t="s">
        <v>813</v>
      </c>
      <c r="I9" s="643" t="s">
        <v>192</v>
      </c>
      <c r="J9" s="322" t="s">
        <v>193</v>
      </c>
      <c r="K9" s="647" t="s">
        <v>18</v>
      </c>
      <c r="L9" s="648">
        <v>8</v>
      </c>
      <c r="M9" s="750">
        <v>333333.33</v>
      </c>
      <c r="N9" s="613">
        <v>2666666.64</v>
      </c>
      <c r="O9" s="613">
        <v>213333.33120000002</v>
      </c>
      <c r="P9" s="579">
        <v>2879999.9712</v>
      </c>
    </row>
    <row r="10" spans="1:16">
      <c r="A10" s="711" t="s">
        <v>711</v>
      </c>
      <c r="B10" s="307" t="s">
        <v>715</v>
      </c>
      <c r="C10" s="446">
        <v>46268</v>
      </c>
      <c r="D10" s="322" t="s">
        <v>1052</v>
      </c>
      <c r="E10" s="748">
        <v>46276</v>
      </c>
      <c r="F10" s="298"/>
      <c r="G10" s="754" t="s">
        <v>1160</v>
      </c>
      <c r="H10" s="299" t="s">
        <v>813</v>
      </c>
      <c r="I10" s="643" t="s">
        <v>260</v>
      </c>
      <c r="J10" s="322" t="s">
        <v>261</v>
      </c>
      <c r="K10" s="647" t="s">
        <v>18</v>
      </c>
      <c r="L10" s="648">
        <v>12</v>
      </c>
      <c r="M10" s="750">
        <v>407407.41</v>
      </c>
      <c r="N10" s="613">
        <v>4888888.92</v>
      </c>
      <c r="O10" s="613">
        <v>391111.11359999998</v>
      </c>
      <c r="P10" s="651">
        <v>5280000.0335999997</v>
      </c>
    </row>
    <row r="11" spans="1:16">
      <c r="A11" s="711" t="s">
        <v>1004</v>
      </c>
      <c r="B11" s="306" t="s">
        <v>825</v>
      </c>
      <c r="C11" s="446">
        <v>46268</v>
      </c>
      <c r="D11" s="322" t="s">
        <v>1053</v>
      </c>
      <c r="E11" s="748">
        <v>46279</v>
      </c>
      <c r="F11" s="298" t="s">
        <v>1162</v>
      </c>
      <c r="G11" s="754" t="s">
        <v>1161</v>
      </c>
      <c r="H11" s="302" t="s">
        <v>814</v>
      </c>
      <c r="I11" s="643" t="s">
        <v>50</v>
      </c>
      <c r="J11" s="322" t="s">
        <v>51</v>
      </c>
      <c r="K11" s="647" t="s">
        <v>18</v>
      </c>
      <c r="L11" s="648">
        <v>24</v>
      </c>
      <c r="M11" s="750">
        <v>937962.96</v>
      </c>
      <c r="N11" s="613">
        <v>22511111.039999999</v>
      </c>
      <c r="O11" s="613">
        <v>1800888.8832</v>
      </c>
      <c r="P11" s="651">
        <v>24311999.9232</v>
      </c>
    </row>
    <row r="12" spans="1:16">
      <c r="A12" s="711" t="s">
        <v>1004</v>
      </c>
      <c r="B12" s="306" t="s">
        <v>693</v>
      </c>
      <c r="C12" s="446">
        <v>46268</v>
      </c>
      <c r="D12" s="322" t="s">
        <v>1053</v>
      </c>
      <c r="E12" s="748"/>
      <c r="F12" s="298"/>
      <c r="G12" s="754"/>
      <c r="H12" s="302" t="s">
        <v>814</v>
      </c>
      <c r="I12" s="643" t="s">
        <v>103</v>
      </c>
      <c r="J12" s="322" t="s">
        <v>104</v>
      </c>
      <c r="K12" s="647" t="s">
        <v>18</v>
      </c>
      <c r="L12" s="648">
        <v>24</v>
      </c>
      <c r="M12" s="750">
        <v>675925.93</v>
      </c>
      <c r="N12" s="613">
        <v>16222222.32</v>
      </c>
      <c r="O12" s="613">
        <v>1297777.7856000001</v>
      </c>
      <c r="P12" s="651">
        <v>17520000.105599999</v>
      </c>
    </row>
    <row r="13" spans="1:16">
      <c r="A13" s="711" t="s">
        <v>1004</v>
      </c>
      <c r="B13" s="306" t="s">
        <v>693</v>
      </c>
      <c r="C13" s="446">
        <v>46268</v>
      </c>
      <c r="D13" s="322" t="s">
        <v>1053</v>
      </c>
      <c r="E13" s="748">
        <v>46279</v>
      </c>
      <c r="F13" s="298" t="s">
        <v>1162</v>
      </c>
      <c r="G13" s="754" t="s">
        <v>1161</v>
      </c>
      <c r="H13" s="302" t="s">
        <v>814</v>
      </c>
      <c r="I13" s="643" t="s">
        <v>90</v>
      </c>
      <c r="J13" s="322" t="s">
        <v>91</v>
      </c>
      <c r="K13" s="647" t="s">
        <v>18</v>
      </c>
      <c r="L13" s="648">
        <v>20</v>
      </c>
      <c r="M13" s="750">
        <v>814814.81</v>
      </c>
      <c r="N13" s="613">
        <v>16296296.200000001</v>
      </c>
      <c r="O13" s="613">
        <v>1303703.6960000002</v>
      </c>
      <c r="P13" s="651">
        <v>17599999.896000002</v>
      </c>
    </row>
    <row r="14" spans="1:16">
      <c r="A14" s="711" t="s">
        <v>1004</v>
      </c>
      <c r="B14" s="306" t="s">
        <v>693</v>
      </c>
      <c r="C14" s="446">
        <v>46268</v>
      </c>
      <c r="D14" s="322" t="s">
        <v>1053</v>
      </c>
      <c r="E14" s="748"/>
      <c r="F14" s="298"/>
      <c r="G14" s="754"/>
      <c r="H14" s="302" t="s">
        <v>814</v>
      </c>
      <c r="I14" s="643" t="s">
        <v>653</v>
      </c>
      <c r="J14" s="322" t="s">
        <v>654</v>
      </c>
      <c r="K14" s="647" t="s">
        <v>18</v>
      </c>
      <c r="L14" s="648">
        <v>45</v>
      </c>
      <c r="M14" s="750">
        <v>481481.48</v>
      </c>
      <c r="N14" s="613">
        <v>21666666.599999998</v>
      </c>
      <c r="O14" s="613">
        <v>1733333.3279999997</v>
      </c>
      <c r="P14" s="651">
        <v>23399999.927999996</v>
      </c>
    </row>
    <row r="15" spans="1:16">
      <c r="A15" s="711" t="s">
        <v>1004</v>
      </c>
      <c r="B15" s="306" t="s">
        <v>693</v>
      </c>
      <c r="C15" s="446">
        <v>46268</v>
      </c>
      <c r="D15" s="322" t="s">
        <v>1053</v>
      </c>
      <c r="E15" s="748"/>
      <c r="F15" s="298"/>
      <c r="G15" s="754"/>
      <c r="H15" s="302" t="s">
        <v>814</v>
      </c>
      <c r="I15" s="643" t="s">
        <v>655</v>
      </c>
      <c r="J15" s="322" t="s">
        <v>656</v>
      </c>
      <c r="K15" s="647" t="s">
        <v>18</v>
      </c>
      <c r="L15" s="648">
        <v>15</v>
      </c>
      <c r="M15" s="750">
        <v>574074.06999999995</v>
      </c>
      <c r="N15" s="613">
        <v>8611111.0499999989</v>
      </c>
      <c r="O15" s="613">
        <v>688888.88399999996</v>
      </c>
      <c r="P15" s="651">
        <v>9299999.9339999985</v>
      </c>
    </row>
    <row r="16" spans="1:16">
      <c r="A16" s="711" t="s">
        <v>1004</v>
      </c>
      <c r="B16" s="306" t="s">
        <v>693</v>
      </c>
      <c r="C16" s="446">
        <v>46268</v>
      </c>
      <c r="D16" s="322" t="s">
        <v>1053</v>
      </c>
      <c r="E16" s="748"/>
      <c r="F16" s="298"/>
      <c r="G16" s="754"/>
      <c r="H16" s="302" t="s">
        <v>814</v>
      </c>
      <c r="I16" s="643" t="s">
        <v>653</v>
      </c>
      <c r="J16" s="322" t="s">
        <v>654</v>
      </c>
      <c r="K16" s="647" t="s">
        <v>18</v>
      </c>
      <c r="L16" s="648">
        <v>3</v>
      </c>
      <c r="M16" s="750">
        <v>0</v>
      </c>
      <c r="N16" s="613">
        <v>0</v>
      </c>
      <c r="O16" s="613">
        <v>0</v>
      </c>
      <c r="P16" s="651">
        <v>0</v>
      </c>
    </row>
    <row r="17" spans="1:16">
      <c r="A17" s="711" t="s">
        <v>1004</v>
      </c>
      <c r="B17" s="306" t="s">
        <v>693</v>
      </c>
      <c r="C17" s="446">
        <v>46268</v>
      </c>
      <c r="D17" s="322" t="s">
        <v>1053</v>
      </c>
      <c r="E17" s="748"/>
      <c r="F17" s="298"/>
      <c r="G17" s="754"/>
      <c r="H17" s="302" t="s">
        <v>814</v>
      </c>
      <c r="I17" s="643" t="s">
        <v>655</v>
      </c>
      <c r="J17" s="322" t="s">
        <v>656</v>
      </c>
      <c r="K17" s="647" t="s">
        <v>18</v>
      </c>
      <c r="L17" s="648">
        <v>1</v>
      </c>
      <c r="M17" s="750">
        <v>0</v>
      </c>
      <c r="N17" s="613">
        <v>0</v>
      </c>
      <c r="O17" s="613">
        <v>0</v>
      </c>
      <c r="P17" s="651">
        <v>0</v>
      </c>
    </row>
    <row r="18" spans="1:16">
      <c r="A18" s="711" t="s">
        <v>1004</v>
      </c>
      <c r="B18" s="306" t="s">
        <v>693</v>
      </c>
      <c r="C18" s="446">
        <v>46268</v>
      </c>
      <c r="D18" s="322" t="s">
        <v>1053</v>
      </c>
      <c r="E18" s="748"/>
      <c r="F18" s="298"/>
      <c r="G18" s="754"/>
      <c r="H18" s="302" t="s">
        <v>814</v>
      </c>
      <c r="I18" s="643" t="s">
        <v>107</v>
      </c>
      <c r="J18" s="322" t="s">
        <v>108</v>
      </c>
      <c r="K18" s="647" t="s">
        <v>18</v>
      </c>
      <c r="L18" s="648">
        <v>8</v>
      </c>
      <c r="M18" s="750">
        <v>0</v>
      </c>
      <c r="N18" s="613">
        <v>0</v>
      </c>
      <c r="O18" s="613">
        <v>0</v>
      </c>
      <c r="P18" s="651">
        <v>0</v>
      </c>
    </row>
    <row r="19" spans="1:16">
      <c r="A19" s="711" t="s">
        <v>1004</v>
      </c>
      <c r="B19" s="306" t="s">
        <v>693</v>
      </c>
      <c r="C19" s="446">
        <v>46268</v>
      </c>
      <c r="D19" s="322" t="s">
        <v>1053</v>
      </c>
      <c r="E19" s="748">
        <v>46279</v>
      </c>
      <c r="F19" s="298" t="s">
        <v>1162</v>
      </c>
      <c r="G19" s="754" t="s">
        <v>1161</v>
      </c>
      <c r="H19" s="302" t="s">
        <v>814</v>
      </c>
      <c r="I19" s="643" t="s">
        <v>959</v>
      </c>
      <c r="J19" s="322" t="s">
        <v>960</v>
      </c>
      <c r="K19" s="647" t="s">
        <v>18</v>
      </c>
      <c r="L19" s="648">
        <v>48</v>
      </c>
      <c r="M19" s="750">
        <v>0</v>
      </c>
      <c r="N19" s="613">
        <v>0</v>
      </c>
      <c r="O19" s="613">
        <v>0</v>
      </c>
      <c r="P19" s="651">
        <v>0</v>
      </c>
    </row>
    <row r="20" spans="1:16">
      <c r="A20" s="307" t="s">
        <v>792</v>
      </c>
      <c r="B20" s="307" t="s">
        <v>714</v>
      </c>
      <c r="C20" s="446">
        <v>46269</v>
      </c>
      <c r="D20" s="322" t="s">
        <v>1054</v>
      </c>
      <c r="E20" s="748"/>
      <c r="F20" s="298"/>
      <c r="G20" s="754"/>
      <c r="H20" s="299" t="s">
        <v>810</v>
      </c>
      <c r="I20" s="643" t="s">
        <v>204</v>
      </c>
      <c r="J20" s="322" t="s">
        <v>269</v>
      </c>
      <c r="K20" s="647" t="s">
        <v>18</v>
      </c>
      <c r="L20" s="648">
        <v>10</v>
      </c>
      <c r="M20" s="750">
        <v>480555.56</v>
      </c>
      <c r="N20" s="613">
        <v>4805555.5999999996</v>
      </c>
      <c r="O20" s="613">
        <v>384444.44799999997</v>
      </c>
      <c r="P20" s="651">
        <v>5190000.0479999995</v>
      </c>
    </row>
    <row r="21" spans="1:16">
      <c r="A21" s="307" t="s">
        <v>792</v>
      </c>
      <c r="B21" s="307" t="s">
        <v>714</v>
      </c>
      <c r="C21" s="446">
        <v>46269</v>
      </c>
      <c r="D21" s="322" t="s">
        <v>1054</v>
      </c>
      <c r="E21" s="748"/>
      <c r="F21" s="298"/>
      <c r="G21" s="754"/>
      <c r="H21" s="299" t="s">
        <v>810</v>
      </c>
      <c r="I21" s="643" t="s">
        <v>77</v>
      </c>
      <c r="J21" s="322" t="s">
        <v>320</v>
      </c>
      <c r="K21" s="647" t="s">
        <v>18</v>
      </c>
      <c r="L21" s="648">
        <v>20</v>
      </c>
      <c r="M21" s="750">
        <v>324074.07</v>
      </c>
      <c r="N21" s="613">
        <v>6481481.4000000004</v>
      </c>
      <c r="O21" s="613">
        <v>518518.51200000005</v>
      </c>
      <c r="P21" s="651">
        <v>6999999.9120000005</v>
      </c>
    </row>
    <row r="22" spans="1:16">
      <c r="A22" s="307" t="s">
        <v>792</v>
      </c>
      <c r="B22" s="307" t="s">
        <v>714</v>
      </c>
      <c r="C22" s="446">
        <v>46269</v>
      </c>
      <c r="D22" s="322" t="s">
        <v>1054</v>
      </c>
      <c r="E22" s="748"/>
      <c r="F22" s="298"/>
      <c r="G22" s="754"/>
      <c r="H22" s="299" t="s">
        <v>810</v>
      </c>
      <c r="I22" s="643" t="s">
        <v>206</v>
      </c>
      <c r="J22" s="322" t="s">
        <v>835</v>
      </c>
      <c r="K22" s="647" t="s">
        <v>18</v>
      </c>
      <c r="L22" s="648">
        <v>10</v>
      </c>
      <c r="M22" s="750">
        <v>483333.33</v>
      </c>
      <c r="N22" s="613">
        <v>4833333.3</v>
      </c>
      <c r="O22" s="613">
        <v>386666.66399999999</v>
      </c>
      <c r="P22" s="651">
        <v>5219999.9639999997</v>
      </c>
    </row>
    <row r="23" spans="1:16">
      <c r="A23" s="307" t="s">
        <v>792</v>
      </c>
      <c r="B23" s="307" t="s">
        <v>714</v>
      </c>
      <c r="C23" s="446">
        <v>46269</v>
      </c>
      <c r="D23" s="322" t="s">
        <v>1054</v>
      </c>
      <c r="E23" s="748"/>
      <c r="F23" s="298"/>
      <c r="G23" s="754"/>
      <c r="H23" s="299" t="s">
        <v>810</v>
      </c>
      <c r="I23" s="643" t="s">
        <v>444</v>
      </c>
      <c r="J23" s="322" t="s">
        <v>445</v>
      </c>
      <c r="K23" s="647" t="s">
        <v>18</v>
      </c>
      <c r="L23" s="648">
        <v>4</v>
      </c>
      <c r="M23" s="750">
        <v>601851.85</v>
      </c>
      <c r="N23" s="613">
        <v>2407407.4</v>
      </c>
      <c r="O23" s="613">
        <v>192592.592</v>
      </c>
      <c r="P23" s="651">
        <v>2599999.9920000001</v>
      </c>
    </row>
    <row r="24" spans="1:16">
      <c r="A24" s="307" t="s">
        <v>792</v>
      </c>
      <c r="B24" s="307" t="s">
        <v>714</v>
      </c>
      <c r="C24" s="446">
        <v>46269</v>
      </c>
      <c r="D24" s="322" t="s">
        <v>1054</v>
      </c>
      <c r="E24" s="748"/>
      <c r="F24" s="298"/>
      <c r="G24" s="754"/>
      <c r="H24" s="299" t="s">
        <v>810</v>
      </c>
      <c r="I24" s="643" t="s">
        <v>274</v>
      </c>
      <c r="J24" s="322" t="s">
        <v>297</v>
      </c>
      <c r="K24" s="647" t="s">
        <v>18</v>
      </c>
      <c r="L24" s="648">
        <v>2</v>
      </c>
      <c r="M24" s="750">
        <v>416666.67</v>
      </c>
      <c r="N24" s="613">
        <v>833333.34</v>
      </c>
      <c r="O24" s="613">
        <v>66666.667199999996</v>
      </c>
      <c r="P24" s="651">
        <v>900000.00719999999</v>
      </c>
    </row>
    <row r="25" spans="1:16">
      <c r="A25" s="307" t="s">
        <v>792</v>
      </c>
      <c r="B25" s="307" t="s">
        <v>714</v>
      </c>
      <c r="C25" s="446">
        <v>46269</v>
      </c>
      <c r="D25" s="322" t="s">
        <v>1054</v>
      </c>
      <c r="E25" s="748"/>
      <c r="F25" s="298"/>
      <c r="G25" s="754"/>
      <c r="H25" s="299" t="s">
        <v>810</v>
      </c>
      <c r="I25" s="643" t="s">
        <v>639</v>
      </c>
      <c r="J25" s="322" t="s">
        <v>640</v>
      </c>
      <c r="K25" s="647" t="s">
        <v>18</v>
      </c>
      <c r="L25" s="648">
        <v>15</v>
      </c>
      <c r="M25" s="750">
        <v>537037.04</v>
      </c>
      <c r="N25" s="613">
        <v>8055555.6000000006</v>
      </c>
      <c r="O25" s="613">
        <v>644444.44800000009</v>
      </c>
      <c r="P25" s="651">
        <v>8700000.0480000004</v>
      </c>
    </row>
    <row r="26" spans="1:16">
      <c r="A26" s="307" t="s">
        <v>792</v>
      </c>
      <c r="B26" s="307" t="s">
        <v>714</v>
      </c>
      <c r="C26" s="446">
        <v>46269</v>
      </c>
      <c r="D26" s="322" t="s">
        <v>1054</v>
      </c>
      <c r="E26" s="748"/>
      <c r="F26" s="298"/>
      <c r="G26" s="754"/>
      <c r="H26" s="299" t="s">
        <v>810</v>
      </c>
      <c r="I26" s="643" t="s">
        <v>641</v>
      </c>
      <c r="J26" s="322" t="s">
        <v>657</v>
      </c>
      <c r="K26" s="647" t="s">
        <v>18</v>
      </c>
      <c r="L26" s="648">
        <v>30</v>
      </c>
      <c r="M26" s="750">
        <v>638888.89</v>
      </c>
      <c r="N26" s="613">
        <v>19166666.699999999</v>
      </c>
      <c r="O26" s="613">
        <v>1533333.3359999999</v>
      </c>
      <c r="P26" s="651">
        <v>20700000.035999998</v>
      </c>
    </row>
    <row r="27" spans="1:16">
      <c r="A27" s="307" t="s">
        <v>792</v>
      </c>
      <c r="B27" s="307" t="s">
        <v>714</v>
      </c>
      <c r="C27" s="446">
        <v>46269</v>
      </c>
      <c r="D27" s="322" t="s">
        <v>1054</v>
      </c>
      <c r="E27" s="748"/>
      <c r="F27" s="298"/>
      <c r="G27" s="754"/>
      <c r="H27" s="299" t="s">
        <v>810</v>
      </c>
      <c r="I27" s="643" t="s">
        <v>643</v>
      </c>
      <c r="J27" s="322" t="s">
        <v>644</v>
      </c>
      <c r="K27" s="647" t="s">
        <v>18</v>
      </c>
      <c r="L27" s="648">
        <v>15</v>
      </c>
      <c r="M27" s="750">
        <v>527777.78</v>
      </c>
      <c r="N27" s="613">
        <v>7916666.7000000002</v>
      </c>
      <c r="O27" s="613">
        <v>633333.33600000001</v>
      </c>
      <c r="P27" s="651">
        <v>8550000.0360000003</v>
      </c>
    </row>
    <row r="28" spans="1:16">
      <c r="A28" s="307" t="s">
        <v>792</v>
      </c>
      <c r="B28" s="307" t="s">
        <v>714</v>
      </c>
      <c r="C28" s="446">
        <v>46269</v>
      </c>
      <c r="D28" s="322" t="s">
        <v>1054</v>
      </c>
      <c r="E28" s="748"/>
      <c r="F28" s="298"/>
      <c r="G28" s="754"/>
      <c r="H28" s="299" t="s">
        <v>810</v>
      </c>
      <c r="I28" s="643" t="s">
        <v>653</v>
      </c>
      <c r="J28" s="322" t="s">
        <v>654</v>
      </c>
      <c r="K28" s="647" t="s">
        <v>18</v>
      </c>
      <c r="L28" s="648">
        <v>15</v>
      </c>
      <c r="M28" s="750">
        <v>481481.48</v>
      </c>
      <c r="N28" s="613">
        <v>7222222.1999999993</v>
      </c>
      <c r="O28" s="613">
        <v>577777.77599999995</v>
      </c>
      <c r="P28" s="651">
        <v>7799999.9759999989</v>
      </c>
    </row>
    <row r="29" spans="1:16">
      <c r="A29" s="307" t="s">
        <v>792</v>
      </c>
      <c r="B29" s="307" t="s">
        <v>714</v>
      </c>
      <c r="C29" s="446">
        <v>46269</v>
      </c>
      <c r="D29" s="322" t="s">
        <v>1054</v>
      </c>
      <c r="E29" s="748"/>
      <c r="F29" s="298"/>
      <c r="G29" s="754"/>
      <c r="H29" s="299" t="s">
        <v>810</v>
      </c>
      <c r="I29" s="643" t="s">
        <v>655</v>
      </c>
      <c r="J29" s="322" t="s">
        <v>656</v>
      </c>
      <c r="K29" s="647" t="s">
        <v>18</v>
      </c>
      <c r="L29" s="648">
        <v>15</v>
      </c>
      <c r="M29" s="750">
        <v>574074.06999999995</v>
      </c>
      <c r="N29" s="613">
        <v>8611111.0499999989</v>
      </c>
      <c r="O29" s="613">
        <v>688888.88399999996</v>
      </c>
      <c r="P29" s="651">
        <v>9299999.9339999985</v>
      </c>
    </row>
    <row r="30" spans="1:16">
      <c r="A30" s="307" t="s">
        <v>792</v>
      </c>
      <c r="B30" s="307" t="s">
        <v>714</v>
      </c>
      <c r="C30" s="446">
        <v>46269</v>
      </c>
      <c r="D30" s="322" t="s">
        <v>1054</v>
      </c>
      <c r="E30" s="748"/>
      <c r="F30" s="298"/>
      <c r="G30" s="754"/>
      <c r="H30" s="299" t="s">
        <v>810</v>
      </c>
      <c r="I30" s="643" t="s">
        <v>103</v>
      </c>
      <c r="J30" s="322" t="s">
        <v>104</v>
      </c>
      <c r="K30" s="647" t="s">
        <v>18</v>
      </c>
      <c r="L30" s="648">
        <v>6</v>
      </c>
      <c r="M30" s="750">
        <v>937962.96</v>
      </c>
      <c r="N30" s="613">
        <v>5627777.7599999998</v>
      </c>
      <c r="O30" s="613">
        <v>450222.22080000001</v>
      </c>
      <c r="P30" s="651">
        <v>6077999.9808</v>
      </c>
    </row>
    <row r="31" spans="1:16">
      <c r="A31" s="307" t="s">
        <v>792</v>
      </c>
      <c r="B31" s="307" t="s">
        <v>714</v>
      </c>
      <c r="C31" s="446">
        <v>46269</v>
      </c>
      <c r="D31" s="322" t="s">
        <v>1054</v>
      </c>
      <c r="E31" s="748"/>
      <c r="F31" s="298"/>
      <c r="G31" s="754"/>
      <c r="H31" s="299" t="s">
        <v>810</v>
      </c>
      <c r="I31" s="643" t="s">
        <v>56</v>
      </c>
      <c r="J31" s="322" t="s">
        <v>57</v>
      </c>
      <c r="K31" s="647" t="s">
        <v>18</v>
      </c>
      <c r="L31" s="648">
        <v>12</v>
      </c>
      <c r="M31" s="750">
        <v>325925.93</v>
      </c>
      <c r="N31" s="613">
        <v>3911111.16</v>
      </c>
      <c r="O31" s="613">
        <v>312888.89280000003</v>
      </c>
      <c r="P31" s="651">
        <v>4224000.0527999997</v>
      </c>
    </row>
    <row r="32" spans="1:16">
      <c r="A32" s="307" t="s">
        <v>792</v>
      </c>
      <c r="B32" s="307" t="s">
        <v>714</v>
      </c>
      <c r="C32" s="446">
        <v>46269</v>
      </c>
      <c r="D32" s="322" t="s">
        <v>1054</v>
      </c>
      <c r="E32" s="748"/>
      <c r="F32" s="298"/>
      <c r="G32" s="754"/>
      <c r="H32" s="299" t="s">
        <v>810</v>
      </c>
      <c r="I32" s="643" t="s">
        <v>93</v>
      </c>
      <c r="J32" s="322" t="s">
        <v>94</v>
      </c>
      <c r="K32" s="647" t="s">
        <v>18</v>
      </c>
      <c r="L32" s="648">
        <v>4</v>
      </c>
      <c r="M32" s="750">
        <v>907407.41</v>
      </c>
      <c r="N32" s="613">
        <v>3629629.64</v>
      </c>
      <c r="O32" s="613">
        <v>290370.37119999999</v>
      </c>
      <c r="P32" s="651">
        <v>3920000.0112000001</v>
      </c>
    </row>
    <row r="33" spans="1:16">
      <c r="A33" s="711" t="s">
        <v>761</v>
      </c>
      <c r="B33" s="306" t="s">
        <v>695</v>
      </c>
      <c r="C33" s="446">
        <v>46269</v>
      </c>
      <c r="D33" s="322" t="s">
        <v>1055</v>
      </c>
      <c r="E33" s="748">
        <v>46270</v>
      </c>
      <c r="F33" s="298" t="s">
        <v>1073</v>
      </c>
      <c r="G33" s="754" t="s">
        <v>1072</v>
      </c>
      <c r="H33" s="299" t="s">
        <v>817</v>
      </c>
      <c r="I33" s="643" t="s">
        <v>262</v>
      </c>
      <c r="J33" s="322" t="s">
        <v>435</v>
      </c>
      <c r="K33" s="647" t="s">
        <v>18</v>
      </c>
      <c r="L33" s="648">
        <v>10</v>
      </c>
      <c r="M33" s="750">
        <v>851851.85</v>
      </c>
      <c r="N33" s="613">
        <v>8518518.5</v>
      </c>
      <c r="O33" s="613">
        <v>681481.48</v>
      </c>
      <c r="P33" s="651">
        <v>9199999.9800000004</v>
      </c>
    </row>
    <row r="34" spans="1:16">
      <c r="A34" s="711" t="s">
        <v>711</v>
      </c>
      <c r="B34" s="307" t="s">
        <v>715</v>
      </c>
      <c r="C34" s="446">
        <v>46270</v>
      </c>
      <c r="D34" s="322" t="s">
        <v>1058</v>
      </c>
      <c r="E34" s="748">
        <v>46276</v>
      </c>
      <c r="F34" s="298"/>
      <c r="G34" s="754" t="s">
        <v>1160</v>
      </c>
      <c r="H34" s="299" t="s">
        <v>813</v>
      </c>
      <c r="I34" s="643" t="s">
        <v>46</v>
      </c>
      <c r="J34" s="322" t="s">
        <v>47</v>
      </c>
      <c r="K34" s="647" t="s">
        <v>18</v>
      </c>
      <c r="L34" s="648">
        <v>4</v>
      </c>
      <c r="M34" s="750">
        <v>240740.74</v>
      </c>
      <c r="N34" s="613">
        <v>962962.96</v>
      </c>
      <c r="O34" s="613">
        <v>77037.036800000002</v>
      </c>
      <c r="P34" s="651">
        <v>1039999.9968</v>
      </c>
    </row>
    <row r="35" spans="1:16">
      <c r="A35" s="711" t="s">
        <v>711</v>
      </c>
      <c r="B35" s="307" t="s">
        <v>715</v>
      </c>
      <c r="C35" s="446">
        <v>46270</v>
      </c>
      <c r="D35" s="322" t="s">
        <v>1058</v>
      </c>
      <c r="E35" s="748">
        <v>46276</v>
      </c>
      <c r="F35" s="298"/>
      <c r="G35" s="754" t="s">
        <v>1160</v>
      </c>
      <c r="H35" s="299" t="s">
        <v>813</v>
      </c>
      <c r="I35" s="643" t="s">
        <v>119</v>
      </c>
      <c r="J35" s="322" t="s">
        <v>191</v>
      </c>
      <c r="K35" s="647" t="s">
        <v>18</v>
      </c>
      <c r="L35" s="648">
        <v>4</v>
      </c>
      <c r="M35" s="750">
        <v>574074.06999999995</v>
      </c>
      <c r="N35" s="613">
        <v>2296296.2799999998</v>
      </c>
      <c r="O35" s="613">
        <v>183703.70239999998</v>
      </c>
      <c r="P35" s="651">
        <v>2479999.9823999996</v>
      </c>
    </row>
    <row r="36" spans="1:16">
      <c r="A36" s="711" t="s">
        <v>711</v>
      </c>
      <c r="B36" s="307" t="s">
        <v>715</v>
      </c>
      <c r="C36" s="446">
        <v>46270</v>
      </c>
      <c r="D36" s="322" t="s">
        <v>1058</v>
      </c>
      <c r="E36" s="748">
        <v>46276</v>
      </c>
      <c r="F36" s="298"/>
      <c r="G36" s="754" t="s">
        <v>1160</v>
      </c>
      <c r="H36" s="299" t="s">
        <v>813</v>
      </c>
      <c r="I36" s="643" t="s">
        <v>42</v>
      </c>
      <c r="J36" s="322" t="s">
        <v>43</v>
      </c>
      <c r="K36" s="647" t="s">
        <v>18</v>
      </c>
      <c r="L36" s="648">
        <v>4</v>
      </c>
      <c r="M36" s="750">
        <v>527777.78</v>
      </c>
      <c r="N36" s="613">
        <v>2111111.12</v>
      </c>
      <c r="O36" s="613">
        <v>168888.88960000002</v>
      </c>
      <c r="P36" s="651">
        <v>2280000.0096</v>
      </c>
    </row>
    <row r="37" spans="1:16">
      <c r="A37" s="711" t="s">
        <v>711</v>
      </c>
      <c r="B37" s="307" t="s">
        <v>715</v>
      </c>
      <c r="C37" s="446">
        <v>46270</v>
      </c>
      <c r="D37" s="322" t="s">
        <v>1058</v>
      </c>
      <c r="E37" s="748">
        <v>46276</v>
      </c>
      <c r="F37" s="298"/>
      <c r="G37" s="754" t="s">
        <v>1160</v>
      </c>
      <c r="H37" s="299" t="s">
        <v>813</v>
      </c>
      <c r="I37" s="643" t="s">
        <v>44</v>
      </c>
      <c r="J37" s="322" t="s">
        <v>45</v>
      </c>
      <c r="K37" s="647" t="s">
        <v>18</v>
      </c>
      <c r="L37" s="648">
        <v>4</v>
      </c>
      <c r="M37" s="750">
        <v>537037.04</v>
      </c>
      <c r="N37" s="613">
        <v>2148148.16</v>
      </c>
      <c r="O37" s="613">
        <v>171851.85280000002</v>
      </c>
      <c r="P37" s="651">
        <v>2320000.0128000001</v>
      </c>
    </row>
    <row r="38" spans="1:16">
      <c r="A38" s="711" t="s">
        <v>711</v>
      </c>
      <c r="B38" s="307" t="s">
        <v>715</v>
      </c>
      <c r="C38" s="446">
        <v>46270</v>
      </c>
      <c r="D38" s="322" t="s">
        <v>1058</v>
      </c>
      <c r="E38" s="748">
        <v>46276</v>
      </c>
      <c r="F38" s="298"/>
      <c r="G38" s="754" t="s">
        <v>1160</v>
      </c>
      <c r="H38" s="299" t="s">
        <v>813</v>
      </c>
      <c r="I38" s="643" t="s">
        <v>148</v>
      </c>
      <c r="J38" s="322" t="s">
        <v>149</v>
      </c>
      <c r="K38" s="647" t="s">
        <v>18</v>
      </c>
      <c r="L38" s="648">
        <v>12</v>
      </c>
      <c r="M38" s="750">
        <v>296296.3</v>
      </c>
      <c r="N38" s="613">
        <v>3555555.5999999996</v>
      </c>
      <c r="O38" s="613">
        <v>284444.44799999997</v>
      </c>
      <c r="P38" s="651">
        <v>3840000.0479999995</v>
      </c>
    </row>
    <row r="39" spans="1:16">
      <c r="A39" s="711" t="s">
        <v>711</v>
      </c>
      <c r="B39" s="307" t="s">
        <v>715</v>
      </c>
      <c r="C39" s="446">
        <v>46270</v>
      </c>
      <c r="D39" s="322" t="s">
        <v>1058</v>
      </c>
      <c r="E39" s="748">
        <v>46276</v>
      </c>
      <c r="F39" s="298"/>
      <c r="G39" s="754" t="s">
        <v>1160</v>
      </c>
      <c r="H39" s="299" t="s">
        <v>813</v>
      </c>
      <c r="I39" s="643" t="s">
        <v>192</v>
      </c>
      <c r="J39" s="322" t="s">
        <v>193</v>
      </c>
      <c r="K39" s="647" t="s">
        <v>18</v>
      </c>
      <c r="L39" s="648">
        <v>16</v>
      </c>
      <c r="M39" s="750">
        <v>333333.33</v>
      </c>
      <c r="N39" s="613">
        <v>5333333.28</v>
      </c>
      <c r="O39" s="613">
        <v>426666.66240000003</v>
      </c>
      <c r="P39" s="651">
        <v>5759999.9424000001</v>
      </c>
    </row>
    <row r="40" spans="1:16">
      <c r="A40" s="711" t="s">
        <v>711</v>
      </c>
      <c r="B40" s="307" t="s">
        <v>715</v>
      </c>
      <c r="C40" s="446">
        <v>46270</v>
      </c>
      <c r="D40" s="322" t="s">
        <v>1058</v>
      </c>
      <c r="E40" s="748">
        <v>46276</v>
      </c>
      <c r="F40" s="298"/>
      <c r="G40" s="754" t="s">
        <v>1160</v>
      </c>
      <c r="H40" s="299" t="s">
        <v>813</v>
      </c>
      <c r="I40" s="643" t="s">
        <v>260</v>
      </c>
      <c r="J40" s="322" t="s">
        <v>261</v>
      </c>
      <c r="K40" s="647" t="s">
        <v>18</v>
      </c>
      <c r="L40" s="648">
        <v>8</v>
      </c>
      <c r="M40" s="750">
        <v>407407.41</v>
      </c>
      <c r="N40" s="613">
        <v>3259259.28</v>
      </c>
      <c r="O40" s="613">
        <v>260740.74239999999</v>
      </c>
      <c r="P40" s="651">
        <v>3520000.0223999997</v>
      </c>
    </row>
    <row r="41" spans="1:16">
      <c r="A41" s="711" t="s">
        <v>756</v>
      </c>
      <c r="B41" s="307" t="s">
        <v>759</v>
      </c>
      <c r="C41" s="446">
        <v>46273</v>
      </c>
      <c r="D41" s="322" t="s">
        <v>1064</v>
      </c>
      <c r="E41" s="748">
        <v>46275</v>
      </c>
      <c r="F41" s="298" t="s">
        <v>1157</v>
      </c>
      <c r="G41" s="754" t="s">
        <v>1156</v>
      </c>
      <c r="H41" s="299" t="s">
        <v>758</v>
      </c>
      <c r="I41" s="643" t="s">
        <v>52</v>
      </c>
      <c r="J41" s="322" t="s">
        <v>53</v>
      </c>
      <c r="K41" s="647" t="s">
        <v>18</v>
      </c>
      <c r="L41" s="648">
        <v>3</v>
      </c>
      <c r="M41" s="750">
        <v>1007407.41</v>
      </c>
      <c r="N41" s="613">
        <v>3022222.23</v>
      </c>
      <c r="O41" s="613">
        <v>241777.77840000001</v>
      </c>
      <c r="P41" s="651">
        <v>3264000.0084000002</v>
      </c>
    </row>
    <row r="42" spans="1:16">
      <c r="A42" s="711" t="s">
        <v>756</v>
      </c>
      <c r="B42" s="307" t="s">
        <v>759</v>
      </c>
      <c r="C42" s="446">
        <v>46273</v>
      </c>
      <c r="D42" s="322" t="s">
        <v>1064</v>
      </c>
      <c r="E42" s="748">
        <v>46275</v>
      </c>
      <c r="F42" s="298" t="s">
        <v>1157</v>
      </c>
      <c r="G42" s="754" t="s">
        <v>1156</v>
      </c>
      <c r="H42" s="299" t="s">
        <v>758</v>
      </c>
      <c r="I42" s="643" t="s">
        <v>90</v>
      </c>
      <c r="J42" s="322" t="s">
        <v>91</v>
      </c>
      <c r="K42" s="647" t="s">
        <v>18</v>
      </c>
      <c r="L42" s="648">
        <v>2</v>
      </c>
      <c r="M42" s="750">
        <v>907407.4</v>
      </c>
      <c r="N42" s="613">
        <v>1814814.8</v>
      </c>
      <c r="O42" s="613">
        <v>145185.18400000001</v>
      </c>
      <c r="P42" s="651">
        <v>1959999.9840000002</v>
      </c>
    </row>
    <row r="43" spans="1:16">
      <c r="A43" s="711" t="s">
        <v>711</v>
      </c>
      <c r="B43" s="307" t="s">
        <v>715</v>
      </c>
      <c r="C43" s="446">
        <v>46273</v>
      </c>
      <c r="D43" s="322" t="s">
        <v>1065</v>
      </c>
      <c r="E43" s="748">
        <v>46276</v>
      </c>
      <c r="F43" s="298"/>
      <c r="G43" s="754" t="s">
        <v>1160</v>
      </c>
      <c r="H43" s="299" t="s">
        <v>813</v>
      </c>
      <c r="I43" s="643" t="s">
        <v>157</v>
      </c>
      <c r="J43" s="322" t="s">
        <v>158</v>
      </c>
      <c r="K43" s="647" t="s">
        <v>18</v>
      </c>
      <c r="L43" s="648">
        <v>4</v>
      </c>
      <c r="M43" s="750">
        <v>342592.59</v>
      </c>
      <c r="N43" s="613">
        <v>1370370.36</v>
      </c>
      <c r="O43" s="613">
        <v>109629.62880000001</v>
      </c>
      <c r="P43" s="651">
        <v>1479999.9888000002</v>
      </c>
    </row>
    <row r="44" spans="1:16">
      <c r="A44" s="711" t="s">
        <v>711</v>
      </c>
      <c r="B44" s="307" t="s">
        <v>715</v>
      </c>
      <c r="C44" s="446">
        <v>46273</v>
      </c>
      <c r="D44" s="322" t="s">
        <v>1065</v>
      </c>
      <c r="E44" s="748">
        <v>46276</v>
      </c>
      <c r="F44" s="298"/>
      <c r="G44" s="754" t="s">
        <v>1160</v>
      </c>
      <c r="H44" s="299" t="s">
        <v>813</v>
      </c>
      <c r="I44" s="643" t="s">
        <v>119</v>
      </c>
      <c r="J44" s="322" t="s">
        <v>191</v>
      </c>
      <c r="K44" s="647" t="s">
        <v>18</v>
      </c>
      <c r="L44" s="648">
        <v>4</v>
      </c>
      <c r="M44" s="750">
        <v>574074.06999999995</v>
      </c>
      <c r="N44" s="613">
        <v>2296296.2799999998</v>
      </c>
      <c r="O44" s="613">
        <v>183703.70239999998</v>
      </c>
      <c r="P44" s="651">
        <v>2479999.9823999996</v>
      </c>
    </row>
    <row r="45" spans="1:16">
      <c r="A45" s="711" t="s">
        <v>711</v>
      </c>
      <c r="B45" s="307" t="s">
        <v>715</v>
      </c>
      <c r="C45" s="446">
        <v>46273</v>
      </c>
      <c r="D45" s="322" t="s">
        <v>1065</v>
      </c>
      <c r="E45" s="748">
        <v>46276</v>
      </c>
      <c r="F45" s="298"/>
      <c r="G45" s="754" t="s">
        <v>1160</v>
      </c>
      <c r="H45" s="299" t="s">
        <v>813</v>
      </c>
      <c r="I45" s="643" t="s">
        <v>148</v>
      </c>
      <c r="J45" s="322" t="s">
        <v>149</v>
      </c>
      <c r="K45" s="647" t="s">
        <v>18</v>
      </c>
      <c r="L45" s="648">
        <v>4</v>
      </c>
      <c r="M45" s="750">
        <v>296296.3</v>
      </c>
      <c r="N45" s="613">
        <v>1185185.2</v>
      </c>
      <c r="O45" s="613">
        <v>94814.815999999992</v>
      </c>
      <c r="P45" s="651">
        <v>1280000.0159999998</v>
      </c>
    </row>
    <row r="46" spans="1:16">
      <c r="A46" s="711" t="s">
        <v>711</v>
      </c>
      <c r="B46" s="307" t="s">
        <v>715</v>
      </c>
      <c r="C46" s="446">
        <v>46273</v>
      </c>
      <c r="D46" s="322" t="s">
        <v>1065</v>
      </c>
      <c r="E46" s="748">
        <v>46276</v>
      </c>
      <c r="F46" s="298"/>
      <c r="G46" s="754" t="s">
        <v>1160</v>
      </c>
      <c r="H46" s="299" t="s">
        <v>813</v>
      </c>
      <c r="I46" s="643" t="s">
        <v>192</v>
      </c>
      <c r="J46" s="322" t="s">
        <v>193</v>
      </c>
      <c r="K46" s="647" t="s">
        <v>18</v>
      </c>
      <c r="L46" s="648">
        <v>4</v>
      </c>
      <c r="M46" s="750">
        <v>333333.33</v>
      </c>
      <c r="N46" s="613">
        <v>1333333.32</v>
      </c>
      <c r="O46" s="613">
        <v>106666.66560000001</v>
      </c>
      <c r="P46" s="651">
        <v>1439999.9856</v>
      </c>
    </row>
    <row r="47" spans="1:16">
      <c r="A47" s="711" t="s">
        <v>711</v>
      </c>
      <c r="B47" s="307" t="s">
        <v>715</v>
      </c>
      <c r="C47" s="446">
        <v>46273</v>
      </c>
      <c r="D47" s="322" t="s">
        <v>1065</v>
      </c>
      <c r="E47" s="748">
        <v>46276</v>
      </c>
      <c r="F47" s="298"/>
      <c r="G47" s="754" t="s">
        <v>1160</v>
      </c>
      <c r="H47" s="299" t="s">
        <v>813</v>
      </c>
      <c r="I47" s="643" t="s">
        <v>194</v>
      </c>
      <c r="J47" s="322" t="s">
        <v>720</v>
      </c>
      <c r="K47" s="647" t="s">
        <v>18</v>
      </c>
      <c r="L47" s="648">
        <v>3</v>
      </c>
      <c r="M47" s="750">
        <v>1203703.7</v>
      </c>
      <c r="N47" s="613">
        <v>3611111.0999999996</v>
      </c>
      <c r="O47" s="613">
        <v>288888.88799999998</v>
      </c>
      <c r="P47" s="651">
        <v>3899999.9879999994</v>
      </c>
    </row>
    <row r="48" spans="1:16">
      <c r="A48" s="764" t="s">
        <v>974</v>
      </c>
      <c r="B48" s="441" t="s">
        <v>1237</v>
      </c>
      <c r="C48" s="446">
        <v>46273</v>
      </c>
      <c r="D48" s="322" t="s">
        <v>1067</v>
      </c>
      <c r="E48" s="748">
        <v>46274</v>
      </c>
      <c r="F48" s="298"/>
      <c r="G48" s="754" t="s">
        <v>1151</v>
      </c>
      <c r="H48" s="299" t="s">
        <v>1238</v>
      </c>
      <c r="I48" s="643" t="s">
        <v>157</v>
      </c>
      <c r="J48" s="770" t="s">
        <v>158</v>
      </c>
      <c r="K48" s="643" t="s">
        <v>18</v>
      </c>
      <c r="L48" s="721">
        <v>2</v>
      </c>
      <c r="M48" s="750">
        <v>342592.59</v>
      </c>
      <c r="N48" s="613">
        <v>685185.18</v>
      </c>
      <c r="O48" s="613">
        <v>54814.814400000003</v>
      </c>
      <c r="P48" s="652">
        <v>739999.99440000008</v>
      </c>
    </row>
    <row r="49" spans="1:16">
      <c r="A49" s="764" t="s">
        <v>974</v>
      </c>
      <c r="B49" s="441" t="s">
        <v>1237</v>
      </c>
      <c r="C49" s="446">
        <v>46273</v>
      </c>
      <c r="D49" s="322" t="s">
        <v>1067</v>
      </c>
      <c r="E49" s="748">
        <v>46274</v>
      </c>
      <c r="F49" s="298"/>
      <c r="G49" s="754" t="s">
        <v>1151</v>
      </c>
      <c r="H49" s="299" t="s">
        <v>1238</v>
      </c>
      <c r="I49" s="643" t="s">
        <v>180</v>
      </c>
      <c r="J49" s="770" t="s">
        <v>181</v>
      </c>
      <c r="K49" s="643" t="s">
        <v>18</v>
      </c>
      <c r="L49" s="721">
        <v>2</v>
      </c>
      <c r="M49" s="750">
        <v>273148.15000000002</v>
      </c>
      <c r="N49" s="613">
        <v>546296.30000000005</v>
      </c>
      <c r="O49" s="613">
        <v>43703.704000000005</v>
      </c>
      <c r="P49" s="652">
        <v>590000.00400000007</v>
      </c>
    </row>
    <row r="50" spans="1:16">
      <c r="A50" s="764" t="s">
        <v>974</v>
      </c>
      <c r="B50" s="441" t="s">
        <v>1237</v>
      </c>
      <c r="C50" s="446">
        <v>46273</v>
      </c>
      <c r="D50" s="322" t="s">
        <v>1067</v>
      </c>
      <c r="E50" s="748">
        <v>46274</v>
      </c>
      <c r="F50" s="298"/>
      <c r="G50" s="754" t="s">
        <v>1151</v>
      </c>
      <c r="H50" s="299" t="s">
        <v>1238</v>
      </c>
      <c r="I50" s="643" t="s">
        <v>26</v>
      </c>
      <c r="J50" s="715" t="s">
        <v>27</v>
      </c>
      <c r="K50" s="643" t="s">
        <v>18</v>
      </c>
      <c r="L50" s="721">
        <v>2</v>
      </c>
      <c r="M50" s="750">
        <v>296296.3</v>
      </c>
      <c r="N50" s="613">
        <v>592592.6</v>
      </c>
      <c r="O50" s="613">
        <v>47407.407999999996</v>
      </c>
      <c r="P50" s="652">
        <v>640000.00799999991</v>
      </c>
    </row>
    <row r="51" spans="1:16">
      <c r="A51" s="711"/>
      <c r="B51" s="307" t="s">
        <v>961</v>
      </c>
      <c r="C51" s="446">
        <v>46274</v>
      </c>
      <c r="D51" s="752" t="s">
        <v>1090</v>
      </c>
      <c r="E51" s="446"/>
      <c r="F51" s="298"/>
      <c r="G51" s="447"/>
      <c r="H51" s="299" t="s">
        <v>1233</v>
      </c>
      <c r="I51" s="643" t="s">
        <v>959</v>
      </c>
      <c r="J51" s="322" t="s">
        <v>960</v>
      </c>
      <c r="K51" s="643" t="s">
        <v>18</v>
      </c>
      <c r="L51" s="635">
        <v>2</v>
      </c>
      <c r="M51" s="750">
        <v>111111.11</v>
      </c>
      <c r="N51" s="613">
        <v>222222.22</v>
      </c>
      <c r="O51" s="613">
        <v>17777.777600000001</v>
      </c>
      <c r="P51" s="651">
        <v>239999.9976</v>
      </c>
    </row>
    <row r="52" spans="1:16">
      <c r="A52" s="711" t="s">
        <v>1004</v>
      </c>
      <c r="B52" s="306" t="s">
        <v>693</v>
      </c>
      <c r="C52" s="446">
        <v>46275</v>
      </c>
      <c r="D52" s="752" t="s">
        <v>1114</v>
      </c>
      <c r="E52" s="748">
        <v>46279</v>
      </c>
      <c r="F52" s="298" t="s">
        <v>1162</v>
      </c>
      <c r="G52" s="754" t="s">
        <v>1161</v>
      </c>
      <c r="H52" s="302" t="s">
        <v>814</v>
      </c>
      <c r="I52" s="719" t="s">
        <v>50</v>
      </c>
      <c r="J52" s="715" t="s">
        <v>51</v>
      </c>
      <c r="K52" s="719" t="s">
        <v>18</v>
      </c>
      <c r="L52" s="635">
        <v>32</v>
      </c>
      <c r="M52" s="750">
        <v>937962.96</v>
      </c>
      <c r="N52" s="613">
        <v>30014814.719999999</v>
      </c>
      <c r="O52" s="613">
        <v>2401185.1776000001</v>
      </c>
      <c r="P52" s="651">
        <v>32415999.897599999</v>
      </c>
    </row>
    <row r="53" spans="1:16">
      <c r="A53" s="711" t="s">
        <v>1004</v>
      </c>
      <c r="B53" s="306" t="s">
        <v>693</v>
      </c>
      <c r="C53" s="446">
        <v>46275</v>
      </c>
      <c r="D53" s="752" t="s">
        <v>1114</v>
      </c>
      <c r="E53" s="446"/>
      <c r="F53" s="298"/>
      <c r="G53" s="447"/>
      <c r="H53" s="302" t="s">
        <v>814</v>
      </c>
      <c r="I53" s="719" t="s">
        <v>103</v>
      </c>
      <c r="J53" s="715" t="s">
        <v>104</v>
      </c>
      <c r="K53" s="719" t="s">
        <v>18</v>
      </c>
      <c r="L53" s="635">
        <v>60</v>
      </c>
      <c r="M53" s="750">
        <v>675925.93</v>
      </c>
      <c r="N53" s="613">
        <v>40555555.800000004</v>
      </c>
      <c r="O53" s="613">
        <v>3244444.4640000006</v>
      </c>
      <c r="P53" s="651">
        <v>43800000.264000006</v>
      </c>
    </row>
    <row r="54" spans="1:16">
      <c r="A54" s="711" t="s">
        <v>1004</v>
      </c>
      <c r="B54" s="306" t="s">
        <v>693</v>
      </c>
      <c r="C54" s="446">
        <v>46275</v>
      </c>
      <c r="D54" s="752" t="s">
        <v>1114</v>
      </c>
      <c r="E54" s="748">
        <v>46279</v>
      </c>
      <c r="F54" s="298" t="s">
        <v>1162</v>
      </c>
      <c r="G54" s="754" t="s">
        <v>1161</v>
      </c>
      <c r="H54" s="302" t="s">
        <v>814</v>
      </c>
      <c r="I54" s="719" t="s">
        <v>48</v>
      </c>
      <c r="J54" s="715" t="s">
        <v>49</v>
      </c>
      <c r="K54" s="719" t="s">
        <v>18</v>
      </c>
      <c r="L54" s="635">
        <v>30</v>
      </c>
      <c r="M54" s="750">
        <v>601851.85</v>
      </c>
      <c r="N54" s="613">
        <v>18055555.5</v>
      </c>
      <c r="O54" s="613">
        <v>1444444.44</v>
      </c>
      <c r="P54" s="651">
        <v>19499999.940000001</v>
      </c>
    </row>
    <row r="55" spans="1:16">
      <c r="A55" s="711" t="s">
        <v>802</v>
      </c>
      <c r="B55" s="306" t="s">
        <v>806</v>
      </c>
      <c r="C55" s="446">
        <v>46276</v>
      </c>
      <c r="D55" s="752" t="s">
        <v>1115</v>
      </c>
      <c r="E55" s="446">
        <v>46280</v>
      </c>
      <c r="F55" s="298"/>
      <c r="G55" s="757" t="s">
        <v>1243</v>
      </c>
      <c r="H55" s="302" t="s">
        <v>807</v>
      </c>
      <c r="I55" s="719" t="s">
        <v>90</v>
      </c>
      <c r="J55" s="715" t="s">
        <v>91</v>
      </c>
      <c r="K55" s="719" t="s">
        <v>18</v>
      </c>
      <c r="L55" s="635">
        <v>2</v>
      </c>
      <c r="M55" s="750">
        <v>907407.41</v>
      </c>
      <c r="N55" s="613">
        <v>1814814.82</v>
      </c>
      <c r="O55" s="613">
        <v>145185.1856</v>
      </c>
      <c r="P55" s="651">
        <v>1960000.0056</v>
      </c>
    </row>
    <row r="56" spans="1:16">
      <c r="A56" s="711" t="s">
        <v>965</v>
      </c>
      <c r="B56" s="306" t="s">
        <v>1117</v>
      </c>
      <c r="C56" s="446">
        <v>46275</v>
      </c>
      <c r="D56" s="752" t="s">
        <v>1116</v>
      </c>
      <c r="E56" s="446"/>
      <c r="F56" s="298"/>
      <c r="G56" s="447"/>
      <c r="H56" s="302" t="s">
        <v>1118</v>
      </c>
      <c r="I56" s="719" t="s">
        <v>90</v>
      </c>
      <c r="J56" s="715" t="s">
        <v>91</v>
      </c>
      <c r="K56" s="719" t="s">
        <v>18</v>
      </c>
      <c r="L56" s="635">
        <v>2</v>
      </c>
      <c r="M56" s="750">
        <v>907407.41</v>
      </c>
      <c r="N56" s="613">
        <v>1814814.82</v>
      </c>
      <c r="O56" s="613">
        <v>145185.1856</v>
      </c>
      <c r="P56" s="651">
        <v>1960000.0056</v>
      </c>
    </row>
    <row r="57" spans="1:16">
      <c r="A57" s="711" t="s">
        <v>965</v>
      </c>
      <c r="B57" s="306" t="s">
        <v>1117</v>
      </c>
      <c r="C57" s="446">
        <v>46275</v>
      </c>
      <c r="D57" s="752" t="s">
        <v>1116</v>
      </c>
      <c r="E57" s="446"/>
      <c r="F57" s="298"/>
      <c r="G57" s="447"/>
      <c r="H57" s="302" t="s">
        <v>1118</v>
      </c>
      <c r="I57" s="719" t="s">
        <v>647</v>
      </c>
      <c r="J57" s="715" t="s">
        <v>648</v>
      </c>
      <c r="K57" s="719" t="s">
        <v>18</v>
      </c>
      <c r="L57" s="635">
        <v>1</v>
      </c>
      <c r="M57" s="750">
        <v>907407.41</v>
      </c>
      <c r="N57" s="613">
        <v>907407.41</v>
      </c>
      <c r="O57" s="613">
        <v>72592.592799999999</v>
      </c>
      <c r="P57" s="651">
        <v>980000.00280000002</v>
      </c>
    </row>
    <row r="58" spans="1:16">
      <c r="A58" s="307" t="s">
        <v>965</v>
      </c>
      <c r="B58" s="306" t="s">
        <v>1117</v>
      </c>
      <c r="C58" s="639">
        <v>46275</v>
      </c>
      <c r="D58" s="715" t="s">
        <v>1116</v>
      </c>
      <c r="E58" s="639"/>
      <c r="F58" s="298"/>
      <c r="G58" s="644"/>
      <c r="H58" s="302" t="s">
        <v>1118</v>
      </c>
      <c r="I58" s="720" t="s">
        <v>184</v>
      </c>
      <c r="J58" s="715" t="s">
        <v>272</v>
      </c>
      <c r="K58" s="720" t="s">
        <v>18</v>
      </c>
      <c r="L58" s="637">
        <v>1</v>
      </c>
      <c r="M58" s="750">
        <v>277777.78000000003</v>
      </c>
      <c r="N58" s="613">
        <v>277777.78000000003</v>
      </c>
      <c r="O58" s="613">
        <v>22222.222400000002</v>
      </c>
      <c r="P58" s="651">
        <v>300000.00240000006</v>
      </c>
    </row>
    <row r="59" spans="1:16">
      <c r="A59" s="307" t="s">
        <v>965</v>
      </c>
      <c r="B59" s="306" t="s">
        <v>1117</v>
      </c>
      <c r="C59" s="639">
        <v>46275</v>
      </c>
      <c r="D59" s="715" t="s">
        <v>1116</v>
      </c>
      <c r="E59" s="639"/>
      <c r="F59" s="298"/>
      <c r="G59" s="644"/>
      <c r="H59" s="302" t="s">
        <v>1118</v>
      </c>
      <c r="I59" s="720" t="s">
        <v>30</v>
      </c>
      <c r="J59" s="715" t="s">
        <v>31</v>
      </c>
      <c r="K59" s="720" t="s">
        <v>18</v>
      </c>
      <c r="L59" s="637">
        <v>1</v>
      </c>
      <c r="M59" s="750">
        <v>296296.3</v>
      </c>
      <c r="N59" s="613">
        <v>296296.3</v>
      </c>
      <c r="O59" s="613">
        <v>23703.703999999998</v>
      </c>
      <c r="P59" s="651">
        <v>320000.00399999996</v>
      </c>
    </row>
    <row r="60" spans="1:16">
      <c r="A60" s="307" t="s">
        <v>965</v>
      </c>
      <c r="B60" s="306" t="s">
        <v>1117</v>
      </c>
      <c r="C60" s="639">
        <v>46275</v>
      </c>
      <c r="D60" s="715" t="s">
        <v>1116</v>
      </c>
      <c r="E60" s="639"/>
      <c r="F60" s="298"/>
      <c r="G60" s="644"/>
      <c r="H60" s="302" t="s">
        <v>1118</v>
      </c>
      <c r="I60" s="720" t="s">
        <v>301</v>
      </c>
      <c r="J60" s="715" t="s">
        <v>361</v>
      </c>
      <c r="K60" s="720" t="s">
        <v>18</v>
      </c>
      <c r="L60" s="637">
        <v>1</v>
      </c>
      <c r="M60" s="750">
        <v>314814.81</v>
      </c>
      <c r="N60" s="613">
        <v>314814.81</v>
      </c>
      <c r="O60" s="613">
        <v>25185.184799999999</v>
      </c>
      <c r="P60" s="651">
        <v>339999.99479999999</v>
      </c>
    </row>
    <row r="61" spans="1:16">
      <c r="A61" s="711" t="s">
        <v>1005</v>
      </c>
      <c r="B61" s="306" t="s">
        <v>697</v>
      </c>
      <c r="C61" s="446">
        <v>46275</v>
      </c>
      <c r="D61" s="752" t="s">
        <v>1119</v>
      </c>
      <c r="E61" s="446"/>
      <c r="F61" s="298"/>
      <c r="G61" s="447"/>
      <c r="H61" s="299" t="s">
        <v>677</v>
      </c>
      <c r="I61" s="643" t="s">
        <v>98</v>
      </c>
      <c r="J61" s="771" t="s">
        <v>251</v>
      </c>
      <c r="K61" s="643" t="s">
        <v>18</v>
      </c>
      <c r="L61" s="721">
        <v>4</v>
      </c>
      <c r="M61" s="750">
        <v>740740.74</v>
      </c>
      <c r="N61" s="613"/>
      <c r="O61" s="613"/>
      <c r="P61" s="612">
        <v>2962962.96</v>
      </c>
    </row>
    <row r="62" spans="1:16" ht="29.25">
      <c r="A62" s="711" t="s">
        <v>756</v>
      </c>
      <c r="B62" s="307" t="s">
        <v>759</v>
      </c>
      <c r="C62" s="446">
        <v>46276</v>
      </c>
      <c r="D62" s="752" t="s">
        <v>1121</v>
      </c>
      <c r="E62" s="446"/>
      <c r="F62" s="298"/>
      <c r="G62" s="447"/>
      <c r="H62" s="299" t="s">
        <v>758</v>
      </c>
      <c r="I62" s="643" t="s">
        <v>48</v>
      </c>
      <c r="J62" s="718" t="s">
        <v>49</v>
      </c>
      <c r="K62" s="643" t="s">
        <v>18</v>
      </c>
      <c r="L62" s="721">
        <v>12</v>
      </c>
      <c r="M62" s="750">
        <v>601851.85</v>
      </c>
      <c r="N62" s="613">
        <v>7222222.1999999993</v>
      </c>
      <c r="O62" s="613">
        <v>577777.77599999995</v>
      </c>
      <c r="P62" s="651">
        <v>7799999.9759999989</v>
      </c>
    </row>
    <row r="63" spans="1:16">
      <c r="A63" s="711" t="s">
        <v>756</v>
      </c>
      <c r="B63" s="307" t="s">
        <v>759</v>
      </c>
      <c r="C63" s="446">
        <v>46276</v>
      </c>
      <c r="D63" s="752" t="s">
        <v>1121</v>
      </c>
      <c r="E63" s="446"/>
      <c r="F63" s="298"/>
      <c r="G63" s="447"/>
      <c r="H63" s="299" t="s">
        <v>758</v>
      </c>
      <c r="I63" s="643" t="s">
        <v>959</v>
      </c>
      <c r="J63" s="771" t="s">
        <v>960</v>
      </c>
      <c r="K63" s="643" t="s">
        <v>18</v>
      </c>
      <c r="L63" s="721">
        <v>12</v>
      </c>
      <c r="M63" s="750">
        <v>0</v>
      </c>
      <c r="N63" s="613">
        <v>0</v>
      </c>
      <c r="O63" s="613">
        <v>0</v>
      </c>
      <c r="P63" s="651">
        <v>0</v>
      </c>
    </row>
    <row r="64" spans="1:16">
      <c r="A64" s="711" t="s">
        <v>752</v>
      </c>
      <c r="B64" s="306" t="s">
        <v>694</v>
      </c>
      <c r="C64" s="446">
        <v>46275</v>
      </c>
      <c r="D64" s="752" t="s">
        <v>1122</v>
      </c>
      <c r="E64" s="446"/>
      <c r="F64" s="447"/>
      <c r="G64" s="447"/>
      <c r="H64" s="299" t="s">
        <v>812</v>
      </c>
      <c r="I64" s="643" t="s">
        <v>643</v>
      </c>
      <c r="J64" s="771" t="s">
        <v>644</v>
      </c>
      <c r="K64" s="643" t="s">
        <v>18</v>
      </c>
      <c r="L64" s="721">
        <v>15</v>
      </c>
      <c r="M64" s="750">
        <v>527777.78</v>
      </c>
      <c r="N64" s="613">
        <v>7916666.7000000002</v>
      </c>
      <c r="O64" s="613">
        <v>633333.33600000001</v>
      </c>
      <c r="P64" s="651">
        <v>8550000.0360000003</v>
      </c>
    </row>
    <row r="65" spans="1:16">
      <c r="A65" s="711" t="s">
        <v>752</v>
      </c>
      <c r="B65" s="306" t="s">
        <v>694</v>
      </c>
      <c r="C65" s="446">
        <v>46275</v>
      </c>
      <c r="D65" s="752" t="s">
        <v>1122</v>
      </c>
      <c r="E65" s="446">
        <v>46280</v>
      </c>
      <c r="F65" s="447"/>
      <c r="G65" s="757" t="s">
        <v>1165</v>
      </c>
      <c r="H65" s="299" t="s">
        <v>812</v>
      </c>
      <c r="I65" s="643" t="s">
        <v>959</v>
      </c>
      <c r="J65" s="772" t="s">
        <v>960</v>
      </c>
      <c r="K65" s="643" t="s">
        <v>18</v>
      </c>
      <c r="L65" s="721">
        <v>50</v>
      </c>
      <c r="M65" s="750">
        <v>111111.11</v>
      </c>
      <c r="N65" s="613">
        <v>5555555.5</v>
      </c>
      <c r="O65" s="613">
        <v>444444.44</v>
      </c>
      <c r="P65" s="651">
        <v>5999999.9400000004</v>
      </c>
    </row>
    <row r="66" spans="1:16" ht="43.5">
      <c r="A66" s="711" t="s">
        <v>794</v>
      </c>
      <c r="B66" s="307" t="s">
        <v>804</v>
      </c>
      <c r="C66" s="446">
        <v>46276</v>
      </c>
      <c r="D66" s="752" t="s">
        <v>1123</v>
      </c>
      <c r="E66" s="446">
        <v>46280</v>
      </c>
      <c r="F66" s="447" t="s">
        <v>1167</v>
      </c>
      <c r="G66" s="757" t="s">
        <v>1166</v>
      </c>
      <c r="H66" s="299" t="s">
        <v>809</v>
      </c>
      <c r="I66" s="643" t="s">
        <v>16</v>
      </c>
      <c r="J66" s="771" t="s">
        <v>17</v>
      </c>
      <c r="K66" s="643" t="s">
        <v>18</v>
      </c>
      <c r="L66" s="721">
        <v>2</v>
      </c>
      <c r="M66" s="750">
        <v>851851.85</v>
      </c>
      <c r="N66" s="613">
        <v>1703703.7</v>
      </c>
      <c r="O66" s="613">
        <v>136296.296</v>
      </c>
      <c r="P66" s="651">
        <v>1839999.996</v>
      </c>
    </row>
    <row r="67" spans="1:16">
      <c r="A67" s="711" t="s">
        <v>794</v>
      </c>
      <c r="B67" s="307" t="s">
        <v>804</v>
      </c>
      <c r="C67" s="446">
        <v>46276</v>
      </c>
      <c r="D67" s="752" t="s">
        <v>1123</v>
      </c>
      <c r="E67" s="446">
        <v>46280</v>
      </c>
      <c r="F67" s="447" t="s">
        <v>1167</v>
      </c>
      <c r="G67" s="757" t="s">
        <v>1166</v>
      </c>
      <c r="H67" s="299" t="s">
        <v>809</v>
      </c>
      <c r="I67" s="643" t="s">
        <v>90</v>
      </c>
      <c r="J67" s="771" t="s">
        <v>91</v>
      </c>
      <c r="K67" s="643" t="s">
        <v>18</v>
      </c>
      <c r="L67" s="721">
        <v>20</v>
      </c>
      <c r="M67" s="750">
        <v>814814.81</v>
      </c>
      <c r="N67" s="613">
        <v>16296296.200000001</v>
      </c>
      <c r="O67" s="613">
        <v>1303703.6960000002</v>
      </c>
      <c r="P67" s="651">
        <v>17599999.896000002</v>
      </c>
    </row>
    <row r="68" spans="1:16">
      <c r="A68" s="711" t="s">
        <v>794</v>
      </c>
      <c r="B68" s="307" t="s">
        <v>804</v>
      </c>
      <c r="C68" s="446">
        <v>46276</v>
      </c>
      <c r="D68" s="752" t="s">
        <v>1123</v>
      </c>
      <c r="E68" s="446"/>
      <c r="F68" s="447"/>
      <c r="G68" s="447"/>
      <c r="H68" s="299" t="s">
        <v>809</v>
      </c>
      <c r="I68" s="643" t="s">
        <v>643</v>
      </c>
      <c r="J68" s="771" t="s">
        <v>644</v>
      </c>
      <c r="K68" s="643" t="s">
        <v>18</v>
      </c>
      <c r="L68" s="721">
        <v>15</v>
      </c>
      <c r="M68" s="750">
        <v>527777.78</v>
      </c>
      <c r="N68" s="613">
        <v>7916666.7000000002</v>
      </c>
      <c r="O68" s="613">
        <v>633333.33600000001</v>
      </c>
      <c r="P68" s="651">
        <v>8550000.0360000003</v>
      </c>
    </row>
    <row r="69" spans="1:16">
      <c r="A69" s="711" t="s">
        <v>794</v>
      </c>
      <c r="B69" s="307" t="s">
        <v>804</v>
      </c>
      <c r="C69" s="446">
        <v>46276</v>
      </c>
      <c r="D69" s="752" t="s">
        <v>1123</v>
      </c>
      <c r="E69" s="446"/>
      <c r="F69" s="447"/>
      <c r="G69" s="447"/>
      <c r="H69" s="299" t="s">
        <v>809</v>
      </c>
      <c r="I69" s="643" t="s">
        <v>1124</v>
      </c>
      <c r="J69" s="771" t="s">
        <v>654</v>
      </c>
      <c r="K69" s="643" t="s">
        <v>18</v>
      </c>
      <c r="L69" s="721">
        <v>15</v>
      </c>
      <c r="M69" s="750">
        <v>481481.48</v>
      </c>
      <c r="N69" s="613">
        <v>7222222.1999999993</v>
      </c>
      <c r="O69" s="613">
        <v>577777.77599999995</v>
      </c>
      <c r="P69" s="651">
        <v>7799999.9759999989</v>
      </c>
    </row>
    <row r="70" spans="1:16" ht="29.25">
      <c r="A70" s="711" t="s">
        <v>794</v>
      </c>
      <c r="B70" s="307" t="s">
        <v>804</v>
      </c>
      <c r="C70" s="446">
        <v>46276</v>
      </c>
      <c r="D70" s="752" t="s">
        <v>1123</v>
      </c>
      <c r="E70" s="446">
        <v>46280</v>
      </c>
      <c r="F70" s="447" t="s">
        <v>1167</v>
      </c>
      <c r="G70" s="757" t="s">
        <v>1166</v>
      </c>
      <c r="H70" s="299" t="s">
        <v>809</v>
      </c>
      <c r="I70" s="643" t="s">
        <v>180</v>
      </c>
      <c r="J70" s="771" t="s">
        <v>181</v>
      </c>
      <c r="K70" s="643" t="s">
        <v>18</v>
      </c>
      <c r="L70" s="721">
        <v>30</v>
      </c>
      <c r="M70" s="750">
        <v>234259.26</v>
      </c>
      <c r="N70" s="613">
        <v>7027777.8000000007</v>
      </c>
      <c r="O70" s="613">
        <v>562222.22400000005</v>
      </c>
      <c r="P70" s="651">
        <v>7590000.0240000011</v>
      </c>
    </row>
    <row r="71" spans="1:16">
      <c r="A71" s="441" t="s">
        <v>1138</v>
      </c>
      <c r="B71" s="441" t="s">
        <v>1235</v>
      </c>
      <c r="C71" s="446">
        <v>46276</v>
      </c>
      <c r="D71" s="752" t="s">
        <v>1125</v>
      </c>
      <c r="E71" s="446"/>
      <c r="F71" s="447"/>
      <c r="G71" s="447"/>
      <c r="H71" s="302" t="s">
        <v>1236</v>
      </c>
      <c r="I71" s="643" t="s">
        <v>641</v>
      </c>
      <c r="J71" s="771" t="s">
        <v>657</v>
      </c>
      <c r="K71" s="643" t="s">
        <v>18</v>
      </c>
      <c r="L71" s="721">
        <v>15</v>
      </c>
      <c r="M71" s="750">
        <v>638888.89</v>
      </c>
      <c r="N71" s="613">
        <v>9583333.3499999996</v>
      </c>
      <c r="O71" s="613">
        <v>766666.66799999995</v>
      </c>
      <c r="P71" s="651">
        <v>10350000.017999999</v>
      </c>
    </row>
    <row r="72" spans="1:16">
      <c r="A72" s="441" t="s">
        <v>1138</v>
      </c>
      <c r="B72" s="441" t="s">
        <v>1235</v>
      </c>
      <c r="C72" s="446">
        <v>46276</v>
      </c>
      <c r="D72" s="752" t="s">
        <v>1125</v>
      </c>
      <c r="E72" s="446"/>
      <c r="F72" s="447"/>
      <c r="G72" s="447"/>
      <c r="H72" s="302" t="s">
        <v>1236</v>
      </c>
      <c r="I72" s="643" t="s">
        <v>643</v>
      </c>
      <c r="J72" s="771" t="s">
        <v>644</v>
      </c>
      <c r="K72" s="643" t="s">
        <v>18</v>
      </c>
      <c r="L72" s="721">
        <v>15</v>
      </c>
      <c r="M72" s="750">
        <v>527777.78</v>
      </c>
      <c r="N72" s="613">
        <v>7916666.7000000002</v>
      </c>
      <c r="O72" s="613">
        <v>633333.33600000001</v>
      </c>
      <c r="P72" s="651">
        <v>8550000.0360000003</v>
      </c>
    </row>
    <row r="73" spans="1:16">
      <c r="A73" s="751" t="s">
        <v>934</v>
      </c>
      <c r="B73" s="307" t="s">
        <v>865</v>
      </c>
      <c r="C73" s="446">
        <v>46276</v>
      </c>
      <c r="D73" s="752" t="s">
        <v>1126</v>
      </c>
      <c r="E73" s="446"/>
      <c r="F73" s="447"/>
      <c r="G73" s="447"/>
      <c r="H73" s="299" t="s">
        <v>867</v>
      </c>
      <c r="I73" s="643" t="s">
        <v>649</v>
      </c>
      <c r="J73" s="771" t="s">
        <v>650</v>
      </c>
      <c r="K73" s="643" t="s">
        <v>18</v>
      </c>
      <c r="L73" s="721">
        <v>15</v>
      </c>
      <c r="M73" s="750">
        <v>574074.06999999995</v>
      </c>
      <c r="N73" s="613">
        <v>8611111.0499999989</v>
      </c>
      <c r="O73" s="613">
        <v>688888.88399999996</v>
      </c>
      <c r="P73" s="651">
        <v>9299999.9339999985</v>
      </c>
    </row>
    <row r="74" spans="1:16">
      <c r="A74" s="751" t="s">
        <v>934</v>
      </c>
      <c r="B74" s="307" t="s">
        <v>865</v>
      </c>
      <c r="C74" s="446">
        <v>46276</v>
      </c>
      <c r="D74" s="752" t="s">
        <v>1126</v>
      </c>
      <c r="E74" s="446"/>
      <c r="F74" s="447"/>
      <c r="G74" s="447"/>
      <c r="H74" s="299" t="s">
        <v>867</v>
      </c>
      <c r="I74" s="643" t="s">
        <v>651</v>
      </c>
      <c r="J74" s="771" t="s">
        <v>652</v>
      </c>
      <c r="K74" s="643" t="s">
        <v>18</v>
      </c>
      <c r="L74" s="721">
        <v>15</v>
      </c>
      <c r="M74" s="750">
        <v>694444.44</v>
      </c>
      <c r="N74" s="613">
        <v>10416666.6</v>
      </c>
      <c r="O74" s="613">
        <v>833333.32799999998</v>
      </c>
      <c r="P74" s="651">
        <v>11249999.927999999</v>
      </c>
    </row>
    <row r="75" spans="1:16">
      <c r="A75" s="751" t="s">
        <v>934</v>
      </c>
      <c r="B75" s="307" t="s">
        <v>865</v>
      </c>
      <c r="C75" s="446">
        <v>46276</v>
      </c>
      <c r="D75" s="752" t="s">
        <v>1126</v>
      </c>
      <c r="E75" s="446"/>
      <c r="F75" s="447"/>
      <c r="G75" s="447"/>
      <c r="H75" s="299" t="s">
        <v>867</v>
      </c>
      <c r="I75" s="643" t="s">
        <v>653</v>
      </c>
      <c r="J75" s="771" t="s">
        <v>654</v>
      </c>
      <c r="K75" s="643" t="s">
        <v>18</v>
      </c>
      <c r="L75" s="721">
        <v>15</v>
      </c>
      <c r="M75" s="750">
        <v>481481.48</v>
      </c>
      <c r="N75" s="613">
        <v>7222222.1999999993</v>
      </c>
      <c r="O75" s="613">
        <v>577777.77599999995</v>
      </c>
      <c r="P75" s="651">
        <v>7799999.9759999989</v>
      </c>
    </row>
    <row r="76" spans="1:16">
      <c r="A76" s="751" t="s">
        <v>934</v>
      </c>
      <c r="B76" s="307" t="s">
        <v>865</v>
      </c>
      <c r="C76" s="446">
        <v>46276</v>
      </c>
      <c r="D76" s="752" t="s">
        <v>1126</v>
      </c>
      <c r="E76" s="446"/>
      <c r="F76" s="447"/>
      <c r="G76" s="447"/>
      <c r="H76" s="299" t="s">
        <v>867</v>
      </c>
      <c r="I76" s="643" t="s">
        <v>655</v>
      </c>
      <c r="J76" s="771" t="s">
        <v>656</v>
      </c>
      <c r="K76" s="643" t="s">
        <v>18</v>
      </c>
      <c r="L76" s="721">
        <v>15</v>
      </c>
      <c r="M76" s="750">
        <v>574074.06999999995</v>
      </c>
      <c r="N76" s="613">
        <v>8611111.0499999989</v>
      </c>
      <c r="O76" s="613">
        <v>688888.88399999996</v>
      </c>
      <c r="P76" s="651">
        <v>9299999.9339999985</v>
      </c>
    </row>
    <row r="77" spans="1:16">
      <c r="A77" s="751" t="s">
        <v>934</v>
      </c>
      <c r="B77" s="307" t="s">
        <v>865</v>
      </c>
      <c r="C77" s="446">
        <v>46276</v>
      </c>
      <c r="D77" s="752" t="s">
        <v>1126</v>
      </c>
      <c r="E77" s="446">
        <v>46284</v>
      </c>
      <c r="F77" s="447"/>
      <c r="G77" s="757" t="s">
        <v>1244</v>
      </c>
      <c r="H77" s="299" t="s">
        <v>867</v>
      </c>
      <c r="I77" s="643" t="s">
        <v>208</v>
      </c>
      <c r="J77" s="771" t="s">
        <v>1127</v>
      </c>
      <c r="K77" s="643" t="s">
        <v>25</v>
      </c>
      <c r="L77" s="721">
        <v>10</v>
      </c>
      <c r="M77" s="750">
        <v>647222.22</v>
      </c>
      <c r="N77" s="613">
        <v>6472222.1999999993</v>
      </c>
      <c r="O77" s="613">
        <v>517777.77599999995</v>
      </c>
      <c r="P77" s="651">
        <v>6989999.9759999989</v>
      </c>
    </row>
    <row r="78" spans="1:16">
      <c r="A78" s="751" t="s">
        <v>934</v>
      </c>
      <c r="B78" s="307" t="s">
        <v>865</v>
      </c>
      <c r="C78" s="446">
        <v>46276</v>
      </c>
      <c r="D78" s="752" t="s">
        <v>1126</v>
      </c>
      <c r="E78" s="446"/>
      <c r="F78" s="447"/>
      <c r="G78" s="447"/>
      <c r="H78" s="299" t="s">
        <v>867</v>
      </c>
      <c r="I78" s="643" t="s">
        <v>649</v>
      </c>
      <c r="J78" s="771" t="s">
        <v>650</v>
      </c>
      <c r="K78" s="643" t="s">
        <v>18</v>
      </c>
      <c r="L78" s="721">
        <v>1</v>
      </c>
      <c r="M78" s="750">
        <v>574074.06999999995</v>
      </c>
      <c r="N78" s="613">
        <v>574074.06999999995</v>
      </c>
      <c r="O78" s="613">
        <v>45925.925599999995</v>
      </c>
      <c r="P78" s="651">
        <v>619999.99559999991</v>
      </c>
    </row>
    <row r="79" spans="1:16">
      <c r="A79" s="751" t="s">
        <v>934</v>
      </c>
      <c r="B79" s="307" t="s">
        <v>865</v>
      </c>
      <c r="C79" s="446">
        <v>46276</v>
      </c>
      <c r="D79" s="752" t="s">
        <v>1126</v>
      </c>
      <c r="E79" s="446"/>
      <c r="F79" s="447"/>
      <c r="G79" s="447"/>
      <c r="H79" s="299" t="s">
        <v>867</v>
      </c>
      <c r="I79" s="643" t="s">
        <v>651</v>
      </c>
      <c r="J79" s="771" t="s">
        <v>652</v>
      </c>
      <c r="K79" s="643" t="s">
        <v>18</v>
      </c>
      <c r="L79" s="721">
        <v>1</v>
      </c>
      <c r="M79" s="750">
        <v>694444.44</v>
      </c>
      <c r="N79" s="613">
        <v>694444.44</v>
      </c>
      <c r="O79" s="613">
        <v>55555.555199999995</v>
      </c>
      <c r="P79" s="651">
        <v>749999.99519999989</v>
      </c>
    </row>
    <row r="80" spans="1:16">
      <c r="A80" s="751" t="s">
        <v>934</v>
      </c>
      <c r="B80" s="307" t="s">
        <v>865</v>
      </c>
      <c r="C80" s="446">
        <v>46276</v>
      </c>
      <c r="D80" s="752" t="s">
        <v>1126</v>
      </c>
      <c r="E80" s="446"/>
      <c r="F80" s="447"/>
      <c r="G80" s="447"/>
      <c r="H80" s="299" t="s">
        <v>867</v>
      </c>
      <c r="I80" s="643" t="s">
        <v>653</v>
      </c>
      <c r="J80" s="771" t="s">
        <v>654</v>
      </c>
      <c r="K80" s="643" t="s">
        <v>18</v>
      </c>
      <c r="L80" s="721">
        <v>1</v>
      </c>
      <c r="M80" s="750">
        <v>481481.48</v>
      </c>
      <c r="N80" s="613">
        <v>481481.48</v>
      </c>
      <c r="O80" s="613">
        <v>38518.518400000001</v>
      </c>
      <c r="P80" s="651">
        <v>519999.99839999998</v>
      </c>
    </row>
    <row r="81" spans="1:16">
      <c r="A81" s="751" t="s">
        <v>934</v>
      </c>
      <c r="B81" s="307" t="s">
        <v>865</v>
      </c>
      <c r="C81" s="446">
        <v>46276</v>
      </c>
      <c r="D81" s="752" t="s">
        <v>1126</v>
      </c>
      <c r="E81" s="446"/>
      <c r="F81" s="447"/>
      <c r="G81" s="447"/>
      <c r="H81" s="299" t="s">
        <v>867</v>
      </c>
      <c r="I81" s="643" t="s">
        <v>655</v>
      </c>
      <c r="J81" s="771" t="s">
        <v>656</v>
      </c>
      <c r="K81" s="643" t="s">
        <v>18</v>
      </c>
      <c r="L81" s="721">
        <v>1</v>
      </c>
      <c r="M81" s="750">
        <v>574074.06999999995</v>
      </c>
      <c r="N81" s="613">
        <v>574074.06999999995</v>
      </c>
      <c r="O81" s="613">
        <v>45925.925599999995</v>
      </c>
      <c r="P81" s="651">
        <v>619999.99559999991</v>
      </c>
    </row>
    <row r="82" spans="1:16">
      <c r="A82" s="711" t="s">
        <v>734</v>
      </c>
      <c r="B82" s="307" t="s">
        <v>745</v>
      </c>
      <c r="C82" s="446">
        <v>46276</v>
      </c>
      <c r="D82" s="752" t="s">
        <v>1128</v>
      </c>
      <c r="E82" s="446">
        <v>46280</v>
      </c>
      <c r="F82" s="447" t="s">
        <v>1164</v>
      </c>
      <c r="G82" s="757" t="s">
        <v>1163</v>
      </c>
      <c r="H82" s="299" t="s">
        <v>746</v>
      </c>
      <c r="I82" s="643" t="s">
        <v>68</v>
      </c>
      <c r="J82" s="771" t="s">
        <v>69</v>
      </c>
      <c r="K82" s="643" t="s">
        <v>18</v>
      </c>
      <c r="L82" s="721">
        <v>36</v>
      </c>
      <c r="M82" s="750">
        <v>129629.63</v>
      </c>
      <c r="N82" s="613">
        <v>4666666.68</v>
      </c>
      <c r="O82" s="613">
        <v>373333.33439999999</v>
      </c>
      <c r="P82" s="651">
        <v>5040000.0143999998</v>
      </c>
    </row>
    <row r="83" spans="1:16" ht="43.5">
      <c r="A83" s="711" t="s">
        <v>734</v>
      </c>
      <c r="B83" s="307" t="s">
        <v>745</v>
      </c>
      <c r="C83" s="446">
        <v>46276</v>
      </c>
      <c r="D83" s="752" t="s">
        <v>1128</v>
      </c>
      <c r="E83" s="446">
        <v>46280</v>
      </c>
      <c r="F83" s="447" t="s">
        <v>1164</v>
      </c>
      <c r="G83" s="757" t="s">
        <v>1163</v>
      </c>
      <c r="H83" s="299" t="s">
        <v>746</v>
      </c>
      <c r="I83" s="643" t="s">
        <v>16</v>
      </c>
      <c r="J83" s="771" t="s">
        <v>17</v>
      </c>
      <c r="K83" s="643" t="s">
        <v>18</v>
      </c>
      <c r="L83" s="721">
        <v>8</v>
      </c>
      <c r="M83" s="750">
        <v>879629.63</v>
      </c>
      <c r="N83" s="613">
        <v>7037037.04</v>
      </c>
      <c r="O83" s="613">
        <v>562962.9632</v>
      </c>
      <c r="P83" s="651">
        <v>7600000.0032000002</v>
      </c>
    </row>
    <row r="84" spans="1:16">
      <c r="A84" s="717" t="s">
        <v>944</v>
      </c>
      <c r="B84" s="307" t="s">
        <v>869</v>
      </c>
      <c r="C84" s="446">
        <v>46277</v>
      </c>
      <c r="D84" s="765" t="s">
        <v>1129</v>
      </c>
      <c r="E84" s="447"/>
      <c r="F84" s="447"/>
      <c r="G84" s="447"/>
      <c r="H84" s="299" t="s">
        <v>1227</v>
      </c>
      <c r="I84" s="643" t="s">
        <v>643</v>
      </c>
      <c r="J84" s="771" t="s">
        <v>644</v>
      </c>
      <c r="K84" s="643" t="s">
        <v>18</v>
      </c>
      <c r="L84" s="721">
        <v>15</v>
      </c>
      <c r="M84" s="750">
        <v>527777.78</v>
      </c>
      <c r="N84" s="613">
        <v>7916666.7000000002</v>
      </c>
      <c r="O84" s="613">
        <v>633333.33600000001</v>
      </c>
      <c r="P84" s="651">
        <v>8550000.0360000003</v>
      </c>
    </row>
    <row r="85" spans="1:16">
      <c r="A85" s="717" t="s">
        <v>944</v>
      </c>
      <c r="B85" s="307" t="s">
        <v>869</v>
      </c>
      <c r="C85" s="446">
        <v>46277</v>
      </c>
      <c r="D85" s="765" t="s">
        <v>1129</v>
      </c>
      <c r="E85" s="447"/>
      <c r="F85" s="447"/>
      <c r="G85" s="447"/>
      <c r="H85" s="299" t="s">
        <v>1227</v>
      </c>
      <c r="I85" s="643" t="s">
        <v>653</v>
      </c>
      <c r="J85" s="771" t="s">
        <v>654</v>
      </c>
      <c r="K85" s="643" t="s">
        <v>18</v>
      </c>
      <c r="L85" s="721">
        <v>15</v>
      </c>
      <c r="M85" s="750">
        <v>481481.48</v>
      </c>
      <c r="N85" s="613">
        <v>7222222.1999999993</v>
      </c>
      <c r="O85" s="613">
        <v>577777.77599999995</v>
      </c>
      <c r="P85" s="651">
        <v>7799999.9759999989</v>
      </c>
    </row>
    <row r="86" spans="1:16">
      <c r="A86" s="717" t="s">
        <v>944</v>
      </c>
      <c r="B86" s="307" t="s">
        <v>869</v>
      </c>
      <c r="C86" s="446">
        <v>46277</v>
      </c>
      <c r="D86" s="765" t="s">
        <v>1129</v>
      </c>
      <c r="E86" s="447"/>
      <c r="F86" s="447"/>
      <c r="G86" s="447"/>
      <c r="H86" s="299" t="s">
        <v>1227</v>
      </c>
      <c r="I86" s="643" t="s">
        <v>655</v>
      </c>
      <c r="J86" s="771" t="s">
        <v>656</v>
      </c>
      <c r="K86" s="643" t="s">
        <v>18</v>
      </c>
      <c r="L86" s="721">
        <v>15</v>
      </c>
      <c r="M86" s="750">
        <v>574074.06999999995</v>
      </c>
      <c r="N86" s="613">
        <v>8611111.0499999989</v>
      </c>
      <c r="O86" s="613">
        <v>688888.88399999996</v>
      </c>
      <c r="P86" s="651">
        <v>9299999.9339999985</v>
      </c>
    </row>
    <row r="87" spans="1:16">
      <c r="A87" s="711" t="s">
        <v>753</v>
      </c>
      <c r="B87" s="307" t="s">
        <v>754</v>
      </c>
      <c r="C87" s="446">
        <v>46276</v>
      </c>
      <c r="D87" s="752" t="s">
        <v>1130</v>
      </c>
      <c r="E87" s="446"/>
      <c r="F87" s="447"/>
      <c r="G87" s="447"/>
      <c r="H87" s="299" t="s">
        <v>811</v>
      </c>
      <c r="I87" s="643" t="s">
        <v>653</v>
      </c>
      <c r="J87" s="771" t="s">
        <v>654</v>
      </c>
      <c r="K87" s="298" t="s">
        <v>18</v>
      </c>
      <c r="L87" s="635">
        <v>15</v>
      </c>
      <c r="M87" s="750">
        <v>481481.48</v>
      </c>
      <c r="N87" s="613">
        <v>7222222.1999999993</v>
      </c>
      <c r="O87" s="613">
        <v>577777.77599999995</v>
      </c>
      <c r="P87" s="651">
        <v>7799999.9759999989</v>
      </c>
    </row>
    <row r="88" spans="1:16">
      <c r="A88" s="711" t="s">
        <v>753</v>
      </c>
      <c r="B88" s="307" t="s">
        <v>754</v>
      </c>
      <c r="C88" s="446">
        <v>46276</v>
      </c>
      <c r="D88" s="752" t="s">
        <v>1130</v>
      </c>
      <c r="E88" s="446"/>
      <c r="F88" s="447"/>
      <c r="G88" s="447"/>
      <c r="H88" s="299" t="s">
        <v>811</v>
      </c>
      <c r="I88" s="643" t="s">
        <v>655</v>
      </c>
      <c r="J88" s="771" t="s">
        <v>656</v>
      </c>
      <c r="K88" s="298" t="s">
        <v>18</v>
      </c>
      <c r="L88" s="635">
        <v>15</v>
      </c>
      <c r="M88" s="750">
        <v>574074.06999999995</v>
      </c>
      <c r="N88" s="613">
        <v>8611111.0499999989</v>
      </c>
      <c r="O88" s="613">
        <v>688888.88399999996</v>
      </c>
      <c r="P88" s="651">
        <v>9299999.9339999985</v>
      </c>
    </row>
    <row r="89" spans="1:16">
      <c r="A89" s="711" t="s">
        <v>753</v>
      </c>
      <c r="B89" s="307" t="s">
        <v>754</v>
      </c>
      <c r="C89" s="446">
        <v>46276</v>
      </c>
      <c r="D89" s="752" t="s">
        <v>1130</v>
      </c>
      <c r="E89" s="446">
        <v>46284</v>
      </c>
      <c r="F89" s="447"/>
      <c r="G89" s="757" t="s">
        <v>1246</v>
      </c>
      <c r="H89" s="299" t="s">
        <v>811</v>
      </c>
      <c r="I89" s="643" t="s">
        <v>90</v>
      </c>
      <c r="J89" s="771" t="s">
        <v>91</v>
      </c>
      <c r="K89" s="298" t="s">
        <v>18</v>
      </c>
      <c r="L89" s="635">
        <v>20</v>
      </c>
      <c r="M89" s="750">
        <v>814814.81</v>
      </c>
      <c r="N89" s="613">
        <v>16296296.200000001</v>
      </c>
      <c r="O89" s="613">
        <v>1303703.6960000002</v>
      </c>
      <c r="P89" s="651">
        <v>17599999.896000002</v>
      </c>
    </row>
    <row r="90" spans="1:16">
      <c r="A90" s="711" t="s">
        <v>753</v>
      </c>
      <c r="B90" s="307" t="s">
        <v>754</v>
      </c>
      <c r="C90" s="446">
        <v>46276</v>
      </c>
      <c r="D90" s="752" t="s">
        <v>1130</v>
      </c>
      <c r="E90" s="446"/>
      <c r="F90" s="447"/>
      <c r="G90" s="447"/>
      <c r="H90" s="299" t="s">
        <v>811</v>
      </c>
      <c r="I90" s="643" t="s">
        <v>103</v>
      </c>
      <c r="J90" s="771" t="s">
        <v>104</v>
      </c>
      <c r="K90" s="298" t="s">
        <v>18</v>
      </c>
      <c r="L90" s="635">
        <v>30</v>
      </c>
      <c r="M90" s="750">
        <v>675925.93</v>
      </c>
      <c r="N90" s="613">
        <v>20277777.900000002</v>
      </c>
      <c r="O90" s="613">
        <v>1622222.2320000003</v>
      </c>
      <c r="P90" s="651">
        <v>21900000.132000003</v>
      </c>
    </row>
    <row r="91" spans="1:16">
      <c r="A91" s="711" t="s">
        <v>753</v>
      </c>
      <c r="B91" s="307" t="s">
        <v>754</v>
      </c>
      <c r="C91" s="446">
        <v>46276</v>
      </c>
      <c r="D91" s="752" t="s">
        <v>1130</v>
      </c>
      <c r="E91" s="446"/>
      <c r="F91" s="447"/>
      <c r="G91" s="447"/>
      <c r="H91" s="299" t="s">
        <v>811</v>
      </c>
      <c r="I91" s="643" t="s">
        <v>873</v>
      </c>
      <c r="J91" s="771" t="s">
        <v>874</v>
      </c>
      <c r="K91" s="298" t="s">
        <v>18</v>
      </c>
      <c r="L91" s="635">
        <v>60</v>
      </c>
      <c r="M91" s="750">
        <v>388888.89</v>
      </c>
      <c r="N91" s="613">
        <v>23333333.400000002</v>
      </c>
      <c r="O91" s="613">
        <v>1866666.6720000003</v>
      </c>
      <c r="P91" s="651">
        <v>25200000.072000004</v>
      </c>
    </row>
    <row r="92" spans="1:16">
      <c r="A92" s="711" t="s">
        <v>753</v>
      </c>
      <c r="B92" s="307" t="s">
        <v>754</v>
      </c>
      <c r="C92" s="446">
        <v>46276</v>
      </c>
      <c r="D92" s="752" t="s">
        <v>1130</v>
      </c>
      <c r="E92" s="446"/>
      <c r="F92" s="447"/>
      <c r="G92" s="447"/>
      <c r="H92" s="299" t="s">
        <v>811</v>
      </c>
      <c r="I92" s="643" t="s">
        <v>796</v>
      </c>
      <c r="J92" s="771" t="s">
        <v>797</v>
      </c>
      <c r="K92" s="298" t="s">
        <v>18</v>
      </c>
      <c r="L92" s="635">
        <v>100</v>
      </c>
      <c r="M92" s="750">
        <v>292592.59000000003</v>
      </c>
      <c r="N92" s="613">
        <v>29259259.000000004</v>
      </c>
      <c r="O92" s="613">
        <v>2340740.7200000002</v>
      </c>
      <c r="P92" s="651">
        <v>31599999.720000003</v>
      </c>
    </row>
    <row r="93" spans="1:16">
      <c r="A93" s="711" t="s">
        <v>753</v>
      </c>
      <c r="B93" s="307" t="s">
        <v>754</v>
      </c>
      <c r="C93" s="446">
        <v>46276</v>
      </c>
      <c r="D93" s="752" t="s">
        <v>1130</v>
      </c>
      <c r="E93" s="446"/>
      <c r="F93" s="447"/>
      <c r="G93" s="447"/>
      <c r="H93" s="299" t="s">
        <v>811</v>
      </c>
      <c r="I93" s="643" t="s">
        <v>798</v>
      </c>
      <c r="J93" s="771" t="s">
        <v>799</v>
      </c>
      <c r="K93" s="298" t="s">
        <v>18</v>
      </c>
      <c r="L93" s="635">
        <v>100</v>
      </c>
      <c r="M93" s="750">
        <v>231481.48</v>
      </c>
      <c r="N93" s="613">
        <v>23148148</v>
      </c>
      <c r="O93" s="613">
        <v>1851851.84</v>
      </c>
      <c r="P93" s="651">
        <v>24999999.84</v>
      </c>
    </row>
    <row r="94" spans="1:16">
      <c r="A94" s="712" t="s">
        <v>1136</v>
      </c>
      <c r="B94" s="441" t="s">
        <v>1240</v>
      </c>
      <c r="C94" s="446">
        <v>46273</v>
      </c>
      <c r="D94" s="752" t="s">
        <v>1132</v>
      </c>
      <c r="E94" s="446">
        <v>46284</v>
      </c>
      <c r="F94" s="447"/>
      <c r="G94" s="757" t="s">
        <v>1245</v>
      </c>
      <c r="H94" s="299" t="s">
        <v>1241</v>
      </c>
      <c r="I94" s="643" t="s">
        <v>204</v>
      </c>
      <c r="J94" s="771" t="s">
        <v>269</v>
      </c>
      <c r="K94" s="298" t="s">
        <v>18</v>
      </c>
      <c r="L94" s="635">
        <v>2</v>
      </c>
      <c r="M94" s="750">
        <v>480555.56</v>
      </c>
      <c r="N94" s="613">
        <v>961111.12</v>
      </c>
      <c r="O94" s="613">
        <v>76888.889599999995</v>
      </c>
      <c r="P94" s="651">
        <v>1038000.0096</v>
      </c>
    </row>
    <row r="95" spans="1:16">
      <c r="A95" s="712" t="s">
        <v>1136</v>
      </c>
      <c r="B95" s="441" t="s">
        <v>1240</v>
      </c>
      <c r="C95" s="446">
        <v>46273</v>
      </c>
      <c r="D95" s="752" t="s">
        <v>1132</v>
      </c>
      <c r="E95" s="446">
        <v>46284</v>
      </c>
      <c r="F95" s="447"/>
      <c r="G95" s="757" t="s">
        <v>1245</v>
      </c>
      <c r="H95" s="299" t="s">
        <v>1241</v>
      </c>
      <c r="I95" s="643" t="s">
        <v>208</v>
      </c>
      <c r="J95" s="771" t="s">
        <v>1127</v>
      </c>
      <c r="K95" s="298" t="s">
        <v>18</v>
      </c>
      <c r="L95" s="635">
        <v>2</v>
      </c>
      <c r="M95" s="750">
        <v>647222.22</v>
      </c>
      <c r="N95" s="613">
        <v>1294444.44</v>
      </c>
      <c r="O95" s="613">
        <v>103555.5552</v>
      </c>
      <c r="P95" s="651">
        <v>1397999.9952</v>
      </c>
    </row>
    <row r="96" spans="1:16">
      <c r="A96" s="712" t="s">
        <v>1136</v>
      </c>
      <c r="B96" s="441" t="s">
        <v>1240</v>
      </c>
      <c r="C96" s="446">
        <v>46273</v>
      </c>
      <c r="D96" s="752" t="s">
        <v>1132</v>
      </c>
      <c r="E96" s="446">
        <v>46284</v>
      </c>
      <c r="F96" s="447"/>
      <c r="G96" s="757" t="s">
        <v>1245</v>
      </c>
      <c r="H96" s="299" t="s">
        <v>1241</v>
      </c>
      <c r="I96" s="643" t="s">
        <v>80</v>
      </c>
      <c r="J96" s="771" t="s">
        <v>81</v>
      </c>
      <c r="K96" s="298" t="s">
        <v>18</v>
      </c>
      <c r="L96" s="635">
        <v>2</v>
      </c>
      <c r="M96" s="750">
        <v>824074.07</v>
      </c>
      <c r="N96" s="613">
        <v>1648148.14</v>
      </c>
      <c r="O96" s="613">
        <v>131851.8512</v>
      </c>
      <c r="P96" s="651">
        <v>1779999.9911999998</v>
      </c>
    </row>
    <row r="97" spans="1:16">
      <c r="A97" s="712" t="s">
        <v>1136</v>
      </c>
      <c r="B97" s="441" t="s">
        <v>1240</v>
      </c>
      <c r="C97" s="446">
        <v>46273</v>
      </c>
      <c r="D97" s="752" t="s">
        <v>1132</v>
      </c>
      <c r="E97" s="446">
        <v>46284</v>
      </c>
      <c r="F97" s="447"/>
      <c r="G97" s="757" t="s">
        <v>1245</v>
      </c>
      <c r="H97" s="299" t="s">
        <v>1241</v>
      </c>
      <c r="I97" s="643" t="s">
        <v>72</v>
      </c>
      <c r="J97" s="771" t="s">
        <v>73</v>
      </c>
      <c r="K97" s="298" t="s">
        <v>18</v>
      </c>
      <c r="L97" s="635">
        <v>12</v>
      </c>
      <c r="M97" s="750">
        <v>148148.15</v>
      </c>
      <c r="N97" s="613">
        <v>1777777.7999999998</v>
      </c>
      <c r="O97" s="613">
        <v>142222.22399999999</v>
      </c>
      <c r="P97" s="651">
        <v>1920000.0239999997</v>
      </c>
    </row>
    <row r="98" spans="1:16">
      <c r="A98" s="712" t="s">
        <v>1136</v>
      </c>
      <c r="B98" s="441" t="s">
        <v>1240</v>
      </c>
      <c r="C98" s="446">
        <v>46273</v>
      </c>
      <c r="D98" s="752" t="s">
        <v>1132</v>
      </c>
      <c r="E98" s="446">
        <v>46284</v>
      </c>
      <c r="F98" s="447"/>
      <c r="G98" s="757" t="s">
        <v>1245</v>
      </c>
      <c r="H98" s="299" t="s">
        <v>1241</v>
      </c>
      <c r="I98" s="643" t="s">
        <v>262</v>
      </c>
      <c r="J98" s="771" t="s">
        <v>435</v>
      </c>
      <c r="K98" s="298" t="s">
        <v>18</v>
      </c>
      <c r="L98" s="635">
        <v>2</v>
      </c>
      <c r="M98" s="750">
        <v>851851.85</v>
      </c>
      <c r="N98" s="613">
        <v>1703703.7</v>
      </c>
      <c r="O98" s="613">
        <v>136296.296</v>
      </c>
      <c r="P98" s="651">
        <v>1839999.996</v>
      </c>
    </row>
    <row r="99" spans="1:16">
      <c r="A99" s="712" t="s">
        <v>1136</v>
      </c>
      <c r="B99" s="441" t="s">
        <v>1240</v>
      </c>
      <c r="C99" s="446">
        <v>46273</v>
      </c>
      <c r="D99" s="752" t="s">
        <v>1132</v>
      </c>
      <c r="E99" s="446">
        <v>46284</v>
      </c>
      <c r="F99" s="447"/>
      <c r="G99" s="757" t="s">
        <v>1245</v>
      </c>
      <c r="H99" s="299" t="s">
        <v>1241</v>
      </c>
      <c r="I99" s="643" t="s">
        <v>274</v>
      </c>
      <c r="J99" s="771" t="s">
        <v>297</v>
      </c>
      <c r="K99" s="298" t="s">
        <v>18</v>
      </c>
      <c r="L99" s="635">
        <v>6</v>
      </c>
      <c r="M99" s="750">
        <v>416666.67</v>
      </c>
      <c r="N99" s="613">
        <v>2500000.02</v>
      </c>
      <c r="O99" s="613">
        <v>200000.00160000002</v>
      </c>
      <c r="P99" s="651">
        <v>2700000.0216000001</v>
      </c>
    </row>
    <row r="100" spans="1:16" ht="29.25">
      <c r="A100" s="712" t="s">
        <v>1136</v>
      </c>
      <c r="B100" s="441" t="s">
        <v>1240</v>
      </c>
      <c r="C100" s="446">
        <v>46273</v>
      </c>
      <c r="D100" s="752" t="s">
        <v>1132</v>
      </c>
      <c r="E100" s="446">
        <v>46284</v>
      </c>
      <c r="F100" s="447"/>
      <c r="G100" s="757" t="s">
        <v>1245</v>
      </c>
      <c r="H100" s="299" t="s">
        <v>1241</v>
      </c>
      <c r="I100" s="643" t="s">
        <v>46</v>
      </c>
      <c r="J100" s="771" t="s">
        <v>47</v>
      </c>
      <c r="K100" s="298" t="s">
        <v>18</v>
      </c>
      <c r="L100" s="635">
        <v>6</v>
      </c>
      <c r="M100" s="750">
        <v>240740.74</v>
      </c>
      <c r="N100" s="613">
        <v>1444444.44</v>
      </c>
      <c r="O100" s="613">
        <v>115555.5552</v>
      </c>
      <c r="P100" s="651">
        <v>1559999.9952</v>
      </c>
    </row>
    <row r="101" spans="1:16" ht="29.25">
      <c r="A101" s="712" t="s">
        <v>1136</v>
      </c>
      <c r="B101" s="441" t="s">
        <v>1240</v>
      </c>
      <c r="C101" s="446">
        <v>46273</v>
      </c>
      <c r="D101" s="752" t="s">
        <v>1132</v>
      </c>
      <c r="E101" s="446">
        <v>46284</v>
      </c>
      <c r="F101" s="447"/>
      <c r="G101" s="757" t="s">
        <v>1245</v>
      </c>
      <c r="H101" s="299" t="s">
        <v>1241</v>
      </c>
      <c r="I101" s="643" t="s">
        <v>157</v>
      </c>
      <c r="J101" s="771" t="s">
        <v>158</v>
      </c>
      <c r="K101" s="298" t="s">
        <v>18</v>
      </c>
      <c r="L101" s="635">
        <v>6</v>
      </c>
      <c r="M101" s="750">
        <v>342592.59</v>
      </c>
      <c r="N101" s="613">
        <v>2055555.54</v>
      </c>
      <c r="O101" s="613">
        <v>164444.44320000001</v>
      </c>
      <c r="P101" s="651">
        <v>2219999.9832000001</v>
      </c>
    </row>
    <row r="102" spans="1:16" ht="43.5">
      <c r="A102" s="712" t="s">
        <v>1136</v>
      </c>
      <c r="B102" s="441" t="s">
        <v>1240</v>
      </c>
      <c r="C102" s="446">
        <v>46273</v>
      </c>
      <c r="D102" s="752" t="s">
        <v>1132</v>
      </c>
      <c r="E102" s="446">
        <v>46284</v>
      </c>
      <c r="F102" s="447"/>
      <c r="G102" s="757" t="s">
        <v>1245</v>
      </c>
      <c r="H102" s="299" t="s">
        <v>1241</v>
      </c>
      <c r="I102" s="643" t="s">
        <v>60</v>
      </c>
      <c r="J102" s="771" t="s">
        <v>61</v>
      </c>
      <c r="K102" s="298" t="s">
        <v>18</v>
      </c>
      <c r="L102" s="635">
        <v>4</v>
      </c>
      <c r="M102" s="750">
        <v>1138888.8899999999</v>
      </c>
      <c r="N102" s="613">
        <v>4555555.5599999996</v>
      </c>
      <c r="O102" s="613">
        <v>364444.4448</v>
      </c>
      <c r="P102" s="651">
        <v>4920000.0047999993</v>
      </c>
    </row>
    <row r="103" spans="1:16" ht="43.5">
      <c r="A103" s="712" t="s">
        <v>1136</v>
      </c>
      <c r="B103" s="441" t="s">
        <v>1240</v>
      </c>
      <c r="C103" s="446">
        <v>46273</v>
      </c>
      <c r="D103" s="752" t="s">
        <v>1132</v>
      </c>
      <c r="E103" s="446">
        <v>46284</v>
      </c>
      <c r="F103" s="447"/>
      <c r="G103" s="757" t="s">
        <v>1245</v>
      </c>
      <c r="H103" s="299" t="s">
        <v>1241</v>
      </c>
      <c r="I103" s="643" t="s">
        <v>83</v>
      </c>
      <c r="J103" s="771" t="s">
        <v>84</v>
      </c>
      <c r="K103" s="298" t="s">
        <v>18</v>
      </c>
      <c r="L103" s="635">
        <v>4</v>
      </c>
      <c r="M103" s="750">
        <v>1097222.22</v>
      </c>
      <c r="N103" s="613">
        <v>4388888.88</v>
      </c>
      <c r="O103" s="613">
        <v>351111.11040000001</v>
      </c>
      <c r="P103" s="651">
        <v>4739999.9903999995</v>
      </c>
    </row>
    <row r="104" spans="1:16" ht="29.25">
      <c r="A104" s="712" t="s">
        <v>1136</v>
      </c>
      <c r="B104" s="441" t="s">
        <v>1240</v>
      </c>
      <c r="C104" s="446">
        <v>46273</v>
      </c>
      <c r="D104" s="752" t="s">
        <v>1132</v>
      </c>
      <c r="E104" s="446">
        <v>46284</v>
      </c>
      <c r="F104" s="447"/>
      <c r="G104" s="757" t="s">
        <v>1245</v>
      </c>
      <c r="H104" s="299" t="s">
        <v>1241</v>
      </c>
      <c r="I104" s="643" t="s">
        <v>50</v>
      </c>
      <c r="J104" s="771" t="s">
        <v>51</v>
      </c>
      <c r="K104" s="298" t="s">
        <v>18</v>
      </c>
      <c r="L104" s="635">
        <v>6</v>
      </c>
      <c r="M104" s="750">
        <v>937962.96</v>
      </c>
      <c r="N104" s="613">
        <v>5627777.7599999998</v>
      </c>
      <c r="O104" s="613">
        <v>450222.22080000001</v>
      </c>
      <c r="P104" s="651">
        <v>6077999.9808</v>
      </c>
    </row>
    <row r="105" spans="1:16" ht="29.25">
      <c r="A105" s="712" t="s">
        <v>1136</v>
      </c>
      <c r="B105" s="441" t="s">
        <v>1240</v>
      </c>
      <c r="C105" s="446">
        <v>46273</v>
      </c>
      <c r="D105" s="752" t="s">
        <v>1132</v>
      </c>
      <c r="E105" s="446">
        <v>46284</v>
      </c>
      <c r="F105" s="447"/>
      <c r="G105" s="757" t="s">
        <v>1245</v>
      </c>
      <c r="H105" s="299" t="s">
        <v>1241</v>
      </c>
      <c r="I105" s="643" t="s">
        <v>52</v>
      </c>
      <c r="J105" s="771" t="s">
        <v>53</v>
      </c>
      <c r="K105" s="298" t="s">
        <v>18</v>
      </c>
      <c r="L105" s="635">
        <v>6</v>
      </c>
      <c r="M105" s="750">
        <v>1007407.41</v>
      </c>
      <c r="N105" s="613">
        <v>6044444.46</v>
      </c>
      <c r="O105" s="613">
        <v>483555.55680000002</v>
      </c>
      <c r="P105" s="651">
        <v>6528000.0168000003</v>
      </c>
    </row>
    <row r="106" spans="1:16">
      <c r="A106" s="711" t="s">
        <v>752</v>
      </c>
      <c r="B106" s="306" t="s">
        <v>1143</v>
      </c>
      <c r="C106" s="446">
        <v>46279</v>
      </c>
      <c r="D106" s="752" t="s">
        <v>1187</v>
      </c>
      <c r="E106" s="446"/>
      <c r="F106" s="447"/>
      <c r="G106" s="447"/>
      <c r="H106" s="299" t="s">
        <v>812</v>
      </c>
      <c r="I106" s="643" t="s">
        <v>103</v>
      </c>
      <c r="J106" s="771" t="s">
        <v>104</v>
      </c>
      <c r="K106" s="298" t="s">
        <v>18</v>
      </c>
      <c r="L106" s="635">
        <v>12</v>
      </c>
      <c r="M106" s="750">
        <v>675925.93</v>
      </c>
      <c r="N106" s="613">
        <v>8111111.1600000001</v>
      </c>
      <c r="O106" s="613">
        <v>648888.89280000003</v>
      </c>
      <c r="P106" s="651">
        <v>8760000.0527999997</v>
      </c>
    </row>
    <row r="107" spans="1:16">
      <c r="A107" s="711" t="s">
        <v>752</v>
      </c>
      <c r="B107" s="306" t="s">
        <v>1143</v>
      </c>
      <c r="C107" s="446">
        <v>46279</v>
      </c>
      <c r="D107" s="752" t="s">
        <v>1187</v>
      </c>
      <c r="E107" s="446">
        <v>46275</v>
      </c>
      <c r="F107" s="447" t="s">
        <v>1155</v>
      </c>
      <c r="G107" s="757" t="s">
        <v>1154</v>
      </c>
      <c r="H107" s="299" t="s">
        <v>812</v>
      </c>
      <c r="I107" s="643" t="s">
        <v>959</v>
      </c>
      <c r="J107" s="772" t="s">
        <v>960</v>
      </c>
      <c r="K107" s="298" t="s">
        <v>18</v>
      </c>
      <c r="L107" s="635">
        <v>100</v>
      </c>
      <c r="M107" s="750">
        <v>111111.11</v>
      </c>
      <c r="N107" s="613">
        <v>11111111</v>
      </c>
      <c r="O107" s="613">
        <v>888888.88</v>
      </c>
      <c r="P107" s="651">
        <v>11999999.880000001</v>
      </c>
    </row>
    <row r="108" spans="1:16">
      <c r="A108" s="307" t="s">
        <v>965</v>
      </c>
      <c r="B108" s="306" t="s">
        <v>1117</v>
      </c>
      <c r="C108" s="446">
        <v>46279</v>
      </c>
      <c r="D108" s="752" t="s">
        <v>1145</v>
      </c>
      <c r="E108" s="446"/>
      <c r="F108" s="447"/>
      <c r="G108" s="447"/>
      <c r="H108" s="302" t="s">
        <v>1118</v>
      </c>
      <c r="I108" s="643" t="s">
        <v>639</v>
      </c>
      <c r="J108" s="771" t="s">
        <v>640</v>
      </c>
      <c r="K108" s="298" t="s">
        <v>18</v>
      </c>
      <c r="L108" s="635">
        <v>1</v>
      </c>
      <c r="M108" s="750">
        <v>583333.32999999996</v>
      </c>
      <c r="N108" s="613">
        <v>583333.32999999996</v>
      </c>
      <c r="O108" s="613">
        <v>46666.666399999995</v>
      </c>
      <c r="P108" s="651">
        <v>629999.99639999995</v>
      </c>
    </row>
    <row r="109" spans="1:16">
      <c r="A109" s="307" t="s">
        <v>965</v>
      </c>
      <c r="B109" s="306" t="s">
        <v>1117</v>
      </c>
      <c r="C109" s="446">
        <v>46279</v>
      </c>
      <c r="D109" s="752" t="s">
        <v>1145</v>
      </c>
      <c r="E109" s="446"/>
      <c r="F109" s="447"/>
      <c r="G109" s="447"/>
      <c r="H109" s="302" t="s">
        <v>1118</v>
      </c>
      <c r="I109" s="643" t="s">
        <v>641</v>
      </c>
      <c r="J109" s="771" t="s">
        <v>657</v>
      </c>
      <c r="K109" s="298" t="s">
        <v>18</v>
      </c>
      <c r="L109" s="635">
        <v>1</v>
      </c>
      <c r="M109" s="750">
        <v>690740.74</v>
      </c>
      <c r="N109" s="613">
        <v>690740.74</v>
      </c>
      <c r="O109" s="613">
        <v>55259.2592</v>
      </c>
      <c r="P109" s="651">
        <v>745999.99919999996</v>
      </c>
    </row>
    <row r="110" spans="1:16">
      <c r="A110" s="307" t="s">
        <v>965</v>
      </c>
      <c r="B110" s="306" t="s">
        <v>1117</v>
      </c>
      <c r="C110" s="446">
        <v>46279</v>
      </c>
      <c r="D110" s="752" t="s">
        <v>1145</v>
      </c>
      <c r="E110" s="446"/>
      <c r="F110" s="447"/>
      <c r="G110" s="447"/>
      <c r="H110" s="302" t="s">
        <v>1118</v>
      </c>
      <c r="I110" s="643" t="s">
        <v>643</v>
      </c>
      <c r="J110" s="771" t="s">
        <v>644</v>
      </c>
      <c r="K110" s="298" t="s">
        <v>18</v>
      </c>
      <c r="L110" s="635">
        <v>1</v>
      </c>
      <c r="M110" s="750">
        <v>583333.32999999996</v>
      </c>
      <c r="N110" s="613">
        <v>583333.32999999996</v>
      </c>
      <c r="O110" s="613">
        <v>46666.666399999995</v>
      </c>
      <c r="P110" s="651">
        <v>629999.99639999995</v>
      </c>
    </row>
    <row r="111" spans="1:16">
      <c r="A111" s="307" t="s">
        <v>965</v>
      </c>
      <c r="B111" s="306" t="s">
        <v>1117</v>
      </c>
      <c r="C111" s="446">
        <v>46279</v>
      </c>
      <c r="D111" s="752" t="s">
        <v>1145</v>
      </c>
      <c r="E111" s="446"/>
      <c r="F111" s="447"/>
      <c r="G111" s="447"/>
      <c r="H111" s="302" t="s">
        <v>1118</v>
      </c>
      <c r="I111" s="643" t="s">
        <v>649</v>
      </c>
      <c r="J111" s="771" t="s">
        <v>650</v>
      </c>
      <c r="K111" s="298" t="s">
        <v>18</v>
      </c>
      <c r="L111" s="635">
        <v>1</v>
      </c>
      <c r="M111" s="750">
        <v>620370.37</v>
      </c>
      <c r="N111" s="613">
        <v>620370.37</v>
      </c>
      <c r="O111" s="613">
        <v>49629.6296</v>
      </c>
      <c r="P111" s="651">
        <v>669999.99959999998</v>
      </c>
    </row>
    <row r="112" spans="1:16">
      <c r="A112" s="307" t="s">
        <v>965</v>
      </c>
      <c r="B112" s="306" t="s">
        <v>1117</v>
      </c>
      <c r="C112" s="446">
        <v>46279</v>
      </c>
      <c r="D112" s="752" t="s">
        <v>1145</v>
      </c>
      <c r="E112" s="446"/>
      <c r="F112" s="447"/>
      <c r="G112" s="447"/>
      <c r="H112" s="302" t="s">
        <v>1118</v>
      </c>
      <c r="I112" s="643" t="s">
        <v>651</v>
      </c>
      <c r="J112" s="771" t="s">
        <v>652</v>
      </c>
      <c r="K112" s="298" t="s">
        <v>18</v>
      </c>
      <c r="L112" s="635">
        <v>1</v>
      </c>
      <c r="M112" s="750">
        <v>740740.74</v>
      </c>
      <c r="N112" s="613">
        <v>740740.74</v>
      </c>
      <c r="O112" s="613">
        <v>59259.2592</v>
      </c>
      <c r="P112" s="651">
        <v>799999.99919999996</v>
      </c>
    </row>
    <row r="113" spans="1:16">
      <c r="A113" s="307" t="s">
        <v>965</v>
      </c>
      <c r="B113" s="306" t="s">
        <v>1117</v>
      </c>
      <c r="C113" s="446">
        <v>46279</v>
      </c>
      <c r="D113" s="752" t="s">
        <v>1145</v>
      </c>
      <c r="E113" s="446"/>
      <c r="F113" s="447"/>
      <c r="G113" s="447"/>
      <c r="H113" s="302" t="s">
        <v>1118</v>
      </c>
      <c r="I113" s="643" t="s">
        <v>653</v>
      </c>
      <c r="J113" s="771" t="s">
        <v>654</v>
      </c>
      <c r="K113" s="298" t="s">
        <v>18</v>
      </c>
      <c r="L113" s="635">
        <v>1</v>
      </c>
      <c r="M113" s="750">
        <v>527777.77</v>
      </c>
      <c r="N113" s="613">
        <v>527777.77</v>
      </c>
      <c r="O113" s="613">
        <v>42222.221600000004</v>
      </c>
      <c r="P113" s="651">
        <v>569999.99160000007</v>
      </c>
    </row>
    <row r="114" spans="1:16">
      <c r="A114" s="307" t="s">
        <v>965</v>
      </c>
      <c r="B114" s="306" t="s">
        <v>1117</v>
      </c>
      <c r="C114" s="446">
        <v>46279</v>
      </c>
      <c r="D114" s="752" t="s">
        <v>1145</v>
      </c>
      <c r="E114" s="446"/>
      <c r="F114" s="447"/>
      <c r="G114" s="447"/>
      <c r="H114" s="302" t="s">
        <v>1118</v>
      </c>
      <c r="I114" s="643" t="s">
        <v>1043</v>
      </c>
      <c r="J114" s="771" t="s">
        <v>1148</v>
      </c>
      <c r="K114" s="298" t="s">
        <v>18</v>
      </c>
      <c r="L114" s="635">
        <v>1</v>
      </c>
      <c r="M114" s="750">
        <v>611111.11</v>
      </c>
      <c r="N114" s="613">
        <v>611111.11</v>
      </c>
      <c r="O114" s="613">
        <v>48888.888800000001</v>
      </c>
      <c r="P114" s="651">
        <v>659999.99879999994</v>
      </c>
    </row>
    <row r="115" spans="1:16" ht="29.25">
      <c r="A115" s="712" t="s">
        <v>968</v>
      </c>
      <c r="B115" s="441" t="s">
        <v>1063</v>
      </c>
      <c r="C115" s="446">
        <v>46279</v>
      </c>
      <c r="D115" s="752" t="s">
        <v>1186</v>
      </c>
      <c r="E115" s="446">
        <v>46284</v>
      </c>
      <c r="F115" s="447"/>
      <c r="G115" s="757" t="s">
        <v>1247</v>
      </c>
      <c r="H115" s="299" t="s">
        <v>1168</v>
      </c>
      <c r="I115" s="643" t="s">
        <v>56</v>
      </c>
      <c r="J115" s="771" t="s">
        <v>57</v>
      </c>
      <c r="K115" s="298" t="s">
        <v>18</v>
      </c>
      <c r="L115" s="635">
        <v>12</v>
      </c>
      <c r="M115" s="750">
        <v>361111.11</v>
      </c>
      <c r="N115" s="723">
        <v>4333333.32</v>
      </c>
      <c r="O115" s="613">
        <v>346666.66560000001</v>
      </c>
      <c r="P115" s="651">
        <v>4679999.9856000002</v>
      </c>
    </row>
    <row r="116" spans="1:16">
      <c r="A116" s="711" t="s">
        <v>1175</v>
      </c>
      <c r="B116" s="307" t="s">
        <v>1188</v>
      </c>
      <c r="C116" s="446">
        <v>46279</v>
      </c>
      <c r="D116" s="752" t="s">
        <v>1178</v>
      </c>
      <c r="E116" s="446"/>
      <c r="F116" s="447"/>
      <c r="G116" s="447"/>
      <c r="H116" s="299" t="s">
        <v>1177</v>
      </c>
      <c r="I116" s="447" t="s">
        <v>204</v>
      </c>
      <c r="J116" s="322" t="s">
        <v>269</v>
      </c>
      <c r="K116" s="298" t="s">
        <v>18</v>
      </c>
      <c r="L116" s="635">
        <v>2</v>
      </c>
      <c r="M116" s="750">
        <v>526851.85</v>
      </c>
      <c r="N116" s="613">
        <v>1053703.7</v>
      </c>
      <c r="O116" s="613">
        <v>84296.296000000002</v>
      </c>
      <c r="P116" s="651">
        <v>1137999.996</v>
      </c>
    </row>
    <row r="117" spans="1:16">
      <c r="A117" s="711" t="s">
        <v>1175</v>
      </c>
      <c r="B117" s="307" t="s">
        <v>1188</v>
      </c>
      <c r="C117" s="446">
        <v>46279</v>
      </c>
      <c r="D117" s="752" t="s">
        <v>1178</v>
      </c>
      <c r="E117" s="446"/>
      <c r="F117" s="447"/>
      <c r="G117" s="447"/>
      <c r="H117" s="299" t="s">
        <v>1177</v>
      </c>
      <c r="I117" s="447" t="s">
        <v>208</v>
      </c>
      <c r="J117" s="322" t="s">
        <v>1127</v>
      </c>
      <c r="K117" s="298" t="s">
        <v>18</v>
      </c>
      <c r="L117" s="635">
        <v>2</v>
      </c>
      <c r="M117" s="750">
        <v>693518.52</v>
      </c>
      <c r="N117" s="613">
        <v>1387037.04</v>
      </c>
      <c r="O117" s="613">
        <v>110962.9632</v>
      </c>
      <c r="P117" s="651">
        <v>1498000.0032000002</v>
      </c>
    </row>
    <row r="118" spans="1:16">
      <c r="A118" s="711" t="s">
        <v>1175</v>
      </c>
      <c r="B118" s="307" t="s">
        <v>1188</v>
      </c>
      <c r="C118" s="446">
        <v>46279</v>
      </c>
      <c r="D118" s="752" t="s">
        <v>1178</v>
      </c>
      <c r="E118" s="446"/>
      <c r="F118" s="447"/>
      <c r="G118" s="447"/>
      <c r="H118" s="299" t="s">
        <v>1177</v>
      </c>
      <c r="I118" s="447" t="s">
        <v>77</v>
      </c>
      <c r="J118" s="322" t="s">
        <v>1176</v>
      </c>
      <c r="K118" s="298" t="s">
        <v>18</v>
      </c>
      <c r="L118" s="635">
        <v>2</v>
      </c>
      <c r="M118" s="750">
        <v>370370.37</v>
      </c>
      <c r="N118" s="613">
        <v>740740.74</v>
      </c>
      <c r="O118" s="613">
        <v>59259.2592</v>
      </c>
      <c r="P118" s="651">
        <v>799999.99919999996</v>
      </c>
    </row>
    <row r="119" spans="1:16">
      <c r="A119" s="711" t="s">
        <v>1175</v>
      </c>
      <c r="B119" s="307" t="s">
        <v>1188</v>
      </c>
      <c r="C119" s="446">
        <v>46279</v>
      </c>
      <c r="D119" s="752" t="s">
        <v>1178</v>
      </c>
      <c r="E119" s="446"/>
      <c r="F119" s="447"/>
      <c r="G119" s="447"/>
      <c r="H119" s="299" t="s">
        <v>1177</v>
      </c>
      <c r="I119" s="447" t="s">
        <v>258</v>
      </c>
      <c r="J119" s="322" t="s">
        <v>259</v>
      </c>
      <c r="K119" s="298" t="s">
        <v>18</v>
      </c>
      <c r="L119" s="635">
        <v>2</v>
      </c>
      <c r="M119" s="750">
        <v>518518.52</v>
      </c>
      <c r="N119" s="613">
        <v>1037037.04</v>
      </c>
      <c r="O119" s="613">
        <v>82962.963199999998</v>
      </c>
      <c r="P119" s="651">
        <v>1120000.0032000002</v>
      </c>
    </row>
    <row r="120" spans="1:16">
      <c r="A120" s="711" t="s">
        <v>1175</v>
      </c>
      <c r="B120" s="307" t="s">
        <v>1188</v>
      </c>
      <c r="C120" s="446">
        <v>46279</v>
      </c>
      <c r="D120" s="752" t="s">
        <v>1178</v>
      </c>
      <c r="E120" s="446"/>
      <c r="F120" s="447"/>
      <c r="G120" s="447"/>
      <c r="H120" s="299" t="s">
        <v>1177</v>
      </c>
      <c r="I120" s="447" t="s">
        <v>959</v>
      </c>
      <c r="J120" s="322" t="s">
        <v>960</v>
      </c>
      <c r="K120" s="298" t="s">
        <v>18</v>
      </c>
      <c r="L120" s="635">
        <v>2</v>
      </c>
      <c r="M120" s="750">
        <v>129629.63</v>
      </c>
      <c r="N120" s="613">
        <v>259259.26</v>
      </c>
      <c r="O120" s="613">
        <v>20740.7408</v>
      </c>
      <c r="P120" s="651">
        <v>280000.00080000004</v>
      </c>
    </row>
    <row r="121" spans="1:16">
      <c r="A121" s="711" t="s">
        <v>1175</v>
      </c>
      <c r="B121" s="307" t="s">
        <v>1188</v>
      </c>
      <c r="C121" s="446">
        <v>46279</v>
      </c>
      <c r="D121" s="752" t="s">
        <v>1178</v>
      </c>
      <c r="E121" s="446"/>
      <c r="F121" s="447"/>
      <c r="G121" s="447"/>
      <c r="H121" s="299" t="s">
        <v>1177</v>
      </c>
      <c r="I121" s="447" t="s">
        <v>68</v>
      </c>
      <c r="J121" s="322" t="s">
        <v>69</v>
      </c>
      <c r="K121" s="298" t="s">
        <v>18</v>
      </c>
      <c r="L121" s="635">
        <v>2</v>
      </c>
      <c r="M121" s="750">
        <v>148148.15</v>
      </c>
      <c r="N121" s="613">
        <v>296296.3</v>
      </c>
      <c r="O121" s="613">
        <v>23703.703999999998</v>
      </c>
      <c r="P121" s="651">
        <v>320000.00399999996</v>
      </c>
    </row>
    <row r="122" spans="1:16">
      <c r="A122" s="711" t="s">
        <v>1175</v>
      </c>
      <c r="B122" s="307" t="s">
        <v>1188</v>
      </c>
      <c r="C122" s="446">
        <v>46279</v>
      </c>
      <c r="D122" s="752" t="s">
        <v>1178</v>
      </c>
      <c r="E122" s="446"/>
      <c r="F122" s="447"/>
      <c r="G122" s="447"/>
      <c r="H122" s="299" t="s">
        <v>1177</v>
      </c>
      <c r="I122" s="447" t="s">
        <v>180</v>
      </c>
      <c r="J122" s="322" t="s">
        <v>181</v>
      </c>
      <c r="K122" s="298" t="s">
        <v>18</v>
      </c>
      <c r="L122" s="635">
        <v>2</v>
      </c>
      <c r="M122" s="750">
        <v>252777.78</v>
      </c>
      <c r="N122" s="613">
        <v>505555.56</v>
      </c>
      <c r="O122" s="613">
        <v>40444.444799999997</v>
      </c>
      <c r="P122" s="651">
        <v>546000.0048</v>
      </c>
    </row>
    <row r="123" spans="1:16">
      <c r="A123" s="711" t="s">
        <v>1175</v>
      </c>
      <c r="B123" s="307" t="s">
        <v>1188</v>
      </c>
      <c r="C123" s="446">
        <v>46279</v>
      </c>
      <c r="D123" s="752" t="s">
        <v>1178</v>
      </c>
      <c r="E123" s="446"/>
      <c r="F123" s="447"/>
      <c r="G123" s="447"/>
      <c r="H123" s="299" t="s">
        <v>1177</v>
      </c>
      <c r="I123" s="447" t="s">
        <v>26</v>
      </c>
      <c r="J123" s="322" t="s">
        <v>27</v>
      </c>
      <c r="K123" s="298" t="s">
        <v>18</v>
      </c>
      <c r="L123" s="635">
        <v>2</v>
      </c>
      <c r="M123" s="750">
        <v>275000</v>
      </c>
      <c r="N123" s="613">
        <v>550000</v>
      </c>
      <c r="O123" s="613">
        <v>44000</v>
      </c>
      <c r="P123" s="651">
        <v>594000</v>
      </c>
    </row>
    <row r="124" spans="1:16">
      <c r="A124" s="711" t="s">
        <v>1175</v>
      </c>
      <c r="B124" s="307" t="s">
        <v>1188</v>
      </c>
      <c r="C124" s="446">
        <v>46279</v>
      </c>
      <c r="D124" s="752" t="s">
        <v>1178</v>
      </c>
      <c r="E124" s="446"/>
      <c r="F124" s="447"/>
      <c r="G124" s="447"/>
      <c r="H124" s="299" t="s">
        <v>1177</v>
      </c>
      <c r="I124" s="447" t="s">
        <v>184</v>
      </c>
      <c r="J124" s="322" t="s">
        <v>272</v>
      </c>
      <c r="K124" s="298" t="s">
        <v>18</v>
      </c>
      <c r="L124" s="635">
        <v>2</v>
      </c>
      <c r="M124" s="750">
        <v>259259.26</v>
      </c>
      <c r="N124" s="613">
        <v>518518.52</v>
      </c>
      <c r="O124" s="613">
        <v>41481.481599999999</v>
      </c>
      <c r="P124" s="651">
        <v>560000.00160000008</v>
      </c>
    </row>
    <row r="125" spans="1:16">
      <c r="A125" s="711" t="s">
        <v>1175</v>
      </c>
      <c r="B125" s="307" t="s">
        <v>1188</v>
      </c>
      <c r="C125" s="446">
        <v>46279</v>
      </c>
      <c r="D125" s="752" t="s">
        <v>1178</v>
      </c>
      <c r="E125" s="446"/>
      <c r="F125" s="447"/>
      <c r="G125" s="447"/>
      <c r="H125" s="299" t="s">
        <v>1177</v>
      </c>
      <c r="I125" s="447" t="s">
        <v>83</v>
      </c>
      <c r="J125" s="322" t="s">
        <v>84</v>
      </c>
      <c r="K125" s="298" t="s">
        <v>18</v>
      </c>
      <c r="L125" s="635">
        <v>2</v>
      </c>
      <c r="M125" s="750">
        <v>1143518.52</v>
      </c>
      <c r="N125" s="613">
        <v>2287037.04</v>
      </c>
      <c r="O125" s="613">
        <v>182962.9632</v>
      </c>
      <c r="P125" s="651">
        <v>2470000.0032000002</v>
      </c>
    </row>
    <row r="126" spans="1:16">
      <c r="A126" s="711" t="s">
        <v>1175</v>
      </c>
      <c r="B126" s="307" t="s">
        <v>1188</v>
      </c>
      <c r="C126" s="446">
        <v>46279</v>
      </c>
      <c r="D126" s="752" t="s">
        <v>1178</v>
      </c>
      <c r="E126" s="446"/>
      <c r="F126" s="447"/>
      <c r="G126" s="447"/>
      <c r="H126" s="299" t="s">
        <v>1177</v>
      </c>
      <c r="I126" s="447" t="s">
        <v>16</v>
      </c>
      <c r="J126" s="322" t="s">
        <v>17</v>
      </c>
      <c r="K126" s="298" t="s">
        <v>18</v>
      </c>
      <c r="L126" s="635">
        <v>2</v>
      </c>
      <c r="M126" s="750">
        <v>898148.15</v>
      </c>
      <c r="N126" s="613">
        <v>1796296.3</v>
      </c>
      <c r="O126" s="613">
        <v>143703.704</v>
      </c>
      <c r="P126" s="651">
        <v>1940000.004</v>
      </c>
    </row>
    <row r="127" spans="1:16">
      <c r="A127" s="711" t="s">
        <v>1175</v>
      </c>
      <c r="B127" s="307" t="s">
        <v>1188</v>
      </c>
      <c r="C127" s="446">
        <v>46279</v>
      </c>
      <c r="D127" s="752" t="s">
        <v>1178</v>
      </c>
      <c r="E127" s="446"/>
      <c r="F127" s="447"/>
      <c r="G127" s="447"/>
      <c r="H127" s="299" t="s">
        <v>1177</v>
      </c>
      <c r="I127" s="447" t="s">
        <v>107</v>
      </c>
      <c r="J127" s="322" t="s">
        <v>108</v>
      </c>
      <c r="K127" s="298" t="s">
        <v>18</v>
      </c>
      <c r="L127" s="635">
        <v>2</v>
      </c>
      <c r="M127" s="750">
        <v>376851.85</v>
      </c>
      <c r="N127" s="613">
        <v>753703.7</v>
      </c>
      <c r="O127" s="613">
        <v>60296.295999999995</v>
      </c>
      <c r="P127" s="651">
        <v>813999.99599999993</v>
      </c>
    </row>
    <row r="128" spans="1:16">
      <c r="A128" s="711" t="s">
        <v>1175</v>
      </c>
      <c r="B128" s="307" t="s">
        <v>1188</v>
      </c>
      <c r="C128" s="446">
        <v>46279</v>
      </c>
      <c r="D128" s="752" t="s">
        <v>1178</v>
      </c>
      <c r="E128" s="446"/>
      <c r="F128" s="447"/>
      <c r="G128" s="447"/>
      <c r="H128" s="299" t="s">
        <v>1177</v>
      </c>
      <c r="I128" s="447" t="s">
        <v>127</v>
      </c>
      <c r="J128" s="322" t="s">
        <v>128</v>
      </c>
      <c r="K128" s="298" t="s">
        <v>18</v>
      </c>
      <c r="L128" s="635">
        <v>2</v>
      </c>
      <c r="M128" s="750">
        <v>312037.03999999998</v>
      </c>
      <c r="N128" s="613">
        <v>624074.07999999996</v>
      </c>
      <c r="O128" s="613">
        <v>49925.926399999997</v>
      </c>
      <c r="P128" s="651">
        <v>674000.00639999995</v>
      </c>
    </row>
    <row r="129" spans="1:16">
      <c r="A129" s="711" t="s">
        <v>966</v>
      </c>
      <c r="B129" s="306" t="s">
        <v>697</v>
      </c>
      <c r="C129" s="446">
        <v>46281</v>
      </c>
      <c r="D129" s="752" t="s">
        <v>1182</v>
      </c>
      <c r="E129" s="446"/>
      <c r="F129" s="447"/>
      <c r="G129" s="447"/>
      <c r="H129" s="299" t="s">
        <v>677</v>
      </c>
      <c r="I129" s="643" t="s">
        <v>23</v>
      </c>
      <c r="J129" s="718" t="s">
        <v>82</v>
      </c>
      <c r="K129" s="298" t="s">
        <v>18</v>
      </c>
      <c r="L129" s="635">
        <v>1</v>
      </c>
      <c r="M129" s="750">
        <v>1185185.18</v>
      </c>
      <c r="N129" s="723">
        <v>1185185.18</v>
      </c>
      <c r="O129" s="613">
        <v>94814.814400000003</v>
      </c>
      <c r="P129" s="651">
        <v>1279999.9944</v>
      </c>
    </row>
    <row r="130" spans="1:16" ht="29.25">
      <c r="A130" s="711" t="s">
        <v>966</v>
      </c>
      <c r="B130" s="306" t="s">
        <v>697</v>
      </c>
      <c r="C130" s="446">
        <v>46281</v>
      </c>
      <c r="D130" s="752" t="s">
        <v>1182</v>
      </c>
      <c r="E130" s="446"/>
      <c r="F130" s="447"/>
      <c r="G130" s="447"/>
      <c r="H130" s="299" t="s">
        <v>677</v>
      </c>
      <c r="I130" s="643" t="s">
        <v>52</v>
      </c>
      <c r="J130" s="718" t="s">
        <v>53</v>
      </c>
      <c r="K130" s="298" t="s">
        <v>18</v>
      </c>
      <c r="L130" s="635">
        <v>2</v>
      </c>
      <c r="M130" s="750">
        <v>1007407.41</v>
      </c>
      <c r="N130" s="723">
        <v>2014814.82</v>
      </c>
      <c r="O130" s="613">
        <v>161185.1856</v>
      </c>
      <c r="P130" s="651">
        <v>2176000.0056000003</v>
      </c>
    </row>
    <row r="131" spans="1:16">
      <c r="A131" s="711" t="s">
        <v>761</v>
      </c>
      <c r="B131" s="306" t="s">
        <v>695</v>
      </c>
      <c r="C131" s="446">
        <v>46279</v>
      </c>
      <c r="D131" s="752" t="s">
        <v>1185</v>
      </c>
      <c r="E131" s="446"/>
      <c r="F131" s="447"/>
      <c r="G131" s="447"/>
      <c r="H131" s="299" t="s">
        <v>817</v>
      </c>
      <c r="I131" s="447" t="s">
        <v>655</v>
      </c>
      <c r="J131" s="322" t="s">
        <v>656</v>
      </c>
      <c r="K131" s="635" t="s">
        <v>18</v>
      </c>
      <c r="L131" s="635">
        <v>8</v>
      </c>
      <c r="M131" s="750">
        <v>574074.06999999995</v>
      </c>
      <c r="N131" s="723">
        <v>4592592.5599999996</v>
      </c>
      <c r="O131" s="613">
        <v>367407.40479999996</v>
      </c>
      <c r="P131" s="612">
        <v>4959999.9647999993</v>
      </c>
    </row>
    <row r="132" spans="1:16">
      <c r="A132" s="711" t="s">
        <v>966</v>
      </c>
      <c r="B132" s="306" t="s">
        <v>697</v>
      </c>
      <c r="C132" s="446">
        <v>46281</v>
      </c>
      <c r="D132" s="752" t="s">
        <v>1183</v>
      </c>
      <c r="E132" s="446"/>
      <c r="F132" s="447"/>
      <c r="G132" s="447"/>
      <c r="H132" s="299" t="s">
        <v>677</v>
      </c>
      <c r="I132" s="447" t="s">
        <v>46</v>
      </c>
      <c r="J132" s="322" t="s">
        <v>47</v>
      </c>
      <c r="K132" s="298" t="s">
        <v>18</v>
      </c>
      <c r="L132" s="635">
        <v>22</v>
      </c>
      <c r="M132" s="750">
        <v>240740.74</v>
      </c>
      <c r="N132" s="613">
        <v>5296296.2799999993</v>
      </c>
      <c r="O132" s="613">
        <v>423703.70239999995</v>
      </c>
      <c r="P132" s="651">
        <v>5719999.9823999992</v>
      </c>
    </row>
    <row r="133" spans="1:16">
      <c r="A133" s="711" t="s">
        <v>966</v>
      </c>
      <c r="B133" s="306" t="s">
        <v>697</v>
      </c>
      <c r="C133" s="446">
        <v>46281</v>
      </c>
      <c r="D133" s="752" t="s">
        <v>1183</v>
      </c>
      <c r="E133" s="446"/>
      <c r="F133" s="447"/>
      <c r="G133" s="447"/>
      <c r="H133" s="299" t="s">
        <v>677</v>
      </c>
      <c r="I133" s="447" t="s">
        <v>157</v>
      </c>
      <c r="J133" s="322" t="s">
        <v>158</v>
      </c>
      <c r="K133" s="298" t="s">
        <v>18</v>
      </c>
      <c r="L133" s="635">
        <v>54</v>
      </c>
      <c r="M133" s="750">
        <v>342592.59</v>
      </c>
      <c r="N133" s="613">
        <v>18499999.860000003</v>
      </c>
      <c r="O133" s="613">
        <v>1479999.9888000002</v>
      </c>
      <c r="P133" s="651">
        <v>19979999.848800004</v>
      </c>
    </row>
    <row r="134" spans="1:16">
      <c r="A134" s="711" t="s">
        <v>966</v>
      </c>
      <c r="B134" s="306" t="s">
        <v>697</v>
      </c>
      <c r="C134" s="446">
        <v>46281</v>
      </c>
      <c r="D134" s="752" t="s">
        <v>1183</v>
      </c>
      <c r="E134" s="446"/>
      <c r="F134" s="447"/>
      <c r="G134" s="447"/>
      <c r="H134" s="299" t="s">
        <v>677</v>
      </c>
      <c r="I134" s="447" t="s">
        <v>40</v>
      </c>
      <c r="J134" s="322" t="s">
        <v>41</v>
      </c>
      <c r="K134" s="298" t="s">
        <v>18</v>
      </c>
      <c r="L134" s="635">
        <v>3</v>
      </c>
      <c r="M134" s="750">
        <v>844444.44</v>
      </c>
      <c r="N134" s="613">
        <v>2533333.3199999998</v>
      </c>
      <c r="O134" s="613">
        <v>202666.66559999998</v>
      </c>
      <c r="P134" s="651">
        <v>2735999.9855999998</v>
      </c>
    </row>
    <row r="135" spans="1:16">
      <c r="A135" s="711" t="s">
        <v>966</v>
      </c>
      <c r="B135" s="306" t="s">
        <v>697</v>
      </c>
      <c r="C135" s="446">
        <v>46281</v>
      </c>
      <c r="D135" s="752" t="s">
        <v>1183</v>
      </c>
      <c r="E135" s="446"/>
      <c r="F135" s="447"/>
      <c r="G135" s="447"/>
      <c r="H135" s="299" t="s">
        <v>677</v>
      </c>
      <c r="I135" s="447" t="s">
        <v>85</v>
      </c>
      <c r="J135" s="322" t="s">
        <v>86</v>
      </c>
      <c r="K135" s="298" t="s">
        <v>18</v>
      </c>
      <c r="L135" s="635">
        <v>17</v>
      </c>
      <c r="M135" s="750">
        <v>555555.56000000006</v>
      </c>
      <c r="N135" s="613">
        <v>9444444.5200000014</v>
      </c>
      <c r="O135" s="613">
        <v>755555.56160000013</v>
      </c>
      <c r="P135" s="651">
        <v>10200000.081600001</v>
      </c>
    </row>
    <row r="136" spans="1:16">
      <c r="A136" s="711" t="s">
        <v>966</v>
      </c>
      <c r="B136" s="306" t="s">
        <v>697</v>
      </c>
      <c r="C136" s="446">
        <v>46281</v>
      </c>
      <c r="D136" s="752" t="s">
        <v>1183</v>
      </c>
      <c r="E136" s="446"/>
      <c r="F136" s="447"/>
      <c r="G136" s="447"/>
      <c r="H136" s="299" t="s">
        <v>677</v>
      </c>
      <c r="I136" s="447" t="s">
        <v>194</v>
      </c>
      <c r="J136" s="322" t="s">
        <v>720</v>
      </c>
      <c r="K136" s="298" t="s">
        <v>18</v>
      </c>
      <c r="L136" s="635">
        <v>20</v>
      </c>
      <c r="M136" s="750">
        <v>1203703.7</v>
      </c>
      <c r="N136" s="613">
        <v>24074074</v>
      </c>
      <c r="O136" s="613">
        <v>1925925.92</v>
      </c>
      <c r="P136" s="651">
        <v>25999999.920000002</v>
      </c>
    </row>
    <row r="137" spans="1:16">
      <c r="A137" s="711" t="s">
        <v>761</v>
      </c>
      <c r="B137" s="306" t="s">
        <v>695</v>
      </c>
      <c r="C137" s="446">
        <v>46282</v>
      </c>
      <c r="D137" s="752" t="s">
        <v>1203</v>
      </c>
      <c r="E137" s="446"/>
      <c r="F137" s="447"/>
      <c r="G137" s="447"/>
      <c r="H137" s="299" t="s">
        <v>817</v>
      </c>
      <c r="I137" s="643" t="s">
        <v>641</v>
      </c>
      <c r="J137" s="771" t="s">
        <v>657</v>
      </c>
      <c r="K137" s="298" t="s">
        <v>18</v>
      </c>
      <c r="L137" s="721">
        <v>15</v>
      </c>
      <c r="M137" s="750">
        <v>638888.89</v>
      </c>
      <c r="N137" s="723">
        <v>9583333.3499999996</v>
      </c>
      <c r="O137" s="613">
        <v>766666.66799999995</v>
      </c>
      <c r="P137" s="612">
        <v>10350000.017999999</v>
      </c>
    </row>
    <row r="138" spans="1:16">
      <c r="A138" s="711" t="s">
        <v>761</v>
      </c>
      <c r="B138" s="306" t="s">
        <v>695</v>
      </c>
      <c r="C138" s="446">
        <v>46282</v>
      </c>
      <c r="D138" s="752" t="s">
        <v>1203</v>
      </c>
      <c r="E138" s="446"/>
      <c r="F138" s="447"/>
      <c r="G138" s="447"/>
      <c r="H138" s="299" t="s">
        <v>817</v>
      </c>
      <c r="I138" s="643" t="s">
        <v>643</v>
      </c>
      <c r="J138" s="771" t="s">
        <v>644</v>
      </c>
      <c r="K138" s="298" t="s">
        <v>18</v>
      </c>
      <c r="L138" s="721">
        <v>15</v>
      </c>
      <c r="M138" s="750">
        <v>527777.78</v>
      </c>
      <c r="N138" s="723">
        <v>7916666.7000000002</v>
      </c>
      <c r="O138" s="613">
        <v>633333.33600000001</v>
      </c>
      <c r="P138" s="612">
        <v>8550000.0360000003</v>
      </c>
    </row>
    <row r="139" spans="1:16">
      <c r="A139" s="711" t="s">
        <v>761</v>
      </c>
      <c r="B139" s="306" t="s">
        <v>695</v>
      </c>
      <c r="C139" s="446">
        <v>46282</v>
      </c>
      <c r="D139" s="752" t="s">
        <v>1203</v>
      </c>
      <c r="E139" s="446"/>
      <c r="F139" s="447"/>
      <c r="G139" s="447"/>
      <c r="H139" s="299" t="s">
        <v>817</v>
      </c>
      <c r="I139" s="643" t="s">
        <v>645</v>
      </c>
      <c r="J139" s="771" t="s">
        <v>646</v>
      </c>
      <c r="K139" s="298" t="s">
        <v>18</v>
      </c>
      <c r="L139" s="721">
        <v>15</v>
      </c>
      <c r="M139" s="750">
        <v>629629.63</v>
      </c>
      <c r="N139" s="723">
        <v>9444444.4499999993</v>
      </c>
      <c r="O139" s="613">
        <v>755555.55599999998</v>
      </c>
      <c r="P139" s="612">
        <v>10200000.005999999</v>
      </c>
    </row>
    <row r="140" spans="1:16">
      <c r="A140" s="711" t="s">
        <v>761</v>
      </c>
      <c r="B140" s="306" t="s">
        <v>695</v>
      </c>
      <c r="C140" s="446">
        <v>46282</v>
      </c>
      <c r="D140" s="752" t="s">
        <v>1203</v>
      </c>
      <c r="E140" s="446"/>
      <c r="F140" s="447"/>
      <c r="G140" s="447"/>
      <c r="H140" s="299" t="s">
        <v>817</v>
      </c>
      <c r="I140" s="643" t="s">
        <v>649</v>
      </c>
      <c r="J140" s="771" t="s">
        <v>650</v>
      </c>
      <c r="K140" s="298" t="s">
        <v>18</v>
      </c>
      <c r="L140" s="721">
        <v>15</v>
      </c>
      <c r="M140" s="750">
        <v>574074.06999999995</v>
      </c>
      <c r="N140" s="723">
        <v>8611111.0499999989</v>
      </c>
      <c r="O140" s="613">
        <v>688888.88399999996</v>
      </c>
      <c r="P140" s="612">
        <v>9299999.9339999985</v>
      </c>
    </row>
    <row r="141" spans="1:16">
      <c r="A141" s="711" t="s">
        <v>761</v>
      </c>
      <c r="B141" s="306" t="s">
        <v>695</v>
      </c>
      <c r="C141" s="446">
        <v>46282</v>
      </c>
      <c r="D141" s="752" t="s">
        <v>1203</v>
      </c>
      <c r="E141" s="446"/>
      <c r="F141" s="447"/>
      <c r="G141" s="447"/>
      <c r="H141" s="299" t="s">
        <v>817</v>
      </c>
      <c r="I141" s="643" t="s">
        <v>651</v>
      </c>
      <c r="J141" s="771" t="s">
        <v>652</v>
      </c>
      <c r="K141" s="298" t="s">
        <v>18</v>
      </c>
      <c r="L141" s="721">
        <v>15</v>
      </c>
      <c r="M141" s="750">
        <v>694444.44</v>
      </c>
      <c r="N141" s="723">
        <v>10416666.6</v>
      </c>
      <c r="O141" s="613">
        <v>833333.32799999998</v>
      </c>
      <c r="P141" s="612">
        <v>11249999.927999999</v>
      </c>
    </row>
    <row r="142" spans="1:16">
      <c r="A142" s="711" t="s">
        <v>761</v>
      </c>
      <c r="B142" s="306" t="s">
        <v>695</v>
      </c>
      <c r="C142" s="446">
        <v>46282</v>
      </c>
      <c r="D142" s="752" t="s">
        <v>1203</v>
      </c>
      <c r="E142" s="446"/>
      <c r="F142" s="447"/>
      <c r="G142" s="447"/>
      <c r="H142" s="299" t="s">
        <v>817</v>
      </c>
      <c r="I142" s="643" t="s">
        <v>653</v>
      </c>
      <c r="J142" s="771" t="s">
        <v>654</v>
      </c>
      <c r="K142" s="298" t="s">
        <v>18</v>
      </c>
      <c r="L142" s="721">
        <v>15</v>
      </c>
      <c r="M142" s="750">
        <v>481481.48</v>
      </c>
      <c r="N142" s="723">
        <v>7222222.1999999993</v>
      </c>
      <c r="O142" s="613">
        <v>577777.77599999995</v>
      </c>
      <c r="P142" s="612">
        <v>7799999.9759999989</v>
      </c>
    </row>
    <row r="143" spans="1:16">
      <c r="A143" s="711" t="s">
        <v>761</v>
      </c>
      <c r="B143" s="306" t="s">
        <v>695</v>
      </c>
      <c r="C143" s="446">
        <v>46282</v>
      </c>
      <c r="D143" s="752" t="s">
        <v>1203</v>
      </c>
      <c r="E143" s="446"/>
      <c r="F143" s="447"/>
      <c r="G143" s="447"/>
      <c r="H143" s="299" t="s">
        <v>817</v>
      </c>
      <c r="I143" s="643" t="s">
        <v>655</v>
      </c>
      <c r="J143" s="771" t="s">
        <v>656</v>
      </c>
      <c r="K143" s="298" t="s">
        <v>18</v>
      </c>
      <c r="L143" s="721">
        <v>7</v>
      </c>
      <c r="M143" s="750">
        <v>574074.06999999995</v>
      </c>
      <c r="N143" s="723">
        <v>4018518.4899999998</v>
      </c>
      <c r="O143" s="613">
        <v>321481.4792</v>
      </c>
      <c r="P143" s="612">
        <v>4339999.9692000002</v>
      </c>
    </row>
    <row r="144" spans="1:16">
      <c r="A144" s="711" t="s">
        <v>761</v>
      </c>
      <c r="B144" s="306" t="s">
        <v>695</v>
      </c>
      <c r="C144" s="446">
        <v>46282</v>
      </c>
      <c r="D144" s="752" t="s">
        <v>1203</v>
      </c>
      <c r="E144" s="446"/>
      <c r="F144" s="447"/>
      <c r="G144" s="447"/>
      <c r="H144" s="299" t="s">
        <v>817</v>
      </c>
      <c r="I144" s="643" t="s">
        <v>796</v>
      </c>
      <c r="J144" s="771" t="s">
        <v>797</v>
      </c>
      <c r="K144" s="298" t="s">
        <v>18</v>
      </c>
      <c r="L144" s="721">
        <v>50</v>
      </c>
      <c r="M144" s="750">
        <v>292592.59000000003</v>
      </c>
      <c r="N144" s="723">
        <v>14629629.500000002</v>
      </c>
      <c r="O144" s="613">
        <v>1170370.3600000001</v>
      </c>
      <c r="P144" s="612">
        <v>15799999.860000001</v>
      </c>
    </row>
    <row r="145" spans="1:16">
      <c r="A145" s="711" t="s">
        <v>761</v>
      </c>
      <c r="B145" s="306" t="s">
        <v>695</v>
      </c>
      <c r="C145" s="446">
        <v>46282</v>
      </c>
      <c r="D145" s="752" t="s">
        <v>1203</v>
      </c>
      <c r="E145" s="446"/>
      <c r="F145" s="447"/>
      <c r="G145" s="447"/>
      <c r="H145" s="299" t="s">
        <v>817</v>
      </c>
      <c r="I145" s="643" t="s">
        <v>798</v>
      </c>
      <c r="J145" s="771" t="s">
        <v>799</v>
      </c>
      <c r="K145" s="298" t="s">
        <v>18</v>
      </c>
      <c r="L145" s="721">
        <v>50</v>
      </c>
      <c r="M145" s="750">
        <v>231481.48</v>
      </c>
      <c r="N145" s="723">
        <v>11574074</v>
      </c>
      <c r="O145" s="613">
        <v>925925.92</v>
      </c>
      <c r="P145" s="612">
        <v>12499999.92</v>
      </c>
    </row>
    <row r="146" spans="1:16">
      <c r="A146" s="441" t="s">
        <v>1138</v>
      </c>
      <c r="B146" s="441" t="s">
        <v>1235</v>
      </c>
      <c r="C146" s="446">
        <v>46282</v>
      </c>
      <c r="D146" s="752" t="s">
        <v>1206</v>
      </c>
      <c r="E146" s="446"/>
      <c r="F146" s="447"/>
      <c r="G146" s="447"/>
      <c r="H146" s="302" t="s">
        <v>1236</v>
      </c>
      <c r="I146" s="643" t="s">
        <v>645</v>
      </c>
      <c r="J146" s="771" t="s">
        <v>646</v>
      </c>
      <c r="K146" s="298" t="s">
        <v>18</v>
      </c>
      <c r="L146" s="721">
        <v>15</v>
      </c>
      <c r="M146" s="722">
        <v>629629.63</v>
      </c>
      <c r="N146" s="723">
        <v>9444444.4499999993</v>
      </c>
      <c r="O146" s="613">
        <v>755555.55599999998</v>
      </c>
      <c r="P146" s="651">
        <v>10200000.005999999</v>
      </c>
    </row>
    <row r="147" spans="1:16" ht="28.5">
      <c r="A147" s="751" t="s">
        <v>934</v>
      </c>
      <c r="B147" s="307" t="s">
        <v>865</v>
      </c>
      <c r="C147" s="446">
        <v>46279</v>
      </c>
      <c r="D147" s="752" t="s">
        <v>1207</v>
      </c>
      <c r="E147" s="446"/>
      <c r="F147" s="447"/>
      <c r="G147" s="447"/>
      <c r="H147" s="299" t="s">
        <v>867</v>
      </c>
      <c r="I147" s="719" t="s">
        <v>48</v>
      </c>
      <c r="J147" s="773" t="s">
        <v>49</v>
      </c>
      <c r="K147" s="298" t="s">
        <v>18</v>
      </c>
      <c r="L147" s="635">
        <v>12</v>
      </c>
      <c r="M147" s="750">
        <v>601851.85</v>
      </c>
      <c r="N147" s="613">
        <v>7222222.1999999993</v>
      </c>
      <c r="O147" s="613">
        <v>577777.77599999995</v>
      </c>
      <c r="P147" s="651">
        <v>7799999.9759999989</v>
      </c>
    </row>
    <row r="148" spans="1:16" ht="28.5">
      <c r="A148" s="751" t="s">
        <v>934</v>
      </c>
      <c r="B148" s="307" t="s">
        <v>865</v>
      </c>
      <c r="C148" s="446">
        <v>46279</v>
      </c>
      <c r="D148" s="752" t="s">
        <v>1207</v>
      </c>
      <c r="E148" s="446"/>
      <c r="F148" s="447"/>
      <c r="G148" s="447"/>
      <c r="H148" s="299" t="s">
        <v>867</v>
      </c>
      <c r="I148" s="719" t="s">
        <v>50</v>
      </c>
      <c r="J148" s="773" t="s">
        <v>51</v>
      </c>
      <c r="K148" s="298" t="s">
        <v>18</v>
      </c>
      <c r="L148" s="635">
        <v>6</v>
      </c>
      <c r="M148" s="750">
        <v>937962.96</v>
      </c>
      <c r="N148" s="613">
        <v>5627777.7599999998</v>
      </c>
      <c r="O148" s="613">
        <v>450222.22080000001</v>
      </c>
      <c r="P148" s="651">
        <v>6077999.9808</v>
      </c>
    </row>
    <row r="149" spans="1:16">
      <c r="A149" s="751" t="s">
        <v>934</v>
      </c>
      <c r="B149" s="307" t="s">
        <v>865</v>
      </c>
      <c r="C149" s="446">
        <v>46279</v>
      </c>
      <c r="D149" s="752" t="s">
        <v>1207</v>
      </c>
      <c r="E149" s="446"/>
      <c r="F149" s="447"/>
      <c r="G149" s="447"/>
      <c r="H149" s="299" t="s">
        <v>867</v>
      </c>
      <c r="I149" s="719" t="s">
        <v>226</v>
      </c>
      <c r="J149" s="773" t="s">
        <v>227</v>
      </c>
      <c r="K149" s="298" t="s">
        <v>18</v>
      </c>
      <c r="L149" s="635">
        <v>6</v>
      </c>
      <c r="M149" s="750">
        <v>799074.07</v>
      </c>
      <c r="N149" s="613">
        <v>4794444.42</v>
      </c>
      <c r="O149" s="613">
        <v>383555.55359999998</v>
      </c>
      <c r="P149" s="651">
        <v>5177999.9736000001</v>
      </c>
    </row>
    <row r="150" spans="1:16" ht="28.5">
      <c r="A150" s="751" t="s">
        <v>934</v>
      </c>
      <c r="B150" s="307" t="s">
        <v>865</v>
      </c>
      <c r="C150" s="446">
        <v>46279</v>
      </c>
      <c r="D150" s="752" t="s">
        <v>1207</v>
      </c>
      <c r="E150" s="446"/>
      <c r="F150" s="447"/>
      <c r="G150" s="447"/>
      <c r="H150" s="299" t="s">
        <v>867</v>
      </c>
      <c r="I150" s="719" t="s">
        <v>52</v>
      </c>
      <c r="J150" s="773" t="s">
        <v>53</v>
      </c>
      <c r="K150" s="298" t="s">
        <v>18</v>
      </c>
      <c r="L150" s="635">
        <v>12</v>
      </c>
      <c r="M150" s="750">
        <v>1007407.41</v>
      </c>
      <c r="N150" s="613">
        <v>12088888.92</v>
      </c>
      <c r="O150" s="613">
        <v>967111.11360000004</v>
      </c>
      <c r="P150" s="651">
        <v>13056000.033600001</v>
      </c>
    </row>
    <row r="151" spans="1:16">
      <c r="A151" s="751" t="s">
        <v>934</v>
      </c>
      <c r="B151" s="307" t="s">
        <v>865</v>
      </c>
      <c r="C151" s="446">
        <v>46279</v>
      </c>
      <c r="D151" s="752" t="s">
        <v>1207</v>
      </c>
      <c r="E151" s="446"/>
      <c r="F151" s="447"/>
      <c r="G151" s="447"/>
      <c r="H151" s="299" t="s">
        <v>867</v>
      </c>
      <c r="I151" s="719" t="s">
        <v>103</v>
      </c>
      <c r="J151" s="773" t="s">
        <v>104</v>
      </c>
      <c r="K151" s="298" t="s">
        <v>18</v>
      </c>
      <c r="L151" s="635">
        <v>12</v>
      </c>
      <c r="M151" s="750">
        <v>675925.93</v>
      </c>
      <c r="N151" s="613">
        <v>8111111.1600000001</v>
      </c>
      <c r="O151" s="613">
        <v>648888.89280000003</v>
      </c>
      <c r="P151" s="651">
        <v>8760000.0527999997</v>
      </c>
    </row>
    <row r="152" spans="1:16">
      <c r="A152" s="751" t="s">
        <v>934</v>
      </c>
      <c r="B152" s="307" t="s">
        <v>865</v>
      </c>
      <c r="C152" s="446">
        <v>46279</v>
      </c>
      <c r="D152" s="752" t="s">
        <v>1207</v>
      </c>
      <c r="E152" s="446"/>
      <c r="F152" s="447"/>
      <c r="G152" s="447"/>
      <c r="H152" s="299" t="s">
        <v>867</v>
      </c>
      <c r="I152" s="719" t="s">
        <v>873</v>
      </c>
      <c r="J152" s="773" t="s">
        <v>874</v>
      </c>
      <c r="K152" s="298" t="s">
        <v>18</v>
      </c>
      <c r="L152" s="635">
        <v>30</v>
      </c>
      <c r="M152" s="750">
        <v>388888.89</v>
      </c>
      <c r="N152" s="613">
        <v>11666666.700000001</v>
      </c>
      <c r="O152" s="613">
        <v>933333.33600000013</v>
      </c>
      <c r="P152" s="651">
        <v>12600000.036000002</v>
      </c>
    </row>
    <row r="153" spans="1:16">
      <c r="A153" s="751" t="s">
        <v>934</v>
      </c>
      <c r="B153" s="307" t="s">
        <v>865</v>
      </c>
      <c r="C153" s="446">
        <v>46279</v>
      </c>
      <c r="D153" s="752" t="s">
        <v>1207</v>
      </c>
      <c r="E153" s="446"/>
      <c r="F153" s="447"/>
      <c r="G153" s="447"/>
      <c r="H153" s="299" t="s">
        <v>867</v>
      </c>
      <c r="I153" s="719" t="s">
        <v>796</v>
      </c>
      <c r="J153" s="773" t="s">
        <v>797</v>
      </c>
      <c r="K153" s="298" t="s">
        <v>18</v>
      </c>
      <c r="L153" s="635">
        <v>30</v>
      </c>
      <c r="M153" s="750">
        <v>292592.59999999998</v>
      </c>
      <c r="N153" s="613">
        <v>8777778</v>
      </c>
      <c r="O153" s="613">
        <v>702222.24</v>
      </c>
      <c r="P153" s="651">
        <v>9480000.2400000002</v>
      </c>
    </row>
    <row r="154" spans="1:16">
      <c r="A154" s="751" t="s">
        <v>934</v>
      </c>
      <c r="B154" s="307" t="s">
        <v>865</v>
      </c>
      <c r="C154" s="446">
        <v>46279</v>
      </c>
      <c r="D154" s="752" t="s">
        <v>1207</v>
      </c>
      <c r="E154" s="446"/>
      <c r="F154" s="447"/>
      <c r="G154" s="447"/>
      <c r="H154" s="299" t="s">
        <v>867</v>
      </c>
      <c r="I154" s="719" t="s">
        <v>798</v>
      </c>
      <c r="J154" s="773" t="s">
        <v>799</v>
      </c>
      <c r="K154" s="298" t="s">
        <v>18</v>
      </c>
      <c r="L154" s="635">
        <v>30</v>
      </c>
      <c r="M154" s="750">
        <v>231481.48</v>
      </c>
      <c r="N154" s="613">
        <v>6944444.4000000004</v>
      </c>
      <c r="O154" s="613">
        <v>555555.55200000003</v>
      </c>
      <c r="P154" s="651">
        <v>7499999.9520000005</v>
      </c>
    </row>
    <row r="155" spans="1:16">
      <c r="A155" s="711" t="s">
        <v>752</v>
      </c>
      <c r="B155" s="306" t="s">
        <v>1143</v>
      </c>
      <c r="C155" s="446">
        <v>46282</v>
      </c>
      <c r="D155" s="752" t="s">
        <v>1209</v>
      </c>
      <c r="E155" s="446"/>
      <c r="F155" s="447"/>
      <c r="G155" s="447"/>
      <c r="H155" s="299" t="s">
        <v>812</v>
      </c>
      <c r="I155" s="643" t="s">
        <v>643</v>
      </c>
      <c r="J155" s="771" t="s">
        <v>644</v>
      </c>
      <c r="K155" s="298" t="s">
        <v>18</v>
      </c>
      <c r="L155" s="721">
        <v>15</v>
      </c>
      <c r="M155" s="722">
        <v>527777.78</v>
      </c>
      <c r="N155" s="723">
        <v>7916666.7000000002</v>
      </c>
      <c r="O155" s="613">
        <v>633333.33600000001</v>
      </c>
      <c r="P155" s="651">
        <v>8550000.0360000003</v>
      </c>
    </row>
    <row r="156" spans="1:16">
      <c r="A156" s="711" t="s">
        <v>752</v>
      </c>
      <c r="B156" s="306" t="s">
        <v>1143</v>
      </c>
      <c r="C156" s="446">
        <v>46282</v>
      </c>
      <c r="D156" s="752" t="s">
        <v>1209</v>
      </c>
      <c r="E156" s="446"/>
      <c r="F156" s="447"/>
      <c r="G156" s="447"/>
      <c r="H156" s="299" t="s">
        <v>812</v>
      </c>
      <c r="I156" s="643" t="s">
        <v>645</v>
      </c>
      <c r="J156" s="771" t="s">
        <v>646</v>
      </c>
      <c r="K156" s="298" t="s">
        <v>18</v>
      </c>
      <c r="L156" s="721">
        <v>30</v>
      </c>
      <c r="M156" s="722">
        <v>629629.63</v>
      </c>
      <c r="N156" s="723">
        <v>18888888.899999999</v>
      </c>
      <c r="O156" s="613">
        <v>1511111.112</v>
      </c>
      <c r="P156" s="651">
        <v>20400000.011999998</v>
      </c>
    </row>
    <row r="157" spans="1:16">
      <c r="A157" s="711" t="s">
        <v>752</v>
      </c>
      <c r="B157" s="306" t="s">
        <v>1143</v>
      </c>
      <c r="C157" s="446">
        <v>46282</v>
      </c>
      <c r="D157" s="752" t="s">
        <v>1209</v>
      </c>
      <c r="E157" s="446"/>
      <c r="F157" s="447"/>
      <c r="G157" s="447"/>
      <c r="H157" s="299" t="s">
        <v>812</v>
      </c>
      <c r="I157" s="643" t="s">
        <v>90</v>
      </c>
      <c r="J157" s="771" t="s">
        <v>91</v>
      </c>
      <c r="K157" s="298" t="s">
        <v>18</v>
      </c>
      <c r="L157" s="721">
        <v>10</v>
      </c>
      <c r="M157" s="722">
        <v>814814.81</v>
      </c>
      <c r="N157" s="723">
        <v>8148148.1000000006</v>
      </c>
      <c r="O157" s="613">
        <v>651851.84800000011</v>
      </c>
      <c r="P157" s="651">
        <v>8799999.9480000008</v>
      </c>
    </row>
    <row r="158" spans="1:16">
      <c r="A158" s="712" t="s">
        <v>736</v>
      </c>
      <c r="B158" s="441" t="s">
        <v>747</v>
      </c>
      <c r="C158" s="446">
        <v>46283</v>
      </c>
      <c r="D158" s="752" t="s">
        <v>1210</v>
      </c>
      <c r="E158" s="446"/>
      <c r="F158" s="447"/>
      <c r="G158" s="447"/>
      <c r="H158" s="299" t="s">
        <v>818</v>
      </c>
      <c r="I158" s="643" t="s">
        <v>16</v>
      </c>
      <c r="J158" s="322" t="s">
        <v>17</v>
      </c>
      <c r="K158" s="298" t="s">
        <v>18</v>
      </c>
      <c r="L158" s="635">
        <v>4</v>
      </c>
      <c r="M158" s="750">
        <v>851851.85</v>
      </c>
      <c r="N158" s="654">
        <v>3407407.4</v>
      </c>
      <c r="O158" s="613">
        <v>272592.592</v>
      </c>
      <c r="P158" s="651">
        <v>3679999.9920000001</v>
      </c>
    </row>
    <row r="159" spans="1:16">
      <c r="A159" s="712" t="s">
        <v>736</v>
      </c>
      <c r="B159" s="441" t="s">
        <v>747</v>
      </c>
      <c r="C159" s="446">
        <v>46283</v>
      </c>
      <c r="D159" s="752" t="s">
        <v>1210</v>
      </c>
      <c r="E159" s="446"/>
      <c r="F159" s="447"/>
      <c r="G159" s="447"/>
      <c r="H159" s="299" t="s">
        <v>818</v>
      </c>
      <c r="I159" s="643" t="s">
        <v>645</v>
      </c>
      <c r="J159" s="322" t="s">
        <v>646</v>
      </c>
      <c r="K159" s="298" t="s">
        <v>18</v>
      </c>
      <c r="L159" s="635">
        <v>15</v>
      </c>
      <c r="M159" s="750">
        <v>629629.63</v>
      </c>
      <c r="N159" s="654">
        <v>9444444.4499999993</v>
      </c>
      <c r="O159" s="613">
        <v>755555.55599999998</v>
      </c>
      <c r="P159" s="651">
        <v>10200000.005999999</v>
      </c>
    </row>
    <row r="160" spans="1:16">
      <c r="A160" s="712" t="s">
        <v>736</v>
      </c>
      <c r="B160" s="441" t="s">
        <v>747</v>
      </c>
      <c r="C160" s="446">
        <v>46283</v>
      </c>
      <c r="D160" s="752" t="s">
        <v>1210</v>
      </c>
      <c r="E160" s="446"/>
      <c r="F160" s="447"/>
      <c r="G160" s="447"/>
      <c r="H160" s="299" t="s">
        <v>818</v>
      </c>
      <c r="I160" s="643" t="s">
        <v>651</v>
      </c>
      <c r="J160" s="322" t="s">
        <v>652</v>
      </c>
      <c r="K160" s="298" t="s">
        <v>18</v>
      </c>
      <c r="L160" s="635">
        <v>15</v>
      </c>
      <c r="M160" s="750">
        <v>694444.44</v>
      </c>
      <c r="N160" s="654">
        <v>10416666.6</v>
      </c>
      <c r="O160" s="613">
        <v>833333.32799999998</v>
      </c>
      <c r="P160" s="651">
        <v>11249999.927999999</v>
      </c>
    </row>
    <row r="161" spans="1:16">
      <c r="A161" s="712" t="s">
        <v>736</v>
      </c>
      <c r="B161" s="441" t="s">
        <v>747</v>
      </c>
      <c r="C161" s="446">
        <v>46283</v>
      </c>
      <c r="D161" s="752" t="s">
        <v>1210</v>
      </c>
      <c r="E161" s="446"/>
      <c r="F161" s="447"/>
      <c r="G161" s="447"/>
      <c r="H161" s="299" t="s">
        <v>818</v>
      </c>
      <c r="I161" s="643" t="s">
        <v>103</v>
      </c>
      <c r="J161" s="322" t="s">
        <v>104</v>
      </c>
      <c r="K161" s="298" t="s">
        <v>18</v>
      </c>
      <c r="L161" s="635">
        <v>18</v>
      </c>
      <c r="M161" s="750">
        <v>675925.93</v>
      </c>
      <c r="N161" s="654">
        <v>12166666.74</v>
      </c>
      <c r="O161" s="613">
        <v>973333.33920000005</v>
      </c>
      <c r="P161" s="651">
        <v>13140000.0792</v>
      </c>
    </row>
    <row r="162" spans="1:16">
      <c r="A162" s="712" t="s">
        <v>736</v>
      </c>
      <c r="B162" s="441" t="s">
        <v>747</v>
      </c>
      <c r="C162" s="446">
        <v>46283</v>
      </c>
      <c r="D162" s="752" t="s">
        <v>1210</v>
      </c>
      <c r="E162" s="446"/>
      <c r="F162" s="447"/>
      <c r="G162" s="447"/>
      <c r="H162" s="299" t="s">
        <v>818</v>
      </c>
      <c r="I162" s="643" t="s">
        <v>56</v>
      </c>
      <c r="J162" s="322" t="s">
        <v>57</v>
      </c>
      <c r="K162" s="298" t="s">
        <v>18</v>
      </c>
      <c r="L162" s="635">
        <v>20</v>
      </c>
      <c r="M162" s="750">
        <v>325925.93</v>
      </c>
      <c r="N162" s="654">
        <v>6518518.5999999996</v>
      </c>
      <c r="O162" s="613">
        <v>521481.48799999995</v>
      </c>
      <c r="P162" s="651">
        <v>7040000.0879999995</v>
      </c>
    </row>
    <row r="163" spans="1:16">
      <c r="A163" s="712" t="s">
        <v>736</v>
      </c>
      <c r="B163" s="441" t="s">
        <v>747</v>
      </c>
      <c r="C163" s="446">
        <v>46283</v>
      </c>
      <c r="D163" s="752" t="s">
        <v>1210</v>
      </c>
      <c r="E163" s="446"/>
      <c r="F163" s="447"/>
      <c r="G163" s="447"/>
      <c r="H163" s="299" t="s">
        <v>818</v>
      </c>
      <c r="I163" s="643" t="s">
        <v>74</v>
      </c>
      <c r="J163" s="322" t="s">
        <v>141</v>
      </c>
      <c r="K163" s="298" t="s">
        <v>18</v>
      </c>
      <c r="L163" s="635">
        <v>8</v>
      </c>
      <c r="M163" s="750">
        <v>382407.41</v>
      </c>
      <c r="N163" s="654">
        <v>3059259.28</v>
      </c>
      <c r="O163" s="613">
        <v>244740.74239999999</v>
      </c>
      <c r="P163" s="651">
        <v>3304000.0223999997</v>
      </c>
    </row>
    <row r="164" spans="1:16">
      <c r="A164" s="712" t="s">
        <v>736</v>
      </c>
      <c r="B164" s="441" t="s">
        <v>747</v>
      </c>
      <c r="C164" s="446">
        <v>46283</v>
      </c>
      <c r="D164" s="752" t="s">
        <v>1210</v>
      </c>
      <c r="E164" s="446"/>
      <c r="F164" s="447"/>
      <c r="G164" s="447"/>
      <c r="H164" s="299" t="s">
        <v>818</v>
      </c>
      <c r="I164" s="643" t="s">
        <v>90</v>
      </c>
      <c r="J164" s="322" t="s">
        <v>91</v>
      </c>
      <c r="K164" s="298" t="s">
        <v>18</v>
      </c>
      <c r="L164" s="635">
        <v>10</v>
      </c>
      <c r="M164" s="750">
        <v>814814.81</v>
      </c>
      <c r="N164" s="654">
        <v>8148148.1000000006</v>
      </c>
      <c r="O164" s="613">
        <v>651851.84800000011</v>
      </c>
      <c r="P164" s="651">
        <v>8799999.9480000008</v>
      </c>
    </row>
    <row r="165" spans="1:16">
      <c r="A165" s="711" t="s">
        <v>1018</v>
      </c>
      <c r="B165" s="307" t="s">
        <v>1017</v>
      </c>
      <c r="C165" s="446">
        <v>46286</v>
      </c>
      <c r="D165" s="752" t="s">
        <v>1218</v>
      </c>
      <c r="E165" s="446">
        <v>46286</v>
      </c>
      <c r="F165" s="447"/>
      <c r="G165" s="757" t="s">
        <v>1248</v>
      </c>
      <c r="H165" s="299" t="s">
        <v>1242</v>
      </c>
      <c r="I165" s="643" t="s">
        <v>44</v>
      </c>
      <c r="J165" s="771" t="s">
        <v>45</v>
      </c>
      <c r="K165" s="298" t="s">
        <v>18</v>
      </c>
      <c r="L165" s="721">
        <v>10</v>
      </c>
      <c r="M165" s="722">
        <v>601851.85</v>
      </c>
      <c r="N165" s="723">
        <v>6018518.5</v>
      </c>
      <c r="O165" s="613">
        <v>481481.48</v>
      </c>
      <c r="P165" s="612">
        <v>6499999.9800000004</v>
      </c>
    </row>
    <row r="166" spans="1:16" ht="30">
      <c r="A166" s="711" t="s">
        <v>966</v>
      </c>
      <c r="B166" s="306" t="s">
        <v>697</v>
      </c>
      <c r="C166" s="446">
        <v>46287</v>
      </c>
      <c r="D166" s="752" t="s">
        <v>1259</v>
      </c>
      <c r="E166" s="446"/>
      <c r="F166" s="447"/>
      <c r="G166" s="447"/>
      <c r="H166" s="299" t="s">
        <v>677</v>
      </c>
      <c r="I166" s="317" t="s">
        <v>40</v>
      </c>
      <c r="J166" s="317" t="s">
        <v>41</v>
      </c>
      <c r="K166" s="317" t="s">
        <v>18</v>
      </c>
      <c r="L166" s="315">
        <v>1</v>
      </c>
      <c r="M166" s="316">
        <v>851851.85</v>
      </c>
      <c r="N166" s="319">
        <v>851851.85</v>
      </c>
      <c r="O166" s="613">
        <v>68148.148000000001</v>
      </c>
      <c r="P166" s="612">
        <v>919999.99800000002</v>
      </c>
    </row>
    <row r="167" spans="1:16">
      <c r="A167" s="711" t="s">
        <v>966</v>
      </c>
      <c r="B167" s="306" t="s">
        <v>697</v>
      </c>
      <c r="C167" s="446">
        <v>46287</v>
      </c>
      <c r="D167" s="752" t="s">
        <v>1259</v>
      </c>
      <c r="E167" s="446"/>
      <c r="F167" s="447"/>
      <c r="G167" s="447"/>
      <c r="H167" s="299" t="s">
        <v>677</v>
      </c>
      <c r="I167" s="317" t="s">
        <v>52</v>
      </c>
      <c r="J167" s="317" t="s">
        <v>53</v>
      </c>
      <c r="K167" s="317" t="s">
        <v>18</v>
      </c>
      <c r="L167" s="315">
        <v>1</v>
      </c>
      <c r="M167" s="316">
        <v>1007407.41</v>
      </c>
      <c r="N167" s="319">
        <v>1007407.41</v>
      </c>
      <c r="O167" s="613">
        <v>80592.592799999999</v>
      </c>
      <c r="P167" s="612">
        <v>1088000.0028000001</v>
      </c>
    </row>
    <row r="168" spans="1:16">
      <c r="A168" s="712" t="s">
        <v>967</v>
      </c>
      <c r="B168" s="441" t="s">
        <v>1262</v>
      </c>
      <c r="C168" s="446">
        <v>46287</v>
      </c>
      <c r="D168" s="752" t="s">
        <v>1261</v>
      </c>
      <c r="E168" s="446">
        <v>46293</v>
      </c>
      <c r="F168" s="447"/>
      <c r="G168" s="757" t="s">
        <v>1277</v>
      </c>
      <c r="H168" s="299" t="s">
        <v>1263</v>
      </c>
      <c r="I168" s="317" t="s">
        <v>70</v>
      </c>
      <c r="J168" s="320" t="s">
        <v>71</v>
      </c>
      <c r="K168" s="317" t="s">
        <v>18</v>
      </c>
      <c r="L168" s="315">
        <v>12</v>
      </c>
      <c r="M168" s="316">
        <v>138888.89000000001</v>
      </c>
      <c r="N168" s="319">
        <v>1666666.6800000002</v>
      </c>
      <c r="O168" s="613">
        <v>133333.33440000002</v>
      </c>
      <c r="P168" s="612">
        <v>1800000.0144000002</v>
      </c>
    </row>
    <row r="169" spans="1:16">
      <c r="A169" s="712" t="s">
        <v>967</v>
      </c>
      <c r="B169" s="441" t="s">
        <v>1262</v>
      </c>
      <c r="C169" s="446">
        <v>46287</v>
      </c>
      <c r="D169" s="752" t="s">
        <v>1261</v>
      </c>
      <c r="E169" s="446">
        <v>46293</v>
      </c>
      <c r="F169" s="447"/>
      <c r="G169" s="757" t="s">
        <v>1277</v>
      </c>
      <c r="H169" s="299" t="s">
        <v>1263</v>
      </c>
      <c r="I169" s="317" t="s">
        <v>72</v>
      </c>
      <c r="J169" s="320" t="s">
        <v>73</v>
      </c>
      <c r="K169" s="317" t="s">
        <v>18</v>
      </c>
      <c r="L169" s="315">
        <v>12</v>
      </c>
      <c r="M169" s="316">
        <v>148148.15</v>
      </c>
      <c r="N169" s="319">
        <v>1777777.7999999998</v>
      </c>
      <c r="O169" s="613">
        <v>142222.22399999999</v>
      </c>
      <c r="P169" s="612">
        <v>1920000.0239999997</v>
      </c>
    </row>
    <row r="170" spans="1:16">
      <c r="A170" s="711" t="s">
        <v>1004</v>
      </c>
      <c r="B170" s="306" t="s">
        <v>693</v>
      </c>
      <c r="C170" s="446">
        <v>46287</v>
      </c>
      <c r="D170" s="752" t="s">
        <v>1264</v>
      </c>
      <c r="E170" s="446"/>
      <c r="F170" s="447"/>
      <c r="G170" s="447"/>
      <c r="H170" s="302" t="s">
        <v>814</v>
      </c>
      <c r="I170" s="317" t="s">
        <v>639</v>
      </c>
      <c r="J170" s="320" t="s">
        <v>640</v>
      </c>
      <c r="K170" s="317" t="s">
        <v>18</v>
      </c>
      <c r="L170" s="315">
        <v>30</v>
      </c>
      <c r="M170" s="316">
        <v>537037.04</v>
      </c>
      <c r="N170" s="319">
        <v>16111111.200000001</v>
      </c>
      <c r="O170" s="613">
        <v>1288888.8960000002</v>
      </c>
      <c r="P170" s="651">
        <v>17400000.096000001</v>
      </c>
    </row>
    <row r="171" spans="1:16">
      <c r="A171" s="711" t="s">
        <v>1004</v>
      </c>
      <c r="B171" s="306" t="s">
        <v>693</v>
      </c>
      <c r="C171" s="446">
        <v>46287</v>
      </c>
      <c r="D171" s="752" t="s">
        <v>1264</v>
      </c>
      <c r="E171" s="446"/>
      <c r="F171" s="447"/>
      <c r="G171" s="447"/>
      <c r="H171" s="302" t="s">
        <v>814</v>
      </c>
      <c r="I171" s="317" t="s">
        <v>641</v>
      </c>
      <c r="J171" s="320" t="s">
        <v>657</v>
      </c>
      <c r="K171" s="317" t="s">
        <v>18</v>
      </c>
      <c r="L171" s="315">
        <v>15</v>
      </c>
      <c r="M171" s="316">
        <v>638888.89</v>
      </c>
      <c r="N171" s="319">
        <v>9583333.3499999996</v>
      </c>
      <c r="O171" s="613">
        <v>766666.66799999995</v>
      </c>
      <c r="P171" s="651">
        <v>10350000.017999999</v>
      </c>
    </row>
    <row r="172" spans="1:16">
      <c r="A172" s="711" t="s">
        <v>1004</v>
      </c>
      <c r="B172" s="306" t="s">
        <v>693</v>
      </c>
      <c r="C172" s="446">
        <v>46287</v>
      </c>
      <c r="D172" s="752" t="s">
        <v>1264</v>
      </c>
      <c r="E172" s="446"/>
      <c r="F172" s="447"/>
      <c r="G172" s="447"/>
      <c r="H172" s="302" t="s">
        <v>814</v>
      </c>
      <c r="I172" s="317" t="s">
        <v>643</v>
      </c>
      <c r="J172" s="320" t="s">
        <v>644</v>
      </c>
      <c r="K172" s="317" t="s">
        <v>18</v>
      </c>
      <c r="L172" s="315">
        <v>30</v>
      </c>
      <c r="M172" s="316">
        <v>527777.78</v>
      </c>
      <c r="N172" s="319">
        <v>15833333.4</v>
      </c>
      <c r="O172" s="613">
        <v>1266666.672</v>
      </c>
      <c r="P172" s="651">
        <v>17100000.072000001</v>
      </c>
    </row>
    <row r="173" spans="1:16">
      <c r="A173" s="711" t="s">
        <v>1004</v>
      </c>
      <c r="B173" s="306" t="s">
        <v>693</v>
      </c>
      <c r="C173" s="446">
        <v>46287</v>
      </c>
      <c r="D173" s="752" t="s">
        <v>1264</v>
      </c>
      <c r="E173" s="446"/>
      <c r="F173" s="447"/>
      <c r="G173" s="447"/>
      <c r="H173" s="302" t="s">
        <v>814</v>
      </c>
      <c r="I173" s="317" t="s">
        <v>645</v>
      </c>
      <c r="J173" s="320" t="s">
        <v>646</v>
      </c>
      <c r="K173" s="317" t="s">
        <v>18</v>
      </c>
      <c r="L173" s="315">
        <v>15</v>
      </c>
      <c r="M173" s="316">
        <v>629629.63</v>
      </c>
      <c r="N173" s="319">
        <v>9444444.4499999993</v>
      </c>
      <c r="O173" s="613">
        <v>755555.55599999998</v>
      </c>
      <c r="P173" s="651">
        <v>10200000.005999999</v>
      </c>
    </row>
    <row r="174" spans="1:16">
      <c r="A174" s="711" t="s">
        <v>1004</v>
      </c>
      <c r="B174" s="306" t="s">
        <v>693</v>
      </c>
      <c r="C174" s="446">
        <v>46287</v>
      </c>
      <c r="D174" s="752" t="s">
        <v>1264</v>
      </c>
      <c r="E174" s="446"/>
      <c r="F174" s="447"/>
      <c r="G174" s="447"/>
      <c r="H174" s="302" t="s">
        <v>814</v>
      </c>
      <c r="I174" s="317" t="s">
        <v>653</v>
      </c>
      <c r="J174" s="320" t="s">
        <v>654</v>
      </c>
      <c r="K174" s="317" t="s">
        <v>18</v>
      </c>
      <c r="L174" s="315">
        <v>60</v>
      </c>
      <c r="M174" s="316">
        <v>481481.48</v>
      </c>
      <c r="N174" s="319">
        <v>28888888.799999997</v>
      </c>
      <c r="O174" s="613">
        <v>2311111.1039999998</v>
      </c>
      <c r="P174" s="651">
        <v>31199999.903999995</v>
      </c>
    </row>
    <row r="175" spans="1:16">
      <c r="A175" s="711" t="s">
        <v>1004</v>
      </c>
      <c r="B175" s="306" t="s">
        <v>693</v>
      </c>
      <c r="C175" s="446">
        <v>46287</v>
      </c>
      <c r="D175" s="752" t="s">
        <v>1264</v>
      </c>
      <c r="E175" s="446"/>
      <c r="F175" s="447"/>
      <c r="G175" s="447"/>
      <c r="H175" s="302" t="s">
        <v>814</v>
      </c>
      <c r="I175" s="317" t="s">
        <v>655</v>
      </c>
      <c r="J175" s="320" t="s">
        <v>656</v>
      </c>
      <c r="K175" s="317" t="s">
        <v>18</v>
      </c>
      <c r="L175" s="315">
        <v>30</v>
      </c>
      <c r="M175" s="316">
        <v>574074.06999999995</v>
      </c>
      <c r="N175" s="319">
        <v>17222222.099999998</v>
      </c>
      <c r="O175" s="613">
        <v>1377777.7679999999</v>
      </c>
      <c r="P175" s="651">
        <v>18599999.867999997</v>
      </c>
    </row>
    <row r="176" spans="1:16">
      <c r="A176" s="711" t="s">
        <v>1004</v>
      </c>
      <c r="B176" s="306" t="s">
        <v>693</v>
      </c>
      <c r="C176" s="446">
        <v>46287</v>
      </c>
      <c r="D176" s="752" t="s">
        <v>1264</v>
      </c>
      <c r="E176" s="446"/>
      <c r="F176" s="447"/>
      <c r="G176" s="447"/>
      <c r="H176" s="302" t="s">
        <v>814</v>
      </c>
      <c r="I176" s="317" t="s">
        <v>873</v>
      </c>
      <c r="J176" s="320" t="s">
        <v>874</v>
      </c>
      <c r="K176" s="317" t="s">
        <v>18</v>
      </c>
      <c r="L176" s="315">
        <v>30</v>
      </c>
      <c r="M176" s="316">
        <v>388888.89</v>
      </c>
      <c r="N176" s="319">
        <v>11666666.700000001</v>
      </c>
      <c r="O176" s="613">
        <v>933333.33600000013</v>
      </c>
      <c r="P176" s="651">
        <v>12600000.036000002</v>
      </c>
    </row>
    <row r="177" spans="1:16">
      <c r="A177" s="711" t="s">
        <v>1004</v>
      </c>
      <c r="B177" s="306" t="s">
        <v>693</v>
      </c>
      <c r="C177" s="446">
        <v>46287</v>
      </c>
      <c r="D177" s="752" t="s">
        <v>1264</v>
      </c>
      <c r="E177" s="446"/>
      <c r="F177" s="447"/>
      <c r="G177" s="447"/>
      <c r="H177" s="302" t="s">
        <v>814</v>
      </c>
      <c r="I177" s="317" t="s">
        <v>796</v>
      </c>
      <c r="J177" s="320" t="s">
        <v>797</v>
      </c>
      <c r="K177" s="317" t="s">
        <v>18</v>
      </c>
      <c r="L177" s="315">
        <v>50</v>
      </c>
      <c r="M177" s="316">
        <v>292592.59000000003</v>
      </c>
      <c r="N177" s="319">
        <v>14629629.500000002</v>
      </c>
      <c r="O177" s="613">
        <v>1170370.3600000001</v>
      </c>
      <c r="P177" s="651">
        <v>15799999.860000001</v>
      </c>
    </row>
    <row r="178" spans="1:16">
      <c r="A178" s="711" t="s">
        <v>1004</v>
      </c>
      <c r="B178" s="306" t="s">
        <v>693</v>
      </c>
      <c r="C178" s="446">
        <v>46287</v>
      </c>
      <c r="D178" s="752" t="s">
        <v>1264</v>
      </c>
      <c r="E178" s="446"/>
      <c r="F178" s="447"/>
      <c r="G178" s="447"/>
      <c r="H178" s="302" t="s">
        <v>814</v>
      </c>
      <c r="I178" s="317" t="s">
        <v>798</v>
      </c>
      <c r="J178" s="320" t="s">
        <v>799</v>
      </c>
      <c r="K178" s="317" t="s">
        <v>18</v>
      </c>
      <c r="L178" s="315">
        <v>50</v>
      </c>
      <c r="M178" s="316">
        <v>231481.48</v>
      </c>
      <c r="N178" s="319">
        <v>11574074</v>
      </c>
      <c r="O178" s="613">
        <v>925925.92</v>
      </c>
      <c r="P178" s="651">
        <v>12499999.92</v>
      </c>
    </row>
    <row r="179" spans="1:16">
      <c r="A179" s="711" t="s">
        <v>1003</v>
      </c>
      <c r="B179" s="306" t="s">
        <v>692</v>
      </c>
      <c r="C179" s="446">
        <v>46286</v>
      </c>
      <c r="D179" s="752" t="s">
        <v>1265</v>
      </c>
      <c r="E179" s="446"/>
      <c r="F179" s="447"/>
      <c r="G179" s="447"/>
      <c r="H179" s="299" t="s">
        <v>1228</v>
      </c>
      <c r="I179" s="317" t="s">
        <v>643</v>
      </c>
      <c r="J179" s="320" t="s">
        <v>644</v>
      </c>
      <c r="K179" s="317" t="s">
        <v>18</v>
      </c>
      <c r="L179" s="315">
        <v>30</v>
      </c>
      <c r="M179" s="316">
        <v>527777.78</v>
      </c>
      <c r="N179" s="319">
        <v>15833333.4</v>
      </c>
      <c r="O179" s="301">
        <v>1266666.672</v>
      </c>
      <c r="P179" s="755">
        <v>17100000.072000001</v>
      </c>
    </row>
    <row r="180" spans="1:16">
      <c r="A180" s="711" t="s">
        <v>1003</v>
      </c>
      <c r="B180" s="306" t="s">
        <v>692</v>
      </c>
      <c r="C180" s="446">
        <v>46286</v>
      </c>
      <c r="D180" s="752" t="s">
        <v>1265</v>
      </c>
      <c r="E180" s="446"/>
      <c r="F180" s="447"/>
      <c r="G180" s="447"/>
      <c r="H180" s="299" t="s">
        <v>1228</v>
      </c>
      <c r="I180" s="317" t="s">
        <v>653</v>
      </c>
      <c r="J180" s="320" t="s">
        <v>654</v>
      </c>
      <c r="K180" s="317" t="s">
        <v>18</v>
      </c>
      <c r="L180" s="315">
        <v>30</v>
      </c>
      <c r="M180" s="316">
        <v>481481.48</v>
      </c>
      <c r="N180" s="319">
        <v>14444444.399999999</v>
      </c>
      <c r="O180" s="301">
        <v>1155555.5519999999</v>
      </c>
      <c r="P180" s="755">
        <v>15599999.951999998</v>
      </c>
    </row>
    <row r="181" spans="1:16">
      <c r="A181" s="711" t="s">
        <v>1003</v>
      </c>
      <c r="B181" s="306" t="s">
        <v>692</v>
      </c>
      <c r="C181" s="446">
        <v>46286</v>
      </c>
      <c r="D181" s="752" t="s">
        <v>1265</v>
      </c>
      <c r="E181" s="446"/>
      <c r="F181" s="447"/>
      <c r="G181" s="447"/>
      <c r="H181" s="299" t="s">
        <v>1228</v>
      </c>
      <c r="I181" s="317" t="s">
        <v>655</v>
      </c>
      <c r="J181" s="320" t="s">
        <v>656</v>
      </c>
      <c r="K181" s="317" t="s">
        <v>18</v>
      </c>
      <c r="L181" s="315">
        <v>30</v>
      </c>
      <c r="M181" s="316">
        <v>574074.06999999995</v>
      </c>
      <c r="N181" s="319">
        <v>17222222.099999998</v>
      </c>
      <c r="O181" s="301">
        <v>1377777.7679999999</v>
      </c>
      <c r="P181" s="755">
        <v>18599999.867999997</v>
      </c>
    </row>
    <row r="182" spans="1:16">
      <c r="A182" s="711" t="s">
        <v>1003</v>
      </c>
      <c r="B182" s="306" t="s">
        <v>692</v>
      </c>
      <c r="C182" s="446">
        <v>46286</v>
      </c>
      <c r="D182" s="752" t="s">
        <v>1265</v>
      </c>
      <c r="E182" s="446"/>
      <c r="F182" s="447"/>
      <c r="G182" s="447"/>
      <c r="H182" s="299" t="s">
        <v>1228</v>
      </c>
      <c r="I182" s="317" t="s">
        <v>80</v>
      </c>
      <c r="J182" s="320" t="s">
        <v>81</v>
      </c>
      <c r="K182" s="317" t="s">
        <v>18</v>
      </c>
      <c r="L182" s="315">
        <v>10</v>
      </c>
      <c r="M182" s="316">
        <v>824074.07</v>
      </c>
      <c r="N182" s="319">
        <v>8240740.6999999993</v>
      </c>
      <c r="O182" s="301">
        <v>659259.25599999994</v>
      </c>
      <c r="P182" s="755">
        <v>8899999.9559999984</v>
      </c>
    </row>
    <row r="183" spans="1:16">
      <c r="A183" s="711" t="s">
        <v>1003</v>
      </c>
      <c r="B183" s="306" t="s">
        <v>692</v>
      </c>
      <c r="C183" s="446">
        <v>46286</v>
      </c>
      <c r="D183" s="752" t="s">
        <v>1265</v>
      </c>
      <c r="E183" s="446"/>
      <c r="F183" s="447"/>
      <c r="G183" s="447"/>
      <c r="H183" s="299" t="s">
        <v>1228</v>
      </c>
      <c r="I183" s="317" t="s">
        <v>21</v>
      </c>
      <c r="J183" s="320" t="s">
        <v>22</v>
      </c>
      <c r="K183" s="317" t="s">
        <v>18</v>
      </c>
      <c r="L183" s="315">
        <v>16</v>
      </c>
      <c r="M183" s="316">
        <v>937962.96</v>
      </c>
      <c r="N183" s="319">
        <v>15007407.359999999</v>
      </c>
      <c r="O183" s="301">
        <v>1200592.5888</v>
      </c>
      <c r="P183" s="755">
        <v>16207999.948799999</v>
      </c>
    </row>
    <row r="184" spans="1:16">
      <c r="A184" s="711" t="s">
        <v>1003</v>
      </c>
      <c r="B184" s="306" t="s">
        <v>692</v>
      </c>
      <c r="C184" s="446">
        <v>46286</v>
      </c>
      <c r="D184" s="752" t="s">
        <v>1265</v>
      </c>
      <c r="E184" s="446"/>
      <c r="F184" s="447"/>
      <c r="G184" s="447"/>
      <c r="H184" s="299" t="s">
        <v>1228</v>
      </c>
      <c r="I184" s="317" t="s">
        <v>262</v>
      </c>
      <c r="J184" s="320" t="s">
        <v>435</v>
      </c>
      <c r="K184" s="317" t="s">
        <v>18</v>
      </c>
      <c r="L184" s="315">
        <v>10</v>
      </c>
      <c r="M184" s="316">
        <v>851851.85</v>
      </c>
      <c r="N184" s="319">
        <v>8518518.5</v>
      </c>
      <c r="O184" s="301">
        <v>681481.48</v>
      </c>
      <c r="P184" s="755">
        <v>9199999.9800000004</v>
      </c>
    </row>
    <row r="185" spans="1:16">
      <c r="A185" s="711" t="s">
        <v>1003</v>
      </c>
      <c r="B185" s="306" t="s">
        <v>692</v>
      </c>
      <c r="C185" s="446">
        <v>46286</v>
      </c>
      <c r="D185" s="752" t="s">
        <v>1265</v>
      </c>
      <c r="E185" s="446"/>
      <c r="F185" s="447"/>
      <c r="G185" s="447"/>
      <c r="H185" s="299" t="s">
        <v>1228</v>
      </c>
      <c r="I185" s="317" t="s">
        <v>23</v>
      </c>
      <c r="J185" s="320" t="s">
        <v>82</v>
      </c>
      <c r="K185" s="317" t="s">
        <v>18</v>
      </c>
      <c r="L185" s="315">
        <v>4</v>
      </c>
      <c r="M185" s="316">
        <v>1185185.19</v>
      </c>
      <c r="N185" s="319">
        <v>4740740.76</v>
      </c>
      <c r="O185" s="301">
        <v>379259.26079999999</v>
      </c>
      <c r="P185" s="755">
        <v>5120000.0208000001</v>
      </c>
    </row>
    <row r="186" spans="1:16">
      <c r="A186" s="711" t="s">
        <v>1003</v>
      </c>
      <c r="B186" s="306" t="s">
        <v>692</v>
      </c>
      <c r="C186" s="446">
        <v>46286</v>
      </c>
      <c r="D186" s="752" t="s">
        <v>1265</v>
      </c>
      <c r="E186" s="446"/>
      <c r="F186" s="447"/>
      <c r="G186" s="447"/>
      <c r="H186" s="299" t="s">
        <v>1228</v>
      </c>
      <c r="I186" s="317" t="s">
        <v>796</v>
      </c>
      <c r="J186" s="320" t="s">
        <v>797</v>
      </c>
      <c r="K186" s="317" t="s">
        <v>18</v>
      </c>
      <c r="L186" s="315">
        <v>50</v>
      </c>
      <c r="M186" s="316">
        <v>292592.59000000003</v>
      </c>
      <c r="N186" s="319">
        <v>14629629.500000002</v>
      </c>
      <c r="O186" s="301">
        <v>1170370.3600000001</v>
      </c>
      <c r="P186" s="755">
        <v>15799999.860000001</v>
      </c>
    </row>
    <row r="187" spans="1:16">
      <c r="A187" s="711" t="s">
        <v>1003</v>
      </c>
      <c r="B187" s="306" t="s">
        <v>692</v>
      </c>
      <c r="C187" s="446">
        <v>46286</v>
      </c>
      <c r="D187" s="752" t="s">
        <v>1265</v>
      </c>
      <c r="E187" s="446"/>
      <c r="F187" s="447"/>
      <c r="G187" s="447"/>
      <c r="H187" s="299" t="s">
        <v>1228</v>
      </c>
      <c r="I187" s="317" t="s">
        <v>798</v>
      </c>
      <c r="J187" s="320" t="s">
        <v>799</v>
      </c>
      <c r="K187" s="317" t="s">
        <v>18</v>
      </c>
      <c r="L187" s="315">
        <v>50</v>
      </c>
      <c r="M187" s="316">
        <v>231481.48</v>
      </c>
      <c r="N187" s="319">
        <v>11574074</v>
      </c>
      <c r="O187" s="301">
        <v>925925.92</v>
      </c>
      <c r="P187" s="755">
        <v>12499999.92</v>
      </c>
    </row>
    <row r="188" spans="1:16">
      <c r="A188" s="711" t="s">
        <v>1003</v>
      </c>
      <c r="B188" s="306" t="s">
        <v>692</v>
      </c>
      <c r="C188" s="446">
        <v>46286</v>
      </c>
      <c r="D188" s="752" t="s">
        <v>1265</v>
      </c>
      <c r="E188" s="446"/>
      <c r="F188" s="447"/>
      <c r="G188" s="447"/>
      <c r="H188" s="299" t="s">
        <v>1228</v>
      </c>
      <c r="I188" s="317" t="s">
        <v>74</v>
      </c>
      <c r="J188" s="320" t="s">
        <v>141</v>
      </c>
      <c r="K188" s="317" t="s">
        <v>18</v>
      </c>
      <c r="L188" s="315">
        <v>8</v>
      </c>
      <c r="M188" s="316">
        <v>382407.41</v>
      </c>
      <c r="N188" s="319">
        <v>3059259.28</v>
      </c>
      <c r="O188" s="301">
        <v>244740.74239999999</v>
      </c>
      <c r="P188" s="755">
        <v>3304000.0223999997</v>
      </c>
    </row>
    <row r="189" spans="1:16" ht="30">
      <c r="A189" s="711" t="s">
        <v>1003</v>
      </c>
      <c r="B189" s="306" t="s">
        <v>692</v>
      </c>
      <c r="C189" s="446">
        <v>46286</v>
      </c>
      <c r="D189" s="752" t="s">
        <v>1265</v>
      </c>
      <c r="E189" s="446"/>
      <c r="F189" s="447"/>
      <c r="G189" s="447"/>
      <c r="H189" s="299" t="s">
        <v>1228</v>
      </c>
      <c r="I189" s="317" t="s">
        <v>56</v>
      </c>
      <c r="J189" s="320" t="s">
        <v>57</v>
      </c>
      <c r="K189" s="317" t="s">
        <v>18</v>
      </c>
      <c r="L189" s="315">
        <v>40</v>
      </c>
      <c r="M189" s="316">
        <v>325925.93</v>
      </c>
      <c r="N189" s="319">
        <v>13037037.199999999</v>
      </c>
      <c r="O189" s="301">
        <v>1042962.9759999999</v>
      </c>
      <c r="P189" s="755">
        <v>14080000.175999999</v>
      </c>
    </row>
    <row r="190" spans="1:16">
      <c r="A190" s="711" t="s">
        <v>1003</v>
      </c>
      <c r="B190" s="306" t="s">
        <v>692</v>
      </c>
      <c r="C190" s="446">
        <v>46286</v>
      </c>
      <c r="D190" s="752" t="s">
        <v>1265</v>
      </c>
      <c r="E190" s="446"/>
      <c r="F190" s="447"/>
      <c r="G190" s="447"/>
      <c r="H190" s="299" t="s">
        <v>1228</v>
      </c>
      <c r="I190" s="317" t="s">
        <v>103</v>
      </c>
      <c r="J190" s="320" t="s">
        <v>104</v>
      </c>
      <c r="K190" s="317" t="s">
        <v>18</v>
      </c>
      <c r="L190" s="315">
        <v>12</v>
      </c>
      <c r="M190" s="316">
        <v>675925.93</v>
      </c>
      <c r="N190" s="319">
        <v>8111111.1600000001</v>
      </c>
      <c r="O190" s="301">
        <v>648888.89280000003</v>
      </c>
      <c r="P190" s="755">
        <v>8760000.0527999997</v>
      </c>
    </row>
    <row r="191" spans="1:16" ht="30">
      <c r="A191" s="711" t="s">
        <v>1175</v>
      </c>
      <c r="B191" s="307" t="s">
        <v>1188</v>
      </c>
      <c r="C191" s="446">
        <v>46290</v>
      </c>
      <c r="D191" s="752" t="s">
        <v>1266</v>
      </c>
      <c r="E191" s="446"/>
      <c r="F191" s="447"/>
      <c r="G191" s="447"/>
      <c r="H191" s="299" t="s">
        <v>1177</v>
      </c>
      <c r="I191" s="317" t="s">
        <v>40</v>
      </c>
      <c r="J191" s="320" t="s">
        <v>41</v>
      </c>
      <c r="K191" s="317" t="s">
        <v>18</v>
      </c>
      <c r="L191" s="825">
        <v>1</v>
      </c>
      <c r="M191" s="826">
        <v>928703.7</v>
      </c>
      <c r="N191" s="827">
        <v>928703.7</v>
      </c>
      <c r="O191" s="301">
        <v>74296.296000000002</v>
      </c>
      <c r="P191" s="755">
        <v>1002999.9959999999</v>
      </c>
    </row>
    <row r="192" spans="1:16" ht="30">
      <c r="A192" s="711" t="s">
        <v>1175</v>
      </c>
      <c r="B192" s="307" t="s">
        <v>1188</v>
      </c>
      <c r="C192" s="446">
        <v>46290</v>
      </c>
      <c r="D192" s="752" t="s">
        <v>1266</v>
      </c>
      <c r="E192" s="446"/>
      <c r="F192" s="447"/>
      <c r="G192" s="447"/>
      <c r="H192" s="299" t="s">
        <v>1177</v>
      </c>
      <c r="I192" s="317" t="s">
        <v>28</v>
      </c>
      <c r="J192" s="320" t="s">
        <v>29</v>
      </c>
      <c r="K192" s="317" t="s">
        <v>18</v>
      </c>
      <c r="L192" s="825">
        <v>2</v>
      </c>
      <c r="M192" s="826">
        <v>309259.26</v>
      </c>
      <c r="N192" s="827">
        <v>618518.52</v>
      </c>
      <c r="O192" s="301">
        <v>49481.481599999999</v>
      </c>
      <c r="P192" s="755">
        <v>668000.00160000008</v>
      </c>
    </row>
    <row r="193" spans="1:16">
      <c r="A193" s="711" t="s">
        <v>1175</v>
      </c>
      <c r="B193" s="307" t="s">
        <v>1188</v>
      </c>
      <c r="C193" s="446">
        <v>46290</v>
      </c>
      <c r="D193" s="752" t="s">
        <v>1266</v>
      </c>
      <c r="E193" s="446"/>
      <c r="F193" s="447"/>
      <c r="G193" s="447"/>
      <c r="H193" s="299" t="s">
        <v>1177</v>
      </c>
      <c r="I193" s="317" t="s">
        <v>46</v>
      </c>
      <c r="J193" s="320" t="s">
        <v>47</v>
      </c>
      <c r="K193" s="317" t="s">
        <v>18</v>
      </c>
      <c r="L193" s="825">
        <v>1</v>
      </c>
      <c r="M193" s="826">
        <v>264814.81</v>
      </c>
      <c r="N193" s="827">
        <v>264814.81</v>
      </c>
      <c r="O193" s="301">
        <v>21185.184799999999</v>
      </c>
      <c r="P193" s="755">
        <v>285999.99479999999</v>
      </c>
    </row>
    <row r="194" spans="1:16">
      <c r="A194" s="711" t="s">
        <v>1175</v>
      </c>
      <c r="B194" s="307" t="s">
        <v>1188</v>
      </c>
      <c r="C194" s="446">
        <v>46290</v>
      </c>
      <c r="D194" s="752" t="s">
        <v>1266</v>
      </c>
      <c r="E194" s="446"/>
      <c r="F194" s="447"/>
      <c r="G194" s="447"/>
      <c r="H194" s="299" t="s">
        <v>1177</v>
      </c>
      <c r="I194" s="317" t="s">
        <v>226</v>
      </c>
      <c r="J194" s="320" t="s">
        <v>227</v>
      </c>
      <c r="K194" s="317" t="s">
        <v>18</v>
      </c>
      <c r="L194" s="825">
        <v>2</v>
      </c>
      <c r="M194" s="826">
        <v>878703.7</v>
      </c>
      <c r="N194" s="827">
        <v>1757407.4</v>
      </c>
      <c r="O194" s="301">
        <v>140592.592</v>
      </c>
      <c r="P194" s="755">
        <v>1897999.9919999999</v>
      </c>
    </row>
    <row r="195" spans="1:16">
      <c r="A195" s="711" t="s">
        <v>717</v>
      </c>
      <c r="B195" s="307" t="s">
        <v>743</v>
      </c>
      <c r="C195" s="446">
        <v>46289</v>
      </c>
      <c r="D195" s="752" t="s">
        <v>1267</v>
      </c>
      <c r="E195" s="446"/>
      <c r="F195" s="447"/>
      <c r="G195" s="447"/>
      <c r="H195" s="299" t="s">
        <v>822</v>
      </c>
      <c r="I195" s="317" t="s">
        <v>80</v>
      </c>
      <c r="J195" s="320" t="s">
        <v>81</v>
      </c>
      <c r="K195" s="317" t="s">
        <v>18</v>
      </c>
      <c r="L195" s="451">
        <v>4</v>
      </c>
      <c r="M195" s="316">
        <v>824074.07</v>
      </c>
      <c r="N195" s="319">
        <v>3296296.28</v>
      </c>
      <c r="O195" s="301">
        <v>263703.70240000001</v>
      </c>
      <c r="P195" s="755">
        <v>3559999.9823999996</v>
      </c>
    </row>
    <row r="196" spans="1:16">
      <c r="A196" s="711" t="s">
        <v>717</v>
      </c>
      <c r="B196" s="307" t="s">
        <v>743</v>
      </c>
      <c r="C196" s="446">
        <v>46289</v>
      </c>
      <c r="D196" s="752" t="s">
        <v>1267</v>
      </c>
      <c r="E196" s="446"/>
      <c r="F196" s="447"/>
      <c r="G196" s="447"/>
      <c r="H196" s="299" t="s">
        <v>822</v>
      </c>
      <c r="I196" s="317" t="s">
        <v>21</v>
      </c>
      <c r="J196" s="320" t="s">
        <v>22</v>
      </c>
      <c r="K196" s="317" t="s">
        <v>18</v>
      </c>
      <c r="L196" s="451">
        <v>4</v>
      </c>
      <c r="M196" s="316">
        <v>937962.96</v>
      </c>
      <c r="N196" s="319">
        <v>3751851.84</v>
      </c>
      <c r="O196" s="301">
        <v>300148.14720000001</v>
      </c>
      <c r="P196" s="755">
        <v>4051999.9871999999</v>
      </c>
    </row>
    <row r="197" spans="1:16">
      <c r="A197" s="711" t="s">
        <v>717</v>
      </c>
      <c r="B197" s="307" t="s">
        <v>743</v>
      </c>
      <c r="C197" s="446">
        <v>46289</v>
      </c>
      <c r="D197" s="752" t="s">
        <v>1267</v>
      </c>
      <c r="E197" s="446"/>
      <c r="F197" s="447"/>
      <c r="G197" s="447"/>
      <c r="H197" s="299" t="s">
        <v>822</v>
      </c>
      <c r="I197" s="317" t="s">
        <v>192</v>
      </c>
      <c r="J197" s="320" t="s">
        <v>193</v>
      </c>
      <c r="K197" s="317" t="s">
        <v>18</v>
      </c>
      <c r="L197" s="451">
        <v>8</v>
      </c>
      <c r="M197" s="316">
        <v>398148.15</v>
      </c>
      <c r="N197" s="319">
        <v>3185185.2</v>
      </c>
      <c r="O197" s="301">
        <v>254814.81600000002</v>
      </c>
      <c r="P197" s="755">
        <v>3440000.0160000003</v>
      </c>
    </row>
    <row r="198" spans="1:16">
      <c r="A198" s="711" t="s">
        <v>717</v>
      </c>
      <c r="B198" s="307" t="s">
        <v>743</v>
      </c>
      <c r="C198" s="446">
        <v>46289</v>
      </c>
      <c r="D198" s="752" t="s">
        <v>1267</v>
      </c>
      <c r="E198" s="446"/>
      <c r="F198" s="447"/>
      <c r="G198" s="447"/>
      <c r="H198" s="299" t="s">
        <v>822</v>
      </c>
      <c r="I198" s="317" t="s">
        <v>46</v>
      </c>
      <c r="J198" s="320" t="s">
        <v>47</v>
      </c>
      <c r="K198" s="317" t="s">
        <v>18</v>
      </c>
      <c r="L198" s="451">
        <v>6</v>
      </c>
      <c r="M198" s="316">
        <v>240740.74</v>
      </c>
      <c r="N198" s="319">
        <v>1444444.44</v>
      </c>
      <c r="O198" s="301">
        <v>115555.5552</v>
      </c>
      <c r="P198" s="755">
        <v>1559999.9952</v>
      </c>
    </row>
    <row r="199" spans="1:16">
      <c r="A199" s="711" t="s">
        <v>717</v>
      </c>
      <c r="B199" s="307" t="s">
        <v>743</v>
      </c>
      <c r="C199" s="446">
        <v>46289</v>
      </c>
      <c r="D199" s="752" t="s">
        <v>1267</v>
      </c>
      <c r="E199" s="446"/>
      <c r="F199" s="447"/>
      <c r="G199" s="447"/>
      <c r="H199" s="299" t="s">
        <v>822</v>
      </c>
      <c r="I199" s="317" t="s">
        <v>157</v>
      </c>
      <c r="J199" s="320" t="s">
        <v>158</v>
      </c>
      <c r="K199" s="317" t="s">
        <v>18</v>
      </c>
      <c r="L199" s="451">
        <v>6</v>
      </c>
      <c r="M199" s="316">
        <v>342592.59</v>
      </c>
      <c r="N199" s="319">
        <v>2055555.54</v>
      </c>
      <c r="O199" s="301">
        <v>164444.44320000001</v>
      </c>
      <c r="P199" s="755">
        <v>2219999.9832000001</v>
      </c>
    </row>
    <row r="200" spans="1:16" ht="45">
      <c r="A200" s="711" t="s">
        <v>717</v>
      </c>
      <c r="B200" s="307" t="s">
        <v>743</v>
      </c>
      <c r="C200" s="446">
        <v>46289</v>
      </c>
      <c r="D200" s="752" t="s">
        <v>1267</v>
      </c>
      <c r="E200" s="446"/>
      <c r="F200" s="447"/>
      <c r="G200" s="447"/>
      <c r="H200" s="299" t="s">
        <v>822</v>
      </c>
      <c r="I200" s="317" t="s">
        <v>16</v>
      </c>
      <c r="J200" s="320" t="s">
        <v>17</v>
      </c>
      <c r="K200" s="317" t="s">
        <v>18</v>
      </c>
      <c r="L200" s="451">
        <v>4</v>
      </c>
      <c r="M200" s="316">
        <v>851851.85</v>
      </c>
      <c r="N200" s="319">
        <v>3407407.4</v>
      </c>
      <c r="O200" s="301">
        <v>272592.592</v>
      </c>
      <c r="P200" s="755">
        <v>3679999.9920000001</v>
      </c>
    </row>
    <row r="201" spans="1:16">
      <c r="A201" s="711" t="s">
        <v>717</v>
      </c>
      <c r="B201" s="307" t="s">
        <v>743</v>
      </c>
      <c r="C201" s="446">
        <v>46289</v>
      </c>
      <c r="D201" s="752" t="s">
        <v>1267</v>
      </c>
      <c r="E201" s="446"/>
      <c r="F201" s="447"/>
      <c r="G201" s="447"/>
      <c r="H201" s="299" t="s">
        <v>822</v>
      </c>
      <c r="I201" s="317" t="s">
        <v>643</v>
      </c>
      <c r="J201" s="320" t="s">
        <v>644</v>
      </c>
      <c r="K201" s="317" t="s">
        <v>18</v>
      </c>
      <c r="L201" s="825">
        <v>15</v>
      </c>
      <c r="M201" s="826">
        <v>527777.78</v>
      </c>
      <c r="N201" s="827">
        <v>7916666.7000000002</v>
      </c>
      <c r="O201" s="301">
        <v>633333.33600000001</v>
      </c>
      <c r="P201" s="755">
        <v>8550000.0360000003</v>
      </c>
    </row>
    <row r="202" spans="1:16">
      <c r="A202" s="711" t="s">
        <v>717</v>
      </c>
      <c r="B202" s="307" t="s">
        <v>743</v>
      </c>
      <c r="C202" s="446">
        <v>46289</v>
      </c>
      <c r="D202" s="752" t="s">
        <v>1267</v>
      </c>
      <c r="E202" s="446"/>
      <c r="F202" s="447"/>
      <c r="G202" s="447"/>
      <c r="H202" s="299" t="s">
        <v>822</v>
      </c>
      <c r="I202" s="317" t="s">
        <v>645</v>
      </c>
      <c r="J202" s="320" t="s">
        <v>646</v>
      </c>
      <c r="K202" s="317" t="s">
        <v>18</v>
      </c>
      <c r="L202" s="825">
        <v>15</v>
      </c>
      <c r="M202" s="826">
        <v>629629.63</v>
      </c>
      <c r="N202" s="827">
        <v>9444444.4499999993</v>
      </c>
      <c r="O202" s="301">
        <v>755555.55599999998</v>
      </c>
      <c r="P202" s="755">
        <v>10200000.005999999</v>
      </c>
    </row>
    <row r="203" spans="1:16" ht="30">
      <c r="A203" s="711" t="s">
        <v>717</v>
      </c>
      <c r="B203" s="307" t="s">
        <v>743</v>
      </c>
      <c r="C203" s="446">
        <v>46289</v>
      </c>
      <c r="D203" s="752" t="s">
        <v>1267</v>
      </c>
      <c r="E203" s="446"/>
      <c r="F203" s="447"/>
      <c r="G203" s="447"/>
      <c r="H203" s="299" t="s">
        <v>822</v>
      </c>
      <c r="I203" s="317" t="s">
        <v>26</v>
      </c>
      <c r="J203" s="320" t="s">
        <v>27</v>
      </c>
      <c r="K203" s="317" t="s">
        <v>18</v>
      </c>
      <c r="L203" s="825">
        <v>10</v>
      </c>
      <c r="M203" s="826">
        <v>256481.48</v>
      </c>
      <c r="N203" s="827">
        <v>2564814.8000000003</v>
      </c>
      <c r="O203" s="301">
        <v>205185.18400000004</v>
      </c>
      <c r="P203" s="755">
        <v>2769999.9840000002</v>
      </c>
    </row>
    <row r="204" spans="1:16" ht="30">
      <c r="A204" s="711" t="s">
        <v>717</v>
      </c>
      <c r="B204" s="307" t="s">
        <v>743</v>
      </c>
      <c r="C204" s="446">
        <v>46289</v>
      </c>
      <c r="D204" s="752" t="s">
        <v>1267</v>
      </c>
      <c r="E204" s="446"/>
      <c r="F204" s="447"/>
      <c r="G204" s="447"/>
      <c r="H204" s="299" t="s">
        <v>822</v>
      </c>
      <c r="I204" s="317" t="s">
        <v>28</v>
      </c>
      <c r="J204" s="320" t="s">
        <v>29</v>
      </c>
      <c r="K204" s="317" t="s">
        <v>18</v>
      </c>
      <c r="L204" s="825">
        <v>10</v>
      </c>
      <c r="M204" s="826">
        <v>281481.48</v>
      </c>
      <c r="N204" s="827">
        <v>2814814.8</v>
      </c>
      <c r="O204" s="301">
        <v>225185.18399999998</v>
      </c>
      <c r="P204" s="755">
        <v>3039999.9839999997</v>
      </c>
    </row>
    <row r="205" spans="1:16" ht="30">
      <c r="A205" s="711" t="s">
        <v>717</v>
      </c>
      <c r="B205" s="307" t="s">
        <v>743</v>
      </c>
      <c r="C205" s="446">
        <v>46289</v>
      </c>
      <c r="D205" s="752" t="s">
        <v>1267</v>
      </c>
      <c r="E205" s="446"/>
      <c r="F205" s="447"/>
      <c r="G205" s="447"/>
      <c r="H205" s="299" t="s">
        <v>822</v>
      </c>
      <c r="I205" s="317" t="s">
        <v>180</v>
      </c>
      <c r="J205" s="320" t="s">
        <v>181</v>
      </c>
      <c r="K205" s="317" t="s">
        <v>18</v>
      </c>
      <c r="L205" s="825">
        <v>10</v>
      </c>
      <c r="M205" s="826">
        <v>234259.26</v>
      </c>
      <c r="N205" s="827">
        <v>2342592.6</v>
      </c>
      <c r="O205" s="301">
        <v>187407.40800000002</v>
      </c>
      <c r="P205" s="755">
        <v>2530000.0079999999</v>
      </c>
    </row>
    <row r="206" spans="1:16" ht="30">
      <c r="A206" s="711" t="s">
        <v>717</v>
      </c>
      <c r="B206" s="307" t="s">
        <v>743</v>
      </c>
      <c r="C206" s="446">
        <v>46289</v>
      </c>
      <c r="D206" s="752" t="s">
        <v>1267</v>
      </c>
      <c r="E206" s="446"/>
      <c r="F206" s="447"/>
      <c r="G206" s="447"/>
      <c r="H206" s="299" t="s">
        <v>822</v>
      </c>
      <c r="I206" s="317" t="s">
        <v>184</v>
      </c>
      <c r="J206" s="320" t="s">
        <v>272</v>
      </c>
      <c r="K206" s="317" t="s">
        <v>18</v>
      </c>
      <c r="L206" s="825">
        <v>10</v>
      </c>
      <c r="M206" s="826">
        <v>240740.74</v>
      </c>
      <c r="N206" s="827">
        <v>2407407.4</v>
      </c>
      <c r="O206" s="301">
        <v>192592.592</v>
      </c>
      <c r="P206" s="755">
        <v>2599999.9920000001</v>
      </c>
    </row>
    <row r="207" spans="1:16" ht="30">
      <c r="A207" s="711" t="s">
        <v>717</v>
      </c>
      <c r="B207" s="307" t="s">
        <v>743</v>
      </c>
      <c r="C207" s="446">
        <v>46289</v>
      </c>
      <c r="D207" s="752" t="s">
        <v>1267</v>
      </c>
      <c r="E207" s="446"/>
      <c r="F207" s="447"/>
      <c r="G207" s="447"/>
      <c r="H207" s="299" t="s">
        <v>822</v>
      </c>
      <c r="I207" s="317" t="s">
        <v>30</v>
      </c>
      <c r="J207" s="320" t="s">
        <v>31</v>
      </c>
      <c r="K207" s="317" t="s">
        <v>18</v>
      </c>
      <c r="L207" s="825">
        <v>10</v>
      </c>
      <c r="M207" s="826">
        <v>259259.26</v>
      </c>
      <c r="N207" s="827">
        <v>2592592.6</v>
      </c>
      <c r="O207" s="301">
        <v>207407.40800000002</v>
      </c>
      <c r="P207" s="755">
        <v>2800000.0079999999</v>
      </c>
    </row>
    <row r="208" spans="1:16" ht="30">
      <c r="A208" s="711" t="s">
        <v>717</v>
      </c>
      <c r="B208" s="307" t="s">
        <v>743</v>
      </c>
      <c r="C208" s="446">
        <v>46289</v>
      </c>
      <c r="D208" s="752" t="s">
        <v>1267</v>
      </c>
      <c r="E208" s="446"/>
      <c r="F208" s="447"/>
      <c r="G208" s="447"/>
      <c r="H208" s="299" t="s">
        <v>822</v>
      </c>
      <c r="I208" s="317" t="s">
        <v>301</v>
      </c>
      <c r="J208" s="320" t="s">
        <v>361</v>
      </c>
      <c r="K208" s="317" t="s">
        <v>18</v>
      </c>
      <c r="L208" s="825">
        <v>10</v>
      </c>
      <c r="M208" s="826">
        <v>277777.78000000003</v>
      </c>
      <c r="N208" s="827">
        <v>2777777.8000000003</v>
      </c>
      <c r="O208" s="301">
        <v>222222.22400000002</v>
      </c>
      <c r="P208" s="755">
        <v>3000000.0240000002</v>
      </c>
    </row>
    <row r="209" spans="1:16" ht="30">
      <c r="A209" s="711" t="s">
        <v>717</v>
      </c>
      <c r="B209" s="307" t="s">
        <v>743</v>
      </c>
      <c r="C209" s="446">
        <v>46289</v>
      </c>
      <c r="D209" s="752" t="s">
        <v>1267</v>
      </c>
      <c r="E209" s="446"/>
      <c r="F209" s="447"/>
      <c r="G209" s="447"/>
      <c r="H209" s="299" t="s">
        <v>822</v>
      </c>
      <c r="I209" s="317" t="s">
        <v>32</v>
      </c>
      <c r="J209" s="320" t="s">
        <v>33</v>
      </c>
      <c r="K209" s="317" t="s">
        <v>18</v>
      </c>
      <c r="L209" s="825">
        <v>10</v>
      </c>
      <c r="M209" s="826">
        <v>226851.85</v>
      </c>
      <c r="N209" s="827">
        <v>2268518.5</v>
      </c>
      <c r="O209" s="301">
        <v>181481.48</v>
      </c>
      <c r="P209" s="755">
        <v>2449999.98</v>
      </c>
    </row>
    <row r="210" spans="1:16" ht="30">
      <c r="A210" s="711" t="s">
        <v>717</v>
      </c>
      <c r="B210" s="307" t="s">
        <v>743</v>
      </c>
      <c r="C210" s="446">
        <v>46289</v>
      </c>
      <c r="D210" s="752" t="s">
        <v>1267</v>
      </c>
      <c r="E210" s="446"/>
      <c r="F210" s="447"/>
      <c r="G210" s="447"/>
      <c r="H210" s="299" t="s">
        <v>822</v>
      </c>
      <c r="I210" s="317" t="s">
        <v>34</v>
      </c>
      <c r="J210" s="320" t="s">
        <v>35</v>
      </c>
      <c r="K210" s="317" t="s">
        <v>18</v>
      </c>
      <c r="L210" s="825">
        <v>10</v>
      </c>
      <c r="M210" s="826">
        <v>240740.74</v>
      </c>
      <c r="N210" s="827">
        <v>2407407.4</v>
      </c>
      <c r="O210" s="301">
        <v>192592.592</v>
      </c>
      <c r="P210" s="755">
        <v>2599999.9920000001</v>
      </c>
    </row>
    <row r="211" spans="1:16" ht="30">
      <c r="A211" s="711" t="s">
        <v>717</v>
      </c>
      <c r="B211" s="307" t="s">
        <v>743</v>
      </c>
      <c r="C211" s="446">
        <v>46289</v>
      </c>
      <c r="D211" s="752" t="s">
        <v>1267</v>
      </c>
      <c r="E211" s="446"/>
      <c r="F211" s="447"/>
      <c r="G211" s="447"/>
      <c r="H211" s="299" t="s">
        <v>822</v>
      </c>
      <c r="I211" s="317" t="s">
        <v>36</v>
      </c>
      <c r="J211" s="320" t="s">
        <v>37</v>
      </c>
      <c r="K211" s="317" t="s">
        <v>18</v>
      </c>
      <c r="L211" s="825">
        <v>10</v>
      </c>
      <c r="M211" s="826">
        <v>259259.26</v>
      </c>
      <c r="N211" s="827">
        <v>2592592.6</v>
      </c>
      <c r="O211" s="301">
        <v>207407.40800000002</v>
      </c>
      <c r="P211" s="755">
        <v>2800000.0079999999</v>
      </c>
    </row>
    <row r="212" spans="1:16" ht="30">
      <c r="A212" s="711" t="s">
        <v>717</v>
      </c>
      <c r="B212" s="307" t="s">
        <v>743</v>
      </c>
      <c r="C212" s="446">
        <v>46289</v>
      </c>
      <c r="D212" s="752" t="s">
        <v>1267</v>
      </c>
      <c r="E212" s="446"/>
      <c r="F212" s="447"/>
      <c r="G212" s="447"/>
      <c r="H212" s="299" t="s">
        <v>822</v>
      </c>
      <c r="I212" s="317" t="s">
        <v>38</v>
      </c>
      <c r="J212" s="320" t="s">
        <v>39</v>
      </c>
      <c r="K212" s="317" t="s">
        <v>18</v>
      </c>
      <c r="L212" s="825">
        <v>10</v>
      </c>
      <c r="M212" s="826">
        <v>277777.78000000003</v>
      </c>
      <c r="N212" s="827">
        <v>2777777.8000000003</v>
      </c>
      <c r="O212" s="301">
        <v>222222.22400000002</v>
      </c>
      <c r="P212" s="755">
        <v>3000000.0240000002</v>
      </c>
    </row>
    <row r="213" spans="1:16">
      <c r="A213" s="711" t="s">
        <v>717</v>
      </c>
      <c r="B213" s="307" t="s">
        <v>743</v>
      </c>
      <c r="C213" s="446">
        <v>46289</v>
      </c>
      <c r="D213" s="752" t="s">
        <v>1267</v>
      </c>
      <c r="E213" s="446"/>
      <c r="F213" s="447"/>
      <c r="G213" s="447"/>
      <c r="H213" s="299" t="s">
        <v>822</v>
      </c>
      <c r="I213" s="317" t="s">
        <v>219</v>
      </c>
      <c r="J213" s="320" t="s">
        <v>220</v>
      </c>
      <c r="K213" s="317" t="s">
        <v>18</v>
      </c>
      <c r="L213" s="825">
        <v>10</v>
      </c>
      <c r="M213" s="316">
        <v>263888.89</v>
      </c>
      <c r="N213" s="827">
        <v>2638888.9000000004</v>
      </c>
      <c r="O213" s="301">
        <v>211111.11200000002</v>
      </c>
      <c r="P213" s="755">
        <v>2850000.0120000006</v>
      </c>
    </row>
    <row r="214" spans="1:16">
      <c r="A214" s="711" t="s">
        <v>761</v>
      </c>
      <c r="B214" s="306" t="s">
        <v>695</v>
      </c>
      <c r="C214" s="446">
        <v>46290</v>
      </c>
      <c r="D214" s="752" t="s">
        <v>1268</v>
      </c>
      <c r="E214" s="446"/>
      <c r="F214" s="447"/>
      <c r="G214" s="447"/>
      <c r="H214" s="299" t="s">
        <v>817</v>
      </c>
      <c r="I214" s="317" t="s">
        <v>23</v>
      </c>
      <c r="J214" s="320" t="s">
        <v>82</v>
      </c>
      <c r="K214" s="317" t="s">
        <v>18</v>
      </c>
      <c r="L214" s="825">
        <v>6</v>
      </c>
      <c r="M214" s="826">
        <v>1185185.19</v>
      </c>
      <c r="N214" s="827">
        <v>7111111.1399999997</v>
      </c>
      <c r="O214" s="301">
        <v>568888.89119999995</v>
      </c>
      <c r="P214" s="755">
        <v>7680000.0311999992</v>
      </c>
    </row>
    <row r="215" spans="1:16" ht="30">
      <c r="A215" s="711" t="s">
        <v>761</v>
      </c>
      <c r="B215" s="306" t="s">
        <v>695</v>
      </c>
      <c r="C215" s="446">
        <v>46290</v>
      </c>
      <c r="D215" s="752" t="s">
        <v>1268</v>
      </c>
      <c r="E215" s="446"/>
      <c r="F215" s="447"/>
      <c r="G215" s="447"/>
      <c r="H215" s="299" t="s">
        <v>817</v>
      </c>
      <c r="I215" s="317" t="s">
        <v>28</v>
      </c>
      <c r="J215" s="320" t="s">
        <v>29</v>
      </c>
      <c r="K215" s="317" t="s">
        <v>18</v>
      </c>
      <c r="L215" s="825">
        <v>40</v>
      </c>
      <c r="M215" s="826">
        <v>281481.48</v>
      </c>
      <c r="N215" s="827">
        <v>11259259.199999999</v>
      </c>
      <c r="O215" s="301">
        <v>900740.73599999992</v>
      </c>
      <c r="P215" s="755">
        <v>12159999.935999999</v>
      </c>
    </row>
    <row r="216" spans="1:16">
      <c r="A216" s="711" t="s">
        <v>761</v>
      </c>
      <c r="B216" s="306" t="s">
        <v>695</v>
      </c>
      <c r="C216" s="446">
        <v>46290</v>
      </c>
      <c r="D216" s="752" t="s">
        <v>1268</v>
      </c>
      <c r="E216" s="446"/>
      <c r="F216" s="447"/>
      <c r="G216" s="447"/>
      <c r="H216" s="299" t="s">
        <v>817</v>
      </c>
      <c r="I216" s="317" t="s">
        <v>645</v>
      </c>
      <c r="J216" s="320" t="s">
        <v>646</v>
      </c>
      <c r="K216" s="317" t="s">
        <v>18</v>
      </c>
      <c r="L216" s="825">
        <v>15</v>
      </c>
      <c r="M216" s="826">
        <v>629629.63</v>
      </c>
      <c r="N216" s="827">
        <v>9444444.4499999993</v>
      </c>
      <c r="O216" s="301">
        <v>755555.55599999998</v>
      </c>
      <c r="P216" s="755">
        <v>10200000.005999999</v>
      </c>
    </row>
    <row r="217" spans="1:16" ht="30">
      <c r="A217" s="441" t="s">
        <v>1273</v>
      </c>
      <c r="B217" s="441" t="s">
        <v>1272</v>
      </c>
      <c r="C217" s="446">
        <v>46290</v>
      </c>
      <c r="D217" s="752" t="s">
        <v>1274</v>
      </c>
      <c r="E217" s="446"/>
      <c r="F217" s="447"/>
      <c r="G217" s="447"/>
      <c r="H217" s="299" t="s">
        <v>1275</v>
      </c>
      <c r="I217" s="317" t="s">
        <v>355</v>
      </c>
      <c r="J217" s="320" t="s">
        <v>356</v>
      </c>
      <c r="K217" s="317" t="s">
        <v>18</v>
      </c>
      <c r="L217" s="315">
        <v>1</v>
      </c>
      <c r="M217" s="316">
        <v>1127000</v>
      </c>
      <c r="N217" s="319">
        <v>1127000</v>
      </c>
      <c r="O217" s="301">
        <v>90160</v>
      </c>
      <c r="P217" s="755">
        <v>1217160</v>
      </c>
    </row>
    <row r="218" spans="1:16">
      <c r="A218" s="441" t="s">
        <v>1273</v>
      </c>
      <c r="B218" s="441" t="s">
        <v>1272</v>
      </c>
      <c r="C218" s="446">
        <v>46290</v>
      </c>
      <c r="D218" s="752" t="s">
        <v>1274</v>
      </c>
      <c r="E218" s="446"/>
      <c r="F218" s="447"/>
      <c r="G218" s="447"/>
      <c r="H218" s="299" t="s">
        <v>1275</v>
      </c>
      <c r="I218" s="317" t="s">
        <v>23</v>
      </c>
      <c r="J218" s="320" t="s">
        <v>82</v>
      </c>
      <c r="K218" s="317" t="s">
        <v>18</v>
      </c>
      <c r="L218" s="315">
        <v>1</v>
      </c>
      <c r="M218" s="316">
        <v>1280000</v>
      </c>
      <c r="N218" s="319">
        <v>1280000</v>
      </c>
      <c r="O218" s="301">
        <v>102400</v>
      </c>
      <c r="P218" s="755">
        <v>1382400</v>
      </c>
    </row>
    <row r="219" spans="1:16">
      <c r="A219" s="441" t="s">
        <v>1273</v>
      </c>
      <c r="B219" s="441" t="s">
        <v>1272</v>
      </c>
      <c r="C219" s="446">
        <v>46290</v>
      </c>
      <c r="D219" s="752" t="s">
        <v>1274</v>
      </c>
      <c r="E219" s="446"/>
      <c r="F219" s="447"/>
      <c r="G219" s="447"/>
      <c r="H219" s="299" t="s">
        <v>1275</v>
      </c>
      <c r="I219" s="317" t="s">
        <v>873</v>
      </c>
      <c r="J219" s="320" t="s">
        <v>874</v>
      </c>
      <c r="K219" s="317" t="s">
        <v>18</v>
      </c>
      <c r="L219" s="315">
        <v>1</v>
      </c>
      <c r="M219" s="316">
        <v>420000</v>
      </c>
      <c r="N219" s="319">
        <v>420000</v>
      </c>
      <c r="O219" s="301">
        <v>33600</v>
      </c>
      <c r="P219" s="755">
        <v>453600</v>
      </c>
    </row>
    <row r="220" spans="1:16">
      <c r="A220" s="711" t="s">
        <v>966</v>
      </c>
      <c r="B220" s="306" t="s">
        <v>697</v>
      </c>
      <c r="C220" s="446">
        <v>46288</v>
      </c>
      <c r="D220" s="752" t="s">
        <v>1278</v>
      </c>
      <c r="E220" s="446"/>
      <c r="F220" s="447"/>
      <c r="G220" s="447"/>
      <c r="H220" s="299" t="s">
        <v>677</v>
      </c>
      <c r="I220" s="317" t="s">
        <v>98</v>
      </c>
      <c r="J220" s="317" t="s">
        <v>251</v>
      </c>
      <c r="K220" s="317" t="s">
        <v>18</v>
      </c>
      <c r="L220" s="315">
        <v>2</v>
      </c>
      <c r="M220" s="316">
        <v>694444.44</v>
      </c>
      <c r="N220" s="319">
        <v>1388888.88</v>
      </c>
      <c r="O220" s="613">
        <v>0</v>
      </c>
      <c r="P220" s="612">
        <v>1388888.88</v>
      </c>
    </row>
    <row r="221" spans="1:16">
      <c r="A221" s="711" t="s">
        <v>966</v>
      </c>
      <c r="B221" s="306" t="s">
        <v>697</v>
      </c>
      <c r="C221" s="446">
        <v>46288</v>
      </c>
      <c r="D221" s="752" t="s">
        <v>1278</v>
      </c>
      <c r="E221" s="446"/>
      <c r="F221" s="447"/>
      <c r="G221" s="447"/>
      <c r="H221" s="299" t="s">
        <v>677</v>
      </c>
      <c r="I221" s="317" t="s">
        <v>52</v>
      </c>
      <c r="J221" s="317" t="s">
        <v>53</v>
      </c>
      <c r="K221" s="317" t="s">
        <v>18</v>
      </c>
      <c r="L221" s="315">
        <v>1</v>
      </c>
      <c r="M221" s="316">
        <v>1007407.41</v>
      </c>
      <c r="N221" s="319">
        <v>1007407.41</v>
      </c>
      <c r="O221" s="613">
        <v>0</v>
      </c>
      <c r="P221" s="612">
        <v>1007407.41</v>
      </c>
    </row>
    <row r="222" spans="1:16">
      <c r="A222" s="764" t="s">
        <v>974</v>
      </c>
      <c r="B222" s="441" t="s">
        <v>1237</v>
      </c>
      <c r="C222" s="446">
        <v>46289</v>
      </c>
      <c r="D222" s="752" t="s">
        <v>1280</v>
      </c>
      <c r="E222" s="446"/>
      <c r="F222" s="447"/>
      <c r="G222" s="447"/>
      <c r="H222" s="299" t="s">
        <v>1238</v>
      </c>
      <c r="I222" s="317" t="s">
        <v>74</v>
      </c>
      <c r="J222" s="320" t="s">
        <v>141</v>
      </c>
      <c r="K222" s="317" t="s">
        <v>18</v>
      </c>
      <c r="L222" s="315">
        <v>4</v>
      </c>
      <c r="M222" s="316">
        <v>416666.66</v>
      </c>
      <c r="N222" s="319">
        <v>1666666.64</v>
      </c>
      <c r="O222" s="613">
        <v>133333.33119999999</v>
      </c>
      <c r="P222" s="612">
        <v>1799999.9711999998</v>
      </c>
    </row>
    <row r="223" spans="1:16">
      <c r="A223" s="711" t="s">
        <v>964</v>
      </c>
      <c r="B223" s="307" t="s">
        <v>852</v>
      </c>
      <c r="C223" s="446">
        <v>46290</v>
      </c>
      <c r="D223" s="752" t="s">
        <v>1281</v>
      </c>
      <c r="E223" s="446"/>
      <c r="F223" s="447"/>
      <c r="G223" s="447"/>
      <c r="H223" s="302" t="s">
        <v>587</v>
      </c>
      <c r="I223" s="317" t="s">
        <v>77</v>
      </c>
      <c r="J223" s="320" t="s">
        <v>320</v>
      </c>
      <c r="K223" s="314" t="s">
        <v>18</v>
      </c>
      <c r="L223" s="828">
        <v>40</v>
      </c>
      <c r="M223" s="829">
        <v>324074.07</v>
      </c>
      <c r="N223" s="830">
        <v>12962962.800000001</v>
      </c>
      <c r="O223" s="613">
        <v>1037037.0240000001</v>
      </c>
      <c r="P223" s="612">
        <v>13999999.824000001</v>
      </c>
    </row>
    <row r="224" spans="1:16">
      <c r="A224" s="711" t="s">
        <v>964</v>
      </c>
      <c r="B224" s="307" t="s">
        <v>852</v>
      </c>
      <c r="C224" s="446">
        <v>46290</v>
      </c>
      <c r="D224" s="752" t="s">
        <v>1281</v>
      </c>
      <c r="E224" s="446"/>
      <c r="F224" s="447"/>
      <c r="G224" s="447"/>
      <c r="H224" s="302" t="s">
        <v>587</v>
      </c>
      <c r="I224" s="317" t="s">
        <v>206</v>
      </c>
      <c r="J224" s="320" t="s">
        <v>835</v>
      </c>
      <c r="K224" s="314" t="s">
        <v>18</v>
      </c>
      <c r="L224" s="828">
        <v>10</v>
      </c>
      <c r="M224" s="829">
        <v>483333.33</v>
      </c>
      <c r="N224" s="830">
        <v>4833333.3</v>
      </c>
      <c r="O224" s="613">
        <v>386666.66399999999</v>
      </c>
      <c r="P224" s="612">
        <v>5219999.9639999997</v>
      </c>
    </row>
    <row r="225" spans="1:16">
      <c r="A225" s="711" t="s">
        <v>964</v>
      </c>
      <c r="B225" s="307" t="s">
        <v>852</v>
      </c>
      <c r="C225" s="446">
        <v>46290</v>
      </c>
      <c r="D225" s="752" t="s">
        <v>1281</v>
      </c>
      <c r="E225" s="446"/>
      <c r="F225" s="447"/>
      <c r="G225" s="447"/>
      <c r="H225" s="302" t="s">
        <v>587</v>
      </c>
      <c r="I225" s="317" t="s">
        <v>23</v>
      </c>
      <c r="J225" s="320" t="s">
        <v>82</v>
      </c>
      <c r="K225" s="314" t="s">
        <v>18</v>
      </c>
      <c r="L225" s="828">
        <v>10</v>
      </c>
      <c r="M225" s="829">
        <v>1185185.19</v>
      </c>
      <c r="N225" s="830">
        <v>11851851.899999999</v>
      </c>
      <c r="O225" s="613">
        <v>948148.15199999989</v>
      </c>
      <c r="P225" s="612">
        <v>12800000.051999999</v>
      </c>
    </row>
    <row r="226" spans="1:16">
      <c r="A226" s="711" t="s">
        <v>964</v>
      </c>
      <c r="B226" s="307" t="s">
        <v>852</v>
      </c>
      <c r="C226" s="446">
        <v>46290</v>
      </c>
      <c r="D226" s="752" t="s">
        <v>1281</v>
      </c>
      <c r="E226" s="446"/>
      <c r="F226" s="447"/>
      <c r="G226" s="447"/>
      <c r="H226" s="302" t="s">
        <v>587</v>
      </c>
      <c r="I226" s="317" t="s">
        <v>74</v>
      </c>
      <c r="J226" s="320" t="s">
        <v>141</v>
      </c>
      <c r="K226" s="314" t="s">
        <v>18</v>
      </c>
      <c r="L226" s="451">
        <v>16</v>
      </c>
      <c r="M226" s="316">
        <v>382407.41</v>
      </c>
      <c r="N226" s="319">
        <v>6118518.5599999996</v>
      </c>
      <c r="O226" s="613">
        <v>489481.48479999998</v>
      </c>
      <c r="P226" s="612">
        <v>6608000.0447999993</v>
      </c>
    </row>
    <row r="227" spans="1:16" ht="45">
      <c r="A227" s="711" t="s">
        <v>964</v>
      </c>
      <c r="B227" s="307" t="s">
        <v>852</v>
      </c>
      <c r="C227" s="446">
        <v>46290</v>
      </c>
      <c r="D227" s="752" t="s">
        <v>1281</v>
      </c>
      <c r="E227" s="446"/>
      <c r="F227" s="447"/>
      <c r="G227" s="447"/>
      <c r="H227" s="302" t="s">
        <v>587</v>
      </c>
      <c r="I227" s="317" t="s">
        <v>60</v>
      </c>
      <c r="J227" s="320" t="s">
        <v>61</v>
      </c>
      <c r="K227" s="314" t="s">
        <v>18</v>
      </c>
      <c r="L227" s="451">
        <v>20</v>
      </c>
      <c r="M227" s="316">
        <v>1138888.8899999999</v>
      </c>
      <c r="N227" s="319">
        <v>22777777.799999997</v>
      </c>
      <c r="O227" s="613">
        <v>1822222.2239999997</v>
      </c>
      <c r="P227" s="612">
        <v>24600000.023999996</v>
      </c>
    </row>
    <row r="228" spans="1:16" ht="45">
      <c r="A228" s="711" t="s">
        <v>964</v>
      </c>
      <c r="B228" s="307" t="s">
        <v>852</v>
      </c>
      <c r="C228" s="446">
        <v>46290</v>
      </c>
      <c r="D228" s="752" t="s">
        <v>1281</v>
      </c>
      <c r="E228" s="446"/>
      <c r="F228" s="447"/>
      <c r="G228" s="447"/>
      <c r="H228" s="302" t="s">
        <v>587</v>
      </c>
      <c r="I228" s="317" t="s">
        <v>83</v>
      </c>
      <c r="J228" s="320" t="s">
        <v>84</v>
      </c>
      <c r="K228" s="314" t="s">
        <v>18</v>
      </c>
      <c r="L228" s="451">
        <v>20</v>
      </c>
      <c r="M228" s="316">
        <v>1097222.22</v>
      </c>
      <c r="N228" s="319">
        <v>21944444.399999999</v>
      </c>
      <c r="O228" s="613">
        <v>1755555.5519999999</v>
      </c>
      <c r="P228" s="612">
        <v>23699999.952</v>
      </c>
    </row>
    <row r="229" spans="1:16" ht="45">
      <c r="A229" s="711" t="s">
        <v>964</v>
      </c>
      <c r="B229" s="307" t="s">
        <v>852</v>
      </c>
      <c r="C229" s="446">
        <v>46290</v>
      </c>
      <c r="D229" s="752" t="s">
        <v>1281</v>
      </c>
      <c r="E229" s="446"/>
      <c r="F229" s="447"/>
      <c r="G229" s="447"/>
      <c r="H229" s="302" t="s">
        <v>587</v>
      </c>
      <c r="I229" s="317" t="s">
        <v>16</v>
      </c>
      <c r="J229" s="320" t="s">
        <v>17</v>
      </c>
      <c r="K229" s="314" t="s">
        <v>18</v>
      </c>
      <c r="L229" s="828">
        <v>12</v>
      </c>
      <c r="M229" s="829">
        <v>851851.85</v>
      </c>
      <c r="N229" s="830">
        <v>10222222.199999999</v>
      </c>
      <c r="O229" s="613">
        <v>817777.77599999995</v>
      </c>
      <c r="P229" s="612">
        <v>11039999.976</v>
      </c>
    </row>
    <row r="230" spans="1:16">
      <c r="A230" s="711" t="s">
        <v>964</v>
      </c>
      <c r="B230" s="307" t="s">
        <v>852</v>
      </c>
      <c r="C230" s="446">
        <v>46290</v>
      </c>
      <c r="D230" s="752" t="s">
        <v>1281</v>
      </c>
      <c r="E230" s="446"/>
      <c r="F230" s="447"/>
      <c r="G230" s="447"/>
      <c r="H230" s="302" t="s">
        <v>587</v>
      </c>
      <c r="I230" s="317" t="s">
        <v>645</v>
      </c>
      <c r="J230" s="320" t="s">
        <v>646</v>
      </c>
      <c r="K230" s="314" t="s">
        <v>18</v>
      </c>
      <c r="L230" s="828">
        <v>15</v>
      </c>
      <c r="M230" s="829">
        <v>629629.63</v>
      </c>
      <c r="N230" s="830">
        <v>9444444.4499999993</v>
      </c>
      <c r="O230" s="613">
        <v>755555.55599999998</v>
      </c>
      <c r="P230" s="612">
        <v>10200000.005999999</v>
      </c>
    </row>
    <row r="231" spans="1:16">
      <c r="A231" s="711" t="s">
        <v>964</v>
      </c>
      <c r="B231" s="307" t="s">
        <v>852</v>
      </c>
      <c r="C231" s="446">
        <v>46290</v>
      </c>
      <c r="D231" s="752" t="s">
        <v>1281</v>
      </c>
      <c r="E231" s="446"/>
      <c r="F231" s="447"/>
      <c r="G231" s="447"/>
      <c r="H231" s="302" t="s">
        <v>587</v>
      </c>
      <c r="I231" s="317" t="s">
        <v>651</v>
      </c>
      <c r="J231" s="320" t="s">
        <v>652</v>
      </c>
      <c r="K231" s="314" t="s">
        <v>18</v>
      </c>
      <c r="L231" s="828">
        <v>15</v>
      </c>
      <c r="M231" s="829">
        <v>694444.44</v>
      </c>
      <c r="N231" s="830">
        <v>10416666.6</v>
      </c>
      <c r="O231" s="613">
        <v>833333.32799999998</v>
      </c>
      <c r="P231" s="612">
        <v>11249999.927999999</v>
      </c>
    </row>
    <row r="232" spans="1:16">
      <c r="A232" s="711" t="s">
        <v>964</v>
      </c>
      <c r="B232" s="307" t="s">
        <v>852</v>
      </c>
      <c r="C232" s="446">
        <v>46290</v>
      </c>
      <c r="D232" s="752" t="s">
        <v>1281</v>
      </c>
      <c r="E232" s="446"/>
      <c r="F232" s="447"/>
      <c r="G232" s="447"/>
      <c r="H232" s="302" t="s">
        <v>587</v>
      </c>
      <c r="I232" s="317" t="s">
        <v>103</v>
      </c>
      <c r="J232" s="320" t="s">
        <v>104</v>
      </c>
      <c r="K232" s="314" t="s">
        <v>18</v>
      </c>
      <c r="L232" s="828">
        <v>6</v>
      </c>
      <c r="M232" s="829">
        <v>675925.93</v>
      </c>
      <c r="N232" s="830">
        <v>4055555.58</v>
      </c>
      <c r="O232" s="613">
        <v>324444.44640000002</v>
      </c>
      <c r="P232" s="612">
        <v>4380000.0263999999</v>
      </c>
    </row>
    <row r="233" spans="1:16" ht="30">
      <c r="A233" s="711" t="s">
        <v>964</v>
      </c>
      <c r="B233" s="307" t="s">
        <v>852</v>
      </c>
      <c r="C233" s="446">
        <v>46290</v>
      </c>
      <c r="D233" s="752" t="s">
        <v>1281</v>
      </c>
      <c r="E233" s="446"/>
      <c r="F233" s="447"/>
      <c r="G233" s="447"/>
      <c r="H233" s="302" t="s">
        <v>587</v>
      </c>
      <c r="I233" s="317" t="s">
        <v>54</v>
      </c>
      <c r="J233" s="320" t="s">
        <v>329</v>
      </c>
      <c r="K233" s="314" t="s">
        <v>18</v>
      </c>
      <c r="L233" s="828">
        <v>36</v>
      </c>
      <c r="M233" s="829">
        <v>324074.07</v>
      </c>
      <c r="N233" s="830">
        <v>11666666.52</v>
      </c>
      <c r="O233" s="613">
        <v>933333.32160000002</v>
      </c>
      <c r="P233" s="612">
        <v>12599999.841599999</v>
      </c>
    </row>
    <row r="234" spans="1:16" ht="30">
      <c r="A234" s="711" t="s">
        <v>964</v>
      </c>
      <c r="B234" s="307" t="s">
        <v>852</v>
      </c>
      <c r="C234" s="446">
        <v>46290</v>
      </c>
      <c r="D234" s="752" t="s">
        <v>1281</v>
      </c>
      <c r="E234" s="446"/>
      <c r="F234" s="447"/>
      <c r="G234" s="447"/>
      <c r="H234" s="302" t="s">
        <v>587</v>
      </c>
      <c r="I234" s="317" t="s">
        <v>56</v>
      </c>
      <c r="J234" s="320" t="s">
        <v>57</v>
      </c>
      <c r="K234" s="314" t="s">
        <v>18</v>
      </c>
      <c r="L234" s="828">
        <v>36</v>
      </c>
      <c r="M234" s="829">
        <v>325925.93</v>
      </c>
      <c r="N234" s="830">
        <v>11733333.48</v>
      </c>
      <c r="O234" s="613">
        <v>938666.67840000009</v>
      </c>
      <c r="P234" s="612">
        <v>12672000.158400001</v>
      </c>
    </row>
    <row r="235" spans="1:16">
      <c r="A235" s="711" t="s">
        <v>964</v>
      </c>
      <c r="B235" s="307" t="s">
        <v>852</v>
      </c>
      <c r="C235" s="446">
        <v>46290</v>
      </c>
      <c r="D235" s="752" t="s">
        <v>1281</v>
      </c>
      <c r="E235" s="446"/>
      <c r="F235" s="447"/>
      <c r="G235" s="447"/>
      <c r="H235" s="302" t="s">
        <v>587</v>
      </c>
      <c r="I235" s="317" t="s">
        <v>127</v>
      </c>
      <c r="J235" s="320" t="s">
        <v>128</v>
      </c>
      <c r="K235" s="314" t="s">
        <v>18</v>
      </c>
      <c r="L235" s="828">
        <v>24</v>
      </c>
      <c r="M235" s="829">
        <v>284259.26</v>
      </c>
      <c r="N235" s="830">
        <v>6822222.2400000002</v>
      </c>
      <c r="O235" s="613">
        <v>545777.77919999999</v>
      </c>
      <c r="P235" s="612">
        <v>7368000.0192</v>
      </c>
    </row>
    <row r="236" spans="1:16">
      <c r="A236" s="711" t="s">
        <v>964</v>
      </c>
      <c r="B236" s="307" t="s">
        <v>852</v>
      </c>
      <c r="C236" s="446">
        <v>46290</v>
      </c>
      <c r="D236" s="752" t="s">
        <v>1281</v>
      </c>
      <c r="E236" s="446"/>
      <c r="F236" s="447"/>
      <c r="G236" s="447"/>
      <c r="H236" s="302" t="s">
        <v>587</v>
      </c>
      <c r="I236" s="317" t="s">
        <v>101</v>
      </c>
      <c r="J236" s="320" t="s">
        <v>102</v>
      </c>
      <c r="K236" s="314" t="s">
        <v>18</v>
      </c>
      <c r="L236" s="828">
        <v>20</v>
      </c>
      <c r="M236" s="829">
        <v>861111.11</v>
      </c>
      <c r="N236" s="830">
        <v>17222222.199999999</v>
      </c>
      <c r="O236" s="613">
        <v>1377777.7760000001</v>
      </c>
      <c r="P236" s="612">
        <v>18599999.976</v>
      </c>
    </row>
    <row r="237" spans="1:16">
      <c r="A237" s="711" t="s">
        <v>964</v>
      </c>
      <c r="B237" s="307" t="s">
        <v>852</v>
      </c>
      <c r="C237" s="446">
        <v>46290</v>
      </c>
      <c r="D237" s="752" t="s">
        <v>1281</v>
      </c>
      <c r="E237" s="446"/>
      <c r="F237" s="447"/>
      <c r="G237" s="447"/>
      <c r="H237" s="302" t="s">
        <v>587</v>
      </c>
      <c r="I237" s="317" t="s">
        <v>93</v>
      </c>
      <c r="J237" s="320" t="s">
        <v>94</v>
      </c>
      <c r="K237" s="314" t="s">
        <v>18</v>
      </c>
      <c r="L237" s="828">
        <v>6</v>
      </c>
      <c r="M237" s="829">
        <v>907407.41</v>
      </c>
      <c r="N237" s="830">
        <v>5444444.46</v>
      </c>
      <c r="O237" s="613">
        <v>435555.55680000002</v>
      </c>
      <c r="P237" s="612">
        <v>5880000.0168000003</v>
      </c>
    </row>
    <row r="238" spans="1:16">
      <c r="A238" s="307" t="s">
        <v>792</v>
      </c>
      <c r="B238" s="307" t="s">
        <v>714</v>
      </c>
      <c r="C238" s="446">
        <v>46293</v>
      </c>
      <c r="D238" s="752" t="s">
        <v>1283</v>
      </c>
      <c r="E238" s="446"/>
      <c r="F238" s="447"/>
      <c r="G238" s="447"/>
      <c r="H238" s="299" t="s">
        <v>810</v>
      </c>
      <c r="I238" s="832" t="s">
        <v>645</v>
      </c>
      <c r="J238" s="320" t="s">
        <v>646</v>
      </c>
      <c r="K238" s="314" t="s">
        <v>18</v>
      </c>
      <c r="L238" s="315">
        <v>30</v>
      </c>
      <c r="M238" s="316">
        <v>629629.63</v>
      </c>
      <c r="N238" s="319">
        <v>18888888.899999999</v>
      </c>
      <c r="O238" s="613">
        <v>1511111.112</v>
      </c>
      <c r="P238" s="651">
        <v>20400000.011999998</v>
      </c>
    </row>
    <row r="239" spans="1:16">
      <c r="A239" s="307" t="s">
        <v>792</v>
      </c>
      <c r="B239" s="307" t="s">
        <v>714</v>
      </c>
      <c r="C239" s="446">
        <v>46293</v>
      </c>
      <c r="D239" s="752" t="s">
        <v>1283</v>
      </c>
      <c r="E239" s="446"/>
      <c r="F239" s="447"/>
      <c r="G239" s="447"/>
      <c r="H239" s="299" t="s">
        <v>810</v>
      </c>
      <c r="I239" s="832" t="s">
        <v>726</v>
      </c>
      <c r="J239" s="320" t="s">
        <v>727</v>
      </c>
      <c r="K239" s="314" t="s">
        <v>18</v>
      </c>
      <c r="L239" s="315">
        <v>10</v>
      </c>
      <c r="M239" s="316">
        <v>259259.26</v>
      </c>
      <c r="N239" s="319">
        <v>2592592.6</v>
      </c>
      <c r="O239" s="613">
        <v>207407.40800000002</v>
      </c>
      <c r="P239" s="651">
        <v>2800000.0079999999</v>
      </c>
    </row>
    <row r="240" spans="1:16">
      <c r="A240" s="307" t="s">
        <v>792</v>
      </c>
      <c r="B240" s="307" t="s">
        <v>714</v>
      </c>
      <c r="C240" s="446">
        <v>46293</v>
      </c>
      <c r="D240" s="752" t="s">
        <v>1283</v>
      </c>
      <c r="E240" s="446"/>
      <c r="F240" s="447"/>
      <c r="G240" s="447"/>
      <c r="H240" s="299" t="s">
        <v>810</v>
      </c>
      <c r="I240" s="832" t="s">
        <v>728</v>
      </c>
      <c r="J240" s="320" t="s">
        <v>729</v>
      </c>
      <c r="K240" s="314" t="s">
        <v>18</v>
      </c>
      <c r="L240" s="315">
        <v>10</v>
      </c>
      <c r="M240" s="316">
        <v>277777.78000000003</v>
      </c>
      <c r="N240" s="319">
        <v>2777777.8000000003</v>
      </c>
      <c r="O240" s="613">
        <v>222222.22400000002</v>
      </c>
      <c r="P240" s="301">
        <v>3000000.0240000002</v>
      </c>
    </row>
    <row r="241" spans="1:16">
      <c r="A241" s="307" t="s">
        <v>792</v>
      </c>
      <c r="B241" s="307" t="s">
        <v>714</v>
      </c>
      <c r="C241" s="446">
        <v>46293</v>
      </c>
      <c r="D241" s="752" t="s">
        <v>1283</v>
      </c>
      <c r="E241" s="446"/>
      <c r="F241" s="447"/>
      <c r="G241" s="447"/>
      <c r="H241" s="299" t="s">
        <v>810</v>
      </c>
      <c r="I241" s="832" t="s">
        <v>730</v>
      </c>
      <c r="J241" s="320" t="s">
        <v>731</v>
      </c>
      <c r="K241" s="314" t="s">
        <v>18</v>
      </c>
      <c r="L241" s="315">
        <v>10</v>
      </c>
      <c r="M241" s="316">
        <v>305555.56</v>
      </c>
      <c r="N241" s="319">
        <v>3055555.6</v>
      </c>
      <c r="O241" s="613">
        <v>244444.448</v>
      </c>
      <c r="P241" s="301">
        <v>3300000.048</v>
      </c>
    </row>
    <row r="242" spans="1:16">
      <c r="A242" s="307" t="s">
        <v>792</v>
      </c>
      <c r="B242" s="307" t="s">
        <v>714</v>
      </c>
      <c r="C242" s="446">
        <v>46293</v>
      </c>
      <c r="D242" s="752" t="s">
        <v>1283</v>
      </c>
      <c r="E242" s="446"/>
      <c r="F242" s="447"/>
      <c r="G242" s="447"/>
      <c r="H242" s="299" t="s">
        <v>810</v>
      </c>
      <c r="I242" s="832" t="s">
        <v>732</v>
      </c>
      <c r="J242" s="320" t="s">
        <v>733</v>
      </c>
      <c r="K242" s="314" t="s">
        <v>18</v>
      </c>
      <c r="L242" s="315">
        <v>10</v>
      </c>
      <c r="M242" s="316">
        <v>333333.33</v>
      </c>
      <c r="N242" s="319">
        <v>3333333.3000000003</v>
      </c>
      <c r="O242" s="613">
        <v>266666.66400000005</v>
      </c>
      <c r="P242" s="301">
        <v>3599999.9640000002</v>
      </c>
    </row>
    <row r="243" spans="1:16">
      <c r="A243" s="711" t="s">
        <v>761</v>
      </c>
      <c r="B243" s="306" t="s">
        <v>695</v>
      </c>
      <c r="C243" s="446">
        <v>46293</v>
      </c>
      <c r="D243" s="752" t="s">
        <v>1284</v>
      </c>
      <c r="E243" s="446"/>
      <c r="F243" s="447"/>
      <c r="G243" s="447"/>
      <c r="H243" s="299" t="s">
        <v>817</v>
      </c>
      <c r="I243" s="643" t="s">
        <v>98</v>
      </c>
      <c r="J243" s="320" t="s">
        <v>251</v>
      </c>
      <c r="K243" s="317" t="s">
        <v>18</v>
      </c>
      <c r="L243" s="828">
        <v>20</v>
      </c>
      <c r="M243" s="829">
        <v>694444.44</v>
      </c>
      <c r="N243" s="830">
        <v>13888888.799999999</v>
      </c>
      <c r="O243" s="613">
        <v>1111111.1039999998</v>
      </c>
      <c r="P243" s="756">
        <v>14999999.903999999</v>
      </c>
    </row>
    <row r="244" spans="1:16">
      <c r="A244" s="751" t="s">
        <v>934</v>
      </c>
      <c r="B244" s="307" t="s">
        <v>865</v>
      </c>
      <c r="C244" s="446">
        <v>46293</v>
      </c>
      <c r="D244" s="752" t="s">
        <v>1285</v>
      </c>
      <c r="E244" s="446"/>
      <c r="F244" s="447"/>
      <c r="G244" s="447"/>
      <c r="H244" s="299" t="s">
        <v>867</v>
      </c>
      <c r="I244" s="831" t="s">
        <v>1199</v>
      </c>
      <c r="J244" s="692" t="s">
        <v>1200</v>
      </c>
      <c r="K244" s="317" t="s">
        <v>18</v>
      </c>
      <c r="L244" s="315">
        <v>60</v>
      </c>
      <c r="M244" s="316">
        <v>212962.96</v>
      </c>
      <c r="N244" s="830">
        <v>12777777.6</v>
      </c>
      <c r="O244" s="613">
        <v>1022222.208</v>
      </c>
      <c r="P244" s="756">
        <v>13799999.808</v>
      </c>
    </row>
    <row r="245" spans="1:16">
      <c r="A245" s="751" t="s">
        <v>934</v>
      </c>
      <c r="B245" s="307" t="s">
        <v>865</v>
      </c>
      <c r="C245" s="446">
        <v>46293</v>
      </c>
      <c r="D245" s="752" t="s">
        <v>1285</v>
      </c>
      <c r="E245" s="446"/>
      <c r="F245" s="447"/>
      <c r="G245" s="447"/>
      <c r="H245" s="299" t="s">
        <v>867</v>
      </c>
      <c r="I245" s="831" t="s">
        <v>80</v>
      </c>
      <c r="J245" s="692" t="s">
        <v>81</v>
      </c>
      <c r="K245" s="317" t="s">
        <v>18</v>
      </c>
      <c r="L245" s="315">
        <v>10</v>
      </c>
      <c r="M245" s="316">
        <v>824074.07</v>
      </c>
      <c r="N245" s="830">
        <v>8240740.6999999993</v>
      </c>
      <c r="O245" s="613">
        <v>659259.25599999994</v>
      </c>
      <c r="P245" s="756">
        <v>8899999.9559999984</v>
      </c>
    </row>
    <row r="246" spans="1:16">
      <c r="A246" s="751" t="s">
        <v>934</v>
      </c>
      <c r="B246" s="307" t="s">
        <v>865</v>
      </c>
      <c r="C246" s="446">
        <v>46293</v>
      </c>
      <c r="D246" s="752" t="s">
        <v>1285</v>
      </c>
      <c r="E246" s="446"/>
      <c r="F246" s="447"/>
      <c r="G246" s="447"/>
      <c r="H246" s="299" t="s">
        <v>867</v>
      </c>
      <c r="I246" s="831" t="s">
        <v>21</v>
      </c>
      <c r="J246" s="692" t="s">
        <v>22</v>
      </c>
      <c r="K246" s="317" t="s">
        <v>18</v>
      </c>
      <c r="L246" s="315">
        <v>10</v>
      </c>
      <c r="M246" s="316">
        <v>937962.96</v>
      </c>
      <c r="N246" s="830">
        <v>9379629.5999999996</v>
      </c>
      <c r="O246" s="613">
        <v>750370.36800000002</v>
      </c>
      <c r="P246" s="756">
        <v>10129999.968</v>
      </c>
    </row>
    <row r="247" spans="1:16">
      <c r="A247" s="711" t="s">
        <v>761</v>
      </c>
      <c r="B247" s="306" t="s">
        <v>695</v>
      </c>
      <c r="C247" s="446">
        <v>46293</v>
      </c>
      <c r="D247" s="752" t="s">
        <v>1289</v>
      </c>
      <c r="E247" s="446"/>
      <c r="F247" s="447"/>
      <c r="G247" s="447"/>
      <c r="H247" s="299" t="s">
        <v>817</v>
      </c>
      <c r="I247" s="643" t="s">
        <v>98</v>
      </c>
      <c r="J247" s="320" t="s">
        <v>251</v>
      </c>
      <c r="K247" s="317" t="s">
        <v>18</v>
      </c>
      <c r="L247" s="315">
        <v>10</v>
      </c>
      <c r="M247" s="829">
        <v>694444.44</v>
      </c>
      <c r="N247" s="830">
        <f t="shared" ref="N247" si="0">L247*M247</f>
        <v>6944444.3999999994</v>
      </c>
      <c r="O247" s="613">
        <f t="shared" ref="O247" si="1">N247*8%</f>
        <v>555555.55199999991</v>
      </c>
      <c r="P247" s="756">
        <f t="shared" ref="P247" si="2">N247+O247</f>
        <v>7499999.9519999996</v>
      </c>
    </row>
    <row r="248" spans="1:16">
      <c r="O248" s="580">
        <f>SUM(O3:O246)</f>
        <v>130401641.32400009</v>
      </c>
      <c r="P248" s="837">
        <f>SUM(P3:P247)</f>
        <v>1773281417.0760009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2482-B483-47DB-8CC4-07BAA1836EBB}">
  <sheetPr>
    <tabColor rgb="FF00B050"/>
  </sheetPr>
  <dimension ref="A1:R90"/>
  <sheetViews>
    <sheetView topLeftCell="B1" zoomScaleNormal="100" workbookViewId="0">
      <pane ySplit="1" topLeftCell="A61" activePane="bottomLeft" state="frozen"/>
      <selection activeCell="H118" sqref="H118:O128"/>
      <selection pane="bottomLeft" activeCell="J81" sqref="J81:K84"/>
    </sheetView>
  </sheetViews>
  <sheetFormatPr defaultRowHeight="15"/>
  <cols>
    <col min="1" max="1" width="15.28515625" bestFit="1" customWidth="1"/>
    <col min="2" max="2" width="85.5703125" bestFit="1" customWidth="1"/>
    <col min="3" max="3" width="16.5703125" bestFit="1" customWidth="1"/>
    <col min="4" max="4" width="13.5703125" bestFit="1" customWidth="1"/>
    <col min="5" max="5" width="15.28515625" bestFit="1" customWidth="1"/>
    <col min="6" max="6" width="17.85546875" bestFit="1" customWidth="1"/>
    <col min="7" max="7" width="12.85546875" bestFit="1" customWidth="1"/>
    <col min="8" max="8" width="61.140625" customWidth="1"/>
    <col min="9" max="9" width="10.7109375" bestFit="1" customWidth="1"/>
    <col min="10" max="10" width="32.7109375" style="600" customWidth="1"/>
    <col min="11" max="11" width="15" bestFit="1" customWidth="1"/>
    <col min="12" max="12" width="11.140625" bestFit="1" customWidth="1"/>
    <col min="13" max="13" width="13.7109375" bestFit="1" customWidth="1"/>
    <col min="14" max="14" width="17.85546875" bestFit="1" customWidth="1"/>
    <col min="15" max="15" width="17.28515625" bestFit="1" customWidth="1"/>
    <col min="16" max="17" width="15.28515625" bestFit="1" customWidth="1"/>
    <col min="18" max="18" width="13.42578125" bestFit="1" customWidth="1"/>
  </cols>
  <sheetData>
    <row r="1" spans="1:18" ht="48.75">
      <c r="A1" s="484" t="s">
        <v>666</v>
      </c>
      <c r="B1" s="482" t="s">
        <v>866</v>
      </c>
      <c r="C1" s="482" t="s">
        <v>624</v>
      </c>
      <c r="D1" s="483" t="s">
        <v>636</v>
      </c>
      <c r="E1" s="482" t="s">
        <v>635</v>
      </c>
      <c r="F1" s="484" t="s">
        <v>637</v>
      </c>
      <c r="G1" s="484" t="s">
        <v>634</v>
      </c>
      <c r="H1" s="587" t="s">
        <v>625</v>
      </c>
      <c r="I1" s="484" t="s">
        <v>626</v>
      </c>
      <c r="J1" s="593" t="s">
        <v>627</v>
      </c>
      <c r="K1" s="588" t="s">
        <v>628</v>
      </c>
      <c r="L1" s="486" t="s">
        <v>629</v>
      </c>
      <c r="M1" s="487" t="s">
        <v>630</v>
      </c>
      <c r="N1" s="487" t="s">
        <v>631</v>
      </c>
      <c r="O1" s="487" t="s">
        <v>632</v>
      </c>
      <c r="P1" s="487" t="s">
        <v>633</v>
      </c>
      <c r="Q1" s="487" t="s">
        <v>612</v>
      </c>
      <c r="R1" s="488" t="s">
        <v>622</v>
      </c>
    </row>
    <row r="2" spans="1:18">
      <c r="A2" s="296" t="s">
        <v>718</v>
      </c>
      <c r="B2" s="307" t="s">
        <v>744</v>
      </c>
      <c r="C2" s="324">
        <v>46269</v>
      </c>
      <c r="D2" s="312"/>
      <c r="E2" s="324" t="s">
        <v>267</v>
      </c>
      <c r="F2" s="292"/>
      <c r="G2" s="335" t="s">
        <v>266</v>
      </c>
      <c r="H2" s="299" t="s">
        <v>819</v>
      </c>
      <c r="I2" s="327" t="s">
        <v>204</v>
      </c>
      <c r="J2" s="327" t="s">
        <v>269</v>
      </c>
      <c r="K2" s="599" t="s">
        <v>25</v>
      </c>
      <c r="L2" s="375">
        <v>6</v>
      </c>
      <c r="M2" s="376">
        <v>480555.55</v>
      </c>
      <c r="N2" s="330">
        <v>2883333</v>
      </c>
      <c r="O2" s="330">
        <v>230666</v>
      </c>
      <c r="P2" s="330">
        <v>3113999</v>
      </c>
      <c r="Q2" s="333"/>
      <c r="R2" s="311"/>
    </row>
    <row r="3" spans="1:18">
      <c r="A3" s="296" t="s">
        <v>718</v>
      </c>
      <c r="B3" s="307" t="s">
        <v>744</v>
      </c>
      <c r="C3" s="324">
        <v>46269</v>
      </c>
      <c r="D3" s="312"/>
      <c r="E3" s="324" t="s">
        <v>267</v>
      </c>
      <c r="F3" s="292"/>
      <c r="G3" s="335" t="s">
        <v>266</v>
      </c>
      <c r="H3" s="299" t="s">
        <v>819</v>
      </c>
      <c r="I3" s="327" t="s">
        <v>208</v>
      </c>
      <c r="J3" s="327" t="s">
        <v>209</v>
      </c>
      <c r="K3" s="560" t="s">
        <v>113</v>
      </c>
      <c r="L3" s="375">
        <v>6</v>
      </c>
      <c r="M3" s="376">
        <v>647222.22</v>
      </c>
      <c r="N3" s="330">
        <v>3883333</v>
      </c>
      <c r="O3" s="330">
        <v>310667</v>
      </c>
      <c r="P3" s="330">
        <v>4194000</v>
      </c>
      <c r="Q3" s="333"/>
      <c r="R3" s="311"/>
    </row>
    <row r="4" spans="1:18">
      <c r="A4" s="296" t="s">
        <v>718</v>
      </c>
      <c r="B4" s="307" t="s">
        <v>744</v>
      </c>
      <c r="C4" s="324">
        <v>46269</v>
      </c>
      <c r="D4" s="312"/>
      <c r="E4" s="324" t="s">
        <v>267</v>
      </c>
      <c r="F4" s="292"/>
      <c r="G4" s="335" t="s">
        <v>266</v>
      </c>
      <c r="H4" s="299" t="s">
        <v>819</v>
      </c>
      <c r="I4" s="327" t="s">
        <v>77</v>
      </c>
      <c r="J4" s="327" t="s">
        <v>78</v>
      </c>
      <c r="K4" s="560" t="s">
        <v>113</v>
      </c>
      <c r="L4" s="375">
        <v>20</v>
      </c>
      <c r="M4" s="376">
        <v>324074.07</v>
      </c>
      <c r="N4" s="330">
        <v>6481481</v>
      </c>
      <c r="O4" s="330">
        <v>518518</v>
      </c>
      <c r="P4" s="330">
        <v>6999999</v>
      </c>
      <c r="Q4" s="333"/>
      <c r="R4" s="311"/>
    </row>
    <row r="5" spans="1:18" ht="25.5">
      <c r="A5" s="296" t="s">
        <v>718</v>
      </c>
      <c r="B5" s="307" t="s">
        <v>744</v>
      </c>
      <c r="C5" s="324">
        <v>46269</v>
      </c>
      <c r="D5" s="312"/>
      <c r="E5" s="324" t="s">
        <v>267</v>
      </c>
      <c r="F5" s="292"/>
      <c r="G5" s="335" t="s">
        <v>266</v>
      </c>
      <c r="H5" s="299" t="s">
        <v>819</v>
      </c>
      <c r="I5" s="327" t="s">
        <v>262</v>
      </c>
      <c r="J5" s="327" t="s">
        <v>270</v>
      </c>
      <c r="K5" s="560" t="s">
        <v>113</v>
      </c>
      <c r="L5" s="375">
        <v>5</v>
      </c>
      <c r="M5" s="376">
        <v>851851.85</v>
      </c>
      <c r="N5" s="330">
        <v>4259259</v>
      </c>
      <c r="O5" s="330">
        <v>340741</v>
      </c>
      <c r="P5" s="330">
        <v>4600000</v>
      </c>
      <c r="Q5" s="333"/>
      <c r="R5" s="311"/>
    </row>
    <row r="6" spans="1:18" ht="25.5">
      <c r="A6" s="296" t="s">
        <v>718</v>
      </c>
      <c r="B6" s="307" t="s">
        <v>744</v>
      </c>
      <c r="C6" s="324">
        <v>46269</v>
      </c>
      <c r="D6" s="312"/>
      <c r="E6" s="324" t="s">
        <v>267</v>
      </c>
      <c r="F6" s="292"/>
      <c r="G6" s="335" t="s">
        <v>266</v>
      </c>
      <c r="H6" s="299" t="s">
        <v>819</v>
      </c>
      <c r="I6" s="327" t="s">
        <v>23</v>
      </c>
      <c r="J6" s="327" t="s">
        <v>271</v>
      </c>
      <c r="K6" s="560" t="s">
        <v>113</v>
      </c>
      <c r="L6" s="377">
        <v>4</v>
      </c>
      <c r="M6" s="378">
        <v>1185185.18</v>
      </c>
      <c r="N6" s="330">
        <v>4740741</v>
      </c>
      <c r="O6" s="330">
        <v>379259</v>
      </c>
      <c r="P6" s="330">
        <v>5120000</v>
      </c>
      <c r="Q6" s="333"/>
      <c r="R6" s="311"/>
    </row>
    <row r="7" spans="1:18" ht="25.5">
      <c r="A7" s="296" t="s">
        <v>718</v>
      </c>
      <c r="B7" s="307" t="s">
        <v>744</v>
      </c>
      <c r="C7" s="324">
        <v>46269</v>
      </c>
      <c r="D7" s="312"/>
      <c r="E7" s="324" t="s">
        <v>267</v>
      </c>
      <c r="F7" s="292"/>
      <c r="G7" s="335" t="s">
        <v>266</v>
      </c>
      <c r="H7" s="299" t="s">
        <v>819</v>
      </c>
      <c r="I7" s="327" t="s">
        <v>184</v>
      </c>
      <c r="J7" s="327" t="s">
        <v>272</v>
      </c>
      <c r="K7" s="560" t="s">
        <v>113</v>
      </c>
      <c r="L7" s="377">
        <v>10</v>
      </c>
      <c r="M7" s="378">
        <v>240740.74</v>
      </c>
      <c r="N7" s="330">
        <v>2407407</v>
      </c>
      <c r="O7" s="330">
        <v>192593</v>
      </c>
      <c r="P7" s="330">
        <v>2600000</v>
      </c>
      <c r="Q7" s="333"/>
      <c r="R7" s="311"/>
    </row>
    <row r="8" spans="1:18" ht="25.5">
      <c r="A8" s="296" t="s">
        <v>718</v>
      </c>
      <c r="B8" s="307" t="s">
        <v>744</v>
      </c>
      <c r="C8" s="324">
        <v>46269</v>
      </c>
      <c r="D8" s="312"/>
      <c r="E8" s="324" t="s">
        <v>267</v>
      </c>
      <c r="F8" s="292"/>
      <c r="G8" s="335" t="s">
        <v>266</v>
      </c>
      <c r="H8" s="299" t="s">
        <v>819</v>
      </c>
      <c r="I8" s="327" t="s">
        <v>30</v>
      </c>
      <c r="J8" s="327" t="s">
        <v>31</v>
      </c>
      <c r="K8" s="560" t="s">
        <v>113</v>
      </c>
      <c r="L8" s="377">
        <v>10</v>
      </c>
      <c r="M8" s="378">
        <v>259259.25</v>
      </c>
      <c r="N8" s="330">
        <v>2592593</v>
      </c>
      <c r="O8" s="330">
        <v>207407</v>
      </c>
      <c r="P8" s="330">
        <v>2800000</v>
      </c>
      <c r="Q8" s="333"/>
      <c r="R8" s="311"/>
    </row>
    <row r="9" spans="1:18" ht="25.5">
      <c r="A9" s="296" t="s">
        <v>718</v>
      </c>
      <c r="B9" s="307" t="s">
        <v>744</v>
      </c>
      <c r="C9" s="324">
        <v>46269</v>
      </c>
      <c r="D9" s="312"/>
      <c r="E9" s="324" t="s">
        <v>267</v>
      </c>
      <c r="F9" s="292"/>
      <c r="G9" s="335" t="s">
        <v>266</v>
      </c>
      <c r="H9" s="299" t="s">
        <v>819</v>
      </c>
      <c r="I9" s="327" t="s">
        <v>34</v>
      </c>
      <c r="J9" s="327" t="s">
        <v>35</v>
      </c>
      <c r="K9" s="560" t="s">
        <v>113</v>
      </c>
      <c r="L9" s="377">
        <v>10</v>
      </c>
      <c r="M9" s="376">
        <v>240740.74</v>
      </c>
      <c r="N9" s="330">
        <v>2407407</v>
      </c>
      <c r="O9" s="330">
        <v>192593</v>
      </c>
      <c r="P9" s="330">
        <v>2600000</v>
      </c>
      <c r="Q9" s="333"/>
      <c r="R9" s="311"/>
    </row>
    <row r="10" spans="1:18" ht="38.25">
      <c r="A10" s="296" t="s">
        <v>718</v>
      </c>
      <c r="B10" s="307" t="s">
        <v>744</v>
      </c>
      <c r="C10" s="324">
        <v>46269</v>
      </c>
      <c r="D10" s="312"/>
      <c r="E10" s="324" t="s">
        <v>267</v>
      </c>
      <c r="F10" s="292"/>
      <c r="G10" s="335" t="s">
        <v>266</v>
      </c>
      <c r="H10" s="299" t="s">
        <v>819</v>
      </c>
      <c r="I10" s="327" t="s">
        <v>36</v>
      </c>
      <c r="J10" s="327" t="s">
        <v>273</v>
      </c>
      <c r="K10" s="560" t="s">
        <v>113</v>
      </c>
      <c r="L10" s="377">
        <v>10</v>
      </c>
      <c r="M10" s="376">
        <v>259259.25</v>
      </c>
      <c r="N10" s="330">
        <v>2592593</v>
      </c>
      <c r="O10" s="330">
        <v>207407</v>
      </c>
      <c r="P10" s="330">
        <v>2800000</v>
      </c>
      <c r="Q10" s="333"/>
      <c r="R10" s="311"/>
    </row>
    <row r="11" spans="1:18" ht="25.5">
      <c r="A11" s="296" t="s">
        <v>718</v>
      </c>
      <c r="B11" s="307" t="s">
        <v>744</v>
      </c>
      <c r="C11" s="324">
        <v>46269</v>
      </c>
      <c r="D11" s="312"/>
      <c r="E11" s="324" t="s">
        <v>267</v>
      </c>
      <c r="F11" s="292"/>
      <c r="G11" s="335" t="s">
        <v>266</v>
      </c>
      <c r="H11" s="299" t="s">
        <v>819</v>
      </c>
      <c r="I11" s="327" t="s">
        <v>38</v>
      </c>
      <c r="J11" s="327" t="s">
        <v>39</v>
      </c>
      <c r="K11" s="560" t="s">
        <v>113</v>
      </c>
      <c r="L11" s="377">
        <v>10</v>
      </c>
      <c r="M11" s="376">
        <v>277777.77</v>
      </c>
      <c r="N11" s="330">
        <v>2777778</v>
      </c>
      <c r="O11" s="330">
        <v>222222</v>
      </c>
      <c r="P11" s="330">
        <v>3000000</v>
      </c>
      <c r="Q11" s="333"/>
      <c r="R11" s="311"/>
    </row>
    <row r="12" spans="1:18" ht="25.5">
      <c r="A12" s="296" t="s">
        <v>718</v>
      </c>
      <c r="B12" s="307" t="s">
        <v>744</v>
      </c>
      <c r="C12" s="324">
        <v>46269</v>
      </c>
      <c r="D12" s="312"/>
      <c r="E12" s="324" t="s">
        <v>267</v>
      </c>
      <c r="F12" s="292"/>
      <c r="G12" s="335" t="s">
        <v>266</v>
      </c>
      <c r="H12" s="299" t="s">
        <v>819</v>
      </c>
      <c r="I12" s="327" t="s">
        <v>274</v>
      </c>
      <c r="J12" s="327" t="s">
        <v>275</v>
      </c>
      <c r="K12" s="560" t="s">
        <v>113</v>
      </c>
      <c r="L12" s="375">
        <v>20</v>
      </c>
      <c r="M12" s="376">
        <v>416666.66</v>
      </c>
      <c r="N12" s="330">
        <v>8333333</v>
      </c>
      <c r="O12" s="330">
        <v>666667</v>
      </c>
      <c r="P12" s="330">
        <v>9000000</v>
      </c>
      <c r="Q12" s="333"/>
      <c r="R12" s="311"/>
    </row>
    <row r="13" spans="1:18" ht="25.5">
      <c r="A13" s="296" t="s">
        <v>718</v>
      </c>
      <c r="B13" s="307" t="s">
        <v>744</v>
      </c>
      <c r="C13" s="324">
        <v>46269</v>
      </c>
      <c r="D13" s="312"/>
      <c r="E13" s="324" t="s">
        <v>267</v>
      </c>
      <c r="F13" s="292"/>
      <c r="G13" s="335" t="s">
        <v>266</v>
      </c>
      <c r="H13" s="299" t="s">
        <v>819</v>
      </c>
      <c r="I13" s="327" t="s">
        <v>60</v>
      </c>
      <c r="J13" s="327" t="s">
        <v>61</v>
      </c>
      <c r="K13" s="560" t="s">
        <v>113</v>
      </c>
      <c r="L13" s="375">
        <v>10</v>
      </c>
      <c r="M13" s="376">
        <v>1138889</v>
      </c>
      <c r="N13" s="330">
        <v>11388890</v>
      </c>
      <c r="O13" s="330">
        <v>911111</v>
      </c>
      <c r="P13" s="330">
        <v>12300001</v>
      </c>
      <c r="Q13" s="333"/>
      <c r="R13" s="311"/>
    </row>
    <row r="14" spans="1:18" ht="25.5">
      <c r="A14" s="296" t="s">
        <v>718</v>
      </c>
      <c r="B14" s="307" t="s">
        <v>744</v>
      </c>
      <c r="C14" s="324">
        <v>46269</v>
      </c>
      <c r="D14" s="312"/>
      <c r="E14" s="324" t="s">
        <v>267</v>
      </c>
      <c r="F14" s="292"/>
      <c r="G14" s="335" t="s">
        <v>266</v>
      </c>
      <c r="H14" s="299" t="s">
        <v>819</v>
      </c>
      <c r="I14" s="327" t="s">
        <v>16</v>
      </c>
      <c r="J14" s="327" t="s">
        <v>17</v>
      </c>
      <c r="K14" s="560" t="s">
        <v>113</v>
      </c>
      <c r="L14" s="375">
        <v>4</v>
      </c>
      <c r="M14" s="376">
        <v>851851.85</v>
      </c>
      <c r="N14" s="330">
        <v>3407407</v>
      </c>
      <c r="O14" s="330">
        <v>272593</v>
      </c>
      <c r="P14" s="330">
        <v>3680000</v>
      </c>
      <c r="Q14" s="333"/>
      <c r="R14" s="311"/>
    </row>
    <row r="15" spans="1:18">
      <c r="A15" s="296" t="s">
        <v>718</v>
      </c>
      <c r="B15" s="307" t="s">
        <v>744</v>
      </c>
      <c r="C15" s="324">
        <v>46269</v>
      </c>
      <c r="D15" s="299"/>
      <c r="E15" s="324" t="s">
        <v>267</v>
      </c>
      <c r="F15" s="298"/>
      <c r="G15" s="335" t="s">
        <v>266</v>
      </c>
      <c r="H15" s="299" t="s">
        <v>819</v>
      </c>
      <c r="I15" s="327" t="s">
        <v>56</v>
      </c>
      <c r="J15" s="327" t="s">
        <v>57</v>
      </c>
      <c r="K15" s="560" t="s">
        <v>113</v>
      </c>
      <c r="L15" s="375">
        <v>30</v>
      </c>
      <c r="M15" s="376">
        <v>325925.92</v>
      </c>
      <c r="N15" s="330">
        <v>9777778</v>
      </c>
      <c r="O15" s="330">
        <v>782222</v>
      </c>
      <c r="P15" s="330">
        <v>10560000</v>
      </c>
      <c r="Q15" s="333"/>
      <c r="R15" s="310"/>
    </row>
    <row r="16" spans="1:18">
      <c r="A16" s="296" t="s">
        <v>718</v>
      </c>
      <c r="B16" s="307" t="s">
        <v>744</v>
      </c>
      <c r="C16" s="324">
        <v>46269</v>
      </c>
      <c r="D16" s="299"/>
      <c r="E16" s="324" t="s">
        <v>267</v>
      </c>
      <c r="F16" s="298"/>
      <c r="G16" s="335" t="s">
        <v>266</v>
      </c>
      <c r="H16" s="299" t="s">
        <v>819</v>
      </c>
      <c r="I16" s="327" t="s">
        <v>194</v>
      </c>
      <c r="J16" s="327" t="s">
        <v>276</v>
      </c>
      <c r="K16" s="560" t="s">
        <v>277</v>
      </c>
      <c r="L16" s="375">
        <v>2</v>
      </c>
      <c r="M16" s="376">
        <v>1203703.7</v>
      </c>
      <c r="N16" s="330">
        <v>2407407</v>
      </c>
      <c r="O16" s="330">
        <v>192593</v>
      </c>
      <c r="P16" s="330">
        <v>2600000</v>
      </c>
      <c r="Q16" s="333"/>
      <c r="R16" s="310"/>
    </row>
    <row r="17" spans="1:18">
      <c r="A17" s="296" t="s">
        <v>718</v>
      </c>
      <c r="B17" s="307" t="s">
        <v>744</v>
      </c>
      <c r="C17" s="324">
        <v>46269</v>
      </c>
      <c r="D17" s="299"/>
      <c r="E17" s="324" t="s">
        <v>267</v>
      </c>
      <c r="F17" s="298"/>
      <c r="G17" s="335" t="s">
        <v>266</v>
      </c>
      <c r="H17" s="299" t="s">
        <v>819</v>
      </c>
      <c r="I17" s="327" t="s">
        <v>58</v>
      </c>
      <c r="J17" s="327" t="s">
        <v>278</v>
      </c>
      <c r="K17" s="560"/>
      <c r="L17" s="375">
        <v>2</v>
      </c>
      <c r="M17" s="376">
        <v>1361111.11</v>
      </c>
      <c r="N17" s="330">
        <v>2722222</v>
      </c>
      <c r="O17" s="330">
        <v>217778</v>
      </c>
      <c r="P17" s="330">
        <v>2940000</v>
      </c>
      <c r="Q17" s="333"/>
      <c r="R17" s="310"/>
    </row>
    <row r="18" spans="1:18">
      <c r="A18" s="296" t="s">
        <v>718</v>
      </c>
      <c r="B18" s="307" t="s">
        <v>744</v>
      </c>
      <c r="C18" s="324">
        <v>46269</v>
      </c>
      <c r="D18" s="299"/>
      <c r="E18" s="324" t="s">
        <v>267</v>
      </c>
      <c r="F18" s="298"/>
      <c r="G18" s="335" t="s">
        <v>266</v>
      </c>
      <c r="H18" s="299" t="s">
        <v>819</v>
      </c>
      <c r="I18" s="327" t="s">
        <v>74</v>
      </c>
      <c r="J18" s="327" t="s">
        <v>141</v>
      </c>
      <c r="K18" s="560" t="s">
        <v>113</v>
      </c>
      <c r="L18" s="375">
        <v>16</v>
      </c>
      <c r="M18" s="376">
        <v>361111.11</v>
      </c>
      <c r="N18" s="330">
        <v>5777778</v>
      </c>
      <c r="O18" s="330">
        <v>462222</v>
      </c>
      <c r="P18" s="330">
        <v>6240000</v>
      </c>
      <c r="Q18" s="333"/>
      <c r="R18" s="310"/>
    </row>
    <row r="19" spans="1:18">
      <c r="A19" s="296" t="s">
        <v>718</v>
      </c>
      <c r="B19" s="307" t="s">
        <v>744</v>
      </c>
      <c r="C19" s="324">
        <v>46269</v>
      </c>
      <c r="D19" s="299"/>
      <c r="E19" s="324" t="s">
        <v>267</v>
      </c>
      <c r="F19" s="298"/>
      <c r="G19" s="335" t="s">
        <v>266</v>
      </c>
      <c r="H19" s="299" t="s">
        <v>819</v>
      </c>
      <c r="I19" s="327" t="s">
        <v>279</v>
      </c>
      <c r="J19" s="327" t="s">
        <v>280</v>
      </c>
      <c r="K19" s="560" t="s">
        <v>113</v>
      </c>
      <c r="L19" s="375">
        <v>4</v>
      </c>
      <c r="M19" s="376">
        <v>387962.96</v>
      </c>
      <c r="N19" s="330">
        <v>1551852</v>
      </c>
      <c r="O19" s="330">
        <v>124148</v>
      </c>
      <c r="P19" s="330">
        <v>1676000</v>
      </c>
      <c r="Q19" s="333"/>
      <c r="R19" s="310"/>
    </row>
    <row r="20" spans="1:18">
      <c r="A20" s="296" t="s">
        <v>718</v>
      </c>
      <c r="B20" s="307" t="s">
        <v>744</v>
      </c>
      <c r="C20" s="324">
        <v>46269</v>
      </c>
      <c r="D20" s="299"/>
      <c r="E20" s="324" t="s">
        <v>267</v>
      </c>
      <c r="F20" s="298"/>
      <c r="G20" s="335" t="s">
        <v>266</v>
      </c>
      <c r="H20" s="299" t="s">
        <v>819</v>
      </c>
      <c r="I20" s="327" t="s">
        <v>258</v>
      </c>
      <c r="J20" s="327" t="s">
        <v>259</v>
      </c>
      <c r="K20" s="560" t="s">
        <v>113</v>
      </c>
      <c r="L20" s="375">
        <v>4</v>
      </c>
      <c r="M20" s="376">
        <v>472222.22</v>
      </c>
      <c r="N20" s="330">
        <v>1888889</v>
      </c>
      <c r="O20" s="330">
        <v>151111</v>
      </c>
      <c r="P20" s="330">
        <v>2040000</v>
      </c>
      <c r="Q20" s="333"/>
      <c r="R20" s="310"/>
    </row>
    <row r="21" spans="1:18">
      <c r="A21" s="296" t="s">
        <v>718</v>
      </c>
      <c r="B21" s="307" t="s">
        <v>744</v>
      </c>
      <c r="C21" s="324">
        <v>46269</v>
      </c>
      <c r="D21" s="299"/>
      <c r="E21" s="324" t="s">
        <v>267</v>
      </c>
      <c r="F21" s="298"/>
      <c r="G21" s="335" t="s">
        <v>266</v>
      </c>
      <c r="H21" s="299" t="s">
        <v>819</v>
      </c>
      <c r="I21" s="327" t="s">
        <v>260</v>
      </c>
      <c r="J21" s="327" t="s">
        <v>261</v>
      </c>
      <c r="K21" s="560" t="s">
        <v>113</v>
      </c>
      <c r="L21" s="375">
        <v>4</v>
      </c>
      <c r="M21" s="376">
        <v>492592.59</v>
      </c>
      <c r="N21" s="330">
        <v>1970370</v>
      </c>
      <c r="O21" s="330">
        <v>157630</v>
      </c>
      <c r="P21" s="330">
        <v>2128000</v>
      </c>
      <c r="Q21" s="333"/>
      <c r="R21" s="310"/>
    </row>
    <row r="22" spans="1:18" ht="25.5">
      <c r="A22" s="296" t="s">
        <v>718</v>
      </c>
      <c r="B22" s="307" t="s">
        <v>744</v>
      </c>
      <c r="C22" s="324">
        <v>46269</v>
      </c>
      <c r="D22" s="299"/>
      <c r="E22" s="324" t="s">
        <v>267</v>
      </c>
      <c r="F22" s="298"/>
      <c r="G22" s="335" t="s">
        <v>266</v>
      </c>
      <c r="H22" s="299" t="s">
        <v>819</v>
      </c>
      <c r="I22" s="327" t="s">
        <v>83</v>
      </c>
      <c r="J22" s="327" t="s">
        <v>84</v>
      </c>
      <c r="K22" s="560" t="s">
        <v>113</v>
      </c>
      <c r="L22" s="375">
        <v>10</v>
      </c>
      <c r="M22" s="376">
        <v>1097222.22</v>
      </c>
      <c r="N22" s="330">
        <v>10972222</v>
      </c>
      <c r="O22" s="330">
        <v>877778</v>
      </c>
      <c r="P22" s="330">
        <v>11850000</v>
      </c>
      <c r="Q22" s="333"/>
      <c r="R22" s="310"/>
    </row>
    <row r="23" spans="1:18" s="686" customFormat="1">
      <c r="A23" s="625" t="s">
        <v>718</v>
      </c>
      <c r="B23" s="307" t="s">
        <v>744</v>
      </c>
      <c r="C23" s="323">
        <v>46330</v>
      </c>
      <c r="D23" s="302"/>
      <c r="E23" s="323"/>
      <c r="F23" s="626"/>
      <c r="G23" s="336"/>
      <c r="H23" s="569" t="s">
        <v>281</v>
      </c>
      <c r="I23" s="327"/>
      <c r="J23" s="327"/>
      <c r="K23" s="560"/>
      <c r="L23" s="377"/>
      <c r="M23" s="378"/>
      <c r="N23" s="328"/>
      <c r="O23" s="328"/>
      <c r="P23" s="328">
        <v>0</v>
      </c>
      <c r="Q23" s="626"/>
      <c r="R23" s="328">
        <v>820000</v>
      </c>
    </row>
    <row r="24" spans="1:18" ht="25.5">
      <c r="A24" s="296" t="s">
        <v>718</v>
      </c>
      <c r="B24" s="307" t="s">
        <v>744</v>
      </c>
      <c r="C24" s="324" t="s">
        <v>282</v>
      </c>
      <c r="D24" s="299"/>
      <c r="E24" s="323" t="s">
        <v>284</v>
      </c>
      <c r="F24" s="298"/>
      <c r="G24" s="336" t="s">
        <v>283</v>
      </c>
      <c r="H24" s="299" t="s">
        <v>819</v>
      </c>
      <c r="I24" s="327" t="s">
        <v>30</v>
      </c>
      <c r="J24" s="327" t="s">
        <v>31</v>
      </c>
      <c r="K24" s="560" t="s">
        <v>113</v>
      </c>
      <c r="L24" s="377">
        <v>20</v>
      </c>
      <c r="M24" s="378">
        <v>259259.25</v>
      </c>
      <c r="N24" s="328">
        <v>5185185</v>
      </c>
      <c r="O24" s="328">
        <v>414815</v>
      </c>
      <c r="P24" s="328">
        <v>5600000</v>
      </c>
      <c r="Q24" s="333"/>
      <c r="R24" s="310"/>
    </row>
    <row r="25" spans="1:18" ht="25.5">
      <c r="A25" s="296" t="s">
        <v>718</v>
      </c>
      <c r="B25" s="307" t="s">
        <v>744</v>
      </c>
      <c r="C25" s="324" t="s">
        <v>282</v>
      </c>
      <c r="D25" s="299"/>
      <c r="E25" s="323" t="s">
        <v>284</v>
      </c>
      <c r="F25" s="298"/>
      <c r="G25" s="336" t="s">
        <v>283</v>
      </c>
      <c r="H25" s="299" t="s">
        <v>819</v>
      </c>
      <c r="I25" s="327" t="s">
        <v>32</v>
      </c>
      <c r="J25" s="327" t="s">
        <v>33</v>
      </c>
      <c r="K25" s="560" t="s">
        <v>113</v>
      </c>
      <c r="L25" s="377">
        <v>10</v>
      </c>
      <c r="M25" s="378">
        <v>226851.85</v>
      </c>
      <c r="N25" s="328">
        <v>2268519</v>
      </c>
      <c r="O25" s="328">
        <v>181482</v>
      </c>
      <c r="P25" s="328">
        <v>2450001</v>
      </c>
      <c r="Q25" s="333"/>
      <c r="R25" s="310"/>
    </row>
    <row r="26" spans="1:18" ht="25.5">
      <c r="A26" s="296" t="s">
        <v>718</v>
      </c>
      <c r="B26" s="307" t="s">
        <v>744</v>
      </c>
      <c r="C26" s="324" t="s">
        <v>282</v>
      </c>
      <c r="D26" s="299"/>
      <c r="E26" s="323" t="s">
        <v>284</v>
      </c>
      <c r="F26" s="298"/>
      <c r="G26" s="336" t="s">
        <v>283</v>
      </c>
      <c r="H26" s="299" t="s">
        <v>819</v>
      </c>
      <c r="I26" s="327" t="s">
        <v>34</v>
      </c>
      <c r="J26" s="327" t="s">
        <v>35</v>
      </c>
      <c r="K26" s="560" t="s">
        <v>113</v>
      </c>
      <c r="L26" s="377">
        <v>10</v>
      </c>
      <c r="M26" s="378">
        <v>240740.74</v>
      </c>
      <c r="N26" s="328">
        <v>2407407</v>
      </c>
      <c r="O26" s="328">
        <v>192593</v>
      </c>
      <c r="P26" s="328">
        <v>2600000</v>
      </c>
      <c r="Q26" s="333"/>
      <c r="R26" s="310"/>
    </row>
    <row r="27" spans="1:18" ht="25.5">
      <c r="A27" s="296" t="s">
        <v>718</v>
      </c>
      <c r="B27" s="307" t="s">
        <v>744</v>
      </c>
      <c r="C27" s="324" t="s">
        <v>282</v>
      </c>
      <c r="D27" s="299"/>
      <c r="E27" s="323" t="s">
        <v>284</v>
      </c>
      <c r="F27" s="298"/>
      <c r="G27" s="336" t="s">
        <v>283</v>
      </c>
      <c r="H27" s="299" t="s">
        <v>819</v>
      </c>
      <c r="I27" s="327" t="s">
        <v>36</v>
      </c>
      <c r="J27" s="327" t="s">
        <v>37</v>
      </c>
      <c r="K27" s="560" t="s">
        <v>113</v>
      </c>
      <c r="L27" s="377">
        <v>20</v>
      </c>
      <c r="M27" s="378">
        <v>259259.25</v>
      </c>
      <c r="N27" s="328">
        <v>5185185</v>
      </c>
      <c r="O27" s="328">
        <v>414815</v>
      </c>
      <c r="P27" s="328">
        <v>5600000</v>
      </c>
      <c r="Q27" s="333"/>
      <c r="R27" s="310"/>
    </row>
    <row r="28" spans="1:18" ht="25.5">
      <c r="A28" s="296" t="s">
        <v>718</v>
      </c>
      <c r="B28" s="307" t="s">
        <v>744</v>
      </c>
      <c r="C28" s="324" t="s">
        <v>282</v>
      </c>
      <c r="D28" s="299"/>
      <c r="E28" s="323" t="s">
        <v>284</v>
      </c>
      <c r="F28" s="298"/>
      <c r="G28" s="336" t="s">
        <v>283</v>
      </c>
      <c r="H28" s="299" t="s">
        <v>819</v>
      </c>
      <c r="I28" s="327" t="s">
        <v>38</v>
      </c>
      <c r="J28" s="327" t="s">
        <v>39</v>
      </c>
      <c r="K28" s="560" t="s">
        <v>113</v>
      </c>
      <c r="L28" s="377">
        <v>20</v>
      </c>
      <c r="M28" s="378">
        <v>277777.8</v>
      </c>
      <c r="N28" s="328">
        <v>5555556</v>
      </c>
      <c r="O28" s="328">
        <v>444444</v>
      </c>
      <c r="P28" s="328">
        <v>6000000</v>
      </c>
      <c r="Q28" s="333"/>
      <c r="R28" s="310"/>
    </row>
    <row r="29" spans="1:18" ht="25.5">
      <c r="A29" s="296" t="s">
        <v>718</v>
      </c>
      <c r="B29" s="307" t="s">
        <v>744</v>
      </c>
      <c r="C29" s="324" t="s">
        <v>282</v>
      </c>
      <c r="D29" s="299"/>
      <c r="E29" s="323" t="s">
        <v>284</v>
      </c>
      <c r="F29" s="298"/>
      <c r="G29" s="336" t="s">
        <v>283</v>
      </c>
      <c r="H29" s="299" t="s">
        <v>819</v>
      </c>
      <c r="I29" s="327" t="s">
        <v>180</v>
      </c>
      <c r="J29" s="327" t="s">
        <v>181</v>
      </c>
      <c r="K29" s="560" t="s">
        <v>113</v>
      </c>
      <c r="L29" s="377">
        <v>10</v>
      </c>
      <c r="M29" s="378">
        <v>234259.26</v>
      </c>
      <c r="N29" s="328">
        <v>2342593</v>
      </c>
      <c r="O29" s="328">
        <v>187407</v>
      </c>
      <c r="P29" s="328">
        <v>2530000</v>
      </c>
      <c r="Q29" s="333"/>
      <c r="R29" s="310"/>
    </row>
    <row r="30" spans="1:18" ht="25.5">
      <c r="A30" s="296" t="s">
        <v>718</v>
      </c>
      <c r="B30" s="307" t="s">
        <v>744</v>
      </c>
      <c r="C30" s="324" t="s">
        <v>282</v>
      </c>
      <c r="D30" s="299"/>
      <c r="E30" s="323" t="s">
        <v>284</v>
      </c>
      <c r="F30" s="298"/>
      <c r="G30" s="336" t="s">
        <v>283</v>
      </c>
      <c r="H30" s="299" t="s">
        <v>819</v>
      </c>
      <c r="I30" s="327" t="s">
        <v>26</v>
      </c>
      <c r="J30" s="327" t="s">
        <v>27</v>
      </c>
      <c r="K30" s="560" t="s">
        <v>113</v>
      </c>
      <c r="L30" s="377">
        <v>10</v>
      </c>
      <c r="M30" s="378">
        <v>256481.48</v>
      </c>
      <c r="N30" s="328">
        <v>2564815</v>
      </c>
      <c r="O30" s="328">
        <v>205185</v>
      </c>
      <c r="P30" s="328">
        <v>2770000</v>
      </c>
      <c r="Q30" s="333"/>
      <c r="R30" s="310"/>
    </row>
    <row r="31" spans="1:18" ht="25.5">
      <c r="A31" s="296" t="s">
        <v>718</v>
      </c>
      <c r="B31" s="307" t="s">
        <v>744</v>
      </c>
      <c r="C31" s="324" t="s">
        <v>282</v>
      </c>
      <c r="D31" s="299"/>
      <c r="E31" s="323" t="s">
        <v>284</v>
      </c>
      <c r="F31" s="298"/>
      <c r="G31" s="336" t="s">
        <v>283</v>
      </c>
      <c r="H31" s="299" t="s">
        <v>819</v>
      </c>
      <c r="I31" s="327" t="s">
        <v>28</v>
      </c>
      <c r="J31" s="327" t="s">
        <v>29</v>
      </c>
      <c r="K31" s="560" t="s">
        <v>113</v>
      </c>
      <c r="L31" s="377">
        <v>30</v>
      </c>
      <c r="M31" s="378">
        <v>281481.48</v>
      </c>
      <c r="N31" s="328">
        <v>8444444</v>
      </c>
      <c r="O31" s="328">
        <v>675556</v>
      </c>
      <c r="P31" s="328">
        <v>9120000</v>
      </c>
      <c r="Q31" s="333"/>
      <c r="R31" s="310"/>
    </row>
    <row r="32" spans="1:18">
      <c r="A32" s="296" t="s">
        <v>718</v>
      </c>
      <c r="B32" s="307" t="s">
        <v>744</v>
      </c>
      <c r="C32" s="324" t="s">
        <v>282</v>
      </c>
      <c r="D32" s="299"/>
      <c r="E32" s="323" t="s">
        <v>284</v>
      </c>
      <c r="F32" s="298"/>
      <c r="G32" s="336" t="s">
        <v>283</v>
      </c>
      <c r="H32" s="299" t="s">
        <v>819</v>
      </c>
      <c r="I32" s="327" t="s">
        <v>204</v>
      </c>
      <c r="J32" s="327" t="s">
        <v>269</v>
      </c>
      <c r="K32" s="560" t="s">
        <v>113</v>
      </c>
      <c r="L32" s="377">
        <v>10</v>
      </c>
      <c r="M32" s="378">
        <v>480555.55</v>
      </c>
      <c r="N32" s="328">
        <v>4805556</v>
      </c>
      <c r="O32" s="328">
        <v>384444</v>
      </c>
      <c r="P32" s="328">
        <v>5190000</v>
      </c>
      <c r="Q32" s="333"/>
      <c r="R32" s="310"/>
    </row>
    <row r="33" spans="1:18">
      <c r="A33" s="296" t="s">
        <v>718</v>
      </c>
      <c r="B33" s="307" t="s">
        <v>744</v>
      </c>
      <c r="C33" s="324" t="s">
        <v>282</v>
      </c>
      <c r="D33" s="299"/>
      <c r="E33" s="323" t="s">
        <v>284</v>
      </c>
      <c r="F33" s="298"/>
      <c r="G33" s="336" t="s">
        <v>283</v>
      </c>
      <c r="H33" s="299" t="s">
        <v>819</v>
      </c>
      <c r="I33" s="327" t="s">
        <v>208</v>
      </c>
      <c r="J33" s="327" t="s">
        <v>209</v>
      </c>
      <c r="K33" s="560" t="s">
        <v>113</v>
      </c>
      <c r="L33" s="377">
        <v>10</v>
      </c>
      <c r="M33" s="378">
        <v>647222.22</v>
      </c>
      <c r="N33" s="328">
        <v>6472222</v>
      </c>
      <c r="O33" s="328">
        <v>517778</v>
      </c>
      <c r="P33" s="328">
        <v>6990000</v>
      </c>
      <c r="Q33" s="333"/>
      <c r="R33" s="310"/>
    </row>
    <row r="34" spans="1:18" ht="25.5">
      <c r="A34" s="296" t="s">
        <v>718</v>
      </c>
      <c r="B34" s="307" t="s">
        <v>744</v>
      </c>
      <c r="C34" s="324" t="s">
        <v>282</v>
      </c>
      <c r="D34" s="299"/>
      <c r="E34" s="323" t="s">
        <v>284</v>
      </c>
      <c r="F34" s="298"/>
      <c r="G34" s="336" t="s">
        <v>285</v>
      </c>
      <c r="H34" s="299" t="s">
        <v>819</v>
      </c>
      <c r="I34" s="327" t="s">
        <v>34</v>
      </c>
      <c r="J34" s="327" t="s">
        <v>35</v>
      </c>
      <c r="K34" s="560" t="s">
        <v>113</v>
      </c>
      <c r="L34" s="377">
        <v>1</v>
      </c>
      <c r="M34" s="378">
        <v>240740.74</v>
      </c>
      <c r="N34" s="328">
        <v>240741</v>
      </c>
      <c r="O34" s="328">
        <v>19259</v>
      </c>
      <c r="P34" s="328">
        <v>260000</v>
      </c>
      <c r="Q34" s="333"/>
      <c r="R34" s="310"/>
    </row>
    <row r="35" spans="1:18" ht="25.5">
      <c r="A35" s="296" t="s">
        <v>718</v>
      </c>
      <c r="B35" s="307" t="s">
        <v>744</v>
      </c>
      <c r="C35" s="324" t="s">
        <v>282</v>
      </c>
      <c r="D35" s="299"/>
      <c r="E35" s="323" t="s">
        <v>284</v>
      </c>
      <c r="F35" s="298"/>
      <c r="G35" s="336" t="s">
        <v>285</v>
      </c>
      <c r="H35" s="299" t="s">
        <v>819</v>
      </c>
      <c r="I35" s="327" t="s">
        <v>30</v>
      </c>
      <c r="J35" s="327" t="s">
        <v>31</v>
      </c>
      <c r="K35" s="560" t="s">
        <v>113</v>
      </c>
      <c r="L35" s="377">
        <v>1</v>
      </c>
      <c r="M35" s="378">
        <v>259259.25</v>
      </c>
      <c r="N35" s="328">
        <v>259259</v>
      </c>
      <c r="O35" s="328">
        <v>20741</v>
      </c>
      <c r="P35" s="328">
        <v>280000</v>
      </c>
      <c r="Q35" s="333"/>
      <c r="R35" s="310"/>
    </row>
    <row r="36" spans="1:18" ht="25.5">
      <c r="A36" s="296" t="s">
        <v>718</v>
      </c>
      <c r="B36" s="307" t="s">
        <v>744</v>
      </c>
      <c r="C36" s="324" t="s">
        <v>282</v>
      </c>
      <c r="D36" s="299"/>
      <c r="E36" s="323" t="s">
        <v>284</v>
      </c>
      <c r="F36" s="298"/>
      <c r="G36" s="336" t="s">
        <v>285</v>
      </c>
      <c r="H36" s="299" t="s">
        <v>819</v>
      </c>
      <c r="I36" s="327" t="s">
        <v>38</v>
      </c>
      <c r="J36" s="327" t="s">
        <v>39</v>
      </c>
      <c r="K36" s="560" t="s">
        <v>113</v>
      </c>
      <c r="L36" s="377">
        <v>1</v>
      </c>
      <c r="M36" s="378">
        <v>277777.78000000003</v>
      </c>
      <c r="N36" s="328">
        <v>277778</v>
      </c>
      <c r="O36" s="328">
        <v>22222</v>
      </c>
      <c r="P36" s="328">
        <v>300000</v>
      </c>
      <c r="Q36" s="333"/>
      <c r="R36" s="310"/>
    </row>
    <row r="37" spans="1:18" s="686" customFormat="1">
      <c r="A37" s="625" t="s">
        <v>718</v>
      </c>
      <c r="B37" s="307" t="s">
        <v>744</v>
      </c>
      <c r="C37" s="323" t="s">
        <v>232</v>
      </c>
      <c r="D37" s="302"/>
      <c r="E37" s="323"/>
      <c r="F37" s="626"/>
      <c r="G37" s="336"/>
      <c r="H37" s="569" t="s">
        <v>281</v>
      </c>
      <c r="I37" s="327"/>
      <c r="J37" s="327"/>
      <c r="K37" s="560"/>
      <c r="L37" s="377"/>
      <c r="M37" s="378"/>
      <c r="N37" s="328"/>
      <c r="O37" s="328"/>
      <c r="P37" s="328"/>
      <c r="Q37" s="626"/>
      <c r="R37" s="328">
        <v>460000</v>
      </c>
    </row>
    <row r="38" spans="1:18">
      <c r="A38" s="296" t="s">
        <v>718</v>
      </c>
      <c r="B38" s="307" t="s">
        <v>744</v>
      </c>
      <c r="C38" s="323" t="s">
        <v>287</v>
      </c>
      <c r="D38" s="299"/>
      <c r="E38" s="323" t="s">
        <v>287</v>
      </c>
      <c r="F38" s="298"/>
      <c r="G38" s="336" t="s">
        <v>288</v>
      </c>
      <c r="H38" s="569" t="s">
        <v>289</v>
      </c>
      <c r="I38" s="327" t="s">
        <v>194</v>
      </c>
      <c r="J38" s="327" t="s">
        <v>276</v>
      </c>
      <c r="K38" s="560" t="s">
        <v>277</v>
      </c>
      <c r="L38" s="344">
        <v>-2</v>
      </c>
      <c r="M38" s="376">
        <v>1203703.7</v>
      </c>
      <c r="N38" s="345">
        <v>-2407407</v>
      </c>
      <c r="O38" s="345">
        <v>-192593</v>
      </c>
      <c r="P38" s="345">
        <v>-2600000</v>
      </c>
      <c r="Q38" s="328"/>
      <c r="R38" s="310"/>
    </row>
    <row r="39" spans="1:18">
      <c r="A39" s="296" t="s">
        <v>718</v>
      </c>
      <c r="B39" s="307" t="s">
        <v>744</v>
      </c>
      <c r="C39" s="323" t="s">
        <v>287</v>
      </c>
      <c r="D39" s="299"/>
      <c r="E39" s="323" t="s">
        <v>287</v>
      </c>
      <c r="F39" s="298"/>
      <c r="G39" s="336" t="s">
        <v>288</v>
      </c>
      <c r="H39" s="569" t="s">
        <v>289</v>
      </c>
      <c r="I39" s="327" t="s">
        <v>58</v>
      </c>
      <c r="J39" s="327" t="s">
        <v>278</v>
      </c>
      <c r="K39" s="560" t="s">
        <v>277</v>
      </c>
      <c r="L39" s="344">
        <v>-2</v>
      </c>
      <c r="M39" s="376">
        <v>1361111.11</v>
      </c>
      <c r="N39" s="345">
        <v>-2722222</v>
      </c>
      <c r="O39" s="345">
        <v>-217778</v>
      </c>
      <c r="P39" s="345">
        <v>-2940000</v>
      </c>
      <c r="Q39" s="328"/>
      <c r="R39" s="310"/>
    </row>
    <row r="40" spans="1:18" ht="25.5">
      <c r="A40" s="296" t="s">
        <v>718</v>
      </c>
      <c r="B40" s="307" t="s">
        <v>744</v>
      </c>
      <c r="C40" s="323" t="s">
        <v>287</v>
      </c>
      <c r="D40" s="299"/>
      <c r="E40" s="323" t="s">
        <v>287</v>
      </c>
      <c r="F40" s="298"/>
      <c r="G40" s="336" t="s">
        <v>288</v>
      </c>
      <c r="H40" s="569" t="s">
        <v>289</v>
      </c>
      <c r="I40" s="327" t="s">
        <v>60</v>
      </c>
      <c r="J40" s="327" t="s">
        <v>61</v>
      </c>
      <c r="K40" s="560" t="s">
        <v>113</v>
      </c>
      <c r="L40" s="344">
        <v>-9</v>
      </c>
      <c r="M40" s="376">
        <v>1138889</v>
      </c>
      <c r="N40" s="345">
        <v>-10250001</v>
      </c>
      <c r="O40" s="345">
        <v>-820000</v>
      </c>
      <c r="P40" s="345">
        <v>-11070001</v>
      </c>
      <c r="Q40" s="328"/>
      <c r="R40" s="310"/>
    </row>
    <row r="41" spans="1:18" ht="25.5">
      <c r="A41" s="296" t="s">
        <v>718</v>
      </c>
      <c r="B41" s="307" t="s">
        <v>744</v>
      </c>
      <c r="C41" s="323" t="s">
        <v>287</v>
      </c>
      <c r="D41" s="299"/>
      <c r="E41" s="323" t="s">
        <v>287</v>
      </c>
      <c r="F41" s="298"/>
      <c r="G41" s="336" t="s">
        <v>288</v>
      </c>
      <c r="H41" s="569" t="s">
        <v>289</v>
      </c>
      <c r="I41" s="327" t="s">
        <v>83</v>
      </c>
      <c r="J41" s="327" t="s">
        <v>84</v>
      </c>
      <c r="K41" s="560" t="s">
        <v>113</v>
      </c>
      <c r="L41" s="344">
        <v>-10</v>
      </c>
      <c r="M41" s="376">
        <v>1097222.22</v>
      </c>
      <c r="N41" s="345">
        <v>-10972222</v>
      </c>
      <c r="O41" s="345">
        <v>-877778</v>
      </c>
      <c r="P41" s="345">
        <v>-11850000</v>
      </c>
      <c r="Q41" s="328"/>
      <c r="R41" s="310"/>
    </row>
    <row r="42" spans="1:18" ht="25.5">
      <c r="A42" s="296" t="s">
        <v>718</v>
      </c>
      <c r="B42" s="307" t="s">
        <v>744</v>
      </c>
      <c r="C42" s="323" t="s">
        <v>287</v>
      </c>
      <c r="D42" s="299"/>
      <c r="E42" s="323" t="s">
        <v>287</v>
      </c>
      <c r="F42" s="298"/>
      <c r="G42" s="336" t="s">
        <v>288</v>
      </c>
      <c r="H42" s="569" t="s">
        <v>289</v>
      </c>
      <c r="I42" s="327" t="s">
        <v>16</v>
      </c>
      <c r="J42" s="327" t="s">
        <v>17</v>
      </c>
      <c r="K42" s="560" t="s">
        <v>113</v>
      </c>
      <c r="L42" s="344">
        <v>-3</v>
      </c>
      <c r="M42" s="376">
        <v>851851.85</v>
      </c>
      <c r="N42" s="345">
        <v>-2555556</v>
      </c>
      <c r="O42" s="345">
        <v>-204444</v>
      </c>
      <c r="P42" s="345">
        <v>-2760000</v>
      </c>
      <c r="Q42" s="328"/>
      <c r="R42" s="310"/>
    </row>
    <row r="43" spans="1:18">
      <c r="A43" s="296" t="s">
        <v>718</v>
      </c>
      <c r="B43" s="307" t="s">
        <v>744</v>
      </c>
      <c r="C43" s="323" t="s">
        <v>287</v>
      </c>
      <c r="D43" s="299"/>
      <c r="E43" s="323" t="s">
        <v>287</v>
      </c>
      <c r="F43" s="298"/>
      <c r="G43" s="336" t="s">
        <v>288</v>
      </c>
      <c r="H43" s="569" t="s">
        <v>289</v>
      </c>
      <c r="I43" s="327" t="s">
        <v>56</v>
      </c>
      <c r="J43" s="327" t="s">
        <v>57</v>
      </c>
      <c r="K43" s="560" t="s">
        <v>113</v>
      </c>
      <c r="L43" s="344">
        <v>-29</v>
      </c>
      <c r="M43" s="376">
        <v>325925.92</v>
      </c>
      <c r="N43" s="345">
        <v>-9451852</v>
      </c>
      <c r="O43" s="345">
        <v>-756148</v>
      </c>
      <c r="P43" s="345">
        <v>-10208000</v>
      </c>
      <c r="Q43" s="328"/>
      <c r="R43" s="310"/>
    </row>
    <row r="44" spans="1:18">
      <c r="A44" s="296" t="s">
        <v>718</v>
      </c>
      <c r="B44" s="307" t="s">
        <v>744</v>
      </c>
      <c r="C44" s="323" t="s">
        <v>287</v>
      </c>
      <c r="D44" s="299"/>
      <c r="E44" s="323" t="s">
        <v>291</v>
      </c>
      <c r="F44" s="298"/>
      <c r="G44" s="336" t="s">
        <v>290</v>
      </c>
      <c r="H44" s="299" t="s">
        <v>819</v>
      </c>
      <c r="I44" s="327" t="s">
        <v>74</v>
      </c>
      <c r="J44" s="327" t="s">
        <v>141</v>
      </c>
      <c r="K44" s="560" t="s">
        <v>113</v>
      </c>
      <c r="L44" s="375">
        <v>10</v>
      </c>
      <c r="M44" s="376">
        <v>361111.11</v>
      </c>
      <c r="N44" s="330">
        <v>3611111</v>
      </c>
      <c r="O44" s="330">
        <v>288889</v>
      </c>
      <c r="P44" s="330">
        <v>3900000</v>
      </c>
      <c r="Q44" s="328"/>
      <c r="R44" s="310"/>
    </row>
    <row r="45" spans="1:18" ht="25.5">
      <c r="A45" s="296" t="s">
        <v>718</v>
      </c>
      <c r="B45" s="307" t="s">
        <v>744</v>
      </c>
      <c r="C45" s="323" t="s">
        <v>287</v>
      </c>
      <c r="D45" s="299"/>
      <c r="E45" s="323" t="s">
        <v>291</v>
      </c>
      <c r="F45" s="298"/>
      <c r="G45" s="336" t="s">
        <v>290</v>
      </c>
      <c r="H45" s="299" t="s">
        <v>819</v>
      </c>
      <c r="I45" s="327" t="s">
        <v>34</v>
      </c>
      <c r="J45" s="327" t="s">
        <v>35</v>
      </c>
      <c r="K45" s="560" t="s">
        <v>113</v>
      </c>
      <c r="L45" s="377">
        <v>5</v>
      </c>
      <c r="M45" s="378">
        <v>240740.74</v>
      </c>
      <c r="N45" s="328">
        <v>1203704</v>
      </c>
      <c r="O45" s="328">
        <v>96296</v>
      </c>
      <c r="P45" s="328">
        <v>1300000</v>
      </c>
      <c r="Q45" s="328"/>
      <c r="R45" s="310"/>
    </row>
    <row r="46" spans="1:18" ht="25.5">
      <c r="A46" s="296" t="s">
        <v>718</v>
      </c>
      <c r="B46" s="307" t="s">
        <v>744</v>
      </c>
      <c r="C46" s="323" t="s">
        <v>287</v>
      </c>
      <c r="D46" s="299"/>
      <c r="E46" s="323" t="s">
        <v>291</v>
      </c>
      <c r="F46" s="298"/>
      <c r="G46" s="336" t="s">
        <v>290</v>
      </c>
      <c r="H46" s="299" t="s">
        <v>819</v>
      </c>
      <c r="I46" s="327" t="s">
        <v>36</v>
      </c>
      <c r="J46" s="327" t="s">
        <v>37</v>
      </c>
      <c r="K46" s="560" t="s">
        <v>113</v>
      </c>
      <c r="L46" s="377">
        <v>5</v>
      </c>
      <c r="M46" s="378">
        <v>259259.25</v>
      </c>
      <c r="N46" s="328">
        <v>1296296</v>
      </c>
      <c r="O46" s="328">
        <v>103704</v>
      </c>
      <c r="P46" s="328">
        <v>1400000</v>
      </c>
      <c r="Q46" s="328"/>
      <c r="R46" s="310"/>
    </row>
    <row r="47" spans="1:18" ht="25.5">
      <c r="A47" s="296" t="s">
        <v>718</v>
      </c>
      <c r="B47" s="307" t="s">
        <v>744</v>
      </c>
      <c r="C47" s="323" t="s">
        <v>287</v>
      </c>
      <c r="D47" s="299"/>
      <c r="E47" s="323" t="s">
        <v>291</v>
      </c>
      <c r="F47" s="298"/>
      <c r="G47" s="336" t="s">
        <v>290</v>
      </c>
      <c r="H47" s="299" t="s">
        <v>819</v>
      </c>
      <c r="I47" s="327" t="s">
        <v>38</v>
      </c>
      <c r="J47" s="327" t="s">
        <v>39</v>
      </c>
      <c r="K47" s="560" t="s">
        <v>113</v>
      </c>
      <c r="L47" s="377">
        <v>5</v>
      </c>
      <c r="M47" s="378">
        <v>277777.78000000003</v>
      </c>
      <c r="N47" s="328">
        <v>1388889</v>
      </c>
      <c r="O47" s="330">
        <v>111111</v>
      </c>
      <c r="P47" s="328">
        <v>1500000</v>
      </c>
      <c r="Q47" s="328"/>
      <c r="R47" s="310"/>
    </row>
    <row r="48" spans="1:18">
      <c r="A48" s="296" t="s">
        <v>718</v>
      </c>
      <c r="B48" s="307" t="s">
        <v>744</v>
      </c>
      <c r="C48" s="323" t="s">
        <v>287</v>
      </c>
      <c r="D48" s="299"/>
      <c r="E48" s="323" t="s">
        <v>291</v>
      </c>
      <c r="F48" s="298"/>
      <c r="G48" s="336" t="s">
        <v>290</v>
      </c>
      <c r="H48" s="299" t="s">
        <v>819</v>
      </c>
      <c r="I48" s="327" t="s">
        <v>77</v>
      </c>
      <c r="J48" s="327" t="s">
        <v>78</v>
      </c>
      <c r="K48" s="560" t="s">
        <v>113</v>
      </c>
      <c r="L48" s="375">
        <v>10</v>
      </c>
      <c r="M48" s="376">
        <v>324074.07</v>
      </c>
      <c r="N48" s="330">
        <v>3240741</v>
      </c>
      <c r="O48" s="330">
        <v>259259</v>
      </c>
      <c r="P48" s="330">
        <v>3500000</v>
      </c>
      <c r="Q48" s="328"/>
      <c r="R48" s="310"/>
    </row>
    <row r="49" spans="1:18">
      <c r="A49" s="296" t="s">
        <v>718</v>
      </c>
      <c r="B49" s="307" t="s">
        <v>744</v>
      </c>
      <c r="C49" s="323" t="s">
        <v>287</v>
      </c>
      <c r="D49" s="299"/>
      <c r="E49" s="323" t="s">
        <v>291</v>
      </c>
      <c r="F49" s="298"/>
      <c r="G49" s="336" t="s">
        <v>290</v>
      </c>
      <c r="H49" s="299" t="s">
        <v>819</v>
      </c>
      <c r="I49" s="327" t="s">
        <v>204</v>
      </c>
      <c r="J49" s="327" t="s">
        <v>269</v>
      </c>
      <c r="K49" s="599" t="s">
        <v>25</v>
      </c>
      <c r="L49" s="375">
        <v>10</v>
      </c>
      <c r="M49" s="376">
        <v>480555.55</v>
      </c>
      <c r="N49" s="330">
        <v>4805556</v>
      </c>
      <c r="O49" s="330">
        <v>384444</v>
      </c>
      <c r="P49" s="330">
        <v>5190000</v>
      </c>
      <c r="Q49" s="328"/>
      <c r="R49" s="310"/>
    </row>
    <row r="50" spans="1:18">
      <c r="A50" s="296" t="s">
        <v>718</v>
      </c>
      <c r="B50" s="307" t="s">
        <v>744</v>
      </c>
      <c r="C50" s="323" t="s">
        <v>287</v>
      </c>
      <c r="D50" s="299"/>
      <c r="E50" s="323" t="s">
        <v>291</v>
      </c>
      <c r="F50" s="298"/>
      <c r="G50" s="336" t="s">
        <v>290</v>
      </c>
      <c r="H50" s="299" t="s">
        <v>819</v>
      </c>
      <c r="I50" s="327" t="s">
        <v>279</v>
      </c>
      <c r="J50" s="327" t="s">
        <v>280</v>
      </c>
      <c r="K50" s="560" t="s">
        <v>113</v>
      </c>
      <c r="L50" s="375">
        <v>6</v>
      </c>
      <c r="M50" s="376">
        <v>387962.96</v>
      </c>
      <c r="N50" s="330">
        <v>2327778</v>
      </c>
      <c r="O50" s="330">
        <v>186222</v>
      </c>
      <c r="P50" s="330">
        <v>2514000</v>
      </c>
      <c r="Q50" s="328"/>
      <c r="R50" s="310"/>
    </row>
    <row r="51" spans="1:18">
      <c r="A51" s="296" t="s">
        <v>718</v>
      </c>
      <c r="B51" s="307" t="s">
        <v>744</v>
      </c>
      <c r="C51" s="323" t="s">
        <v>287</v>
      </c>
      <c r="D51" s="299"/>
      <c r="E51" s="323" t="s">
        <v>291</v>
      </c>
      <c r="F51" s="298"/>
      <c r="G51" s="336" t="s">
        <v>290</v>
      </c>
      <c r="H51" s="299" t="s">
        <v>819</v>
      </c>
      <c r="I51" s="327" t="s">
        <v>258</v>
      </c>
      <c r="J51" s="327" t="s">
        <v>259</v>
      </c>
      <c r="K51" s="560" t="s">
        <v>113</v>
      </c>
      <c r="L51" s="375">
        <v>6</v>
      </c>
      <c r="M51" s="376">
        <v>472222.22</v>
      </c>
      <c r="N51" s="330">
        <v>2833333</v>
      </c>
      <c r="O51" s="330">
        <v>226667</v>
      </c>
      <c r="P51" s="330">
        <v>3060000</v>
      </c>
      <c r="Q51" s="328"/>
      <c r="R51" s="310"/>
    </row>
    <row r="52" spans="1:18">
      <c r="A52" s="296" t="s">
        <v>718</v>
      </c>
      <c r="B52" s="307" t="s">
        <v>744</v>
      </c>
      <c r="C52" s="323" t="s">
        <v>287</v>
      </c>
      <c r="D52" s="299"/>
      <c r="E52" s="323" t="s">
        <v>291</v>
      </c>
      <c r="F52" s="298"/>
      <c r="G52" s="336" t="s">
        <v>290</v>
      </c>
      <c r="H52" s="299" t="s">
        <v>819</v>
      </c>
      <c r="I52" s="327" t="s">
        <v>260</v>
      </c>
      <c r="J52" s="327" t="s">
        <v>261</v>
      </c>
      <c r="K52" s="560" t="s">
        <v>113</v>
      </c>
      <c r="L52" s="375">
        <v>6</v>
      </c>
      <c r="M52" s="376">
        <v>492592.59</v>
      </c>
      <c r="N52" s="330">
        <v>2955556</v>
      </c>
      <c r="O52" s="330">
        <v>236444</v>
      </c>
      <c r="P52" s="330">
        <v>3192000</v>
      </c>
      <c r="Q52" s="328"/>
      <c r="R52" s="310"/>
    </row>
    <row r="53" spans="1:18" s="686" customFormat="1">
      <c r="A53" s="625" t="s">
        <v>718</v>
      </c>
      <c r="B53" s="307" t="s">
        <v>744</v>
      </c>
      <c r="C53" s="323" t="s">
        <v>287</v>
      </c>
      <c r="D53" s="302"/>
      <c r="E53" s="323"/>
      <c r="F53" s="626"/>
      <c r="G53" s="336"/>
      <c r="H53" s="569" t="s">
        <v>281</v>
      </c>
      <c r="I53" s="327"/>
      <c r="J53" s="327"/>
      <c r="K53" s="560"/>
      <c r="L53" s="377"/>
      <c r="M53" s="378"/>
      <c r="N53" s="328"/>
      <c r="O53" s="328"/>
      <c r="P53" s="328"/>
      <c r="Q53" s="626"/>
      <c r="R53" s="328">
        <v>300000</v>
      </c>
    </row>
    <row r="54" spans="1:18" s="686" customFormat="1">
      <c r="A54" s="625" t="s">
        <v>718</v>
      </c>
      <c r="B54" s="307" t="s">
        <v>744</v>
      </c>
      <c r="C54" s="323" t="s">
        <v>292</v>
      </c>
      <c r="D54" s="302"/>
      <c r="E54" s="323"/>
      <c r="F54" s="626"/>
      <c r="G54" s="336"/>
      <c r="H54" s="302" t="s">
        <v>672</v>
      </c>
      <c r="I54" s="327"/>
      <c r="J54" s="327"/>
      <c r="K54" s="560"/>
      <c r="L54" s="377"/>
      <c r="M54" s="378"/>
      <c r="N54" s="328"/>
      <c r="O54" s="328"/>
      <c r="P54" s="328"/>
      <c r="Q54" s="328">
        <v>50000000</v>
      </c>
      <c r="R54" s="309"/>
    </row>
    <row r="55" spans="1:18">
      <c r="A55" s="296" t="s">
        <v>718</v>
      </c>
      <c r="B55" s="307" t="s">
        <v>744</v>
      </c>
      <c r="C55" s="323" t="s">
        <v>95</v>
      </c>
      <c r="D55" s="299"/>
      <c r="E55" s="323" t="s">
        <v>295</v>
      </c>
      <c r="F55" s="298"/>
      <c r="G55" s="336" t="s">
        <v>294</v>
      </c>
      <c r="H55" s="299" t="s">
        <v>819</v>
      </c>
      <c r="I55" s="327" t="s">
        <v>204</v>
      </c>
      <c r="J55" s="327" t="s">
        <v>269</v>
      </c>
      <c r="K55" s="599" t="s">
        <v>25</v>
      </c>
      <c r="L55" s="375">
        <v>10</v>
      </c>
      <c r="M55" s="376">
        <v>480555.55</v>
      </c>
      <c r="N55" s="330">
        <v>4805556</v>
      </c>
      <c r="O55" s="330">
        <v>384444</v>
      </c>
      <c r="P55" s="330">
        <v>5190000</v>
      </c>
      <c r="Q55" s="328"/>
      <c r="R55" s="310"/>
    </row>
    <row r="56" spans="1:18">
      <c r="A56" s="296" t="s">
        <v>718</v>
      </c>
      <c r="B56" s="307" t="s">
        <v>744</v>
      </c>
      <c r="C56" s="323" t="s">
        <v>95</v>
      </c>
      <c r="D56" s="299"/>
      <c r="E56" s="323" t="s">
        <v>295</v>
      </c>
      <c r="F56" s="298"/>
      <c r="G56" s="336" t="s">
        <v>294</v>
      </c>
      <c r="H56" s="299" t="s">
        <v>819</v>
      </c>
      <c r="I56" s="327" t="s">
        <v>208</v>
      </c>
      <c r="J56" s="327" t="s">
        <v>209</v>
      </c>
      <c r="K56" s="560" t="s">
        <v>25</v>
      </c>
      <c r="L56" s="375">
        <v>2</v>
      </c>
      <c r="M56" s="376">
        <v>647222.22</v>
      </c>
      <c r="N56" s="330">
        <v>1294444</v>
      </c>
      <c r="O56" s="330">
        <v>103556</v>
      </c>
      <c r="P56" s="330">
        <v>1398000</v>
      </c>
      <c r="Q56" s="328"/>
      <c r="R56" s="310"/>
    </row>
    <row r="57" spans="1:18">
      <c r="A57" s="296" t="s">
        <v>718</v>
      </c>
      <c r="B57" s="307" t="s">
        <v>744</v>
      </c>
      <c r="C57" s="323" t="s">
        <v>95</v>
      </c>
      <c r="D57" s="299"/>
      <c r="E57" s="323" t="s">
        <v>295</v>
      </c>
      <c r="F57" s="298"/>
      <c r="G57" s="336" t="s">
        <v>294</v>
      </c>
      <c r="H57" s="299" t="s">
        <v>819</v>
      </c>
      <c r="I57" s="327" t="s">
        <v>206</v>
      </c>
      <c r="J57" s="327" t="s">
        <v>296</v>
      </c>
      <c r="K57" s="560" t="s">
        <v>25</v>
      </c>
      <c r="L57" s="377">
        <v>10</v>
      </c>
      <c r="M57" s="378">
        <v>483333.33</v>
      </c>
      <c r="N57" s="330">
        <v>4833333</v>
      </c>
      <c r="O57" s="328">
        <v>386667</v>
      </c>
      <c r="P57" s="330">
        <v>5220000</v>
      </c>
      <c r="Q57" s="328"/>
      <c r="R57" s="310"/>
    </row>
    <row r="58" spans="1:18" ht="25.5">
      <c r="A58" s="296" t="s">
        <v>718</v>
      </c>
      <c r="B58" s="307" t="s">
        <v>744</v>
      </c>
      <c r="C58" s="323" t="s">
        <v>95</v>
      </c>
      <c r="D58" s="299"/>
      <c r="E58" s="323" t="s">
        <v>295</v>
      </c>
      <c r="F58" s="298"/>
      <c r="G58" s="336" t="s">
        <v>294</v>
      </c>
      <c r="H58" s="299" t="s">
        <v>819</v>
      </c>
      <c r="I58" s="327" t="s">
        <v>262</v>
      </c>
      <c r="J58" s="327" t="s">
        <v>270</v>
      </c>
      <c r="K58" s="599" t="s">
        <v>25</v>
      </c>
      <c r="L58" s="375">
        <v>6</v>
      </c>
      <c r="M58" s="376">
        <v>851851.85</v>
      </c>
      <c r="N58" s="330">
        <v>5111111</v>
      </c>
      <c r="O58" s="330">
        <v>408889</v>
      </c>
      <c r="P58" s="330">
        <v>5520000</v>
      </c>
      <c r="Q58" s="328"/>
      <c r="R58" s="310"/>
    </row>
    <row r="59" spans="1:18" ht="25.5">
      <c r="A59" s="296" t="s">
        <v>718</v>
      </c>
      <c r="B59" s="307" t="s">
        <v>744</v>
      </c>
      <c r="C59" s="323" t="s">
        <v>95</v>
      </c>
      <c r="D59" s="299"/>
      <c r="E59" s="323" t="s">
        <v>295</v>
      </c>
      <c r="F59" s="298"/>
      <c r="G59" s="336" t="s">
        <v>294</v>
      </c>
      <c r="H59" s="299" t="s">
        <v>819</v>
      </c>
      <c r="I59" s="327" t="s">
        <v>23</v>
      </c>
      <c r="J59" s="327" t="s">
        <v>271</v>
      </c>
      <c r="K59" s="560" t="s">
        <v>25</v>
      </c>
      <c r="L59" s="377">
        <v>2</v>
      </c>
      <c r="M59" s="378">
        <v>1185185.18</v>
      </c>
      <c r="N59" s="330">
        <v>2370370</v>
      </c>
      <c r="O59" s="330">
        <v>189630</v>
      </c>
      <c r="P59" s="330">
        <v>2560000</v>
      </c>
      <c r="Q59" s="328"/>
      <c r="R59" s="310"/>
    </row>
    <row r="60" spans="1:18" ht="25.5">
      <c r="A60" s="296" t="s">
        <v>718</v>
      </c>
      <c r="B60" s="307" t="s">
        <v>744</v>
      </c>
      <c r="C60" s="323" t="s">
        <v>95</v>
      </c>
      <c r="D60" s="299"/>
      <c r="E60" s="323" t="s">
        <v>295</v>
      </c>
      <c r="F60" s="298"/>
      <c r="G60" s="336" t="s">
        <v>294</v>
      </c>
      <c r="H60" s="299" t="s">
        <v>819</v>
      </c>
      <c r="I60" s="327" t="s">
        <v>28</v>
      </c>
      <c r="J60" s="327" t="s">
        <v>29</v>
      </c>
      <c r="K60" s="560" t="s">
        <v>113</v>
      </c>
      <c r="L60" s="377">
        <v>10</v>
      </c>
      <c r="M60" s="378">
        <v>281481.48</v>
      </c>
      <c r="N60" s="330">
        <v>2814815</v>
      </c>
      <c r="O60" s="328">
        <v>225185</v>
      </c>
      <c r="P60" s="330">
        <v>3040000</v>
      </c>
      <c r="Q60" s="328"/>
      <c r="R60" s="310"/>
    </row>
    <row r="61" spans="1:18" ht="25.5">
      <c r="A61" s="296" t="s">
        <v>718</v>
      </c>
      <c r="B61" s="307" t="s">
        <v>744</v>
      </c>
      <c r="C61" s="323" t="s">
        <v>95</v>
      </c>
      <c r="D61" s="299"/>
      <c r="E61" s="323" t="s">
        <v>295</v>
      </c>
      <c r="F61" s="298"/>
      <c r="G61" s="336" t="s">
        <v>294</v>
      </c>
      <c r="H61" s="299" t="s">
        <v>819</v>
      </c>
      <c r="I61" s="327" t="s">
        <v>34</v>
      </c>
      <c r="J61" s="327" t="s">
        <v>35</v>
      </c>
      <c r="K61" s="560" t="s">
        <v>113</v>
      </c>
      <c r="L61" s="377">
        <v>10</v>
      </c>
      <c r="M61" s="378">
        <v>240740.74</v>
      </c>
      <c r="N61" s="330">
        <v>2407407</v>
      </c>
      <c r="O61" s="328">
        <v>192593</v>
      </c>
      <c r="P61" s="330">
        <v>2600000</v>
      </c>
      <c r="Q61" s="328"/>
      <c r="R61" s="310"/>
    </row>
    <row r="62" spans="1:18" ht="25.5">
      <c r="A62" s="296" t="s">
        <v>718</v>
      </c>
      <c r="B62" s="307" t="s">
        <v>744</v>
      </c>
      <c r="C62" s="323" t="s">
        <v>95</v>
      </c>
      <c r="D62" s="299"/>
      <c r="E62" s="323" t="s">
        <v>295</v>
      </c>
      <c r="F62" s="298"/>
      <c r="G62" s="336" t="s">
        <v>294</v>
      </c>
      <c r="H62" s="299" t="s">
        <v>819</v>
      </c>
      <c r="I62" s="327" t="s">
        <v>36</v>
      </c>
      <c r="J62" s="327" t="s">
        <v>37</v>
      </c>
      <c r="K62" s="560" t="s">
        <v>113</v>
      </c>
      <c r="L62" s="377">
        <v>10</v>
      </c>
      <c r="M62" s="378">
        <v>259259.25</v>
      </c>
      <c r="N62" s="330">
        <v>2592593</v>
      </c>
      <c r="O62" s="328">
        <v>207407</v>
      </c>
      <c r="P62" s="330">
        <v>2800000</v>
      </c>
      <c r="Q62" s="328"/>
      <c r="R62" s="310"/>
    </row>
    <row r="63" spans="1:18" ht="25.5">
      <c r="A63" s="296" t="s">
        <v>718</v>
      </c>
      <c r="B63" s="307" t="s">
        <v>744</v>
      </c>
      <c r="C63" s="323" t="s">
        <v>95</v>
      </c>
      <c r="D63" s="299"/>
      <c r="E63" s="323" t="s">
        <v>295</v>
      </c>
      <c r="F63" s="298"/>
      <c r="G63" s="336" t="s">
        <v>294</v>
      </c>
      <c r="H63" s="299" t="s">
        <v>819</v>
      </c>
      <c r="I63" s="327" t="s">
        <v>38</v>
      </c>
      <c r="J63" s="327" t="s">
        <v>39</v>
      </c>
      <c r="K63" s="560" t="s">
        <v>113</v>
      </c>
      <c r="L63" s="377">
        <v>10</v>
      </c>
      <c r="M63" s="378">
        <v>277777.78000000003</v>
      </c>
      <c r="N63" s="330">
        <v>2777778</v>
      </c>
      <c r="O63" s="328">
        <v>222222</v>
      </c>
      <c r="P63" s="330">
        <v>3000000</v>
      </c>
      <c r="Q63" s="328"/>
      <c r="R63" s="310"/>
    </row>
    <row r="64" spans="1:18">
      <c r="A64" s="296" t="s">
        <v>718</v>
      </c>
      <c r="B64" s="307" t="s">
        <v>744</v>
      </c>
      <c r="C64" s="323" t="s">
        <v>95</v>
      </c>
      <c r="D64" s="299"/>
      <c r="E64" s="323" t="s">
        <v>451</v>
      </c>
      <c r="F64" s="298"/>
      <c r="G64" s="336" t="s">
        <v>831</v>
      </c>
      <c r="H64" s="299" t="s">
        <v>819</v>
      </c>
      <c r="I64" s="327" t="s">
        <v>274</v>
      </c>
      <c r="J64" s="327" t="s">
        <v>297</v>
      </c>
      <c r="K64" s="560" t="s">
        <v>113</v>
      </c>
      <c r="L64" s="377">
        <v>10</v>
      </c>
      <c r="M64" s="378">
        <v>416666.66</v>
      </c>
      <c r="N64" s="330">
        <v>4166667</v>
      </c>
      <c r="O64" s="328">
        <v>333333</v>
      </c>
      <c r="P64" s="330">
        <v>4500000</v>
      </c>
      <c r="Q64" s="328"/>
      <c r="R64" s="310"/>
    </row>
    <row r="65" spans="1:18">
      <c r="A65" s="296" t="s">
        <v>718</v>
      </c>
      <c r="B65" s="307" t="s">
        <v>744</v>
      </c>
      <c r="C65" s="323" t="s">
        <v>95</v>
      </c>
      <c r="D65" s="299"/>
      <c r="E65" s="323" t="s">
        <v>451</v>
      </c>
      <c r="F65" s="298"/>
      <c r="G65" s="336" t="s">
        <v>831</v>
      </c>
      <c r="H65" s="299" t="s">
        <v>819</v>
      </c>
      <c r="I65" s="327" t="s">
        <v>90</v>
      </c>
      <c r="J65" s="327" t="s">
        <v>91</v>
      </c>
      <c r="K65" s="560" t="s">
        <v>92</v>
      </c>
      <c r="L65" s="377">
        <v>2</v>
      </c>
      <c r="M65" s="378">
        <v>814814.81</v>
      </c>
      <c r="N65" s="330">
        <v>1629630</v>
      </c>
      <c r="O65" s="328">
        <v>130371</v>
      </c>
      <c r="P65" s="330">
        <v>1760001</v>
      </c>
      <c r="Q65" s="328"/>
      <c r="R65" s="310"/>
    </row>
    <row r="66" spans="1:18">
      <c r="A66" s="296" t="s">
        <v>718</v>
      </c>
      <c r="B66" s="307" t="s">
        <v>744</v>
      </c>
      <c r="C66" s="323" t="s">
        <v>95</v>
      </c>
      <c r="D66" s="299"/>
      <c r="E66" s="323" t="s">
        <v>451</v>
      </c>
      <c r="F66" s="298"/>
      <c r="G66" s="336" t="s">
        <v>831</v>
      </c>
      <c r="H66" s="299" t="s">
        <v>819</v>
      </c>
      <c r="I66" s="327" t="s">
        <v>93</v>
      </c>
      <c r="J66" s="327" t="s">
        <v>94</v>
      </c>
      <c r="K66" s="560" t="s">
        <v>92</v>
      </c>
      <c r="L66" s="377">
        <v>2</v>
      </c>
      <c r="M66" s="378">
        <v>907407.4</v>
      </c>
      <c r="N66" s="330">
        <v>1814815</v>
      </c>
      <c r="O66" s="328">
        <v>145185</v>
      </c>
      <c r="P66" s="330">
        <v>1960000</v>
      </c>
      <c r="Q66" s="328"/>
      <c r="R66" s="310"/>
    </row>
    <row r="67" spans="1:18">
      <c r="A67" s="296" t="s">
        <v>718</v>
      </c>
      <c r="B67" s="307" t="s">
        <v>744</v>
      </c>
      <c r="C67" s="323" t="s">
        <v>298</v>
      </c>
      <c r="D67" s="299"/>
      <c r="E67" s="323" t="s">
        <v>451</v>
      </c>
      <c r="F67" s="298"/>
      <c r="G67" s="336" t="s">
        <v>831</v>
      </c>
      <c r="H67" s="299" t="s">
        <v>819</v>
      </c>
      <c r="I67" s="327" t="s">
        <v>74</v>
      </c>
      <c r="J67" s="327" t="s">
        <v>141</v>
      </c>
      <c r="K67" s="560" t="s">
        <v>113</v>
      </c>
      <c r="L67" s="377">
        <v>16</v>
      </c>
      <c r="M67" s="378">
        <v>361111.11</v>
      </c>
      <c r="N67" s="330">
        <v>5777777.7599999998</v>
      </c>
      <c r="O67" s="328">
        <v>462222.22080000001</v>
      </c>
      <c r="P67" s="330">
        <v>6239999.9808</v>
      </c>
      <c r="Q67" s="328"/>
      <c r="R67" s="310"/>
    </row>
    <row r="68" spans="1:18" ht="25.5">
      <c r="A68" s="296" t="s">
        <v>718</v>
      </c>
      <c r="B68" s="307" t="s">
        <v>744</v>
      </c>
      <c r="C68" s="323" t="s">
        <v>298</v>
      </c>
      <c r="D68" s="299"/>
      <c r="E68" s="323" t="s">
        <v>451</v>
      </c>
      <c r="F68" s="298"/>
      <c r="G68" s="336" t="s">
        <v>831</v>
      </c>
      <c r="H68" s="299" t="s">
        <v>819</v>
      </c>
      <c r="I68" s="327" t="s">
        <v>299</v>
      </c>
      <c r="J68" s="327" t="s">
        <v>300</v>
      </c>
      <c r="K68" s="560"/>
      <c r="L68" s="377">
        <v>20</v>
      </c>
      <c r="M68" s="378">
        <v>298148.15000000002</v>
      </c>
      <c r="N68" s="330">
        <v>5962963</v>
      </c>
      <c r="O68" s="328">
        <v>477037.04000000004</v>
      </c>
      <c r="P68" s="330">
        <v>6440000.04</v>
      </c>
      <c r="Q68" s="328"/>
      <c r="R68" s="310"/>
    </row>
    <row r="69" spans="1:18" ht="25.5">
      <c r="A69" s="296" t="s">
        <v>718</v>
      </c>
      <c r="B69" s="307" t="s">
        <v>744</v>
      </c>
      <c r="C69" s="323" t="s">
        <v>298</v>
      </c>
      <c r="D69" s="299"/>
      <c r="E69" s="323" t="s">
        <v>451</v>
      </c>
      <c r="F69" s="298"/>
      <c r="G69" s="336" t="s">
        <v>831</v>
      </c>
      <c r="H69" s="299" t="s">
        <v>819</v>
      </c>
      <c r="I69" s="327" t="s">
        <v>301</v>
      </c>
      <c r="J69" s="327" t="s">
        <v>302</v>
      </c>
      <c r="K69" s="560" t="s">
        <v>113</v>
      </c>
      <c r="L69" s="377">
        <v>20</v>
      </c>
      <c r="M69" s="378">
        <v>277777.78000000003</v>
      </c>
      <c r="N69" s="330">
        <v>5555555.6000000006</v>
      </c>
      <c r="O69" s="328">
        <v>444444.44800000003</v>
      </c>
      <c r="P69" s="330">
        <v>6000000.0480000004</v>
      </c>
      <c r="Q69" s="328"/>
      <c r="R69" s="310"/>
    </row>
    <row r="70" spans="1:18" ht="25.5">
      <c r="A70" s="296" t="s">
        <v>718</v>
      </c>
      <c r="B70" s="307" t="s">
        <v>744</v>
      </c>
      <c r="C70" s="323" t="s">
        <v>298</v>
      </c>
      <c r="D70" s="299"/>
      <c r="E70" s="323" t="s">
        <v>451</v>
      </c>
      <c r="F70" s="298"/>
      <c r="G70" s="336" t="s">
        <v>831</v>
      </c>
      <c r="H70" s="299" t="s">
        <v>819</v>
      </c>
      <c r="I70" s="327" t="s">
        <v>38</v>
      </c>
      <c r="J70" s="327" t="s">
        <v>39</v>
      </c>
      <c r="K70" s="560" t="s">
        <v>113</v>
      </c>
      <c r="L70" s="377">
        <v>20</v>
      </c>
      <c r="M70" s="378">
        <v>277777.78000000003</v>
      </c>
      <c r="N70" s="330">
        <v>5555555.6000000006</v>
      </c>
      <c r="O70" s="328">
        <v>444444.44800000003</v>
      </c>
      <c r="P70" s="330">
        <v>6000000.0480000004</v>
      </c>
      <c r="Q70" s="328"/>
      <c r="R70" s="310"/>
    </row>
    <row r="71" spans="1:18">
      <c r="A71" s="296" t="s">
        <v>718</v>
      </c>
      <c r="B71" s="307" t="s">
        <v>744</v>
      </c>
      <c r="C71" s="323" t="s">
        <v>298</v>
      </c>
      <c r="D71" s="299"/>
      <c r="E71" s="323" t="s">
        <v>451</v>
      </c>
      <c r="F71" s="298"/>
      <c r="G71" s="336" t="s">
        <v>831</v>
      </c>
      <c r="H71" s="299" t="s">
        <v>819</v>
      </c>
      <c r="I71" s="327" t="s">
        <v>274</v>
      </c>
      <c r="J71" s="327" t="s">
        <v>297</v>
      </c>
      <c r="K71" s="560" t="s">
        <v>113</v>
      </c>
      <c r="L71" s="377">
        <v>5</v>
      </c>
      <c r="M71" s="378">
        <v>416666.66</v>
      </c>
      <c r="N71" s="330">
        <v>2083333.2999999998</v>
      </c>
      <c r="O71" s="328">
        <v>166666.66399999999</v>
      </c>
      <c r="P71" s="330">
        <v>2249999.9639999997</v>
      </c>
      <c r="Q71" s="328"/>
      <c r="R71" s="310"/>
    </row>
    <row r="72" spans="1:18" ht="25.5">
      <c r="A72" s="296" t="s">
        <v>718</v>
      </c>
      <c r="B72" s="307" t="s">
        <v>744</v>
      </c>
      <c r="C72" s="323" t="s">
        <v>298</v>
      </c>
      <c r="D72" s="299"/>
      <c r="E72" s="323" t="s">
        <v>451</v>
      </c>
      <c r="F72" s="298"/>
      <c r="G72" s="336" t="s">
        <v>831</v>
      </c>
      <c r="H72" s="299" t="s">
        <v>819</v>
      </c>
      <c r="I72" s="327" t="s">
        <v>262</v>
      </c>
      <c r="J72" s="327" t="s">
        <v>270</v>
      </c>
      <c r="K72" s="560" t="s">
        <v>25</v>
      </c>
      <c r="L72" s="377">
        <v>16</v>
      </c>
      <c r="M72" s="378">
        <v>851851.85</v>
      </c>
      <c r="N72" s="330">
        <v>13629629.6</v>
      </c>
      <c r="O72" s="328">
        <v>1090370.368</v>
      </c>
      <c r="P72" s="330">
        <v>14719999.968</v>
      </c>
      <c r="Q72" s="328"/>
      <c r="R72" s="310"/>
    </row>
    <row r="73" spans="1:18">
      <c r="A73" s="296" t="s">
        <v>718</v>
      </c>
      <c r="B73" s="307" t="s">
        <v>744</v>
      </c>
      <c r="C73" s="323" t="s">
        <v>298</v>
      </c>
      <c r="D73" s="299"/>
      <c r="E73" s="323" t="s">
        <v>451</v>
      </c>
      <c r="F73" s="298"/>
      <c r="G73" s="336" t="s">
        <v>831</v>
      </c>
      <c r="H73" s="299" t="s">
        <v>819</v>
      </c>
      <c r="I73" s="327" t="s">
        <v>303</v>
      </c>
      <c r="J73" s="327" t="s">
        <v>304</v>
      </c>
      <c r="K73" s="560" t="s">
        <v>113</v>
      </c>
      <c r="L73" s="377">
        <v>30</v>
      </c>
      <c r="M73" s="378">
        <v>78703.7</v>
      </c>
      <c r="N73" s="330">
        <v>2361111</v>
      </c>
      <c r="O73" s="328">
        <v>188888.88</v>
      </c>
      <c r="P73" s="330">
        <v>2549999.88</v>
      </c>
      <c r="Q73" s="328"/>
      <c r="R73" s="310"/>
    </row>
    <row r="74" spans="1:18">
      <c r="A74" s="296" t="s">
        <v>718</v>
      </c>
      <c r="B74" s="307" t="s">
        <v>744</v>
      </c>
      <c r="C74" s="347">
        <v>46244</v>
      </c>
      <c r="D74" s="299" t="s">
        <v>719</v>
      </c>
      <c r="E74" s="323">
        <v>46245</v>
      </c>
      <c r="F74" s="298" t="s">
        <v>774</v>
      </c>
      <c r="G74" s="336" t="s">
        <v>772</v>
      </c>
      <c r="H74" s="299" t="s">
        <v>819</v>
      </c>
      <c r="I74" s="298" t="s">
        <v>194</v>
      </c>
      <c r="J74" s="298" t="s">
        <v>720</v>
      </c>
      <c r="K74" s="322" t="s">
        <v>113</v>
      </c>
      <c r="L74" s="298">
        <v>1</v>
      </c>
      <c r="M74" s="310">
        <v>1203703.7</v>
      </c>
      <c r="N74" s="309">
        <v>1203703.7</v>
      </c>
      <c r="O74" s="309">
        <v>96296.296000000002</v>
      </c>
      <c r="P74" s="309">
        <v>1299999.996</v>
      </c>
      <c r="Q74" s="310"/>
      <c r="R74" s="310"/>
    </row>
    <row r="75" spans="1:18">
      <c r="A75" s="296" t="s">
        <v>718</v>
      </c>
      <c r="B75" s="307" t="s">
        <v>744</v>
      </c>
      <c r="C75" s="347">
        <v>46244</v>
      </c>
      <c r="D75" s="299" t="s">
        <v>719</v>
      </c>
      <c r="E75" s="323">
        <v>46245</v>
      </c>
      <c r="F75" s="298" t="s">
        <v>774</v>
      </c>
      <c r="G75" s="336" t="s">
        <v>772</v>
      </c>
      <c r="H75" s="299" t="s">
        <v>819</v>
      </c>
      <c r="I75" s="298" t="s">
        <v>58</v>
      </c>
      <c r="J75" s="298" t="s">
        <v>59</v>
      </c>
      <c r="K75" s="322" t="s">
        <v>113</v>
      </c>
      <c r="L75" s="298">
        <v>1</v>
      </c>
      <c r="M75" s="310">
        <v>1361111.11</v>
      </c>
      <c r="N75" s="309">
        <v>1361111.11</v>
      </c>
      <c r="O75" s="309">
        <v>108888.88880000002</v>
      </c>
      <c r="P75" s="309">
        <v>1469999.9988000002</v>
      </c>
      <c r="Q75" s="310"/>
      <c r="R75" s="310"/>
    </row>
    <row r="76" spans="1:18">
      <c r="A76" s="296" t="s">
        <v>718</v>
      </c>
      <c r="B76" s="307" t="s">
        <v>744</v>
      </c>
      <c r="C76" s="347">
        <v>46244</v>
      </c>
      <c r="D76" s="299" t="s">
        <v>719</v>
      </c>
      <c r="E76" s="323">
        <v>46245</v>
      </c>
      <c r="F76" s="298" t="s">
        <v>774</v>
      </c>
      <c r="G76" s="336" t="s">
        <v>772</v>
      </c>
      <c r="H76" s="299" t="s">
        <v>819</v>
      </c>
      <c r="I76" s="298" t="s">
        <v>83</v>
      </c>
      <c r="J76" s="298" t="s">
        <v>84</v>
      </c>
      <c r="K76" s="322" t="s">
        <v>113</v>
      </c>
      <c r="L76" s="298">
        <v>3</v>
      </c>
      <c r="M76" s="310">
        <v>1097222.22</v>
      </c>
      <c r="N76" s="309">
        <v>3291666.66</v>
      </c>
      <c r="O76" s="309">
        <v>263333.33280000003</v>
      </c>
      <c r="P76" s="309">
        <v>3554999.9928000001</v>
      </c>
      <c r="Q76" s="310"/>
      <c r="R76" s="310"/>
    </row>
    <row r="77" spans="1:18">
      <c r="A77" s="296" t="s">
        <v>718</v>
      </c>
      <c r="B77" s="307" t="s">
        <v>744</v>
      </c>
      <c r="C77" s="347">
        <v>46244</v>
      </c>
      <c r="D77" s="299" t="s">
        <v>719</v>
      </c>
      <c r="E77" s="323">
        <v>46245</v>
      </c>
      <c r="F77" s="298" t="s">
        <v>774</v>
      </c>
      <c r="G77" s="336" t="s">
        <v>772</v>
      </c>
      <c r="H77" s="299" t="s">
        <v>819</v>
      </c>
      <c r="I77" s="298" t="s">
        <v>56</v>
      </c>
      <c r="J77" s="298" t="s">
        <v>57</v>
      </c>
      <c r="K77" s="322" t="s">
        <v>113</v>
      </c>
      <c r="L77" s="298">
        <v>2</v>
      </c>
      <c r="M77" s="310">
        <v>325925.92</v>
      </c>
      <c r="N77" s="309">
        <v>651851.84</v>
      </c>
      <c r="O77" s="309">
        <v>52148.147199999999</v>
      </c>
      <c r="P77" s="309">
        <v>703999.98719999997</v>
      </c>
      <c r="Q77" s="310"/>
      <c r="R77" s="310"/>
    </row>
    <row r="78" spans="1:18">
      <c r="A78" s="490"/>
      <c r="B78" s="490"/>
      <c r="C78" s="490"/>
      <c r="D78" s="490"/>
      <c r="E78" s="490"/>
      <c r="F78" s="490"/>
      <c r="G78" s="490"/>
      <c r="H78" s="490"/>
      <c r="I78" s="490"/>
      <c r="J78" s="443"/>
      <c r="K78" s="490"/>
      <c r="L78" s="490"/>
      <c r="M78" s="490"/>
      <c r="N78" s="589">
        <f>SUM(N2:N77)</f>
        <v>210589815.16999999</v>
      </c>
      <c r="O78" s="589">
        <f>SUM(O2:O77)</f>
        <v>16847184.733600006</v>
      </c>
      <c r="P78" s="589">
        <f>SUM(P2:P77)</f>
        <v>227436999.90359998</v>
      </c>
      <c r="Q78" s="589">
        <f>SUM(Q2:Q77)</f>
        <v>50000000</v>
      </c>
      <c r="R78" s="589">
        <f>SUM(R2:R77)</f>
        <v>1580000</v>
      </c>
    </row>
    <row r="80" spans="1:18" ht="15.75" thickBot="1"/>
    <row r="81" spans="10:17">
      <c r="J81" s="601" t="s">
        <v>894</v>
      </c>
      <c r="K81" s="491">
        <f>P78</f>
        <v>227436999.90359998</v>
      </c>
      <c r="L81" s="452"/>
      <c r="M81" s="993" t="s">
        <v>900</v>
      </c>
      <c r="N81" s="994"/>
      <c r="O81" s="994"/>
      <c r="P81" s="994"/>
      <c r="Q81" s="994"/>
    </row>
    <row r="82" spans="10:17">
      <c r="J82" s="602" t="s">
        <v>895</v>
      </c>
      <c r="K82" s="492">
        <f>Q78</f>
        <v>50000000</v>
      </c>
      <c r="L82" s="452"/>
      <c r="M82" s="994"/>
      <c r="N82" s="994"/>
      <c r="O82" s="994"/>
      <c r="P82" s="994"/>
      <c r="Q82" s="994"/>
    </row>
    <row r="83" spans="10:17">
      <c r="J83" s="602" t="s">
        <v>896</v>
      </c>
      <c r="K83" s="492">
        <f>R78</f>
        <v>1580000</v>
      </c>
      <c r="L83" s="452"/>
      <c r="M83" s="994"/>
      <c r="N83" s="994"/>
      <c r="O83" s="994"/>
      <c r="P83" s="994"/>
      <c r="Q83" s="994"/>
    </row>
    <row r="84" spans="10:17">
      <c r="J84" s="602" t="s">
        <v>898</v>
      </c>
      <c r="K84" s="554">
        <f>K81-K82-K83</f>
        <v>175856999.90359998</v>
      </c>
      <c r="L84" s="452"/>
      <c r="M84" s="994"/>
      <c r="N84" s="994"/>
      <c r="O84" s="994"/>
      <c r="P84" s="994"/>
      <c r="Q84" s="994"/>
    </row>
    <row r="85" spans="10:17">
      <c r="J85" s="603"/>
      <c r="K85" s="452"/>
      <c r="L85" s="452"/>
      <c r="M85" s="994"/>
      <c r="N85" s="994"/>
      <c r="O85" s="994"/>
      <c r="P85" s="994"/>
      <c r="Q85" s="994"/>
    </row>
    <row r="86" spans="10:17">
      <c r="J86" s="603"/>
      <c r="K86" s="452"/>
      <c r="L86" s="452"/>
      <c r="M86" s="994"/>
      <c r="N86" s="994"/>
      <c r="O86" s="994"/>
      <c r="P86" s="994"/>
      <c r="Q86" s="994"/>
    </row>
    <row r="87" spans="10:17">
      <c r="J87" s="603"/>
      <c r="K87" s="452"/>
      <c r="L87" s="452"/>
      <c r="M87" s="994"/>
      <c r="N87" s="994"/>
      <c r="O87" s="994"/>
      <c r="P87" s="994"/>
      <c r="Q87" s="994"/>
    </row>
    <row r="88" spans="10:17">
      <c r="J88" s="603"/>
      <c r="K88" s="452"/>
      <c r="L88" s="452"/>
      <c r="M88" s="994"/>
      <c r="N88" s="994"/>
      <c r="O88" s="994"/>
      <c r="P88" s="994"/>
      <c r="Q88" s="994"/>
    </row>
    <row r="89" spans="10:17">
      <c r="J89" s="603"/>
      <c r="K89" s="452"/>
      <c r="L89" s="452"/>
      <c r="M89" s="994"/>
      <c r="N89" s="994"/>
      <c r="O89" s="994"/>
      <c r="P89" s="994"/>
      <c r="Q89" s="994"/>
    </row>
    <row r="90" spans="10:17">
      <c r="J90" s="603"/>
      <c r="K90" s="452"/>
      <c r="L90" s="452"/>
      <c r="M90" s="994"/>
      <c r="N90" s="994"/>
      <c r="O90" s="994"/>
      <c r="P90" s="994"/>
      <c r="Q90" s="994"/>
    </row>
  </sheetData>
  <autoFilter ref="A1:R1" xr:uid="{14122482-B483-47DB-8CC4-07BAA1836EBB}"/>
  <mergeCells count="1">
    <mergeCell ref="M81:Q90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440E-B248-4D59-A168-B4F5B53EE8BB}">
  <sheetPr>
    <tabColor rgb="FF00B050"/>
  </sheetPr>
  <dimension ref="A1:T96"/>
  <sheetViews>
    <sheetView topLeftCell="C1" workbookViewId="0">
      <pane ySplit="1" topLeftCell="A62" activePane="bottomLeft" state="frozen"/>
      <selection pane="bottomLeft" activeCell="K83" sqref="K83"/>
    </sheetView>
  </sheetViews>
  <sheetFormatPr defaultRowHeight="15"/>
  <cols>
    <col min="2" max="2" width="68.28515625" customWidth="1"/>
    <col min="3" max="3" width="11.5703125" style="725" bestFit="1" customWidth="1"/>
    <col min="4" max="4" width="15.42578125" bestFit="1" customWidth="1"/>
    <col min="5" max="5" width="13.42578125" bestFit="1" customWidth="1"/>
    <col min="7" max="7" width="12.85546875" bestFit="1" customWidth="1"/>
    <col min="8" max="8" width="30" customWidth="1"/>
    <col min="9" max="9" width="15.7109375" bestFit="1" customWidth="1"/>
    <col min="10" max="10" width="23.140625" customWidth="1"/>
    <col min="12" max="12" width="9.28515625" bestFit="1" customWidth="1"/>
    <col min="13" max="13" width="11.5703125" style="580" bestFit="1" customWidth="1"/>
    <col min="14" max="14" width="13.85546875" style="580" bestFit="1" customWidth="1"/>
    <col min="15" max="15" width="12.7109375" style="580" bestFit="1" customWidth="1"/>
    <col min="16" max="16" width="14" style="580" bestFit="1" customWidth="1"/>
    <col min="17" max="17" width="13.5703125" style="580" bestFit="1" customWidth="1"/>
    <col min="18" max="18" width="11.42578125" bestFit="1" customWidth="1"/>
    <col min="19" max="19" width="12.42578125" bestFit="1" customWidth="1"/>
  </cols>
  <sheetData>
    <row r="1" spans="1:20" ht="53.25">
      <c r="A1" s="473" t="s">
        <v>666</v>
      </c>
      <c r="B1" s="471" t="s">
        <v>916</v>
      </c>
      <c r="C1" s="471" t="s">
        <v>624</v>
      </c>
      <c r="D1" s="472" t="s">
        <v>636</v>
      </c>
      <c r="E1" s="471" t="s">
        <v>635</v>
      </c>
      <c r="F1" s="473" t="s">
        <v>637</v>
      </c>
      <c r="G1" s="473" t="s">
        <v>634</v>
      </c>
      <c r="H1" s="774" t="s">
        <v>625</v>
      </c>
      <c r="I1" s="473" t="s">
        <v>626</v>
      </c>
      <c r="J1" s="473" t="s">
        <v>627</v>
      </c>
      <c r="K1" s="775" t="s">
        <v>628</v>
      </c>
      <c r="L1" s="475" t="s">
        <v>629</v>
      </c>
      <c r="M1" s="776" t="s">
        <v>630</v>
      </c>
      <c r="N1" s="776" t="s">
        <v>631</v>
      </c>
      <c r="O1" s="776" t="s">
        <v>632</v>
      </c>
      <c r="P1" s="776" t="s">
        <v>917</v>
      </c>
      <c r="Q1" s="776" t="s">
        <v>918</v>
      </c>
      <c r="R1" s="550" t="s">
        <v>622</v>
      </c>
      <c r="S1" s="550" t="s">
        <v>623</v>
      </c>
      <c r="T1" s="527"/>
    </row>
    <row r="2" spans="1:20" ht="26.25">
      <c r="A2" s="528" t="s">
        <v>794</v>
      </c>
      <c r="B2" s="529" t="s">
        <v>804</v>
      </c>
      <c r="C2" s="777">
        <v>46035</v>
      </c>
      <c r="D2" s="531"/>
      <c r="E2" s="453" t="s">
        <v>305</v>
      </c>
      <c r="F2" s="532"/>
      <c r="G2" s="455" t="s">
        <v>306</v>
      </c>
      <c r="H2" s="534" t="s">
        <v>809</v>
      </c>
      <c r="I2" s="456" t="s">
        <v>308</v>
      </c>
      <c r="J2" s="459" t="s">
        <v>210</v>
      </c>
      <c r="K2" s="778"/>
      <c r="L2" s="458">
        <v>100</v>
      </c>
      <c r="M2" s="779">
        <v>324074.07</v>
      </c>
      <c r="N2" s="779">
        <v>32407407</v>
      </c>
      <c r="O2" s="779">
        <v>2592592.56</v>
      </c>
      <c r="P2" s="779">
        <v>34999999.560000002</v>
      </c>
      <c r="Q2" s="779"/>
      <c r="R2" s="536"/>
      <c r="S2" s="536"/>
      <c r="T2" s="527"/>
    </row>
    <row r="3" spans="1:20" ht="26.25">
      <c r="A3" s="528" t="s">
        <v>794</v>
      </c>
      <c r="B3" s="529" t="s">
        <v>804</v>
      </c>
      <c r="C3" s="777">
        <v>46035</v>
      </c>
      <c r="D3" s="531"/>
      <c r="E3" s="453" t="s">
        <v>305</v>
      </c>
      <c r="F3" s="532"/>
      <c r="G3" s="455" t="s">
        <v>306</v>
      </c>
      <c r="H3" s="534" t="s">
        <v>809</v>
      </c>
      <c r="I3" s="456" t="s">
        <v>309</v>
      </c>
      <c r="J3" s="459" t="s">
        <v>47</v>
      </c>
      <c r="K3" s="778"/>
      <c r="L3" s="458">
        <v>12</v>
      </c>
      <c r="M3" s="779">
        <v>194444.44</v>
      </c>
      <c r="N3" s="779">
        <v>2333333.2800000003</v>
      </c>
      <c r="O3" s="779">
        <v>186666.66240000003</v>
      </c>
      <c r="P3" s="779">
        <v>2519999.9424000001</v>
      </c>
      <c r="Q3" s="779"/>
      <c r="R3" s="536"/>
      <c r="S3" s="536"/>
      <c r="T3" s="527"/>
    </row>
    <row r="4" spans="1:20">
      <c r="A4" s="528" t="s">
        <v>794</v>
      </c>
      <c r="B4" s="529" t="s">
        <v>804</v>
      </c>
      <c r="C4" s="777">
        <v>46035</v>
      </c>
      <c r="D4" s="531"/>
      <c r="E4" s="453" t="s">
        <v>305</v>
      </c>
      <c r="F4" s="532"/>
      <c r="G4" s="455" t="s">
        <v>306</v>
      </c>
      <c r="H4" s="534" t="s">
        <v>809</v>
      </c>
      <c r="I4" s="456" t="s">
        <v>68</v>
      </c>
      <c r="J4" s="460" t="s">
        <v>69</v>
      </c>
      <c r="K4" s="778"/>
      <c r="L4" s="458">
        <v>12</v>
      </c>
      <c r="M4" s="779">
        <v>120370.37</v>
      </c>
      <c r="N4" s="779">
        <v>1444444.44</v>
      </c>
      <c r="O4" s="779">
        <v>115555.5552</v>
      </c>
      <c r="P4" s="779">
        <v>1559999.9952</v>
      </c>
      <c r="Q4" s="779"/>
      <c r="R4" s="536"/>
      <c r="S4" s="536"/>
      <c r="T4" s="527"/>
    </row>
    <row r="5" spans="1:20">
      <c r="A5" s="528" t="s">
        <v>794</v>
      </c>
      <c r="B5" s="529" t="s">
        <v>804</v>
      </c>
      <c r="C5" s="777">
        <v>46035</v>
      </c>
      <c r="D5" s="531"/>
      <c r="E5" s="453" t="s">
        <v>305</v>
      </c>
      <c r="F5" s="532"/>
      <c r="G5" s="455" t="s">
        <v>306</v>
      </c>
      <c r="H5" s="534" t="s">
        <v>809</v>
      </c>
      <c r="I5" s="458" t="s">
        <v>70</v>
      </c>
      <c r="J5" s="460" t="s">
        <v>71</v>
      </c>
      <c r="K5" s="778"/>
      <c r="L5" s="458">
        <v>12</v>
      </c>
      <c r="M5" s="779">
        <v>129629.63</v>
      </c>
      <c r="N5" s="779">
        <v>1555555.56</v>
      </c>
      <c r="O5" s="779">
        <v>124444.44480000001</v>
      </c>
      <c r="P5" s="779">
        <v>1680000.0048</v>
      </c>
      <c r="Q5" s="779"/>
      <c r="R5" s="536"/>
      <c r="S5" s="536"/>
      <c r="T5" s="527"/>
    </row>
    <row r="6" spans="1:20">
      <c r="A6" s="528" t="s">
        <v>794</v>
      </c>
      <c r="B6" s="529" t="s">
        <v>804</v>
      </c>
      <c r="C6" s="777">
        <v>46035</v>
      </c>
      <c r="D6" s="531"/>
      <c r="E6" s="453" t="s">
        <v>305</v>
      </c>
      <c r="F6" s="532"/>
      <c r="G6" s="455" t="s">
        <v>306</v>
      </c>
      <c r="H6" s="534" t="s">
        <v>809</v>
      </c>
      <c r="I6" s="456" t="s">
        <v>72</v>
      </c>
      <c r="J6" s="460" t="s">
        <v>73</v>
      </c>
      <c r="K6" s="778"/>
      <c r="L6" s="458">
        <v>12</v>
      </c>
      <c r="M6" s="779">
        <v>138888.89000000001</v>
      </c>
      <c r="N6" s="779">
        <v>1666666.6800000002</v>
      </c>
      <c r="O6" s="779">
        <v>133333.33440000002</v>
      </c>
      <c r="P6" s="779">
        <v>1800000.0144000002</v>
      </c>
      <c r="Q6" s="779"/>
      <c r="R6" s="536"/>
      <c r="S6" s="536"/>
      <c r="T6" s="527"/>
    </row>
    <row r="7" spans="1:20">
      <c r="A7" s="528" t="s">
        <v>794</v>
      </c>
      <c r="B7" s="529" t="s">
        <v>804</v>
      </c>
      <c r="C7" s="777">
        <v>46035</v>
      </c>
      <c r="D7" s="531"/>
      <c r="E7" s="461" t="s">
        <v>310</v>
      </c>
      <c r="F7" s="532"/>
      <c r="G7" s="462" t="s">
        <v>311</v>
      </c>
      <c r="H7" s="534" t="s">
        <v>809</v>
      </c>
      <c r="I7" s="468" t="s">
        <v>74</v>
      </c>
      <c r="J7" s="464" t="s">
        <v>312</v>
      </c>
      <c r="K7" s="778"/>
      <c r="L7" s="463">
        <v>8</v>
      </c>
      <c r="M7" s="780">
        <v>361111.11</v>
      </c>
      <c r="N7" s="780">
        <v>2888888.88</v>
      </c>
      <c r="O7" s="780">
        <v>231111.11040000001</v>
      </c>
      <c r="P7" s="780">
        <v>3119999.9904</v>
      </c>
      <c r="Q7" s="780"/>
      <c r="R7" s="536"/>
      <c r="S7" s="536"/>
      <c r="T7" s="527"/>
    </row>
    <row r="8" spans="1:20">
      <c r="A8" s="528" t="s">
        <v>794</v>
      </c>
      <c r="B8" s="529" t="s">
        <v>804</v>
      </c>
      <c r="C8" s="777">
        <v>46035</v>
      </c>
      <c r="D8" s="531"/>
      <c r="E8" s="461">
        <v>46115</v>
      </c>
      <c r="F8" s="532"/>
      <c r="G8" s="462" t="s">
        <v>313</v>
      </c>
      <c r="H8" s="534" t="s">
        <v>809</v>
      </c>
      <c r="I8" s="463" t="s">
        <v>50</v>
      </c>
      <c r="J8" s="464" t="s">
        <v>314</v>
      </c>
      <c r="K8" s="778"/>
      <c r="L8" s="463">
        <v>6</v>
      </c>
      <c r="M8" s="780">
        <v>937963</v>
      </c>
      <c r="N8" s="780">
        <v>5627778</v>
      </c>
      <c r="O8" s="780">
        <v>450222.24</v>
      </c>
      <c r="P8" s="780">
        <v>6078000.2400000002</v>
      </c>
      <c r="Q8" s="780"/>
      <c r="R8" s="536"/>
      <c r="S8" s="536"/>
      <c r="T8" s="527"/>
    </row>
    <row r="9" spans="1:20">
      <c r="A9" s="528" t="s">
        <v>794</v>
      </c>
      <c r="B9" s="529" t="s">
        <v>804</v>
      </c>
      <c r="C9" s="777">
        <v>46035</v>
      </c>
      <c r="D9" s="531"/>
      <c r="E9" s="461">
        <v>46115</v>
      </c>
      <c r="F9" s="532"/>
      <c r="G9" s="462" t="s">
        <v>313</v>
      </c>
      <c r="H9" s="534" t="s">
        <v>809</v>
      </c>
      <c r="I9" s="468" t="s">
        <v>52</v>
      </c>
      <c r="J9" s="464" t="s">
        <v>228</v>
      </c>
      <c r="K9" s="778"/>
      <c r="L9" s="463">
        <v>6</v>
      </c>
      <c r="M9" s="780">
        <v>1007407.4</v>
      </c>
      <c r="N9" s="780">
        <v>6044444.4000000004</v>
      </c>
      <c r="O9" s="780">
        <v>483555.55200000003</v>
      </c>
      <c r="P9" s="780">
        <v>6527999.9520000005</v>
      </c>
      <c r="Q9" s="780"/>
      <c r="R9" s="536"/>
      <c r="S9" s="536"/>
      <c r="T9" s="527"/>
    </row>
    <row r="10" spans="1:20" ht="26.25">
      <c r="A10" s="528" t="s">
        <v>794</v>
      </c>
      <c r="B10" s="529" t="s">
        <v>804</v>
      </c>
      <c r="C10" s="777">
        <v>46035</v>
      </c>
      <c r="D10" s="531"/>
      <c r="E10" s="461" t="s">
        <v>310</v>
      </c>
      <c r="F10" s="532"/>
      <c r="G10" s="462" t="s">
        <v>311</v>
      </c>
      <c r="H10" s="534" t="s">
        <v>862</v>
      </c>
      <c r="I10" s="468" t="s">
        <v>62</v>
      </c>
      <c r="J10" s="465" t="s">
        <v>234</v>
      </c>
      <c r="K10" s="778"/>
      <c r="L10" s="463">
        <v>12</v>
      </c>
      <c r="M10" s="780"/>
      <c r="N10" s="780"/>
      <c r="O10" s="780"/>
      <c r="P10" s="780"/>
      <c r="Q10" s="780"/>
      <c r="R10" s="536"/>
      <c r="S10" s="536"/>
      <c r="T10" s="527"/>
    </row>
    <row r="11" spans="1:20" s="686" customFormat="1">
      <c r="A11" s="781" t="s">
        <v>794</v>
      </c>
      <c r="B11" s="529" t="s">
        <v>804</v>
      </c>
      <c r="C11" s="782">
        <v>46038</v>
      </c>
      <c r="D11" s="783"/>
      <c r="E11" s="461"/>
      <c r="F11" s="784"/>
      <c r="G11" s="541" t="s">
        <v>316</v>
      </c>
      <c r="H11" s="547" t="s">
        <v>919</v>
      </c>
      <c r="I11" s="463"/>
      <c r="J11" s="464"/>
      <c r="K11" s="785"/>
      <c r="L11" s="463"/>
      <c r="M11" s="780"/>
      <c r="N11" s="780"/>
      <c r="O11" s="780"/>
      <c r="P11" s="780"/>
      <c r="Q11" s="780">
        <v>20000000</v>
      </c>
      <c r="R11" s="786"/>
      <c r="S11" s="786"/>
      <c r="T11" s="787"/>
    </row>
    <row r="12" spans="1:20" s="686" customFormat="1">
      <c r="A12" s="781" t="s">
        <v>794</v>
      </c>
      <c r="B12" s="529" t="s">
        <v>804</v>
      </c>
      <c r="C12" s="782">
        <v>46043</v>
      </c>
      <c r="D12" s="783"/>
      <c r="E12" s="461">
        <v>46084</v>
      </c>
      <c r="F12" s="784"/>
      <c r="G12" s="462" t="s">
        <v>319</v>
      </c>
      <c r="H12" s="547" t="s">
        <v>809</v>
      </c>
      <c r="I12" s="468" t="s">
        <v>77</v>
      </c>
      <c r="J12" s="464" t="s">
        <v>320</v>
      </c>
      <c r="K12" s="785"/>
      <c r="L12" s="463">
        <v>120</v>
      </c>
      <c r="M12" s="780">
        <v>324074.08</v>
      </c>
      <c r="N12" s="780">
        <v>38888889.600000001</v>
      </c>
      <c r="O12" s="780">
        <v>3111111.1680000001</v>
      </c>
      <c r="P12" s="780">
        <v>42000000.767999999</v>
      </c>
      <c r="Q12" s="780"/>
      <c r="R12" s="786"/>
      <c r="S12" s="786"/>
      <c r="T12" s="787"/>
    </row>
    <row r="13" spans="1:20" s="686" customFormat="1">
      <c r="A13" s="781" t="s">
        <v>794</v>
      </c>
      <c r="B13" s="529" t="s">
        <v>804</v>
      </c>
      <c r="C13" s="782">
        <v>46044</v>
      </c>
      <c r="D13" s="783"/>
      <c r="E13" s="461"/>
      <c r="F13" s="784"/>
      <c r="G13" s="541" t="s">
        <v>322</v>
      </c>
      <c r="H13" s="547" t="s">
        <v>919</v>
      </c>
      <c r="I13" s="463"/>
      <c r="J13" s="464"/>
      <c r="K13" s="785"/>
      <c r="L13" s="463"/>
      <c r="M13" s="780"/>
      <c r="N13" s="780">
        <v>0</v>
      </c>
      <c r="O13" s="780">
        <v>0</v>
      </c>
      <c r="P13" s="780">
        <v>0</v>
      </c>
      <c r="Q13" s="780">
        <v>22560000</v>
      </c>
      <c r="R13" s="786"/>
      <c r="S13" s="786"/>
      <c r="T13" s="787"/>
    </row>
    <row r="14" spans="1:20" ht="39">
      <c r="A14" s="528" t="s">
        <v>794</v>
      </c>
      <c r="B14" s="529" t="s">
        <v>804</v>
      </c>
      <c r="C14" s="777">
        <v>46056</v>
      </c>
      <c r="D14" s="531"/>
      <c r="E14" s="453">
        <v>46084</v>
      </c>
      <c r="F14" s="532"/>
      <c r="G14" s="455" t="s">
        <v>319</v>
      </c>
      <c r="H14" s="534" t="s">
        <v>809</v>
      </c>
      <c r="I14" s="458" t="s">
        <v>180</v>
      </c>
      <c r="J14" s="459" t="s">
        <v>323</v>
      </c>
      <c r="K14" s="778"/>
      <c r="L14" s="458">
        <v>30</v>
      </c>
      <c r="M14" s="779">
        <v>234259.25</v>
      </c>
      <c r="N14" s="779">
        <v>7027777.5</v>
      </c>
      <c r="O14" s="779">
        <v>562222.20000000007</v>
      </c>
      <c r="P14" s="779">
        <v>7589999.7000000002</v>
      </c>
      <c r="Q14" s="788"/>
      <c r="R14" s="536"/>
      <c r="S14" s="536"/>
      <c r="T14" s="527"/>
    </row>
    <row r="15" spans="1:20" ht="39">
      <c r="A15" s="528" t="s">
        <v>794</v>
      </c>
      <c r="B15" s="529" t="s">
        <v>804</v>
      </c>
      <c r="C15" s="777">
        <v>46056</v>
      </c>
      <c r="D15" s="531"/>
      <c r="E15" s="453">
        <v>46084</v>
      </c>
      <c r="F15" s="532"/>
      <c r="G15" s="455" t="s">
        <v>319</v>
      </c>
      <c r="H15" s="534" t="s">
        <v>809</v>
      </c>
      <c r="I15" s="458" t="s">
        <v>26</v>
      </c>
      <c r="J15" s="459" t="s">
        <v>324</v>
      </c>
      <c r="K15" s="778"/>
      <c r="L15" s="458">
        <v>30</v>
      </c>
      <c r="M15" s="779">
        <v>256481.48</v>
      </c>
      <c r="N15" s="779">
        <v>7694444.4000000004</v>
      </c>
      <c r="O15" s="779">
        <v>615555.55200000003</v>
      </c>
      <c r="P15" s="779">
        <v>8309999.9520000005</v>
      </c>
      <c r="Q15" s="788"/>
      <c r="R15" s="536"/>
      <c r="S15" s="536"/>
      <c r="T15" s="527"/>
    </row>
    <row r="16" spans="1:20" ht="39">
      <c r="A16" s="528" t="s">
        <v>794</v>
      </c>
      <c r="B16" s="529" t="s">
        <v>804</v>
      </c>
      <c r="C16" s="777">
        <v>46056</v>
      </c>
      <c r="D16" s="531"/>
      <c r="E16" s="453">
        <v>46084</v>
      </c>
      <c r="F16" s="532"/>
      <c r="G16" s="455" t="s">
        <v>319</v>
      </c>
      <c r="H16" s="534" t="s">
        <v>809</v>
      </c>
      <c r="I16" s="458" t="s">
        <v>28</v>
      </c>
      <c r="J16" s="459" t="s">
        <v>325</v>
      </c>
      <c r="K16" s="778"/>
      <c r="L16" s="458">
        <v>40</v>
      </c>
      <c r="M16" s="779">
        <v>281481.48</v>
      </c>
      <c r="N16" s="779">
        <v>11259259.199999999</v>
      </c>
      <c r="O16" s="779">
        <v>900740.73599999992</v>
      </c>
      <c r="P16" s="779">
        <v>12159999.935999999</v>
      </c>
      <c r="Q16" s="788"/>
      <c r="R16" s="536"/>
      <c r="S16" s="536"/>
      <c r="T16" s="527"/>
    </row>
    <row r="17" spans="1:20" ht="39">
      <c r="A17" s="528" t="s">
        <v>794</v>
      </c>
      <c r="B17" s="529" t="s">
        <v>804</v>
      </c>
      <c r="C17" s="777">
        <v>46056</v>
      </c>
      <c r="D17" s="531"/>
      <c r="E17" s="453">
        <v>46084</v>
      </c>
      <c r="F17" s="532"/>
      <c r="G17" s="455" t="s">
        <v>319</v>
      </c>
      <c r="H17" s="534" t="s">
        <v>809</v>
      </c>
      <c r="I17" s="458" t="s">
        <v>60</v>
      </c>
      <c r="J17" s="459" t="s">
        <v>223</v>
      </c>
      <c r="K17" s="778"/>
      <c r="L17" s="458">
        <v>20</v>
      </c>
      <c r="M17" s="779">
        <v>1138888.8799999999</v>
      </c>
      <c r="N17" s="779">
        <v>22777777.599999998</v>
      </c>
      <c r="O17" s="779">
        <v>1822222.2079999999</v>
      </c>
      <c r="P17" s="779">
        <v>24599999.807999998</v>
      </c>
      <c r="Q17" s="788"/>
      <c r="R17" s="536"/>
      <c r="S17" s="536"/>
      <c r="T17" s="527"/>
    </row>
    <row r="18" spans="1:20">
      <c r="A18" s="528" t="s">
        <v>794</v>
      </c>
      <c r="B18" s="529" t="s">
        <v>804</v>
      </c>
      <c r="C18" s="777">
        <v>46056</v>
      </c>
      <c r="D18" s="531"/>
      <c r="E18" s="453">
        <v>46084</v>
      </c>
      <c r="F18" s="532"/>
      <c r="G18" s="455" t="s">
        <v>319</v>
      </c>
      <c r="H18" s="534" t="s">
        <v>809</v>
      </c>
      <c r="I18" s="458" t="s">
        <v>54</v>
      </c>
      <c r="J18" s="460" t="s">
        <v>229</v>
      </c>
      <c r="K18" s="778"/>
      <c r="L18" s="458">
        <v>12</v>
      </c>
      <c r="M18" s="779">
        <v>324074.07</v>
      </c>
      <c r="N18" s="779">
        <v>3888888.84</v>
      </c>
      <c r="O18" s="779">
        <v>311111.10719999997</v>
      </c>
      <c r="P18" s="779">
        <v>4199999.9472000003</v>
      </c>
      <c r="Q18" s="788"/>
      <c r="R18" s="536"/>
      <c r="S18" s="536"/>
      <c r="T18" s="527"/>
    </row>
    <row r="19" spans="1:20" ht="39">
      <c r="A19" s="528" t="s">
        <v>794</v>
      </c>
      <c r="B19" s="529" t="s">
        <v>804</v>
      </c>
      <c r="C19" s="777">
        <v>46056</v>
      </c>
      <c r="D19" s="531"/>
      <c r="E19" s="453">
        <v>46084</v>
      </c>
      <c r="F19" s="532"/>
      <c r="G19" s="455" t="s">
        <v>319</v>
      </c>
      <c r="H19" s="534" t="s">
        <v>809</v>
      </c>
      <c r="I19" s="458" t="s">
        <v>56</v>
      </c>
      <c r="J19" s="459" t="s">
        <v>218</v>
      </c>
      <c r="K19" s="778"/>
      <c r="L19" s="458">
        <v>12</v>
      </c>
      <c r="M19" s="779">
        <v>325925.92</v>
      </c>
      <c r="N19" s="779">
        <v>3911111.04</v>
      </c>
      <c r="O19" s="779">
        <v>312888.88319999998</v>
      </c>
      <c r="P19" s="779">
        <v>4223999.9232000001</v>
      </c>
      <c r="Q19" s="788"/>
      <c r="R19" s="536"/>
      <c r="S19" s="536"/>
      <c r="T19" s="527"/>
    </row>
    <row r="20" spans="1:20">
      <c r="A20" s="528" t="s">
        <v>794</v>
      </c>
      <c r="B20" s="529" t="s">
        <v>804</v>
      </c>
      <c r="C20" s="777">
        <v>46056</v>
      </c>
      <c r="D20" s="531"/>
      <c r="E20" s="453">
        <v>46084</v>
      </c>
      <c r="F20" s="532"/>
      <c r="G20" s="455" t="s">
        <v>319</v>
      </c>
      <c r="H20" s="534" t="s">
        <v>809</v>
      </c>
      <c r="I20" s="458" t="s">
        <v>107</v>
      </c>
      <c r="J20" s="460" t="s">
        <v>108</v>
      </c>
      <c r="K20" s="778"/>
      <c r="L20" s="458">
        <v>12</v>
      </c>
      <c r="M20" s="779">
        <v>312037.03000000003</v>
      </c>
      <c r="N20" s="779">
        <v>3744444.3600000003</v>
      </c>
      <c r="O20" s="779">
        <v>299555.54880000005</v>
      </c>
      <c r="P20" s="779">
        <v>4043999.9088000003</v>
      </c>
      <c r="Q20" s="788"/>
      <c r="R20" s="536"/>
      <c r="S20" s="536"/>
      <c r="T20" s="527"/>
    </row>
    <row r="21" spans="1:20" ht="26.25">
      <c r="A21" s="528" t="s">
        <v>794</v>
      </c>
      <c r="B21" s="529" t="s">
        <v>804</v>
      </c>
      <c r="C21" s="782">
        <v>46056</v>
      </c>
      <c r="D21" s="531"/>
      <c r="E21" s="461" t="s">
        <v>310</v>
      </c>
      <c r="F21" s="784"/>
      <c r="G21" s="462" t="s">
        <v>311</v>
      </c>
      <c r="H21" s="534" t="s">
        <v>809</v>
      </c>
      <c r="I21" s="468" t="s">
        <v>326</v>
      </c>
      <c r="J21" s="464" t="s">
        <v>141</v>
      </c>
      <c r="K21" s="778"/>
      <c r="L21" s="463">
        <v>32</v>
      </c>
      <c r="M21" s="780">
        <v>361111.11</v>
      </c>
      <c r="N21" s="780">
        <v>11555555.52</v>
      </c>
      <c r="O21" s="780">
        <v>924444.44160000002</v>
      </c>
      <c r="P21" s="780">
        <v>12479999.9616</v>
      </c>
      <c r="Q21" s="780"/>
      <c r="R21" s="536"/>
      <c r="S21" s="536"/>
      <c r="T21" s="527"/>
    </row>
    <row r="22" spans="1:20" ht="39">
      <c r="A22" s="528" t="s">
        <v>794</v>
      </c>
      <c r="B22" s="529" t="s">
        <v>804</v>
      </c>
      <c r="C22" s="782">
        <v>46056</v>
      </c>
      <c r="D22" s="531"/>
      <c r="E22" s="461" t="s">
        <v>310</v>
      </c>
      <c r="F22" s="784"/>
      <c r="G22" s="462" t="s">
        <v>311</v>
      </c>
      <c r="H22" s="534" t="s">
        <v>809</v>
      </c>
      <c r="I22" s="463" t="s">
        <v>83</v>
      </c>
      <c r="J22" s="465" t="s">
        <v>240</v>
      </c>
      <c r="K22" s="778"/>
      <c r="L22" s="463">
        <v>24</v>
      </c>
      <c r="M22" s="780">
        <v>1097222.22</v>
      </c>
      <c r="N22" s="780">
        <v>26333333.280000001</v>
      </c>
      <c r="O22" s="780">
        <v>2106666.6624000003</v>
      </c>
      <c r="P22" s="780">
        <v>28439999.942400001</v>
      </c>
      <c r="Q22" s="789"/>
      <c r="R22" s="536"/>
      <c r="S22" s="536"/>
      <c r="T22" s="527"/>
    </row>
    <row r="23" spans="1:20" s="686" customFormat="1">
      <c r="A23" s="781" t="s">
        <v>794</v>
      </c>
      <c r="B23" s="529" t="s">
        <v>804</v>
      </c>
      <c r="C23" s="782">
        <v>46093</v>
      </c>
      <c r="D23" s="783"/>
      <c r="E23" s="461"/>
      <c r="F23" s="784"/>
      <c r="G23" s="463"/>
      <c r="H23" s="547" t="s">
        <v>919</v>
      </c>
      <c r="I23" s="468"/>
      <c r="J23" s="464"/>
      <c r="K23" s="785"/>
      <c r="L23" s="463"/>
      <c r="M23" s="780"/>
      <c r="N23" s="780"/>
      <c r="O23" s="780"/>
      <c r="P23" s="780"/>
      <c r="Q23" s="780">
        <v>35000000</v>
      </c>
      <c r="R23" s="786"/>
      <c r="S23" s="786"/>
      <c r="T23" s="787"/>
    </row>
    <row r="24" spans="1:20" ht="39">
      <c r="A24" s="528" t="s">
        <v>794</v>
      </c>
      <c r="B24" s="529" t="s">
        <v>804</v>
      </c>
      <c r="C24" s="782">
        <v>46093</v>
      </c>
      <c r="D24" s="531"/>
      <c r="E24" s="461" t="s">
        <v>310</v>
      </c>
      <c r="F24" s="532"/>
      <c r="G24" s="462" t="s">
        <v>311</v>
      </c>
      <c r="H24" s="534" t="s">
        <v>809</v>
      </c>
      <c r="I24" s="463" t="s">
        <v>180</v>
      </c>
      <c r="J24" s="465" t="s">
        <v>323</v>
      </c>
      <c r="K24" s="778"/>
      <c r="L24" s="463">
        <v>50</v>
      </c>
      <c r="M24" s="780">
        <v>234259.25</v>
      </c>
      <c r="N24" s="780">
        <v>11712962.5</v>
      </c>
      <c r="O24" s="780">
        <v>937037</v>
      </c>
      <c r="P24" s="780">
        <v>12649999.5</v>
      </c>
      <c r="Q24" s="780"/>
      <c r="R24" s="536"/>
      <c r="S24" s="536"/>
      <c r="T24" s="527"/>
    </row>
    <row r="25" spans="1:20" ht="39">
      <c r="A25" s="528" t="s">
        <v>794</v>
      </c>
      <c r="B25" s="529" t="s">
        <v>804</v>
      </c>
      <c r="C25" s="782">
        <v>46093</v>
      </c>
      <c r="D25" s="531"/>
      <c r="E25" s="461" t="s">
        <v>310</v>
      </c>
      <c r="F25" s="532"/>
      <c r="G25" s="462" t="s">
        <v>311</v>
      </c>
      <c r="H25" s="534" t="s">
        <v>809</v>
      </c>
      <c r="I25" s="463" t="s">
        <v>26</v>
      </c>
      <c r="J25" s="465" t="s">
        <v>324</v>
      </c>
      <c r="K25" s="778"/>
      <c r="L25" s="463">
        <v>50</v>
      </c>
      <c r="M25" s="780">
        <v>256481.48</v>
      </c>
      <c r="N25" s="780">
        <v>12824074</v>
      </c>
      <c r="O25" s="780">
        <v>1025925.92</v>
      </c>
      <c r="P25" s="780">
        <v>13849999.92</v>
      </c>
      <c r="Q25" s="780"/>
      <c r="R25" s="536"/>
      <c r="S25" s="536"/>
      <c r="T25" s="527"/>
    </row>
    <row r="26" spans="1:20" ht="39">
      <c r="A26" s="528" t="s">
        <v>794</v>
      </c>
      <c r="B26" s="529" t="s">
        <v>804</v>
      </c>
      <c r="C26" s="782">
        <v>46093</v>
      </c>
      <c r="D26" s="531"/>
      <c r="E26" s="461" t="s">
        <v>310</v>
      </c>
      <c r="F26" s="532"/>
      <c r="G26" s="462" t="s">
        <v>311</v>
      </c>
      <c r="H26" s="534" t="s">
        <v>809</v>
      </c>
      <c r="I26" s="463" t="s">
        <v>28</v>
      </c>
      <c r="J26" s="465" t="s">
        <v>325</v>
      </c>
      <c r="K26" s="778"/>
      <c r="L26" s="463">
        <v>100</v>
      </c>
      <c r="M26" s="780">
        <v>281481.48</v>
      </c>
      <c r="N26" s="780">
        <v>28148148</v>
      </c>
      <c r="O26" s="780">
        <v>2251851.84</v>
      </c>
      <c r="P26" s="780">
        <v>30399999.84</v>
      </c>
      <c r="Q26" s="780"/>
      <c r="R26" s="536"/>
      <c r="S26" s="536"/>
      <c r="T26" s="527"/>
    </row>
    <row r="27" spans="1:20" ht="39">
      <c r="A27" s="528" t="s">
        <v>794</v>
      </c>
      <c r="B27" s="529" t="s">
        <v>804</v>
      </c>
      <c r="C27" s="782">
        <v>46093</v>
      </c>
      <c r="D27" s="531"/>
      <c r="E27" s="461" t="s">
        <v>310</v>
      </c>
      <c r="F27" s="532"/>
      <c r="G27" s="462" t="s">
        <v>311</v>
      </c>
      <c r="H27" s="534" t="s">
        <v>809</v>
      </c>
      <c r="I27" s="463" t="s">
        <v>60</v>
      </c>
      <c r="J27" s="465" t="s">
        <v>223</v>
      </c>
      <c r="K27" s="778"/>
      <c r="L27" s="463">
        <v>16</v>
      </c>
      <c r="M27" s="780">
        <v>1138888.8799999999</v>
      </c>
      <c r="N27" s="780">
        <v>18222222.079999998</v>
      </c>
      <c r="O27" s="780">
        <v>1457777.7663999998</v>
      </c>
      <c r="P27" s="780">
        <v>19679999.846399996</v>
      </c>
      <c r="Q27" s="780"/>
      <c r="R27" s="536"/>
      <c r="S27" s="536"/>
      <c r="T27" s="527"/>
    </row>
    <row r="28" spans="1:20" ht="39">
      <c r="A28" s="528" t="s">
        <v>794</v>
      </c>
      <c r="B28" s="529" t="s">
        <v>804</v>
      </c>
      <c r="C28" s="782">
        <v>46093</v>
      </c>
      <c r="D28" s="531"/>
      <c r="E28" s="461" t="s">
        <v>310</v>
      </c>
      <c r="F28" s="532"/>
      <c r="G28" s="462" t="s">
        <v>311</v>
      </c>
      <c r="H28" s="534" t="s">
        <v>809</v>
      </c>
      <c r="I28" s="463" t="s">
        <v>16</v>
      </c>
      <c r="J28" s="465" t="s">
        <v>224</v>
      </c>
      <c r="K28" s="778"/>
      <c r="L28" s="463">
        <v>8</v>
      </c>
      <c r="M28" s="780">
        <v>851851.85</v>
      </c>
      <c r="N28" s="780">
        <v>6814814.7999999998</v>
      </c>
      <c r="O28" s="780">
        <v>545185.18400000001</v>
      </c>
      <c r="P28" s="780">
        <v>7359999.9840000002</v>
      </c>
      <c r="Q28" s="780"/>
      <c r="R28" s="536"/>
      <c r="S28" s="536"/>
      <c r="T28" s="527"/>
    </row>
    <row r="29" spans="1:20" ht="26.25">
      <c r="A29" s="528" t="s">
        <v>794</v>
      </c>
      <c r="B29" s="529" t="s">
        <v>804</v>
      </c>
      <c r="C29" s="782">
        <v>46093</v>
      </c>
      <c r="D29" s="531"/>
      <c r="E29" s="461" t="s">
        <v>310</v>
      </c>
      <c r="F29" s="532"/>
      <c r="G29" s="462" t="s">
        <v>311</v>
      </c>
      <c r="H29" s="534" t="s">
        <v>809</v>
      </c>
      <c r="I29" s="468" t="s">
        <v>326</v>
      </c>
      <c r="J29" s="464" t="s">
        <v>141</v>
      </c>
      <c r="K29" s="778"/>
      <c r="L29" s="463">
        <v>40</v>
      </c>
      <c r="M29" s="780">
        <v>361111.11</v>
      </c>
      <c r="N29" s="780">
        <v>14444444.399999999</v>
      </c>
      <c r="O29" s="780">
        <v>1155555.5519999999</v>
      </c>
      <c r="P29" s="780">
        <v>15599999.951999998</v>
      </c>
      <c r="Q29" s="780"/>
      <c r="R29" s="536"/>
      <c r="S29" s="536"/>
      <c r="T29" s="527"/>
    </row>
    <row r="30" spans="1:20" ht="39">
      <c r="A30" s="528" t="s">
        <v>794</v>
      </c>
      <c r="B30" s="529" t="s">
        <v>804</v>
      </c>
      <c r="C30" s="782">
        <v>46093</v>
      </c>
      <c r="D30" s="531"/>
      <c r="E30" s="461" t="s">
        <v>310</v>
      </c>
      <c r="F30" s="784"/>
      <c r="G30" s="462" t="s">
        <v>311</v>
      </c>
      <c r="H30" s="534" t="s">
        <v>809</v>
      </c>
      <c r="I30" s="463" t="s">
        <v>83</v>
      </c>
      <c r="J30" s="465" t="s">
        <v>240</v>
      </c>
      <c r="K30" s="778"/>
      <c r="L30" s="463">
        <v>4</v>
      </c>
      <c r="M30" s="780">
        <v>1097222.22</v>
      </c>
      <c r="N30" s="780">
        <v>4388888.88</v>
      </c>
      <c r="O30" s="780">
        <v>351111.11040000001</v>
      </c>
      <c r="P30" s="780">
        <v>4739999.9903999995</v>
      </c>
      <c r="Q30" s="789"/>
      <c r="R30" s="536"/>
      <c r="S30" s="536"/>
      <c r="T30" s="527"/>
    </row>
    <row r="31" spans="1:20" s="686" customFormat="1">
      <c r="A31" s="781" t="s">
        <v>794</v>
      </c>
      <c r="B31" s="529" t="s">
        <v>804</v>
      </c>
      <c r="C31" s="782">
        <v>46123</v>
      </c>
      <c r="D31" s="783"/>
      <c r="E31" s="461"/>
      <c r="F31" s="784"/>
      <c r="G31" s="463"/>
      <c r="H31" s="547" t="s">
        <v>919</v>
      </c>
      <c r="I31" s="468"/>
      <c r="J31" s="464"/>
      <c r="K31" s="785"/>
      <c r="L31" s="463"/>
      <c r="M31" s="780"/>
      <c r="N31" s="780"/>
      <c r="O31" s="780"/>
      <c r="P31" s="780"/>
      <c r="Q31" s="780">
        <v>100000000</v>
      </c>
      <c r="R31" s="786"/>
      <c r="S31" s="786"/>
      <c r="T31" s="787"/>
    </row>
    <row r="32" spans="1:20" ht="26.25">
      <c r="A32" s="528" t="s">
        <v>794</v>
      </c>
      <c r="B32" s="529" t="s">
        <v>804</v>
      </c>
      <c r="C32" s="782">
        <v>46140</v>
      </c>
      <c r="D32" s="531"/>
      <c r="E32" s="461">
        <v>46117</v>
      </c>
      <c r="F32" s="784"/>
      <c r="G32" s="462" t="s">
        <v>328</v>
      </c>
      <c r="H32" s="534" t="s">
        <v>809</v>
      </c>
      <c r="I32" s="468" t="s">
        <v>62</v>
      </c>
      <c r="J32" s="465" t="s">
        <v>234</v>
      </c>
      <c r="K32" s="778"/>
      <c r="L32" s="463">
        <v>50</v>
      </c>
      <c r="M32" s="780">
        <v>81730.759999999995</v>
      </c>
      <c r="N32" s="780">
        <v>4086537.9999999995</v>
      </c>
      <c r="O32" s="780">
        <v>326923.03999999998</v>
      </c>
      <c r="P32" s="780">
        <v>4413461.0399999991</v>
      </c>
      <c r="Q32" s="780"/>
      <c r="R32" s="536"/>
      <c r="S32" s="536"/>
      <c r="T32" s="527"/>
    </row>
    <row r="33" spans="1:20" ht="39">
      <c r="A33" s="528" t="s">
        <v>794</v>
      </c>
      <c r="B33" s="529" t="s">
        <v>804</v>
      </c>
      <c r="C33" s="782">
        <v>46140</v>
      </c>
      <c r="D33" s="531"/>
      <c r="E33" s="461">
        <v>46117</v>
      </c>
      <c r="F33" s="784"/>
      <c r="G33" s="462" t="s">
        <v>328</v>
      </c>
      <c r="H33" s="534" t="s">
        <v>809</v>
      </c>
      <c r="I33" s="463" t="s">
        <v>180</v>
      </c>
      <c r="J33" s="465" t="s">
        <v>323</v>
      </c>
      <c r="K33" s="778"/>
      <c r="L33" s="463">
        <v>30</v>
      </c>
      <c r="M33" s="780">
        <v>234259.25</v>
      </c>
      <c r="N33" s="780">
        <v>7027777.5</v>
      </c>
      <c r="O33" s="780">
        <v>562222.20000000007</v>
      </c>
      <c r="P33" s="780">
        <v>7589999.7000000002</v>
      </c>
      <c r="Q33" s="780"/>
      <c r="R33" s="536"/>
      <c r="S33" s="536"/>
      <c r="T33" s="527"/>
    </row>
    <row r="34" spans="1:20" ht="39">
      <c r="A34" s="528" t="s">
        <v>794</v>
      </c>
      <c r="B34" s="529" t="s">
        <v>804</v>
      </c>
      <c r="C34" s="782">
        <v>46140</v>
      </c>
      <c r="D34" s="531"/>
      <c r="E34" s="461">
        <v>46117</v>
      </c>
      <c r="F34" s="784"/>
      <c r="G34" s="462" t="s">
        <v>328</v>
      </c>
      <c r="H34" s="534" t="s">
        <v>809</v>
      </c>
      <c r="I34" s="463" t="s">
        <v>26</v>
      </c>
      <c r="J34" s="465" t="s">
        <v>324</v>
      </c>
      <c r="K34" s="778"/>
      <c r="L34" s="463">
        <v>80</v>
      </c>
      <c r="M34" s="780">
        <v>256481.48</v>
      </c>
      <c r="N34" s="780">
        <v>20518518.400000002</v>
      </c>
      <c r="O34" s="780">
        <v>1641481.4720000003</v>
      </c>
      <c r="P34" s="780">
        <v>22159999.872000001</v>
      </c>
      <c r="Q34" s="780"/>
      <c r="R34" s="536"/>
      <c r="S34" s="536"/>
      <c r="T34" s="527"/>
    </row>
    <row r="35" spans="1:20" ht="39">
      <c r="A35" s="528" t="s">
        <v>794</v>
      </c>
      <c r="B35" s="529" t="s">
        <v>804</v>
      </c>
      <c r="C35" s="782">
        <v>46140</v>
      </c>
      <c r="D35" s="531"/>
      <c r="E35" s="461">
        <v>46117</v>
      </c>
      <c r="F35" s="784"/>
      <c r="G35" s="462" t="s">
        <v>328</v>
      </c>
      <c r="H35" s="534" t="s">
        <v>809</v>
      </c>
      <c r="I35" s="463" t="s">
        <v>28</v>
      </c>
      <c r="J35" s="465" t="s">
        <v>325</v>
      </c>
      <c r="K35" s="778"/>
      <c r="L35" s="463">
        <v>160</v>
      </c>
      <c r="M35" s="780">
        <v>281481.48</v>
      </c>
      <c r="N35" s="780">
        <v>45037036.799999997</v>
      </c>
      <c r="O35" s="780">
        <v>3602962.9439999997</v>
      </c>
      <c r="P35" s="780">
        <v>48639999.743999995</v>
      </c>
      <c r="Q35" s="780"/>
      <c r="R35" s="536"/>
      <c r="S35" s="536"/>
      <c r="T35" s="527"/>
    </row>
    <row r="36" spans="1:20">
      <c r="A36" s="528" t="s">
        <v>794</v>
      </c>
      <c r="B36" s="529" t="s">
        <v>804</v>
      </c>
      <c r="C36" s="782">
        <v>46140</v>
      </c>
      <c r="D36" s="531"/>
      <c r="E36" s="461">
        <v>46117</v>
      </c>
      <c r="F36" s="784"/>
      <c r="G36" s="462" t="s">
        <v>328</v>
      </c>
      <c r="H36" s="534" t="s">
        <v>809</v>
      </c>
      <c r="I36" s="468" t="s">
        <v>54</v>
      </c>
      <c r="J36" s="464" t="s">
        <v>329</v>
      </c>
      <c r="K36" s="778"/>
      <c r="L36" s="463">
        <v>36</v>
      </c>
      <c r="M36" s="780">
        <v>324074.07</v>
      </c>
      <c r="N36" s="780">
        <v>11666666.52</v>
      </c>
      <c r="O36" s="780">
        <v>933333.32160000002</v>
      </c>
      <c r="P36" s="780">
        <v>12599999.841599999</v>
      </c>
      <c r="Q36" s="780"/>
      <c r="R36" s="536"/>
      <c r="S36" s="536"/>
      <c r="T36" s="527"/>
    </row>
    <row r="37" spans="1:20">
      <c r="A37" s="528" t="s">
        <v>794</v>
      </c>
      <c r="B37" s="529" t="s">
        <v>804</v>
      </c>
      <c r="C37" s="782">
        <v>46140</v>
      </c>
      <c r="D37" s="531"/>
      <c r="E37" s="461">
        <v>46117</v>
      </c>
      <c r="F37" s="784"/>
      <c r="G37" s="462" t="s">
        <v>328</v>
      </c>
      <c r="H37" s="534" t="s">
        <v>809</v>
      </c>
      <c r="I37" s="468" t="s">
        <v>56</v>
      </c>
      <c r="J37" s="464" t="s">
        <v>330</v>
      </c>
      <c r="K37" s="778"/>
      <c r="L37" s="463">
        <v>120</v>
      </c>
      <c r="M37" s="780">
        <v>325925.92</v>
      </c>
      <c r="N37" s="780">
        <v>39111110.399999999</v>
      </c>
      <c r="O37" s="780">
        <v>3128888.8319999999</v>
      </c>
      <c r="P37" s="780">
        <v>42239999.232000001</v>
      </c>
      <c r="Q37" s="780"/>
      <c r="R37" s="536"/>
      <c r="S37" s="536"/>
      <c r="T37" s="527"/>
    </row>
    <row r="38" spans="1:20" ht="26.25">
      <c r="A38" s="528" t="s">
        <v>794</v>
      </c>
      <c r="B38" s="529" t="s">
        <v>804</v>
      </c>
      <c r="C38" s="782">
        <v>46140</v>
      </c>
      <c r="D38" s="531"/>
      <c r="E38" s="461">
        <v>46117</v>
      </c>
      <c r="F38" s="784"/>
      <c r="G38" s="462" t="s">
        <v>328</v>
      </c>
      <c r="H38" s="534" t="s">
        <v>809</v>
      </c>
      <c r="I38" s="468" t="s">
        <v>326</v>
      </c>
      <c r="J38" s="464" t="s">
        <v>141</v>
      </c>
      <c r="K38" s="778"/>
      <c r="L38" s="463">
        <v>200</v>
      </c>
      <c r="M38" s="780">
        <v>361111.11</v>
      </c>
      <c r="N38" s="780">
        <v>72222222</v>
      </c>
      <c r="O38" s="780">
        <v>5777777.7599999998</v>
      </c>
      <c r="P38" s="780">
        <v>77999999.760000005</v>
      </c>
      <c r="Q38" s="780"/>
      <c r="R38" s="536"/>
      <c r="S38" s="536"/>
      <c r="T38" s="527"/>
    </row>
    <row r="39" spans="1:20" ht="39">
      <c r="A39" s="528" t="s">
        <v>794</v>
      </c>
      <c r="B39" s="529" t="s">
        <v>804</v>
      </c>
      <c r="C39" s="782">
        <v>46140</v>
      </c>
      <c r="D39" s="531"/>
      <c r="E39" s="461" t="s">
        <v>331</v>
      </c>
      <c r="F39" s="784"/>
      <c r="G39" s="462" t="s">
        <v>332</v>
      </c>
      <c r="H39" s="534" t="s">
        <v>809</v>
      </c>
      <c r="I39" s="463" t="s">
        <v>243</v>
      </c>
      <c r="J39" s="465" t="s">
        <v>333</v>
      </c>
      <c r="K39" s="778"/>
      <c r="L39" s="463">
        <v>220</v>
      </c>
      <c r="M39" s="780">
        <v>298148.14</v>
      </c>
      <c r="N39" s="780">
        <v>65592590.800000004</v>
      </c>
      <c r="O39" s="780">
        <v>5247407.2640000004</v>
      </c>
      <c r="P39" s="780">
        <v>70839998.06400001</v>
      </c>
      <c r="Q39" s="780"/>
      <c r="R39" s="536"/>
      <c r="S39" s="536"/>
      <c r="T39" s="527"/>
    </row>
    <row r="40" spans="1:20" ht="39">
      <c r="A40" s="528" t="s">
        <v>794</v>
      </c>
      <c r="B40" s="529" t="s">
        <v>804</v>
      </c>
      <c r="C40" s="782">
        <v>46161</v>
      </c>
      <c r="D40" s="531"/>
      <c r="E40" s="461" t="s">
        <v>331</v>
      </c>
      <c r="F40" s="784"/>
      <c r="G40" s="462" t="s">
        <v>332</v>
      </c>
      <c r="H40" s="534" t="s">
        <v>809</v>
      </c>
      <c r="I40" s="463" t="s">
        <v>243</v>
      </c>
      <c r="J40" s="465" t="s">
        <v>333</v>
      </c>
      <c r="K40" s="778"/>
      <c r="L40" s="463">
        <v>10</v>
      </c>
      <c r="M40" s="780">
        <v>298148.14</v>
      </c>
      <c r="N40" s="780">
        <v>2981481.4000000004</v>
      </c>
      <c r="O40" s="780">
        <v>238518.51200000005</v>
      </c>
      <c r="P40" s="780">
        <v>3219999.9120000005</v>
      </c>
      <c r="Q40" s="780"/>
      <c r="R40" s="536"/>
      <c r="S40" s="536"/>
      <c r="T40" s="527"/>
    </row>
    <row r="41" spans="1:20">
      <c r="A41" s="528" t="s">
        <v>794</v>
      </c>
      <c r="B41" s="529" t="s">
        <v>804</v>
      </c>
      <c r="C41" s="782"/>
      <c r="D41" s="531"/>
      <c r="E41" s="461"/>
      <c r="F41" s="784"/>
      <c r="G41" s="462"/>
      <c r="H41" s="534" t="s">
        <v>864</v>
      </c>
      <c r="I41" s="463"/>
      <c r="J41" s="465"/>
      <c r="K41" s="778"/>
      <c r="L41" s="463"/>
      <c r="M41" s="780"/>
      <c r="N41" s="780"/>
      <c r="O41" s="780"/>
      <c r="P41" s="780"/>
      <c r="Q41" s="780"/>
      <c r="R41" s="532"/>
      <c r="S41" s="536">
        <v>15000943.658327997</v>
      </c>
      <c r="T41" s="527"/>
    </row>
    <row r="42" spans="1:20" s="686" customFormat="1">
      <c r="A42" s="781" t="s">
        <v>794</v>
      </c>
      <c r="B42" s="529" t="s">
        <v>804</v>
      </c>
      <c r="C42" s="782">
        <v>46153</v>
      </c>
      <c r="D42" s="783"/>
      <c r="E42" s="461"/>
      <c r="F42" s="784"/>
      <c r="G42" s="463"/>
      <c r="H42" s="547" t="s">
        <v>919</v>
      </c>
      <c r="I42" s="468"/>
      <c r="J42" s="464"/>
      <c r="K42" s="785"/>
      <c r="L42" s="463"/>
      <c r="M42" s="780"/>
      <c r="N42" s="780"/>
      <c r="O42" s="780"/>
      <c r="P42" s="780"/>
      <c r="Q42" s="780">
        <v>100000000</v>
      </c>
      <c r="R42" s="786"/>
      <c r="S42" s="786"/>
      <c r="T42" s="787"/>
    </row>
    <row r="43" spans="1:20">
      <c r="A43" s="528" t="s">
        <v>794</v>
      </c>
      <c r="B43" s="529" t="s">
        <v>804</v>
      </c>
      <c r="C43" s="782">
        <v>46178</v>
      </c>
      <c r="D43" s="531"/>
      <c r="E43" s="461"/>
      <c r="F43" s="784"/>
      <c r="G43" s="463"/>
      <c r="H43" s="534" t="s">
        <v>809</v>
      </c>
      <c r="I43" s="466" t="s">
        <v>85</v>
      </c>
      <c r="J43" s="790" t="s">
        <v>86</v>
      </c>
      <c r="K43" s="778"/>
      <c r="L43" s="467">
        <v>100</v>
      </c>
      <c r="M43" s="791">
        <v>509259.26</v>
      </c>
      <c r="N43" s="791">
        <v>50925926</v>
      </c>
      <c r="O43" s="791">
        <v>4074074.08</v>
      </c>
      <c r="P43" s="791">
        <v>55000000.079999998</v>
      </c>
      <c r="Q43" s="780"/>
      <c r="R43" s="536"/>
      <c r="S43" s="536"/>
      <c r="T43" s="527"/>
    </row>
    <row r="44" spans="1:20" s="686" customFormat="1">
      <c r="A44" s="781" t="s">
        <v>794</v>
      </c>
      <c r="B44" s="529" t="s">
        <v>804</v>
      </c>
      <c r="C44" s="782">
        <v>46190</v>
      </c>
      <c r="D44" s="783"/>
      <c r="E44" s="461"/>
      <c r="F44" s="784"/>
      <c r="G44" s="463"/>
      <c r="H44" s="547" t="s">
        <v>919</v>
      </c>
      <c r="I44" s="468"/>
      <c r="J44" s="464"/>
      <c r="K44" s="785"/>
      <c r="L44" s="463"/>
      <c r="M44" s="780"/>
      <c r="N44" s="780"/>
      <c r="O44" s="780"/>
      <c r="P44" s="780"/>
      <c r="Q44" s="780">
        <v>100000000</v>
      </c>
      <c r="R44" s="786"/>
      <c r="S44" s="786"/>
      <c r="T44" s="787"/>
    </row>
    <row r="45" spans="1:20">
      <c r="A45" s="528" t="s">
        <v>794</v>
      </c>
      <c r="B45" s="529" t="s">
        <v>804</v>
      </c>
      <c r="C45" s="782">
        <v>46196</v>
      </c>
      <c r="D45" s="531"/>
      <c r="E45" s="461" t="s">
        <v>89</v>
      </c>
      <c r="F45" s="784"/>
      <c r="G45" s="462" t="s">
        <v>832</v>
      </c>
      <c r="H45" s="534" t="s">
        <v>809</v>
      </c>
      <c r="I45" s="468" t="s">
        <v>80</v>
      </c>
      <c r="J45" s="465" t="s">
        <v>81</v>
      </c>
      <c r="K45" s="778"/>
      <c r="L45" s="463">
        <v>10</v>
      </c>
      <c r="M45" s="780">
        <v>824074.07</v>
      </c>
      <c r="N45" s="780">
        <v>8240740.6999999993</v>
      </c>
      <c r="O45" s="780">
        <v>659259.25599999994</v>
      </c>
      <c r="P45" s="780">
        <v>8899999.9559999984</v>
      </c>
      <c r="Q45" s="780"/>
      <c r="R45" s="536"/>
      <c r="S45" s="536"/>
      <c r="T45" s="527"/>
    </row>
    <row r="46" spans="1:20" ht="26.25">
      <c r="A46" s="528" t="s">
        <v>794</v>
      </c>
      <c r="B46" s="529" t="s">
        <v>804</v>
      </c>
      <c r="C46" s="782">
        <v>46196</v>
      </c>
      <c r="D46" s="531"/>
      <c r="E46" s="461" t="s">
        <v>89</v>
      </c>
      <c r="F46" s="784"/>
      <c r="G46" s="462" t="s">
        <v>832</v>
      </c>
      <c r="H46" s="534" t="s">
        <v>809</v>
      </c>
      <c r="I46" s="468" t="s">
        <v>21</v>
      </c>
      <c r="J46" s="465" t="s">
        <v>338</v>
      </c>
      <c r="K46" s="778"/>
      <c r="L46" s="463">
        <v>10</v>
      </c>
      <c r="M46" s="780">
        <v>937963.96</v>
      </c>
      <c r="N46" s="780">
        <v>9379639.5999999996</v>
      </c>
      <c r="O46" s="780">
        <v>750371.16799999995</v>
      </c>
      <c r="P46" s="780">
        <v>10130010.767999999</v>
      </c>
      <c r="Q46" s="780"/>
      <c r="R46" s="536"/>
      <c r="S46" s="536"/>
      <c r="T46" s="527"/>
    </row>
    <row r="47" spans="1:20" ht="26.25">
      <c r="A47" s="528" t="s">
        <v>794</v>
      </c>
      <c r="B47" s="529" t="s">
        <v>804</v>
      </c>
      <c r="C47" s="782">
        <v>46196</v>
      </c>
      <c r="D47" s="531"/>
      <c r="E47" s="461"/>
      <c r="F47" s="784"/>
      <c r="G47" s="462"/>
      <c r="H47" s="534" t="s">
        <v>809</v>
      </c>
      <c r="I47" s="466" t="s">
        <v>96</v>
      </c>
      <c r="J47" s="792" t="s">
        <v>97</v>
      </c>
      <c r="K47" s="778"/>
      <c r="L47" s="467">
        <v>10</v>
      </c>
      <c r="M47" s="791">
        <v>574074.06999999995</v>
      </c>
      <c r="N47" s="791">
        <v>5740740.6999999993</v>
      </c>
      <c r="O47" s="791">
        <v>459259.25599999994</v>
      </c>
      <c r="P47" s="791">
        <v>6199999.9559999993</v>
      </c>
      <c r="Q47" s="780"/>
      <c r="R47" s="536"/>
      <c r="S47" s="536"/>
      <c r="T47" s="527"/>
    </row>
    <row r="48" spans="1:20" ht="26.25">
      <c r="A48" s="528" t="s">
        <v>794</v>
      </c>
      <c r="B48" s="529" t="s">
        <v>804</v>
      </c>
      <c r="C48" s="782">
        <v>46196</v>
      </c>
      <c r="D48" s="531"/>
      <c r="E48" s="461" t="s">
        <v>264</v>
      </c>
      <c r="F48" s="784"/>
      <c r="G48" s="462" t="s">
        <v>833</v>
      </c>
      <c r="H48" s="534" t="s">
        <v>809</v>
      </c>
      <c r="I48" s="466" t="s">
        <v>98</v>
      </c>
      <c r="J48" s="792" t="s">
        <v>99</v>
      </c>
      <c r="K48" s="778"/>
      <c r="L48" s="467">
        <v>100</v>
      </c>
      <c r="M48" s="791">
        <v>694444.44</v>
      </c>
      <c r="N48" s="791">
        <v>69444444</v>
      </c>
      <c r="O48" s="791">
        <v>5555555.5200000005</v>
      </c>
      <c r="P48" s="791">
        <v>74999999.519999996</v>
      </c>
      <c r="Q48" s="780"/>
      <c r="R48" s="536"/>
      <c r="S48" s="536"/>
      <c r="T48" s="527"/>
    </row>
    <row r="49" spans="1:20" s="686" customFormat="1">
      <c r="A49" s="781" t="s">
        <v>794</v>
      </c>
      <c r="B49" s="529" t="s">
        <v>804</v>
      </c>
      <c r="C49" s="782">
        <v>46233</v>
      </c>
      <c r="D49" s="783"/>
      <c r="E49" s="461"/>
      <c r="F49" s="784"/>
      <c r="G49" s="463"/>
      <c r="H49" s="547" t="s">
        <v>919</v>
      </c>
      <c r="I49" s="468"/>
      <c r="J49" s="464"/>
      <c r="K49" s="785"/>
      <c r="L49" s="463"/>
      <c r="M49" s="780"/>
      <c r="N49" s="780"/>
      <c r="O49" s="780"/>
      <c r="P49" s="780"/>
      <c r="Q49" s="780">
        <v>100000000</v>
      </c>
      <c r="R49" s="786"/>
      <c r="S49" s="786"/>
      <c r="T49" s="787"/>
    </row>
    <row r="50" spans="1:20">
      <c r="A50" s="528" t="s">
        <v>794</v>
      </c>
      <c r="B50" s="529" t="s">
        <v>804</v>
      </c>
      <c r="C50" s="782">
        <v>46233</v>
      </c>
      <c r="D50" s="531"/>
      <c r="E50" s="461">
        <v>46150</v>
      </c>
      <c r="F50" s="784"/>
      <c r="G50" s="462" t="s">
        <v>834</v>
      </c>
      <c r="H50" s="534" t="s">
        <v>809</v>
      </c>
      <c r="I50" s="468" t="s">
        <v>204</v>
      </c>
      <c r="J50" s="465" t="s">
        <v>269</v>
      </c>
      <c r="K50" s="778"/>
      <c r="L50" s="463">
        <v>20</v>
      </c>
      <c r="M50" s="780">
        <v>480555.55</v>
      </c>
      <c r="N50" s="780">
        <v>9611111</v>
      </c>
      <c r="O50" s="780">
        <v>768888.88</v>
      </c>
      <c r="P50" s="780">
        <v>10379999.880000001</v>
      </c>
      <c r="Q50" s="780"/>
      <c r="R50" s="536"/>
      <c r="S50" s="536"/>
      <c r="T50" s="527"/>
    </row>
    <row r="51" spans="1:20">
      <c r="A51" s="528" t="s">
        <v>794</v>
      </c>
      <c r="B51" s="529" t="s">
        <v>804</v>
      </c>
      <c r="C51" s="782">
        <v>46233</v>
      </c>
      <c r="D51" s="531"/>
      <c r="E51" s="461">
        <v>46150</v>
      </c>
      <c r="F51" s="784"/>
      <c r="G51" s="462" t="s">
        <v>834</v>
      </c>
      <c r="H51" s="534" t="s">
        <v>809</v>
      </c>
      <c r="I51" s="468" t="s">
        <v>206</v>
      </c>
      <c r="J51" s="465" t="s">
        <v>835</v>
      </c>
      <c r="K51" s="778"/>
      <c r="L51" s="463">
        <v>20</v>
      </c>
      <c r="M51" s="780">
        <v>483333.33</v>
      </c>
      <c r="N51" s="780">
        <v>9666666.5999999996</v>
      </c>
      <c r="O51" s="780">
        <v>773333.32799999998</v>
      </c>
      <c r="P51" s="780">
        <v>10439999.927999999</v>
      </c>
      <c r="Q51" s="780"/>
      <c r="R51" s="536"/>
      <c r="S51" s="536"/>
      <c r="T51" s="527"/>
    </row>
    <row r="52" spans="1:20" ht="26.25">
      <c r="A52" s="528" t="s">
        <v>794</v>
      </c>
      <c r="B52" s="529" t="s">
        <v>804</v>
      </c>
      <c r="C52" s="782">
        <v>46233</v>
      </c>
      <c r="D52" s="531"/>
      <c r="E52" s="461">
        <v>46150</v>
      </c>
      <c r="F52" s="784"/>
      <c r="G52" s="462" t="s">
        <v>834</v>
      </c>
      <c r="H52" s="534" t="s">
        <v>809</v>
      </c>
      <c r="I52" s="468" t="s">
        <v>308</v>
      </c>
      <c r="J52" s="465" t="s">
        <v>320</v>
      </c>
      <c r="K52" s="778"/>
      <c r="L52" s="463">
        <v>40</v>
      </c>
      <c r="M52" s="780">
        <v>324074.07</v>
      </c>
      <c r="N52" s="780">
        <v>12962962.800000001</v>
      </c>
      <c r="O52" s="780">
        <v>1037037.0240000001</v>
      </c>
      <c r="P52" s="780">
        <v>13999999.824000001</v>
      </c>
      <c r="Q52" s="780"/>
      <c r="R52" s="536"/>
      <c r="S52" s="536"/>
      <c r="T52" s="527"/>
    </row>
    <row r="53" spans="1:20">
      <c r="A53" s="528" t="s">
        <v>794</v>
      </c>
      <c r="B53" s="529" t="s">
        <v>804</v>
      </c>
      <c r="C53" s="782">
        <v>46233</v>
      </c>
      <c r="D53" s="531"/>
      <c r="E53" s="461">
        <v>46150</v>
      </c>
      <c r="F53" s="784"/>
      <c r="G53" s="462" t="s">
        <v>834</v>
      </c>
      <c r="H53" s="534" t="s">
        <v>809</v>
      </c>
      <c r="I53" s="468" t="s">
        <v>90</v>
      </c>
      <c r="J53" s="465" t="s">
        <v>91</v>
      </c>
      <c r="K53" s="778"/>
      <c r="L53" s="463">
        <v>10</v>
      </c>
      <c r="M53" s="780">
        <v>814814.81</v>
      </c>
      <c r="N53" s="780">
        <v>8148148.1000000006</v>
      </c>
      <c r="O53" s="780">
        <v>651851.84800000011</v>
      </c>
      <c r="P53" s="780">
        <v>8799999.9480000008</v>
      </c>
      <c r="Q53" s="780"/>
      <c r="R53" s="536"/>
      <c r="S53" s="536"/>
      <c r="T53" s="527"/>
    </row>
    <row r="54" spans="1:20">
      <c r="A54" s="528" t="s">
        <v>794</v>
      </c>
      <c r="B54" s="529" t="s">
        <v>804</v>
      </c>
      <c r="C54" s="782">
        <v>46233</v>
      </c>
      <c r="D54" s="531"/>
      <c r="E54" s="461"/>
      <c r="F54" s="784"/>
      <c r="G54" s="462"/>
      <c r="H54" s="534" t="s">
        <v>809</v>
      </c>
      <c r="I54" s="463" t="s">
        <v>641</v>
      </c>
      <c r="J54" s="465" t="s">
        <v>657</v>
      </c>
      <c r="K54" s="778"/>
      <c r="L54" s="793">
        <v>1</v>
      </c>
      <c r="M54" s="780">
        <v>644444.43999999994</v>
      </c>
      <c r="N54" s="780">
        <v>644444.43999999994</v>
      </c>
      <c r="O54" s="780">
        <v>51555.555199999995</v>
      </c>
      <c r="P54" s="780">
        <v>695999.99519999989</v>
      </c>
      <c r="Q54" s="780"/>
      <c r="R54" s="536"/>
      <c r="S54" s="536"/>
      <c r="T54" s="527"/>
    </row>
    <row r="55" spans="1:20">
      <c r="A55" s="528" t="s">
        <v>794</v>
      </c>
      <c r="B55" s="529" t="s">
        <v>804</v>
      </c>
      <c r="C55" s="782">
        <v>46233</v>
      </c>
      <c r="D55" s="531"/>
      <c r="E55" s="461"/>
      <c r="F55" s="784"/>
      <c r="G55" s="462"/>
      <c r="H55" s="534" t="s">
        <v>809</v>
      </c>
      <c r="I55" s="463" t="s">
        <v>645</v>
      </c>
      <c r="J55" s="465" t="s">
        <v>646</v>
      </c>
      <c r="K55" s="778"/>
      <c r="L55" s="793">
        <v>120</v>
      </c>
      <c r="M55" s="780">
        <v>629629.63</v>
      </c>
      <c r="N55" s="780">
        <v>75555555.599999994</v>
      </c>
      <c r="O55" s="780">
        <v>6044444.4479999999</v>
      </c>
      <c r="P55" s="780">
        <v>81600000.047999993</v>
      </c>
      <c r="Q55" s="780"/>
      <c r="R55" s="536"/>
      <c r="S55" s="536"/>
      <c r="T55" s="527"/>
    </row>
    <row r="56" spans="1:20">
      <c r="A56" s="528" t="s">
        <v>794</v>
      </c>
      <c r="B56" s="529" t="s">
        <v>804</v>
      </c>
      <c r="C56" s="782">
        <v>46233</v>
      </c>
      <c r="D56" s="531"/>
      <c r="E56" s="461"/>
      <c r="F56" s="784"/>
      <c r="G56" s="462"/>
      <c r="H56" s="534" t="s">
        <v>809</v>
      </c>
      <c r="I56" s="463" t="s">
        <v>651</v>
      </c>
      <c r="J56" s="465" t="s">
        <v>652</v>
      </c>
      <c r="K56" s="778"/>
      <c r="L56" s="793">
        <v>1</v>
      </c>
      <c r="M56" s="780">
        <v>694444.44</v>
      </c>
      <c r="N56" s="780">
        <v>694444.44</v>
      </c>
      <c r="O56" s="780">
        <v>55555.555199999995</v>
      </c>
      <c r="P56" s="780">
        <v>749999.99519999989</v>
      </c>
      <c r="Q56" s="780"/>
      <c r="R56" s="536"/>
      <c r="S56" s="536"/>
      <c r="T56" s="527"/>
    </row>
    <row r="57" spans="1:20">
      <c r="A57" s="528" t="s">
        <v>794</v>
      </c>
      <c r="B57" s="529" t="s">
        <v>804</v>
      </c>
      <c r="C57" s="782">
        <v>46233</v>
      </c>
      <c r="D57" s="531"/>
      <c r="E57" s="461"/>
      <c r="F57" s="784"/>
      <c r="G57" s="462"/>
      <c r="H57" s="534" t="s">
        <v>809</v>
      </c>
      <c r="I57" s="463" t="s">
        <v>655</v>
      </c>
      <c r="J57" s="465" t="s">
        <v>656</v>
      </c>
      <c r="K57" s="778"/>
      <c r="L57" s="793">
        <v>1</v>
      </c>
      <c r="M57" s="780">
        <v>574074.06999999995</v>
      </c>
      <c r="N57" s="780">
        <v>574074.06999999995</v>
      </c>
      <c r="O57" s="780">
        <v>45925.925599999995</v>
      </c>
      <c r="P57" s="780">
        <v>619999.99559999991</v>
      </c>
      <c r="Q57" s="780"/>
      <c r="R57" s="536"/>
      <c r="S57" s="536"/>
      <c r="T57" s="527"/>
    </row>
    <row r="58" spans="1:20">
      <c r="A58" s="528" t="s">
        <v>794</v>
      </c>
      <c r="B58" s="529" t="s">
        <v>804</v>
      </c>
      <c r="C58" s="782">
        <v>46233</v>
      </c>
      <c r="D58" s="531"/>
      <c r="E58" s="461"/>
      <c r="F58" s="784"/>
      <c r="G58" s="462"/>
      <c r="H58" s="534" t="s">
        <v>809</v>
      </c>
      <c r="I58" s="463" t="s">
        <v>645</v>
      </c>
      <c r="J58" s="465" t="s">
        <v>646</v>
      </c>
      <c r="K58" s="778"/>
      <c r="L58" s="793">
        <v>12</v>
      </c>
      <c r="M58" s="780">
        <v>0</v>
      </c>
      <c r="N58" s="780">
        <v>0</v>
      </c>
      <c r="O58" s="780">
        <v>0</v>
      </c>
      <c r="P58" s="780">
        <v>0</v>
      </c>
      <c r="Q58" s="780"/>
      <c r="R58" s="536"/>
      <c r="S58" s="536"/>
      <c r="T58" s="527"/>
    </row>
    <row r="59" spans="1:20" ht="26.25">
      <c r="A59" s="528" t="s">
        <v>794</v>
      </c>
      <c r="B59" s="529" t="s">
        <v>804</v>
      </c>
      <c r="C59" s="794">
        <v>46251</v>
      </c>
      <c r="D59" s="795" t="s">
        <v>795</v>
      </c>
      <c r="E59" s="461"/>
      <c r="F59" s="538"/>
      <c r="G59" s="462"/>
      <c r="H59" s="534" t="s">
        <v>809</v>
      </c>
      <c r="I59" s="538" t="s">
        <v>655</v>
      </c>
      <c r="J59" s="796" t="s">
        <v>656</v>
      </c>
      <c r="K59" s="797" t="s">
        <v>18</v>
      </c>
      <c r="L59" s="451">
        <v>30</v>
      </c>
      <c r="M59" s="726">
        <v>574074.06999999995</v>
      </c>
      <c r="N59" s="726">
        <v>17222222.099999998</v>
      </c>
      <c r="O59" s="798">
        <v>1377777.7679999999</v>
      </c>
      <c r="P59" s="798">
        <v>18599999.867999997</v>
      </c>
      <c r="Q59" s="799"/>
      <c r="R59" s="539"/>
      <c r="S59" s="539"/>
      <c r="T59" s="527"/>
    </row>
    <row r="60" spans="1:20">
      <c r="A60" s="528" t="s">
        <v>794</v>
      </c>
      <c r="B60" s="529" t="s">
        <v>804</v>
      </c>
      <c r="C60" s="794">
        <v>46251</v>
      </c>
      <c r="D60" s="795" t="s">
        <v>795</v>
      </c>
      <c r="E60" s="461">
        <v>46259</v>
      </c>
      <c r="F60" s="538" t="s">
        <v>935</v>
      </c>
      <c r="G60" s="462" t="s">
        <v>936</v>
      </c>
      <c r="H60" s="534" t="s">
        <v>809</v>
      </c>
      <c r="I60" s="538" t="s">
        <v>90</v>
      </c>
      <c r="J60" s="796" t="s">
        <v>91</v>
      </c>
      <c r="K60" s="797" t="s">
        <v>18</v>
      </c>
      <c r="L60" s="451">
        <v>10</v>
      </c>
      <c r="M60" s="726">
        <v>814814.81</v>
      </c>
      <c r="N60" s="726">
        <v>8148148.1000000006</v>
      </c>
      <c r="O60" s="798">
        <v>651851.84800000011</v>
      </c>
      <c r="P60" s="798">
        <v>8799999.9480000008</v>
      </c>
      <c r="Q60" s="799"/>
      <c r="R60" s="539"/>
      <c r="S60" s="539"/>
      <c r="T60" s="527"/>
    </row>
    <row r="61" spans="1:20">
      <c r="A61" s="528" t="s">
        <v>794</v>
      </c>
      <c r="B61" s="529" t="s">
        <v>804</v>
      </c>
      <c r="C61" s="794">
        <v>46251</v>
      </c>
      <c r="D61" s="795" t="s">
        <v>795</v>
      </c>
      <c r="E61" s="461"/>
      <c r="F61" s="538"/>
      <c r="G61" s="462"/>
      <c r="H61" s="534" t="s">
        <v>809</v>
      </c>
      <c r="I61" s="538" t="s">
        <v>796</v>
      </c>
      <c r="J61" s="796" t="s">
        <v>797</v>
      </c>
      <c r="K61" s="797" t="s">
        <v>18</v>
      </c>
      <c r="L61" s="451">
        <v>50</v>
      </c>
      <c r="M61" s="726">
        <v>292592.59000000003</v>
      </c>
      <c r="N61" s="726">
        <v>14629629.500000002</v>
      </c>
      <c r="O61" s="798">
        <v>1170370.3600000001</v>
      </c>
      <c r="P61" s="798">
        <v>15799999.860000001</v>
      </c>
      <c r="Q61" s="799"/>
      <c r="R61" s="539"/>
      <c r="S61" s="539"/>
      <c r="T61" s="527"/>
    </row>
    <row r="62" spans="1:20">
      <c r="A62" s="528" t="s">
        <v>794</v>
      </c>
      <c r="B62" s="529" t="s">
        <v>804</v>
      </c>
      <c r="C62" s="794">
        <v>46251</v>
      </c>
      <c r="D62" s="795" t="s">
        <v>795</v>
      </c>
      <c r="E62" s="461"/>
      <c r="F62" s="538"/>
      <c r="G62" s="462"/>
      <c r="H62" s="534" t="s">
        <v>809</v>
      </c>
      <c r="I62" s="538" t="s">
        <v>798</v>
      </c>
      <c r="J62" s="796" t="s">
        <v>799</v>
      </c>
      <c r="K62" s="797" t="s">
        <v>18</v>
      </c>
      <c r="L62" s="451">
        <v>50</v>
      </c>
      <c r="M62" s="726">
        <v>231481.48</v>
      </c>
      <c r="N62" s="726">
        <v>11574074</v>
      </c>
      <c r="O62" s="798">
        <v>925925.92</v>
      </c>
      <c r="P62" s="798">
        <v>12499999.92</v>
      </c>
      <c r="Q62" s="799"/>
      <c r="R62" s="539"/>
      <c r="S62" s="539"/>
      <c r="T62" s="527"/>
    </row>
    <row r="63" spans="1:20" ht="26.25">
      <c r="A63" s="528" t="s">
        <v>794</v>
      </c>
      <c r="B63" s="529" t="s">
        <v>804</v>
      </c>
      <c r="C63" s="794">
        <v>46251</v>
      </c>
      <c r="D63" s="795" t="s">
        <v>795</v>
      </c>
      <c r="E63" s="461"/>
      <c r="F63" s="538"/>
      <c r="G63" s="462"/>
      <c r="H63" s="547" t="s">
        <v>1249</v>
      </c>
      <c r="I63" s="538" t="s">
        <v>655</v>
      </c>
      <c r="J63" s="796" t="s">
        <v>656</v>
      </c>
      <c r="K63" s="797" t="s">
        <v>18</v>
      </c>
      <c r="L63" s="451">
        <v>2</v>
      </c>
      <c r="M63" s="726">
        <v>0</v>
      </c>
      <c r="N63" s="726">
        <v>0</v>
      </c>
      <c r="O63" s="798">
        <v>0</v>
      </c>
      <c r="P63" s="798">
        <v>0</v>
      </c>
      <c r="Q63" s="799"/>
      <c r="R63" s="539"/>
      <c r="S63" s="539"/>
      <c r="T63" s="527"/>
    </row>
    <row r="64" spans="1:20" ht="26.25">
      <c r="A64" s="528" t="s">
        <v>794</v>
      </c>
      <c r="B64" s="529" t="s">
        <v>804</v>
      </c>
      <c r="C64" s="794">
        <v>46251</v>
      </c>
      <c r="D64" s="795" t="s">
        <v>795</v>
      </c>
      <c r="E64" s="461">
        <v>46259</v>
      </c>
      <c r="F64" s="538" t="s">
        <v>935</v>
      </c>
      <c r="G64" s="462" t="s">
        <v>936</v>
      </c>
      <c r="H64" s="534" t="s">
        <v>809</v>
      </c>
      <c r="I64" s="538" t="s">
        <v>424</v>
      </c>
      <c r="J64" s="796" t="s">
        <v>425</v>
      </c>
      <c r="K64" s="797" t="s">
        <v>443</v>
      </c>
      <c r="L64" s="451">
        <v>1</v>
      </c>
      <c r="M64" s="726">
        <v>0</v>
      </c>
      <c r="N64" s="726">
        <v>0</v>
      </c>
      <c r="O64" s="798">
        <v>0</v>
      </c>
      <c r="P64" s="798">
        <v>0</v>
      </c>
      <c r="Q64" s="799"/>
      <c r="R64" s="539"/>
      <c r="S64" s="539"/>
      <c r="T64" s="527"/>
    </row>
    <row r="65" spans="1:20">
      <c r="A65" s="528" t="s">
        <v>794</v>
      </c>
      <c r="B65" s="529" t="s">
        <v>804</v>
      </c>
      <c r="C65" s="800">
        <v>46252</v>
      </c>
      <c r="D65" s="795"/>
      <c r="E65" s="461"/>
      <c r="F65" s="538"/>
      <c r="G65" s="462"/>
      <c r="H65" s="454" t="s">
        <v>922</v>
      </c>
      <c r="I65" s="538"/>
      <c r="J65" s="796"/>
      <c r="K65" s="797"/>
      <c r="L65" s="532"/>
      <c r="M65" s="801"/>
      <c r="N65" s="726">
        <v>0</v>
      </c>
      <c r="O65" s="798">
        <v>0</v>
      </c>
      <c r="P65" s="798">
        <v>0</v>
      </c>
      <c r="Q65" s="801"/>
      <c r="R65" s="536">
        <v>480000</v>
      </c>
      <c r="S65" s="536"/>
      <c r="T65" s="527"/>
    </row>
    <row r="66" spans="1:20">
      <c r="A66" s="802" t="s">
        <v>794</v>
      </c>
      <c r="B66" s="529" t="s">
        <v>804</v>
      </c>
      <c r="C66" s="800">
        <v>46262</v>
      </c>
      <c r="D66" s="795"/>
      <c r="E66" s="461"/>
      <c r="F66" s="538"/>
      <c r="G66" s="462"/>
      <c r="H66" s="534" t="s">
        <v>919</v>
      </c>
      <c r="I66" s="803"/>
      <c r="J66" s="534"/>
      <c r="K66" s="538"/>
      <c r="L66" s="804"/>
      <c r="M66" s="805"/>
      <c r="N66" s="806"/>
      <c r="O66" s="806"/>
      <c r="P66" s="798">
        <v>0</v>
      </c>
      <c r="Q66" s="805">
        <v>50000000</v>
      </c>
      <c r="R66" s="805"/>
      <c r="S66" s="536"/>
      <c r="T66" s="527"/>
    </row>
    <row r="67" spans="1:20" ht="39">
      <c r="A67" s="802" t="s">
        <v>794</v>
      </c>
      <c r="B67" s="529" t="s">
        <v>804</v>
      </c>
      <c r="C67" s="800">
        <v>46276</v>
      </c>
      <c r="D67" s="807" t="s">
        <v>1123</v>
      </c>
      <c r="E67" s="461">
        <v>46280</v>
      </c>
      <c r="F67" s="808" t="s">
        <v>1167</v>
      </c>
      <c r="G67" s="462" t="s">
        <v>1166</v>
      </c>
      <c r="H67" s="534" t="s">
        <v>809</v>
      </c>
      <c r="I67" s="803" t="s">
        <v>16</v>
      </c>
      <c r="J67" s="809" t="s">
        <v>17</v>
      </c>
      <c r="K67" s="803" t="s">
        <v>18</v>
      </c>
      <c r="L67" s="810">
        <v>2</v>
      </c>
      <c r="M67" s="811">
        <v>851851.85</v>
      </c>
      <c r="N67" s="812">
        <v>1703703.7</v>
      </c>
      <c r="O67" s="813">
        <v>136296.296</v>
      </c>
      <c r="P67" s="813">
        <v>1839999.996</v>
      </c>
      <c r="Q67" s="805"/>
      <c r="R67" s="805"/>
      <c r="S67" s="536"/>
      <c r="T67" s="527"/>
    </row>
    <row r="68" spans="1:20">
      <c r="A68" s="802" t="s">
        <v>794</v>
      </c>
      <c r="B68" s="529" t="s">
        <v>804</v>
      </c>
      <c r="C68" s="800">
        <v>46276</v>
      </c>
      <c r="D68" s="807" t="s">
        <v>1123</v>
      </c>
      <c r="E68" s="461">
        <v>46280</v>
      </c>
      <c r="F68" s="808" t="s">
        <v>1167</v>
      </c>
      <c r="G68" s="462" t="s">
        <v>1166</v>
      </c>
      <c r="H68" s="534" t="s">
        <v>809</v>
      </c>
      <c r="I68" s="803" t="s">
        <v>90</v>
      </c>
      <c r="J68" s="809" t="s">
        <v>91</v>
      </c>
      <c r="K68" s="803" t="s">
        <v>18</v>
      </c>
      <c r="L68" s="810">
        <v>20</v>
      </c>
      <c r="M68" s="811">
        <v>814814.81</v>
      </c>
      <c r="N68" s="812">
        <v>16296296.200000001</v>
      </c>
      <c r="O68" s="813">
        <v>1303703.6960000002</v>
      </c>
      <c r="P68" s="813">
        <v>17599999.896000002</v>
      </c>
      <c r="Q68" s="805"/>
      <c r="R68" s="805"/>
      <c r="S68" s="536"/>
      <c r="T68" s="527"/>
    </row>
    <row r="69" spans="1:20" ht="26.25">
      <c r="A69" s="802" t="s">
        <v>794</v>
      </c>
      <c r="B69" s="529" t="s">
        <v>804</v>
      </c>
      <c r="C69" s="800">
        <v>46276</v>
      </c>
      <c r="D69" s="807" t="s">
        <v>1123</v>
      </c>
      <c r="E69" s="461"/>
      <c r="F69" s="808"/>
      <c r="G69" s="462"/>
      <c r="H69" s="534" t="s">
        <v>809</v>
      </c>
      <c r="I69" s="803" t="s">
        <v>643</v>
      </c>
      <c r="J69" s="809" t="s">
        <v>644</v>
      </c>
      <c r="K69" s="803" t="s">
        <v>18</v>
      </c>
      <c r="L69" s="810">
        <v>15</v>
      </c>
      <c r="M69" s="811">
        <v>527777.78</v>
      </c>
      <c r="N69" s="812">
        <v>7916666.7000000002</v>
      </c>
      <c r="O69" s="813">
        <v>633333.33600000001</v>
      </c>
      <c r="P69" s="813">
        <v>8550000.0360000003</v>
      </c>
      <c r="Q69" s="805"/>
      <c r="R69" s="805"/>
      <c r="S69" s="536"/>
      <c r="T69" s="527"/>
    </row>
    <row r="70" spans="1:20" ht="26.25">
      <c r="A70" s="802" t="s">
        <v>794</v>
      </c>
      <c r="B70" s="529" t="s">
        <v>804</v>
      </c>
      <c r="C70" s="800">
        <v>46276</v>
      </c>
      <c r="D70" s="807" t="s">
        <v>1123</v>
      </c>
      <c r="E70" s="461"/>
      <c r="F70" s="808"/>
      <c r="G70" s="462"/>
      <c r="H70" s="534" t="s">
        <v>809</v>
      </c>
      <c r="I70" s="803" t="s">
        <v>1124</v>
      </c>
      <c r="J70" s="809" t="s">
        <v>654</v>
      </c>
      <c r="K70" s="803" t="s">
        <v>18</v>
      </c>
      <c r="L70" s="810">
        <v>15</v>
      </c>
      <c r="M70" s="811">
        <v>481481.48</v>
      </c>
      <c r="N70" s="812">
        <v>7222222.1999999993</v>
      </c>
      <c r="O70" s="813">
        <v>577777.77599999995</v>
      </c>
      <c r="P70" s="813">
        <v>7799999.9759999989</v>
      </c>
      <c r="Q70" s="805"/>
      <c r="R70" s="805"/>
      <c r="S70" s="536"/>
      <c r="T70" s="527"/>
    </row>
    <row r="71" spans="1:20" ht="26.25">
      <c r="A71" s="802" t="s">
        <v>794</v>
      </c>
      <c r="B71" s="529" t="s">
        <v>804</v>
      </c>
      <c r="C71" s="800">
        <v>46276</v>
      </c>
      <c r="D71" s="807" t="s">
        <v>1123</v>
      </c>
      <c r="E71" s="461">
        <v>46280</v>
      </c>
      <c r="F71" s="808" t="s">
        <v>1167</v>
      </c>
      <c r="G71" s="462" t="s">
        <v>1166</v>
      </c>
      <c r="H71" s="534" t="s">
        <v>809</v>
      </c>
      <c r="I71" s="803" t="s">
        <v>180</v>
      </c>
      <c r="J71" s="809" t="s">
        <v>181</v>
      </c>
      <c r="K71" s="803" t="s">
        <v>18</v>
      </c>
      <c r="L71" s="810">
        <v>30</v>
      </c>
      <c r="M71" s="811">
        <v>234259.26</v>
      </c>
      <c r="N71" s="812">
        <v>7027777.8000000007</v>
      </c>
      <c r="O71" s="813">
        <v>562222.22400000005</v>
      </c>
      <c r="P71" s="813">
        <v>7590000.0240000011</v>
      </c>
      <c r="Q71" s="805"/>
      <c r="R71" s="805"/>
      <c r="S71" s="536"/>
      <c r="T71" s="527"/>
    </row>
    <row r="72" spans="1:20" ht="26.25">
      <c r="A72" s="802" t="s">
        <v>794</v>
      </c>
      <c r="B72" s="529" t="s">
        <v>804</v>
      </c>
      <c r="C72" s="800">
        <v>46276</v>
      </c>
      <c r="D72" s="807" t="s">
        <v>1123</v>
      </c>
      <c r="E72" s="461"/>
      <c r="F72" s="808"/>
      <c r="G72" s="462"/>
      <c r="H72" s="547" t="s">
        <v>1249</v>
      </c>
      <c r="I72" s="803" t="s">
        <v>643</v>
      </c>
      <c r="J72" s="809" t="s">
        <v>644</v>
      </c>
      <c r="K72" s="803" t="s">
        <v>18</v>
      </c>
      <c r="L72" s="810">
        <v>1</v>
      </c>
      <c r="M72" s="811">
        <v>0</v>
      </c>
      <c r="N72" s="812">
        <v>0</v>
      </c>
      <c r="O72" s="813">
        <v>0</v>
      </c>
      <c r="P72" s="813">
        <v>0</v>
      </c>
      <c r="Q72" s="805"/>
      <c r="R72" s="805"/>
      <c r="S72" s="536"/>
      <c r="T72" s="527"/>
    </row>
    <row r="73" spans="1:20" ht="26.25">
      <c r="A73" s="802" t="s">
        <v>794</v>
      </c>
      <c r="B73" s="529" t="s">
        <v>804</v>
      </c>
      <c r="C73" s="800">
        <v>46276</v>
      </c>
      <c r="D73" s="807" t="s">
        <v>1123</v>
      </c>
      <c r="E73" s="461"/>
      <c r="F73" s="808"/>
      <c r="G73" s="808"/>
      <c r="H73" s="547" t="s">
        <v>1249</v>
      </c>
      <c r="I73" s="803" t="s">
        <v>1124</v>
      </c>
      <c r="J73" s="809" t="s">
        <v>654</v>
      </c>
      <c r="K73" s="803" t="s">
        <v>18</v>
      </c>
      <c r="L73" s="810">
        <v>1</v>
      </c>
      <c r="M73" s="811">
        <v>0</v>
      </c>
      <c r="N73" s="812">
        <v>0</v>
      </c>
      <c r="O73" s="813">
        <v>0</v>
      </c>
      <c r="P73" s="813">
        <v>0</v>
      </c>
      <c r="Q73" s="805"/>
      <c r="R73" s="805"/>
      <c r="S73" s="536"/>
      <c r="T73" s="527"/>
    </row>
    <row r="74" spans="1:20">
      <c r="A74" s="802" t="s">
        <v>794</v>
      </c>
      <c r="B74" s="529" t="s">
        <v>804</v>
      </c>
      <c r="C74" s="800">
        <v>46276</v>
      </c>
      <c r="D74" s="807"/>
      <c r="E74" s="800"/>
      <c r="F74" s="808"/>
      <c r="G74" s="808"/>
      <c r="H74" s="454" t="s">
        <v>760</v>
      </c>
      <c r="I74" s="808"/>
      <c r="J74" s="531"/>
      <c r="K74" s="538"/>
      <c r="L74" s="804"/>
      <c r="M74" s="814"/>
      <c r="N74" s="815"/>
      <c r="O74" s="815"/>
      <c r="P74" s="815"/>
      <c r="Q74" s="805"/>
      <c r="R74" s="805">
        <v>660000</v>
      </c>
      <c r="S74" s="536"/>
      <c r="T74" s="548" t="s">
        <v>1123</v>
      </c>
    </row>
    <row r="75" spans="1:20">
      <c r="A75" s="548"/>
      <c r="B75" s="548"/>
      <c r="C75" s="816"/>
      <c r="D75" s="548"/>
      <c r="E75" s="548"/>
      <c r="F75" s="548"/>
      <c r="G75" s="548"/>
      <c r="H75" s="548"/>
      <c r="I75" s="548"/>
      <c r="J75" s="548"/>
      <c r="K75" s="548"/>
      <c r="L75" s="548"/>
      <c r="M75" s="817"/>
      <c r="N75" s="817">
        <f>SUM(N2:N74)</f>
        <v>909179134.41000044</v>
      </c>
      <c r="O75" s="817">
        <f>SUM(O2:O74)</f>
        <v>72734330.752799988</v>
      </c>
      <c r="P75" s="818">
        <f>N75+O75</f>
        <v>981913465.16280043</v>
      </c>
      <c r="Q75" s="818">
        <f>SUM(Q2:Q74)</f>
        <v>527560000</v>
      </c>
      <c r="R75" s="819">
        <f>SUM(R2:R74)</f>
        <v>1140000</v>
      </c>
      <c r="S75" s="819">
        <f>SUM(S2:S74)</f>
        <v>15000943.658327997</v>
      </c>
      <c r="T75" s="527"/>
    </row>
    <row r="76" spans="1:20" ht="15.75" thickBot="1"/>
    <row r="77" spans="1:20">
      <c r="H77" s="583" t="s">
        <v>894</v>
      </c>
      <c r="I77" s="491">
        <f>P75</f>
        <v>981913465.16280043</v>
      </c>
    </row>
    <row r="78" spans="1:20">
      <c r="H78" s="584" t="s">
        <v>895</v>
      </c>
      <c r="I78" s="492">
        <f>Q75</f>
        <v>527560000</v>
      </c>
    </row>
    <row r="79" spans="1:20">
      <c r="H79" s="584" t="s">
        <v>901</v>
      </c>
      <c r="I79" s="492">
        <f>P43+P47+P48</f>
        <v>136199999.55599999</v>
      </c>
    </row>
    <row r="80" spans="1:20">
      <c r="H80" s="584" t="s">
        <v>933</v>
      </c>
      <c r="I80" s="492">
        <f>S75</f>
        <v>15000943.658327997</v>
      </c>
    </row>
    <row r="81" spans="8:12">
      <c r="H81" s="584" t="s">
        <v>896</v>
      </c>
      <c r="I81" s="492">
        <f>R75</f>
        <v>1140000</v>
      </c>
    </row>
    <row r="82" spans="8:12">
      <c r="H82" s="584" t="s">
        <v>898</v>
      </c>
      <c r="I82" s="492">
        <f>I77-I78-I80-I81</f>
        <v>438212521.50447243</v>
      </c>
    </row>
    <row r="83" spans="8:12" ht="15.75" thickBot="1">
      <c r="H83" s="585" t="s">
        <v>902</v>
      </c>
      <c r="I83" s="493">
        <f>I82-I79</f>
        <v>302012521.94847244</v>
      </c>
    </row>
    <row r="85" spans="8:12">
      <c r="H85" s="993" t="s">
        <v>900</v>
      </c>
      <c r="I85" s="994"/>
      <c r="J85" s="994"/>
      <c r="K85" s="994"/>
      <c r="L85" s="994"/>
    </row>
    <row r="86" spans="8:12">
      <c r="H86" s="994"/>
      <c r="I86" s="994"/>
      <c r="J86" s="994"/>
      <c r="K86" s="994"/>
      <c r="L86" s="994"/>
    </row>
    <row r="87" spans="8:12">
      <c r="H87" s="994"/>
      <c r="I87" s="994"/>
      <c r="J87" s="994"/>
      <c r="K87" s="994"/>
      <c r="L87" s="994"/>
    </row>
    <row r="88" spans="8:12">
      <c r="H88" s="994"/>
      <c r="I88" s="994"/>
      <c r="J88" s="994"/>
      <c r="K88" s="994"/>
      <c r="L88" s="994"/>
    </row>
    <row r="89" spans="8:12">
      <c r="H89" s="994"/>
      <c r="I89" s="994"/>
      <c r="J89" s="994"/>
      <c r="K89" s="994"/>
      <c r="L89" s="994"/>
    </row>
    <row r="90" spans="8:12">
      <c r="H90" s="994"/>
      <c r="I90" s="994"/>
      <c r="J90" s="994"/>
      <c r="K90" s="994"/>
      <c r="L90" s="994"/>
    </row>
    <row r="91" spans="8:12">
      <c r="H91" s="994"/>
      <c r="I91" s="994"/>
      <c r="J91" s="994"/>
      <c r="K91" s="994"/>
      <c r="L91" s="994"/>
    </row>
    <row r="92" spans="8:12">
      <c r="H92" s="994"/>
      <c r="I92" s="994"/>
      <c r="J92" s="994"/>
      <c r="K92" s="994"/>
      <c r="L92" s="994"/>
    </row>
    <row r="93" spans="8:12">
      <c r="H93" s="994"/>
      <c r="I93" s="994"/>
      <c r="J93" s="994"/>
      <c r="K93" s="994"/>
      <c r="L93" s="994"/>
    </row>
    <row r="94" spans="8:12">
      <c r="H94" s="994"/>
      <c r="I94" s="994"/>
      <c r="J94" s="994"/>
      <c r="K94" s="994"/>
      <c r="L94" s="994"/>
    </row>
    <row r="95" spans="8:12">
      <c r="H95" s="994"/>
      <c r="I95" s="994"/>
      <c r="J95" s="994"/>
      <c r="K95" s="994"/>
      <c r="L95" s="994"/>
    </row>
    <row r="96" spans="8:12">
      <c r="H96" s="994"/>
      <c r="I96" s="994"/>
      <c r="J96" s="994"/>
      <c r="K96" s="994"/>
      <c r="L96" s="994"/>
    </row>
  </sheetData>
  <autoFilter ref="A1:S75" xr:uid="{E4B1440E-B248-4D59-A168-B4F5B53EE8BB}"/>
  <mergeCells count="1">
    <mergeCell ref="H85:L96"/>
  </mergeCells>
  <phoneticPr fontId="1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B5DC-B8E5-47B1-8E80-5F055A159B51}">
  <sheetPr>
    <tabColor rgb="FF00B050"/>
  </sheetPr>
  <dimension ref="A1:R108"/>
  <sheetViews>
    <sheetView workbookViewId="0">
      <pane ySplit="1" topLeftCell="A83" activePane="bottomLeft" state="frozen"/>
      <selection pane="bottomLeft" activeCell="H108" sqref="H108"/>
    </sheetView>
  </sheetViews>
  <sheetFormatPr defaultRowHeight="15"/>
  <cols>
    <col min="1" max="1" width="8.42578125" customWidth="1"/>
    <col min="2" max="2" width="43.28515625" customWidth="1"/>
    <col min="3" max="3" width="15.28515625" bestFit="1" customWidth="1"/>
    <col min="4" max="4" width="15.42578125" bestFit="1" customWidth="1"/>
    <col min="5" max="5" width="15.28515625" bestFit="1" customWidth="1"/>
    <col min="6" max="7" width="12.85546875" bestFit="1" customWidth="1"/>
    <col min="8" max="8" width="48.28515625" customWidth="1"/>
    <col min="9" max="9" width="14.7109375" bestFit="1" customWidth="1"/>
    <col min="10" max="10" width="49.7109375" bestFit="1" customWidth="1"/>
    <col min="11" max="11" width="8.140625" bestFit="1" customWidth="1"/>
    <col min="12" max="12" width="11.140625" bestFit="1" customWidth="1"/>
    <col min="13" max="13" width="13.7109375" style="580" bestFit="1" customWidth="1"/>
    <col min="14" max="14" width="17.85546875" style="580" bestFit="1" customWidth="1"/>
    <col min="15" max="15" width="12.7109375" style="580" bestFit="1" customWidth="1"/>
    <col min="16" max="18" width="15.28515625" style="580" bestFit="1" customWidth="1"/>
  </cols>
  <sheetData>
    <row r="1" spans="1:18" ht="80.25">
      <c r="A1" s="484" t="s">
        <v>666</v>
      </c>
      <c r="B1" s="482" t="s">
        <v>866</v>
      </c>
      <c r="C1" s="482" t="s">
        <v>624</v>
      </c>
      <c r="D1" s="483" t="s">
        <v>636</v>
      </c>
      <c r="E1" s="482" t="s">
        <v>635</v>
      </c>
      <c r="F1" s="484" t="s">
        <v>637</v>
      </c>
      <c r="G1" s="484" t="s">
        <v>634</v>
      </c>
      <c r="H1" s="587" t="s">
        <v>625</v>
      </c>
      <c r="I1" s="484" t="s">
        <v>626</v>
      </c>
      <c r="J1" s="484" t="s">
        <v>627</v>
      </c>
      <c r="K1" s="588" t="s">
        <v>628</v>
      </c>
      <c r="L1" s="486" t="s">
        <v>629</v>
      </c>
      <c r="M1" s="594" t="s">
        <v>630</v>
      </c>
      <c r="N1" s="594" t="s">
        <v>631</v>
      </c>
      <c r="O1" s="594" t="s">
        <v>632</v>
      </c>
      <c r="P1" s="594" t="s">
        <v>633</v>
      </c>
      <c r="Q1" s="594" t="s">
        <v>612</v>
      </c>
      <c r="R1" s="594" t="s">
        <v>622</v>
      </c>
    </row>
    <row r="2" spans="1:18" ht="30">
      <c r="A2" s="296" t="s">
        <v>752</v>
      </c>
      <c r="B2" s="306" t="s">
        <v>694</v>
      </c>
      <c r="C2" s="297">
        <v>46055</v>
      </c>
      <c r="D2" s="312"/>
      <c r="E2" s="346">
        <v>46114</v>
      </c>
      <c r="F2" s="292"/>
      <c r="G2" s="380" t="s">
        <v>339</v>
      </c>
      <c r="H2" s="295" t="s">
        <v>340</v>
      </c>
      <c r="I2" s="382" t="s">
        <v>341</v>
      </c>
      <c r="J2" s="385" t="s">
        <v>269</v>
      </c>
      <c r="K2" s="559"/>
      <c r="L2" s="326">
        <v>6</v>
      </c>
      <c r="M2" s="574">
        <v>480555.56</v>
      </c>
      <c r="N2" s="574">
        <v>2883333.36</v>
      </c>
      <c r="O2" s="574">
        <v>230666.66879999998</v>
      </c>
      <c r="P2" s="574">
        <v>3114000.0288</v>
      </c>
      <c r="Q2" s="574"/>
      <c r="R2" s="574"/>
    </row>
    <row r="3" spans="1:18" ht="30">
      <c r="A3" s="296" t="s">
        <v>752</v>
      </c>
      <c r="B3" s="306" t="s">
        <v>694</v>
      </c>
      <c r="C3" s="297">
        <v>46055</v>
      </c>
      <c r="D3" s="312"/>
      <c r="E3" s="346">
        <v>46114</v>
      </c>
      <c r="F3" s="292"/>
      <c r="G3" s="380" t="s">
        <v>339</v>
      </c>
      <c r="H3" s="295" t="s">
        <v>340</v>
      </c>
      <c r="I3" s="382" t="s">
        <v>342</v>
      </c>
      <c r="J3" s="385" t="s">
        <v>63</v>
      </c>
      <c r="K3" s="559"/>
      <c r="L3" s="326">
        <v>10</v>
      </c>
      <c r="M3" s="574">
        <v>78703.7</v>
      </c>
      <c r="N3" s="574">
        <v>787037</v>
      </c>
      <c r="O3" s="574">
        <v>62962.96</v>
      </c>
      <c r="P3" s="574">
        <v>849999.96</v>
      </c>
      <c r="Q3" s="574"/>
      <c r="R3" s="574"/>
    </row>
    <row r="4" spans="1:18">
      <c r="A4" s="296" t="s">
        <v>752</v>
      </c>
      <c r="B4" s="306" t="s">
        <v>694</v>
      </c>
      <c r="C4" s="297">
        <v>46055</v>
      </c>
      <c r="D4" s="312"/>
      <c r="E4" s="346">
        <v>46114</v>
      </c>
      <c r="F4" s="292"/>
      <c r="G4" s="380" t="s">
        <v>339</v>
      </c>
      <c r="H4" s="295" t="s">
        <v>340</v>
      </c>
      <c r="I4" s="382" t="s">
        <v>80</v>
      </c>
      <c r="J4" s="386" t="s">
        <v>81</v>
      </c>
      <c r="K4" s="559"/>
      <c r="L4" s="326">
        <v>2</v>
      </c>
      <c r="M4" s="574">
        <v>824074.07</v>
      </c>
      <c r="N4" s="574">
        <v>1648148.14</v>
      </c>
      <c r="O4" s="574">
        <v>131851.8512</v>
      </c>
      <c r="P4" s="574">
        <v>1779999.9911999998</v>
      </c>
      <c r="Q4" s="574"/>
      <c r="R4" s="574"/>
    </row>
    <row r="5" spans="1:18">
      <c r="A5" s="296" t="s">
        <v>752</v>
      </c>
      <c r="B5" s="306" t="s">
        <v>694</v>
      </c>
      <c r="C5" s="297">
        <v>46055</v>
      </c>
      <c r="D5" s="312"/>
      <c r="E5" s="346">
        <v>46114</v>
      </c>
      <c r="F5" s="292"/>
      <c r="G5" s="380" t="s">
        <v>339</v>
      </c>
      <c r="H5" s="295" t="s">
        <v>340</v>
      </c>
      <c r="I5" s="382" t="s">
        <v>21</v>
      </c>
      <c r="J5" s="386" t="s">
        <v>22</v>
      </c>
      <c r="K5" s="559"/>
      <c r="L5" s="326">
        <v>2</v>
      </c>
      <c r="M5" s="574">
        <v>937962.96</v>
      </c>
      <c r="N5" s="574">
        <v>1875925.92</v>
      </c>
      <c r="O5" s="574">
        <v>150074.0736</v>
      </c>
      <c r="P5" s="574">
        <v>2025999.9935999999</v>
      </c>
      <c r="Q5" s="574"/>
      <c r="R5" s="574"/>
    </row>
    <row r="6" spans="1:18">
      <c r="A6" s="296" t="s">
        <v>752</v>
      </c>
      <c r="B6" s="306" t="s">
        <v>694</v>
      </c>
      <c r="C6" s="297">
        <v>46055</v>
      </c>
      <c r="D6" s="312"/>
      <c r="E6" s="346">
        <v>46114</v>
      </c>
      <c r="F6" s="292"/>
      <c r="G6" s="380" t="s">
        <v>339</v>
      </c>
      <c r="H6" s="295" t="s">
        <v>340</v>
      </c>
      <c r="I6" s="382" t="s">
        <v>68</v>
      </c>
      <c r="J6" s="386" t="s">
        <v>69</v>
      </c>
      <c r="K6" s="559"/>
      <c r="L6" s="326">
        <v>4</v>
      </c>
      <c r="M6" s="574">
        <v>111111.11</v>
      </c>
      <c r="N6" s="574">
        <v>444444.44</v>
      </c>
      <c r="O6" s="574">
        <v>35555.555200000003</v>
      </c>
      <c r="P6" s="574">
        <v>479999.9952</v>
      </c>
      <c r="Q6" s="574"/>
      <c r="R6" s="574"/>
    </row>
    <row r="7" spans="1:18">
      <c r="A7" s="296" t="s">
        <v>752</v>
      </c>
      <c r="B7" s="306" t="s">
        <v>694</v>
      </c>
      <c r="C7" s="297">
        <v>46055</v>
      </c>
      <c r="D7" s="312"/>
      <c r="E7" s="346">
        <v>46114</v>
      </c>
      <c r="F7" s="292"/>
      <c r="G7" s="380" t="s">
        <v>339</v>
      </c>
      <c r="H7" s="295" t="s">
        <v>340</v>
      </c>
      <c r="I7" s="382" t="s">
        <v>70</v>
      </c>
      <c r="J7" s="386" t="s">
        <v>71</v>
      </c>
      <c r="K7" s="559"/>
      <c r="L7" s="326">
        <v>4</v>
      </c>
      <c r="M7" s="574">
        <v>120370.37</v>
      </c>
      <c r="N7" s="574">
        <v>481481.48</v>
      </c>
      <c r="O7" s="574">
        <v>38518.518400000001</v>
      </c>
      <c r="P7" s="574">
        <v>519999.99839999998</v>
      </c>
      <c r="Q7" s="574"/>
      <c r="R7" s="574"/>
    </row>
    <row r="8" spans="1:18">
      <c r="A8" s="296" t="s">
        <v>752</v>
      </c>
      <c r="B8" s="306" t="s">
        <v>694</v>
      </c>
      <c r="C8" s="297">
        <v>46055</v>
      </c>
      <c r="D8" s="312"/>
      <c r="E8" s="346">
        <v>46114</v>
      </c>
      <c r="F8" s="292"/>
      <c r="G8" s="380" t="s">
        <v>339</v>
      </c>
      <c r="H8" s="295" t="s">
        <v>340</v>
      </c>
      <c r="I8" s="382" t="s">
        <v>72</v>
      </c>
      <c r="J8" s="386" t="s">
        <v>73</v>
      </c>
      <c r="K8" s="559"/>
      <c r="L8" s="326">
        <v>4</v>
      </c>
      <c r="M8" s="574">
        <v>129629.63</v>
      </c>
      <c r="N8" s="574">
        <v>518518.52</v>
      </c>
      <c r="O8" s="574">
        <v>41481.481599999999</v>
      </c>
      <c r="P8" s="574">
        <v>560000.00160000008</v>
      </c>
      <c r="Q8" s="574"/>
      <c r="R8" s="574"/>
    </row>
    <row r="9" spans="1:18">
      <c r="A9" s="296" t="s">
        <v>752</v>
      </c>
      <c r="B9" s="306" t="s">
        <v>694</v>
      </c>
      <c r="C9" s="297">
        <v>46055</v>
      </c>
      <c r="D9" s="312"/>
      <c r="E9" s="346">
        <v>46114</v>
      </c>
      <c r="F9" s="292"/>
      <c r="G9" s="380" t="s">
        <v>339</v>
      </c>
      <c r="H9" s="295" t="s">
        <v>340</v>
      </c>
      <c r="I9" s="382" t="s">
        <v>28</v>
      </c>
      <c r="J9" s="385" t="s">
        <v>343</v>
      </c>
      <c r="K9" s="559"/>
      <c r="L9" s="326">
        <v>10</v>
      </c>
      <c r="M9" s="574">
        <v>281481.48</v>
      </c>
      <c r="N9" s="574">
        <v>2814814.8</v>
      </c>
      <c r="O9" s="574">
        <v>225185.18399999998</v>
      </c>
      <c r="P9" s="574">
        <v>3039999.9839999997</v>
      </c>
      <c r="Q9" s="574"/>
      <c r="R9" s="574"/>
    </row>
    <row r="10" spans="1:18">
      <c r="A10" s="296" t="s">
        <v>752</v>
      </c>
      <c r="B10" s="306" t="s">
        <v>694</v>
      </c>
      <c r="C10" s="297">
        <v>46055</v>
      </c>
      <c r="D10" s="312"/>
      <c r="E10" s="346">
        <v>46114</v>
      </c>
      <c r="F10" s="292"/>
      <c r="G10" s="380" t="s">
        <v>339</v>
      </c>
      <c r="H10" s="295" t="s">
        <v>340</v>
      </c>
      <c r="I10" s="382" t="s">
        <v>36</v>
      </c>
      <c r="J10" s="385" t="s">
        <v>37</v>
      </c>
      <c r="K10" s="559"/>
      <c r="L10" s="326">
        <v>10</v>
      </c>
      <c r="M10" s="574">
        <v>259259.26</v>
      </c>
      <c r="N10" s="574">
        <v>2592592.6</v>
      </c>
      <c r="O10" s="574">
        <v>207407.40800000002</v>
      </c>
      <c r="P10" s="574">
        <v>2800000.0079999999</v>
      </c>
      <c r="Q10" s="574"/>
      <c r="R10" s="574"/>
    </row>
    <row r="11" spans="1:18">
      <c r="A11" s="296" t="s">
        <v>752</v>
      </c>
      <c r="B11" s="306" t="s">
        <v>694</v>
      </c>
      <c r="C11" s="297">
        <v>46055</v>
      </c>
      <c r="D11" s="312"/>
      <c r="E11" s="346">
        <v>46114</v>
      </c>
      <c r="F11" s="292"/>
      <c r="G11" s="380" t="s">
        <v>339</v>
      </c>
      <c r="H11" s="295" t="s">
        <v>340</v>
      </c>
      <c r="I11" s="382" t="s">
        <v>38</v>
      </c>
      <c r="J11" s="385" t="s">
        <v>39</v>
      </c>
      <c r="K11" s="559"/>
      <c r="L11" s="326">
        <v>10</v>
      </c>
      <c r="M11" s="574">
        <v>277777.78000000003</v>
      </c>
      <c r="N11" s="574">
        <v>2777777.8000000003</v>
      </c>
      <c r="O11" s="574">
        <v>222222.22400000002</v>
      </c>
      <c r="P11" s="574">
        <v>3000000.0240000002</v>
      </c>
      <c r="Q11" s="574"/>
      <c r="R11" s="574"/>
    </row>
    <row r="12" spans="1:18">
      <c r="A12" s="296" t="s">
        <v>752</v>
      </c>
      <c r="B12" s="306" t="s">
        <v>694</v>
      </c>
      <c r="C12" s="297">
        <v>46055</v>
      </c>
      <c r="D12" s="312"/>
      <c r="E12" s="346">
        <v>46114</v>
      </c>
      <c r="F12" s="292"/>
      <c r="G12" s="380" t="s">
        <v>339</v>
      </c>
      <c r="H12" s="295" t="s">
        <v>340</v>
      </c>
      <c r="I12" s="382" t="s">
        <v>40</v>
      </c>
      <c r="J12" s="386" t="s">
        <v>41</v>
      </c>
      <c r="K12" s="559"/>
      <c r="L12" s="326">
        <v>4</v>
      </c>
      <c r="M12" s="574">
        <v>844444.44</v>
      </c>
      <c r="N12" s="574">
        <v>3377777.76</v>
      </c>
      <c r="O12" s="574">
        <v>270222.22080000001</v>
      </c>
      <c r="P12" s="574">
        <v>3647999.9808</v>
      </c>
      <c r="Q12" s="574"/>
      <c r="R12" s="574"/>
    </row>
    <row r="13" spans="1:18" ht="30">
      <c r="A13" s="296" t="s">
        <v>752</v>
      </c>
      <c r="B13" s="306" t="s">
        <v>694</v>
      </c>
      <c r="C13" s="297">
        <v>46055</v>
      </c>
      <c r="D13" s="312"/>
      <c r="E13" s="346">
        <v>46267</v>
      </c>
      <c r="F13" s="292"/>
      <c r="G13" s="380" t="s">
        <v>344</v>
      </c>
      <c r="H13" s="295" t="s">
        <v>340</v>
      </c>
      <c r="I13" s="382" t="s">
        <v>60</v>
      </c>
      <c r="J13" s="385" t="s">
        <v>61</v>
      </c>
      <c r="K13" s="559"/>
      <c r="L13" s="326">
        <v>4</v>
      </c>
      <c r="M13" s="574">
        <v>1138888.8899999999</v>
      </c>
      <c r="N13" s="574">
        <v>4555555.5599999996</v>
      </c>
      <c r="O13" s="574">
        <v>364444.4448</v>
      </c>
      <c r="P13" s="574">
        <v>4920000.0047999993</v>
      </c>
      <c r="Q13" s="574"/>
      <c r="R13" s="574"/>
    </row>
    <row r="14" spans="1:18" s="686" customFormat="1" ht="30">
      <c r="A14" s="625" t="s">
        <v>752</v>
      </c>
      <c r="B14" s="306" t="s">
        <v>694</v>
      </c>
      <c r="C14" s="297">
        <v>46055</v>
      </c>
      <c r="D14" s="628"/>
      <c r="E14" s="347"/>
      <c r="F14" s="629"/>
      <c r="G14" s="381"/>
      <c r="H14" s="570" t="s">
        <v>340</v>
      </c>
      <c r="I14" s="325" t="s">
        <v>83</v>
      </c>
      <c r="J14" s="388" t="s">
        <v>84</v>
      </c>
      <c r="K14" s="685"/>
      <c r="L14" s="325">
        <v>4</v>
      </c>
      <c r="M14" s="575">
        <v>1097222.22</v>
      </c>
      <c r="N14" s="575">
        <v>4388888.88</v>
      </c>
      <c r="O14" s="575">
        <v>351111.11040000001</v>
      </c>
      <c r="P14" s="575">
        <v>4739999.9903999995</v>
      </c>
      <c r="Q14" s="575"/>
      <c r="R14" s="575"/>
    </row>
    <row r="15" spans="1:18" s="686" customFormat="1" ht="30">
      <c r="A15" s="625" t="s">
        <v>752</v>
      </c>
      <c r="B15" s="306" t="s">
        <v>694</v>
      </c>
      <c r="C15" s="297">
        <v>46055</v>
      </c>
      <c r="D15" s="628"/>
      <c r="E15" s="347">
        <v>46267</v>
      </c>
      <c r="F15" s="629"/>
      <c r="G15" s="381" t="s">
        <v>345</v>
      </c>
      <c r="H15" s="570" t="s">
        <v>340</v>
      </c>
      <c r="I15" s="337" t="s">
        <v>16</v>
      </c>
      <c r="J15" s="388" t="s">
        <v>17</v>
      </c>
      <c r="K15" s="685"/>
      <c r="L15" s="325">
        <v>4</v>
      </c>
      <c r="M15" s="575">
        <v>851851.85</v>
      </c>
      <c r="N15" s="575">
        <v>3407407.4</v>
      </c>
      <c r="O15" s="575">
        <v>272592.592</v>
      </c>
      <c r="P15" s="575">
        <v>3679999.9920000001</v>
      </c>
      <c r="Q15" s="575"/>
      <c r="R15" s="575"/>
    </row>
    <row r="16" spans="1:18" s="686" customFormat="1">
      <c r="A16" s="625" t="s">
        <v>752</v>
      </c>
      <c r="B16" s="306" t="s">
        <v>694</v>
      </c>
      <c r="C16" s="297">
        <v>46055</v>
      </c>
      <c r="D16" s="628"/>
      <c r="E16" s="347" t="s">
        <v>346</v>
      </c>
      <c r="F16" s="629"/>
      <c r="G16" s="381" t="s">
        <v>347</v>
      </c>
      <c r="H16" s="570" t="s">
        <v>340</v>
      </c>
      <c r="I16" s="337" t="s">
        <v>127</v>
      </c>
      <c r="J16" s="388" t="s">
        <v>128</v>
      </c>
      <c r="K16" s="685"/>
      <c r="L16" s="325">
        <v>12</v>
      </c>
      <c r="M16" s="575">
        <v>284259.26</v>
      </c>
      <c r="N16" s="575">
        <v>3411111.12</v>
      </c>
      <c r="O16" s="575">
        <v>272888.88959999999</v>
      </c>
      <c r="P16" s="575">
        <v>3684000.0096</v>
      </c>
      <c r="Q16" s="575"/>
      <c r="R16" s="575"/>
    </row>
    <row r="17" spans="1:18" s="686" customFormat="1">
      <c r="A17" s="625" t="s">
        <v>752</v>
      </c>
      <c r="B17" s="306" t="s">
        <v>694</v>
      </c>
      <c r="C17" s="297">
        <v>46055</v>
      </c>
      <c r="D17" s="628"/>
      <c r="E17" s="347" t="s">
        <v>346</v>
      </c>
      <c r="F17" s="629"/>
      <c r="G17" s="381" t="s">
        <v>347</v>
      </c>
      <c r="H17" s="570" t="s">
        <v>340</v>
      </c>
      <c r="I17" s="325" t="s">
        <v>56</v>
      </c>
      <c r="J17" s="388" t="s">
        <v>57</v>
      </c>
      <c r="K17" s="685"/>
      <c r="L17" s="325">
        <v>12</v>
      </c>
      <c r="M17" s="575">
        <v>325925.93</v>
      </c>
      <c r="N17" s="575">
        <v>3911111.16</v>
      </c>
      <c r="O17" s="575">
        <v>312888.89280000003</v>
      </c>
      <c r="P17" s="575">
        <v>4224000.0527999997</v>
      </c>
      <c r="Q17" s="575"/>
      <c r="R17" s="575"/>
    </row>
    <row r="18" spans="1:18" s="686" customFormat="1">
      <c r="A18" s="625" t="s">
        <v>752</v>
      </c>
      <c r="B18" s="306" t="s">
        <v>694</v>
      </c>
      <c r="C18" s="297">
        <v>46055</v>
      </c>
      <c r="D18" s="628"/>
      <c r="E18" s="347">
        <v>46115</v>
      </c>
      <c r="F18" s="629"/>
      <c r="G18" s="381" t="s">
        <v>348</v>
      </c>
      <c r="H18" s="570" t="s">
        <v>340</v>
      </c>
      <c r="I18" s="337" t="s">
        <v>48</v>
      </c>
      <c r="J18" s="388" t="s">
        <v>49</v>
      </c>
      <c r="K18" s="685"/>
      <c r="L18" s="325">
        <v>6</v>
      </c>
      <c r="M18" s="575">
        <v>601851.85</v>
      </c>
      <c r="N18" s="575">
        <v>3611111.0999999996</v>
      </c>
      <c r="O18" s="575">
        <v>288888.88799999998</v>
      </c>
      <c r="P18" s="575">
        <v>3899999.9879999994</v>
      </c>
      <c r="Q18" s="575"/>
      <c r="R18" s="575"/>
    </row>
    <row r="19" spans="1:18" s="686" customFormat="1">
      <c r="A19" s="625" t="s">
        <v>752</v>
      </c>
      <c r="B19" s="306" t="s">
        <v>694</v>
      </c>
      <c r="C19" s="297">
        <v>46055</v>
      </c>
      <c r="D19" s="628"/>
      <c r="E19" s="325"/>
      <c r="F19" s="629"/>
      <c r="G19" s="325"/>
      <c r="H19" s="570" t="s">
        <v>340</v>
      </c>
      <c r="I19" s="337" t="s">
        <v>62</v>
      </c>
      <c r="J19" s="387" t="s">
        <v>63</v>
      </c>
      <c r="K19" s="685"/>
      <c r="L19" s="325">
        <v>6</v>
      </c>
      <c r="M19" s="575"/>
      <c r="N19" s="575"/>
      <c r="O19" s="575"/>
      <c r="P19" s="575"/>
      <c r="Q19" s="575"/>
      <c r="R19" s="575"/>
    </row>
    <row r="20" spans="1:18" s="686" customFormat="1">
      <c r="A20" s="625" t="s">
        <v>752</v>
      </c>
      <c r="B20" s="306" t="s">
        <v>694</v>
      </c>
      <c r="C20" s="297">
        <v>46059</v>
      </c>
      <c r="D20" s="628"/>
      <c r="E20" s="325"/>
      <c r="F20" s="629"/>
      <c r="G20" s="325"/>
      <c r="H20" s="570" t="s">
        <v>839</v>
      </c>
      <c r="I20" s="337"/>
      <c r="J20" s="387"/>
      <c r="K20" s="685"/>
      <c r="L20" s="325"/>
      <c r="M20" s="575"/>
      <c r="N20" s="575"/>
      <c r="O20" s="575"/>
      <c r="P20" s="575"/>
      <c r="Q20" s="575">
        <v>25178000</v>
      </c>
      <c r="R20" s="575"/>
    </row>
    <row r="21" spans="1:18">
      <c r="A21" s="296" t="s">
        <v>752</v>
      </c>
      <c r="B21" s="306" t="s">
        <v>694</v>
      </c>
      <c r="C21" s="297">
        <v>46062</v>
      </c>
      <c r="D21" s="312"/>
      <c r="E21" s="346">
        <v>46267</v>
      </c>
      <c r="F21" s="292"/>
      <c r="G21" s="380" t="s">
        <v>345</v>
      </c>
      <c r="H21" s="295" t="s">
        <v>340</v>
      </c>
      <c r="I21" s="382" t="s">
        <v>21</v>
      </c>
      <c r="J21" s="386" t="s">
        <v>22</v>
      </c>
      <c r="K21" s="559"/>
      <c r="L21" s="326">
        <v>6</v>
      </c>
      <c r="M21" s="574">
        <v>937962.96</v>
      </c>
      <c r="N21" s="574">
        <v>5627777.7599999998</v>
      </c>
      <c r="O21" s="574">
        <v>450222.22080000001</v>
      </c>
      <c r="P21" s="574">
        <v>6077999.9808</v>
      </c>
      <c r="Q21" s="574"/>
      <c r="R21" s="574"/>
    </row>
    <row r="22" spans="1:18">
      <c r="A22" s="296" t="s">
        <v>752</v>
      </c>
      <c r="B22" s="306" t="s">
        <v>694</v>
      </c>
      <c r="C22" s="297">
        <v>46062</v>
      </c>
      <c r="D22" s="312"/>
      <c r="E22" s="346">
        <v>46267</v>
      </c>
      <c r="F22" s="292"/>
      <c r="G22" s="380" t="s">
        <v>345</v>
      </c>
      <c r="H22" s="295" t="s">
        <v>340</v>
      </c>
      <c r="I22" s="382" t="s">
        <v>68</v>
      </c>
      <c r="J22" s="386" t="s">
        <v>69</v>
      </c>
      <c r="K22" s="559"/>
      <c r="L22" s="326">
        <v>12</v>
      </c>
      <c r="M22" s="574">
        <v>111111.11</v>
      </c>
      <c r="N22" s="574">
        <v>1333333.32</v>
      </c>
      <c r="O22" s="574">
        <v>106666.66560000001</v>
      </c>
      <c r="P22" s="574">
        <v>1439999.9856</v>
      </c>
      <c r="Q22" s="574"/>
      <c r="R22" s="574"/>
    </row>
    <row r="23" spans="1:18">
      <c r="A23" s="296" t="s">
        <v>752</v>
      </c>
      <c r="B23" s="306" t="s">
        <v>694</v>
      </c>
      <c r="C23" s="297">
        <v>46062</v>
      </c>
      <c r="D23" s="312"/>
      <c r="E23" s="346">
        <v>46267</v>
      </c>
      <c r="F23" s="292"/>
      <c r="G23" s="380" t="s">
        <v>345</v>
      </c>
      <c r="H23" s="295" t="s">
        <v>340</v>
      </c>
      <c r="I23" s="382" t="s">
        <v>70</v>
      </c>
      <c r="J23" s="386" t="s">
        <v>71</v>
      </c>
      <c r="K23" s="559"/>
      <c r="L23" s="326">
        <v>12</v>
      </c>
      <c r="M23" s="574">
        <v>120370.37</v>
      </c>
      <c r="N23" s="574">
        <v>1444444.44</v>
      </c>
      <c r="O23" s="574">
        <v>115555.5552</v>
      </c>
      <c r="P23" s="574">
        <v>1559999.9952</v>
      </c>
      <c r="Q23" s="574"/>
      <c r="R23" s="574" t="s">
        <v>924</v>
      </c>
    </row>
    <row r="24" spans="1:18">
      <c r="A24" s="296" t="s">
        <v>752</v>
      </c>
      <c r="B24" s="306" t="s">
        <v>694</v>
      </c>
      <c r="C24" s="297">
        <v>46062</v>
      </c>
      <c r="D24" s="312"/>
      <c r="E24" s="346">
        <v>46267</v>
      </c>
      <c r="F24" s="292"/>
      <c r="G24" s="380" t="s">
        <v>345</v>
      </c>
      <c r="H24" s="295" t="s">
        <v>340</v>
      </c>
      <c r="I24" s="382" t="s">
        <v>72</v>
      </c>
      <c r="J24" s="386" t="s">
        <v>73</v>
      </c>
      <c r="K24" s="559"/>
      <c r="L24" s="326">
        <v>12</v>
      </c>
      <c r="M24" s="574">
        <v>129629.63</v>
      </c>
      <c r="N24" s="574">
        <v>1555555.56</v>
      </c>
      <c r="O24" s="574">
        <v>124444.44480000001</v>
      </c>
      <c r="P24" s="574">
        <v>1680000.0048</v>
      </c>
      <c r="Q24" s="574"/>
      <c r="R24" s="574"/>
    </row>
    <row r="25" spans="1:18">
      <c r="A25" s="296" t="s">
        <v>752</v>
      </c>
      <c r="B25" s="306" t="s">
        <v>694</v>
      </c>
      <c r="C25" s="297">
        <v>46062</v>
      </c>
      <c r="D25" s="312"/>
      <c r="E25" s="347">
        <v>46115</v>
      </c>
      <c r="F25" s="292"/>
      <c r="G25" s="381" t="s">
        <v>348</v>
      </c>
      <c r="H25" s="570" t="s">
        <v>340</v>
      </c>
      <c r="I25" s="337" t="s">
        <v>48</v>
      </c>
      <c r="J25" s="388" t="s">
        <v>49</v>
      </c>
      <c r="K25" s="559"/>
      <c r="L25" s="325">
        <v>12</v>
      </c>
      <c r="M25" s="575">
        <v>601851.85</v>
      </c>
      <c r="N25" s="575">
        <v>7222222.1999999993</v>
      </c>
      <c r="O25" s="575">
        <v>577777.77599999995</v>
      </c>
      <c r="P25" s="575">
        <v>7799999.9759999989</v>
      </c>
      <c r="Q25" s="575"/>
      <c r="R25" s="575"/>
    </row>
    <row r="26" spans="1:18">
      <c r="A26" s="296" t="s">
        <v>752</v>
      </c>
      <c r="B26" s="306" t="s">
        <v>694</v>
      </c>
      <c r="C26" s="297">
        <v>46062</v>
      </c>
      <c r="D26" s="312"/>
      <c r="E26" s="325"/>
      <c r="F26" s="292"/>
      <c r="G26" s="325"/>
      <c r="H26" s="570" t="s">
        <v>340</v>
      </c>
      <c r="I26" s="337" t="s">
        <v>62</v>
      </c>
      <c r="J26" s="387" t="s">
        <v>63</v>
      </c>
      <c r="K26" s="559"/>
      <c r="L26" s="325">
        <v>20</v>
      </c>
      <c r="M26" s="575">
        <v>78703.7</v>
      </c>
      <c r="N26" s="575">
        <v>1574074</v>
      </c>
      <c r="O26" s="575">
        <v>125925.92</v>
      </c>
      <c r="P26" s="575">
        <v>1699999.92</v>
      </c>
      <c r="Q26" s="575"/>
      <c r="R26" s="575"/>
    </row>
    <row r="27" spans="1:18">
      <c r="A27" s="296" t="s">
        <v>752</v>
      </c>
      <c r="B27" s="306" t="s">
        <v>694</v>
      </c>
      <c r="C27" s="297">
        <v>46062</v>
      </c>
      <c r="D27" s="312"/>
      <c r="E27" s="347"/>
      <c r="F27" s="292"/>
      <c r="G27" s="325"/>
      <c r="H27" s="570" t="s">
        <v>340</v>
      </c>
      <c r="I27" s="325" t="s">
        <v>62</v>
      </c>
      <c r="J27" s="387" t="s">
        <v>63</v>
      </c>
      <c r="K27" s="559"/>
      <c r="L27" s="325">
        <v>12</v>
      </c>
      <c r="M27" s="575"/>
      <c r="N27" s="575">
        <v>0</v>
      </c>
      <c r="O27" s="575">
        <v>0</v>
      </c>
      <c r="P27" s="575">
        <v>0</v>
      </c>
      <c r="Q27" s="575"/>
      <c r="R27" s="575"/>
    </row>
    <row r="28" spans="1:18" s="686" customFormat="1">
      <c r="A28" s="625" t="s">
        <v>752</v>
      </c>
      <c r="B28" s="306" t="s">
        <v>694</v>
      </c>
      <c r="C28" s="297">
        <v>46063</v>
      </c>
      <c r="D28" s="628"/>
      <c r="E28" s="347"/>
      <c r="F28" s="629"/>
      <c r="G28" s="325"/>
      <c r="H28" s="302" t="s">
        <v>672</v>
      </c>
      <c r="I28" s="325"/>
      <c r="J28" s="387"/>
      <c r="K28" s="685"/>
      <c r="L28" s="325"/>
      <c r="M28" s="575"/>
      <c r="N28" s="575"/>
      <c r="O28" s="575"/>
      <c r="P28" s="575"/>
      <c r="Q28" s="575">
        <v>41176000</v>
      </c>
      <c r="R28" s="575"/>
    </row>
    <row r="29" spans="1:18" s="686" customFormat="1">
      <c r="A29" s="625" t="s">
        <v>752</v>
      </c>
      <c r="B29" s="306" t="s">
        <v>694</v>
      </c>
      <c r="C29" s="297">
        <v>46063</v>
      </c>
      <c r="D29" s="628"/>
      <c r="E29" s="347"/>
      <c r="F29" s="629"/>
      <c r="G29" s="325"/>
      <c r="H29" s="570" t="s">
        <v>281</v>
      </c>
      <c r="I29" s="325"/>
      <c r="J29" s="387"/>
      <c r="K29" s="685"/>
      <c r="L29" s="325"/>
      <c r="M29" s="575"/>
      <c r="N29" s="575"/>
      <c r="O29" s="575"/>
      <c r="P29" s="575"/>
      <c r="Q29" s="575"/>
      <c r="R29" s="575">
        <v>600000</v>
      </c>
    </row>
    <row r="30" spans="1:18" s="686" customFormat="1">
      <c r="A30" s="625" t="s">
        <v>752</v>
      </c>
      <c r="B30" s="306" t="s">
        <v>694</v>
      </c>
      <c r="C30" s="297">
        <v>46063</v>
      </c>
      <c r="D30" s="628"/>
      <c r="E30" s="347"/>
      <c r="F30" s="629"/>
      <c r="G30" s="325"/>
      <c r="H30" s="302" t="s">
        <v>702</v>
      </c>
      <c r="I30" s="325"/>
      <c r="J30" s="387"/>
      <c r="K30" s="685"/>
      <c r="L30" s="325"/>
      <c r="M30" s="575"/>
      <c r="N30" s="575"/>
      <c r="O30" s="575"/>
      <c r="P30" s="575"/>
      <c r="Q30" s="575">
        <v>270000</v>
      </c>
      <c r="R30" s="575"/>
    </row>
    <row r="31" spans="1:18" s="686" customFormat="1">
      <c r="A31" s="625" t="s">
        <v>752</v>
      </c>
      <c r="B31" s="306" t="s">
        <v>694</v>
      </c>
      <c r="C31" s="297">
        <v>46077</v>
      </c>
      <c r="D31" s="628"/>
      <c r="E31" s="347"/>
      <c r="F31" s="629"/>
      <c r="G31" s="325"/>
      <c r="H31" s="570" t="s">
        <v>340</v>
      </c>
      <c r="I31" s="325" t="s">
        <v>62</v>
      </c>
      <c r="J31" s="387" t="s">
        <v>63</v>
      </c>
      <c r="K31" s="685"/>
      <c r="L31" s="325">
        <v>20</v>
      </c>
      <c r="M31" s="575">
        <v>78703.7</v>
      </c>
      <c r="N31" s="575">
        <v>1574074</v>
      </c>
      <c r="O31" s="575">
        <v>125925.92</v>
      </c>
      <c r="P31" s="575">
        <v>1699999.92</v>
      </c>
      <c r="Q31" s="575"/>
      <c r="R31" s="575"/>
    </row>
    <row r="32" spans="1:18" ht="30">
      <c r="A32" s="296" t="s">
        <v>752</v>
      </c>
      <c r="B32" s="306" t="s">
        <v>694</v>
      </c>
      <c r="C32" s="297">
        <v>46077</v>
      </c>
      <c r="D32" s="312"/>
      <c r="E32" s="346" t="s">
        <v>346</v>
      </c>
      <c r="F32" s="292"/>
      <c r="G32" s="380" t="s">
        <v>351</v>
      </c>
      <c r="H32" s="295" t="s">
        <v>340</v>
      </c>
      <c r="I32" s="382" t="s">
        <v>60</v>
      </c>
      <c r="J32" s="385" t="s">
        <v>61</v>
      </c>
      <c r="K32" s="559"/>
      <c r="L32" s="326">
        <v>4</v>
      </c>
      <c r="M32" s="574">
        <v>1138888.8899999999</v>
      </c>
      <c r="N32" s="574">
        <v>4555555.5599999996</v>
      </c>
      <c r="O32" s="574">
        <v>364444.4448</v>
      </c>
      <c r="P32" s="574">
        <v>4920000.0047999993</v>
      </c>
      <c r="Q32" s="574"/>
      <c r="R32" s="574"/>
    </row>
    <row r="33" spans="1:18" ht="30">
      <c r="A33" s="296" t="s">
        <v>752</v>
      </c>
      <c r="B33" s="306" t="s">
        <v>694</v>
      </c>
      <c r="C33" s="297">
        <v>46077</v>
      </c>
      <c r="D33" s="312"/>
      <c r="E33" s="346" t="s">
        <v>346</v>
      </c>
      <c r="F33" s="292"/>
      <c r="G33" s="380" t="s">
        <v>351</v>
      </c>
      <c r="H33" s="295" t="s">
        <v>340</v>
      </c>
      <c r="I33" s="382" t="s">
        <v>16</v>
      </c>
      <c r="J33" s="385" t="s">
        <v>17</v>
      </c>
      <c r="K33" s="559"/>
      <c r="L33" s="326">
        <v>4</v>
      </c>
      <c r="M33" s="574">
        <v>851851.85</v>
      </c>
      <c r="N33" s="574">
        <v>3407407.4</v>
      </c>
      <c r="O33" s="574">
        <v>272592.592</v>
      </c>
      <c r="P33" s="574">
        <v>3679999.9920000001</v>
      </c>
      <c r="Q33" s="574"/>
      <c r="R33" s="574"/>
    </row>
    <row r="34" spans="1:18" s="686" customFormat="1">
      <c r="A34" s="625" t="s">
        <v>752</v>
      </c>
      <c r="B34" s="306" t="s">
        <v>694</v>
      </c>
      <c r="C34" s="297">
        <v>46077</v>
      </c>
      <c r="D34" s="628"/>
      <c r="E34" s="347" t="s">
        <v>346</v>
      </c>
      <c r="F34" s="629"/>
      <c r="G34" s="381" t="s">
        <v>351</v>
      </c>
      <c r="H34" s="570" t="s">
        <v>340</v>
      </c>
      <c r="I34" s="325" t="s">
        <v>184</v>
      </c>
      <c r="J34" s="388" t="s">
        <v>272</v>
      </c>
      <c r="K34" s="685"/>
      <c r="L34" s="325">
        <v>10</v>
      </c>
      <c r="M34" s="575">
        <v>240740.74</v>
      </c>
      <c r="N34" s="575">
        <v>2407407.4</v>
      </c>
      <c r="O34" s="575">
        <v>192592.592</v>
      </c>
      <c r="P34" s="575">
        <v>2599999.9920000001</v>
      </c>
      <c r="Q34" s="575"/>
      <c r="R34" s="575"/>
    </row>
    <row r="35" spans="1:18" s="686" customFormat="1">
      <c r="A35" s="625" t="s">
        <v>752</v>
      </c>
      <c r="B35" s="306" t="s">
        <v>694</v>
      </c>
      <c r="C35" s="297">
        <v>46077</v>
      </c>
      <c r="D35" s="628"/>
      <c r="E35" s="347" t="s">
        <v>346</v>
      </c>
      <c r="F35" s="629"/>
      <c r="G35" s="381" t="s">
        <v>347</v>
      </c>
      <c r="H35" s="570" t="s">
        <v>340</v>
      </c>
      <c r="I35" s="325" t="s">
        <v>56</v>
      </c>
      <c r="J35" s="388" t="s">
        <v>57</v>
      </c>
      <c r="K35" s="685"/>
      <c r="L35" s="325">
        <v>24</v>
      </c>
      <c r="M35" s="575">
        <v>325925.93</v>
      </c>
      <c r="N35" s="575">
        <v>7822222.3200000003</v>
      </c>
      <c r="O35" s="575">
        <v>625777.78560000006</v>
      </c>
      <c r="P35" s="575">
        <v>8448000.1055999994</v>
      </c>
      <c r="Q35" s="575"/>
      <c r="R35" s="575"/>
    </row>
    <row r="36" spans="1:18" s="686" customFormat="1">
      <c r="A36" s="625" t="s">
        <v>752</v>
      </c>
      <c r="B36" s="306" t="s">
        <v>694</v>
      </c>
      <c r="C36" s="297">
        <v>46077</v>
      </c>
      <c r="D36" s="628"/>
      <c r="E36" s="347">
        <v>46115</v>
      </c>
      <c r="F36" s="629"/>
      <c r="G36" s="381" t="s">
        <v>348</v>
      </c>
      <c r="H36" s="570" t="s">
        <v>340</v>
      </c>
      <c r="I36" s="325" t="s">
        <v>56</v>
      </c>
      <c r="J36" s="388" t="s">
        <v>57</v>
      </c>
      <c r="K36" s="685"/>
      <c r="L36" s="325">
        <v>20</v>
      </c>
      <c r="M36" s="575">
        <v>325925.93</v>
      </c>
      <c r="N36" s="575">
        <v>6518518.5999999996</v>
      </c>
      <c r="O36" s="575">
        <v>521481.48799999995</v>
      </c>
      <c r="P36" s="575">
        <v>7040000.0879999995</v>
      </c>
      <c r="Q36" s="575"/>
      <c r="R36" s="575"/>
    </row>
    <row r="37" spans="1:18" s="686" customFormat="1">
      <c r="A37" s="625" t="s">
        <v>752</v>
      </c>
      <c r="B37" s="306" t="s">
        <v>694</v>
      </c>
      <c r="C37" s="297">
        <v>46080</v>
      </c>
      <c r="D37" s="628"/>
      <c r="E37" s="347"/>
      <c r="F37" s="629"/>
      <c r="G37" s="325"/>
      <c r="H37" s="302" t="s">
        <v>672</v>
      </c>
      <c r="I37" s="325"/>
      <c r="J37" s="388"/>
      <c r="K37" s="685"/>
      <c r="L37" s="325"/>
      <c r="M37" s="575"/>
      <c r="N37" s="575">
        <v>0</v>
      </c>
      <c r="O37" s="575">
        <v>0</v>
      </c>
      <c r="P37" s="575">
        <v>0</v>
      </c>
      <c r="Q37" s="575">
        <v>27556000</v>
      </c>
      <c r="R37" s="575"/>
    </row>
    <row r="38" spans="1:18" s="686" customFormat="1">
      <c r="A38" s="625" t="s">
        <v>752</v>
      </c>
      <c r="B38" s="306" t="s">
        <v>694</v>
      </c>
      <c r="C38" s="297">
        <v>46083</v>
      </c>
      <c r="D38" s="628"/>
      <c r="E38" s="347"/>
      <c r="F38" s="629"/>
      <c r="G38" s="325"/>
      <c r="H38" s="570" t="s">
        <v>353</v>
      </c>
      <c r="I38" s="325"/>
      <c r="J38" s="388"/>
      <c r="K38" s="685"/>
      <c r="L38" s="325"/>
      <c r="M38" s="575"/>
      <c r="N38" s="575">
        <v>0</v>
      </c>
      <c r="O38" s="575">
        <v>0</v>
      </c>
      <c r="P38" s="575">
        <v>0</v>
      </c>
      <c r="Q38" s="575"/>
      <c r="R38" s="575">
        <v>832000</v>
      </c>
    </row>
    <row r="39" spans="1:18" s="686" customFormat="1">
      <c r="A39" s="625" t="s">
        <v>752</v>
      </c>
      <c r="B39" s="306" t="s">
        <v>694</v>
      </c>
      <c r="C39" s="297">
        <v>46146</v>
      </c>
      <c r="D39" s="628"/>
      <c r="E39" s="347" t="s">
        <v>331</v>
      </c>
      <c r="F39" s="629"/>
      <c r="G39" s="381" t="s">
        <v>354</v>
      </c>
      <c r="H39" s="570" t="s">
        <v>340</v>
      </c>
      <c r="I39" s="337" t="s">
        <v>355</v>
      </c>
      <c r="J39" s="388" t="s">
        <v>356</v>
      </c>
      <c r="K39" s="685"/>
      <c r="L39" s="325">
        <v>4</v>
      </c>
      <c r="M39" s="575">
        <v>1043518.52</v>
      </c>
      <c r="N39" s="575">
        <v>4174074.08</v>
      </c>
      <c r="O39" s="575">
        <v>333925.9264</v>
      </c>
      <c r="P39" s="575">
        <v>4508000.0064000003</v>
      </c>
      <c r="Q39" s="575"/>
      <c r="R39" s="575"/>
    </row>
    <row r="40" spans="1:18">
      <c r="A40" s="296" t="s">
        <v>752</v>
      </c>
      <c r="B40" s="306" t="s">
        <v>694</v>
      </c>
      <c r="C40" s="297">
        <v>46146</v>
      </c>
      <c r="D40" s="312"/>
      <c r="E40" s="347" t="s">
        <v>331</v>
      </c>
      <c r="F40" s="292"/>
      <c r="G40" s="381" t="s">
        <v>354</v>
      </c>
      <c r="H40" s="570" t="s">
        <v>340</v>
      </c>
      <c r="I40" s="325" t="s">
        <v>262</v>
      </c>
      <c r="J40" s="388" t="s">
        <v>263</v>
      </c>
      <c r="K40" s="559"/>
      <c r="L40" s="325">
        <v>4</v>
      </c>
      <c r="M40" s="575">
        <v>851851.85</v>
      </c>
      <c r="N40" s="575">
        <v>3407407.4</v>
      </c>
      <c r="O40" s="575">
        <v>272592.592</v>
      </c>
      <c r="P40" s="575">
        <v>3679999.9920000001</v>
      </c>
      <c r="Q40" s="575"/>
      <c r="R40" s="575"/>
    </row>
    <row r="41" spans="1:18">
      <c r="A41" s="296" t="s">
        <v>752</v>
      </c>
      <c r="B41" s="306" t="s">
        <v>694</v>
      </c>
      <c r="C41" s="297">
        <v>46146</v>
      </c>
      <c r="D41" s="312"/>
      <c r="E41" s="347" t="s">
        <v>331</v>
      </c>
      <c r="F41" s="292"/>
      <c r="G41" s="381" t="s">
        <v>354</v>
      </c>
      <c r="H41" s="570" t="s">
        <v>340</v>
      </c>
      <c r="I41" s="337" t="s">
        <v>28</v>
      </c>
      <c r="J41" s="388" t="s">
        <v>29</v>
      </c>
      <c r="K41" s="559"/>
      <c r="L41" s="325">
        <v>10</v>
      </c>
      <c r="M41" s="575">
        <v>281481.48</v>
      </c>
      <c r="N41" s="575">
        <v>2814814.8</v>
      </c>
      <c r="O41" s="575">
        <v>225185.18399999998</v>
      </c>
      <c r="P41" s="575">
        <v>3039999.9839999997</v>
      </c>
      <c r="Q41" s="575"/>
      <c r="R41" s="575"/>
    </row>
    <row r="42" spans="1:18">
      <c r="A42" s="296" t="s">
        <v>752</v>
      </c>
      <c r="B42" s="306" t="s">
        <v>694</v>
      </c>
      <c r="C42" s="297">
        <v>46146</v>
      </c>
      <c r="D42" s="312"/>
      <c r="E42" s="347" t="s">
        <v>331</v>
      </c>
      <c r="F42" s="292"/>
      <c r="G42" s="381" t="s">
        <v>354</v>
      </c>
      <c r="H42" s="570" t="s">
        <v>340</v>
      </c>
      <c r="I42" s="325" t="s">
        <v>243</v>
      </c>
      <c r="J42" s="388" t="s">
        <v>357</v>
      </c>
      <c r="K42" s="559"/>
      <c r="L42" s="325">
        <v>10</v>
      </c>
      <c r="M42" s="575">
        <v>298148.15000000002</v>
      </c>
      <c r="N42" s="575">
        <v>2981481.5</v>
      </c>
      <c r="O42" s="575">
        <v>238518.52000000002</v>
      </c>
      <c r="P42" s="575">
        <v>3220000.02</v>
      </c>
      <c r="Q42" s="575"/>
      <c r="R42" s="575"/>
    </row>
    <row r="43" spans="1:18" ht="30">
      <c r="A43" s="296" t="s">
        <v>752</v>
      </c>
      <c r="B43" s="306" t="s">
        <v>694</v>
      </c>
      <c r="C43" s="297">
        <v>46146</v>
      </c>
      <c r="D43" s="312"/>
      <c r="E43" s="347" t="s">
        <v>331</v>
      </c>
      <c r="F43" s="292"/>
      <c r="G43" s="381" t="s">
        <v>354</v>
      </c>
      <c r="H43" s="570" t="s">
        <v>340</v>
      </c>
      <c r="I43" s="337" t="s">
        <v>83</v>
      </c>
      <c r="J43" s="388" t="s">
        <v>84</v>
      </c>
      <c r="K43" s="559"/>
      <c r="L43" s="325">
        <v>4</v>
      </c>
      <c r="M43" s="575">
        <v>1097222.22</v>
      </c>
      <c r="N43" s="575">
        <v>4388888.88</v>
      </c>
      <c r="O43" s="575">
        <v>351111.11040000001</v>
      </c>
      <c r="P43" s="575">
        <v>4739999.9903999995</v>
      </c>
      <c r="Q43" s="575"/>
      <c r="R43" s="575"/>
    </row>
    <row r="44" spans="1:18">
      <c r="A44" s="296" t="s">
        <v>752</v>
      </c>
      <c r="B44" s="306" t="s">
        <v>694</v>
      </c>
      <c r="C44" s="297"/>
      <c r="D44" s="397"/>
      <c r="E44" s="396"/>
      <c r="F44" s="398"/>
      <c r="G44" s="399"/>
      <c r="H44" s="571" t="s">
        <v>840</v>
      </c>
      <c r="I44" s="400"/>
      <c r="J44" s="401"/>
      <c r="K44" s="561"/>
      <c r="L44" s="331"/>
      <c r="M44" s="576"/>
      <c r="N44" s="576"/>
      <c r="O44" s="576"/>
      <c r="P44" s="576"/>
      <c r="Q44" s="576">
        <v>-18740000</v>
      </c>
      <c r="R44" s="576"/>
    </row>
    <row r="45" spans="1:18" s="686" customFormat="1">
      <c r="A45" s="625" t="s">
        <v>752</v>
      </c>
      <c r="B45" s="306" t="s">
        <v>694</v>
      </c>
      <c r="C45" s="297">
        <v>46171</v>
      </c>
      <c r="D45" s="628"/>
      <c r="E45" s="347"/>
      <c r="F45" s="629"/>
      <c r="G45" s="325"/>
      <c r="H45" s="302" t="s">
        <v>672</v>
      </c>
      <c r="I45" s="325"/>
      <c r="J45" s="388"/>
      <c r="K45" s="685"/>
      <c r="L45" s="325"/>
      <c r="M45" s="575"/>
      <c r="N45" s="575">
        <v>0</v>
      </c>
      <c r="O45" s="575">
        <v>0</v>
      </c>
      <c r="P45" s="575">
        <v>0</v>
      </c>
      <c r="Q45" s="575">
        <v>37928000</v>
      </c>
      <c r="R45" s="575"/>
    </row>
    <row r="46" spans="1:18">
      <c r="A46" s="296" t="s">
        <v>752</v>
      </c>
      <c r="B46" s="306" t="s">
        <v>694</v>
      </c>
      <c r="C46" s="297">
        <v>46210</v>
      </c>
      <c r="D46" s="312"/>
      <c r="E46" s="347">
        <v>46272</v>
      </c>
      <c r="F46" s="292"/>
      <c r="G46" s="381" t="s">
        <v>358</v>
      </c>
      <c r="H46" s="570" t="s">
        <v>340</v>
      </c>
      <c r="I46" s="337" t="s">
        <v>28</v>
      </c>
      <c r="J46" s="388" t="s">
        <v>29</v>
      </c>
      <c r="K46" s="559"/>
      <c r="L46" s="325">
        <v>10</v>
      </c>
      <c r="M46" s="575">
        <v>281481.48</v>
      </c>
      <c r="N46" s="575">
        <v>2814814.8</v>
      </c>
      <c r="O46" s="575">
        <v>225185.18399999998</v>
      </c>
      <c r="P46" s="575">
        <v>3039999.9839999997</v>
      </c>
      <c r="Q46" s="575"/>
      <c r="R46" s="575"/>
    </row>
    <row r="47" spans="1:18">
      <c r="A47" s="296" t="s">
        <v>752</v>
      </c>
      <c r="B47" s="306" t="s">
        <v>694</v>
      </c>
      <c r="C47" s="297">
        <v>46210</v>
      </c>
      <c r="D47" s="312"/>
      <c r="E47" s="347">
        <v>46272</v>
      </c>
      <c r="F47" s="292"/>
      <c r="G47" s="381" t="s">
        <v>358</v>
      </c>
      <c r="H47" s="570" t="s">
        <v>340</v>
      </c>
      <c r="I47" s="325" t="s">
        <v>243</v>
      </c>
      <c r="J47" s="388" t="s">
        <v>357</v>
      </c>
      <c r="K47" s="559"/>
      <c r="L47" s="325">
        <v>10</v>
      </c>
      <c r="M47" s="575">
        <v>298148.15000000002</v>
      </c>
      <c r="N47" s="575">
        <v>2981481.5</v>
      </c>
      <c r="O47" s="575">
        <v>238518.52000000002</v>
      </c>
      <c r="P47" s="575">
        <v>3220000.02</v>
      </c>
      <c r="Q47" s="575"/>
      <c r="R47" s="575"/>
    </row>
    <row r="48" spans="1:18">
      <c r="A48" s="296" t="s">
        <v>752</v>
      </c>
      <c r="B48" s="306" t="s">
        <v>694</v>
      </c>
      <c r="C48" s="297">
        <v>46210</v>
      </c>
      <c r="D48" s="312"/>
      <c r="E48" s="347" t="s">
        <v>829</v>
      </c>
      <c r="F48" s="292"/>
      <c r="G48" s="381" t="s">
        <v>838</v>
      </c>
      <c r="H48" s="570" t="s">
        <v>340</v>
      </c>
      <c r="I48" s="325" t="s">
        <v>90</v>
      </c>
      <c r="J48" s="388" t="s">
        <v>91</v>
      </c>
      <c r="K48" s="559"/>
      <c r="L48" s="325">
        <v>10</v>
      </c>
      <c r="M48" s="575">
        <v>814814.81</v>
      </c>
      <c r="N48" s="575">
        <v>8148148.1000000006</v>
      </c>
      <c r="O48" s="575">
        <v>651851.84800000011</v>
      </c>
      <c r="P48" s="575">
        <v>8799999.9480000008</v>
      </c>
      <c r="Q48" s="575"/>
      <c r="R48" s="575"/>
    </row>
    <row r="49" spans="1:18" s="686" customFormat="1">
      <c r="A49" s="625" t="s">
        <v>752</v>
      </c>
      <c r="B49" s="306" t="s">
        <v>694</v>
      </c>
      <c r="C49" s="297">
        <v>46211</v>
      </c>
      <c r="D49" s="628"/>
      <c r="E49" s="347"/>
      <c r="F49" s="629"/>
      <c r="G49" s="325"/>
      <c r="H49" s="570" t="s">
        <v>281</v>
      </c>
      <c r="I49" s="325"/>
      <c r="J49" s="387"/>
      <c r="K49" s="685"/>
      <c r="L49" s="325"/>
      <c r="M49" s="575"/>
      <c r="N49" s="575"/>
      <c r="O49" s="575"/>
      <c r="P49" s="575"/>
      <c r="Q49" s="575"/>
      <c r="R49" s="575">
        <v>200000</v>
      </c>
    </row>
    <row r="50" spans="1:18">
      <c r="A50" s="296" t="s">
        <v>752</v>
      </c>
      <c r="B50" s="306" t="s">
        <v>694</v>
      </c>
      <c r="C50" s="297">
        <v>46225</v>
      </c>
      <c r="D50" s="312"/>
      <c r="E50" s="347" t="s">
        <v>359</v>
      </c>
      <c r="F50" s="292"/>
      <c r="G50" s="381" t="s">
        <v>360</v>
      </c>
      <c r="H50" s="570" t="s">
        <v>340</v>
      </c>
      <c r="I50" s="325" t="s">
        <v>301</v>
      </c>
      <c r="J50" s="387" t="s">
        <v>361</v>
      </c>
      <c r="K50" s="559"/>
      <c r="L50" s="325">
        <v>10</v>
      </c>
      <c r="M50" s="575">
        <v>277777.78000000003</v>
      </c>
      <c r="N50" s="575">
        <v>2777777.8000000003</v>
      </c>
      <c r="O50" s="575">
        <v>222222.22400000002</v>
      </c>
      <c r="P50" s="575">
        <v>3000000.0240000002</v>
      </c>
      <c r="Q50" s="575"/>
      <c r="R50" s="575"/>
    </row>
    <row r="51" spans="1:18">
      <c r="A51" s="296" t="s">
        <v>752</v>
      </c>
      <c r="B51" s="306" t="s">
        <v>694</v>
      </c>
      <c r="C51" s="297">
        <v>46225</v>
      </c>
      <c r="D51" s="312"/>
      <c r="E51" s="347" t="s">
        <v>359</v>
      </c>
      <c r="F51" s="292"/>
      <c r="G51" s="381" t="s">
        <v>360</v>
      </c>
      <c r="H51" s="570" t="s">
        <v>340</v>
      </c>
      <c r="I51" s="325" t="s">
        <v>243</v>
      </c>
      <c r="J51" s="387" t="s">
        <v>362</v>
      </c>
      <c r="K51" s="559"/>
      <c r="L51" s="325">
        <v>30</v>
      </c>
      <c r="M51" s="575">
        <v>298148.15000000002</v>
      </c>
      <c r="N51" s="575">
        <v>8944444.5</v>
      </c>
      <c r="O51" s="575">
        <v>715555.56</v>
      </c>
      <c r="P51" s="575">
        <v>9660000.0600000005</v>
      </c>
      <c r="Q51" s="575"/>
      <c r="R51" s="575"/>
    </row>
    <row r="52" spans="1:18" s="686" customFormat="1">
      <c r="A52" s="625" t="s">
        <v>752</v>
      </c>
      <c r="B52" s="306" t="s">
        <v>694</v>
      </c>
      <c r="C52" s="297">
        <v>46225</v>
      </c>
      <c r="D52" s="628"/>
      <c r="E52" s="347" t="s">
        <v>359</v>
      </c>
      <c r="F52" s="629"/>
      <c r="G52" s="381" t="s">
        <v>360</v>
      </c>
      <c r="H52" s="570" t="s">
        <v>340</v>
      </c>
      <c r="I52" s="325" t="s">
        <v>30</v>
      </c>
      <c r="J52" s="387" t="s">
        <v>363</v>
      </c>
      <c r="K52" s="685"/>
      <c r="L52" s="325">
        <v>10</v>
      </c>
      <c r="M52" s="575">
        <v>259259.26</v>
      </c>
      <c r="N52" s="575">
        <v>2592592.6</v>
      </c>
      <c r="O52" s="575">
        <v>207407.40800000002</v>
      </c>
      <c r="P52" s="575">
        <v>2800000.0079999999</v>
      </c>
      <c r="Q52" s="575"/>
      <c r="R52" s="575"/>
    </row>
    <row r="53" spans="1:18" s="686" customFormat="1">
      <c r="A53" s="625" t="s">
        <v>752</v>
      </c>
      <c r="B53" s="306" t="s">
        <v>694</v>
      </c>
      <c r="C53" s="297">
        <v>46226</v>
      </c>
      <c r="D53" s="628"/>
      <c r="E53" s="347"/>
      <c r="F53" s="629"/>
      <c r="G53" s="325"/>
      <c r="H53" s="570" t="s">
        <v>281</v>
      </c>
      <c r="I53" s="325"/>
      <c r="J53" s="387"/>
      <c r="K53" s="685"/>
      <c r="L53" s="325"/>
      <c r="M53" s="575"/>
      <c r="N53" s="575"/>
      <c r="O53" s="575"/>
      <c r="P53" s="575"/>
      <c r="Q53" s="575"/>
      <c r="R53" s="575">
        <v>150000</v>
      </c>
    </row>
    <row r="54" spans="1:18">
      <c r="A54" s="296" t="s">
        <v>752</v>
      </c>
      <c r="B54" s="306" t="s">
        <v>694</v>
      </c>
      <c r="C54" s="297">
        <v>46238</v>
      </c>
      <c r="D54" s="299" t="s">
        <v>661</v>
      </c>
      <c r="E54" s="323"/>
      <c r="F54" s="298"/>
      <c r="G54" s="336"/>
      <c r="H54" s="299" t="s">
        <v>812</v>
      </c>
      <c r="I54" s="303" t="s">
        <v>643</v>
      </c>
      <c r="J54" s="303" t="s">
        <v>644</v>
      </c>
      <c r="K54" s="322" t="s">
        <v>113</v>
      </c>
      <c r="L54" s="298">
        <v>23</v>
      </c>
      <c r="M54" s="579">
        <v>527777.78</v>
      </c>
      <c r="N54" s="578">
        <v>12138888.940000001</v>
      </c>
      <c r="O54" s="578">
        <v>971111.11520000012</v>
      </c>
      <c r="P54" s="578">
        <v>13110000.055200001</v>
      </c>
      <c r="Q54" s="578"/>
      <c r="R54" s="578"/>
    </row>
    <row r="55" spans="1:18">
      <c r="A55" s="296" t="s">
        <v>752</v>
      </c>
      <c r="B55" s="306" t="s">
        <v>694</v>
      </c>
      <c r="C55" s="297">
        <v>46238</v>
      </c>
      <c r="D55" s="299" t="s">
        <v>661</v>
      </c>
      <c r="E55" s="323"/>
      <c r="F55" s="298"/>
      <c r="G55" s="336"/>
      <c r="H55" s="299" t="s">
        <v>812</v>
      </c>
      <c r="I55" s="303" t="s">
        <v>645</v>
      </c>
      <c r="J55" s="303" t="s">
        <v>662</v>
      </c>
      <c r="K55" s="322" t="s">
        <v>113</v>
      </c>
      <c r="L55" s="298">
        <v>22</v>
      </c>
      <c r="M55" s="578">
        <v>629629.63</v>
      </c>
      <c r="N55" s="578">
        <v>13851851.859999999</v>
      </c>
      <c r="O55" s="578">
        <v>1108148.1488000001</v>
      </c>
      <c r="P55" s="578">
        <v>14960000.0088</v>
      </c>
      <c r="Q55" s="578"/>
      <c r="R55" s="578"/>
    </row>
    <row r="56" spans="1:18">
      <c r="A56" s="296" t="s">
        <v>752</v>
      </c>
      <c r="B56" s="306" t="s">
        <v>694</v>
      </c>
      <c r="C56" s="297">
        <v>46238</v>
      </c>
      <c r="D56" s="299" t="s">
        <v>661</v>
      </c>
      <c r="E56" s="323"/>
      <c r="F56" s="298"/>
      <c r="G56" s="336"/>
      <c r="H56" s="299" t="s">
        <v>812</v>
      </c>
      <c r="I56" s="303" t="s">
        <v>90</v>
      </c>
      <c r="J56" s="303" t="s">
        <v>91</v>
      </c>
      <c r="K56" s="322" t="s">
        <v>113</v>
      </c>
      <c r="L56" s="298">
        <v>12</v>
      </c>
      <c r="M56" s="578">
        <v>814814.81</v>
      </c>
      <c r="N56" s="578">
        <v>9777777.7200000007</v>
      </c>
      <c r="O56" s="578">
        <v>782222.21760000009</v>
      </c>
      <c r="P56" s="578">
        <v>10559999.937600002</v>
      </c>
      <c r="Q56" s="578"/>
      <c r="R56" s="578"/>
    </row>
    <row r="57" spans="1:18">
      <c r="A57" s="296" t="s">
        <v>752</v>
      </c>
      <c r="B57" s="306" t="s">
        <v>694</v>
      </c>
      <c r="C57" s="297">
        <v>46238</v>
      </c>
      <c r="D57" s="299" t="s">
        <v>661</v>
      </c>
      <c r="E57" s="323"/>
      <c r="F57" s="298"/>
      <c r="G57" s="336"/>
      <c r="H57" s="299" t="s">
        <v>812</v>
      </c>
      <c r="I57" s="303" t="s">
        <v>103</v>
      </c>
      <c r="J57" s="303" t="s">
        <v>104</v>
      </c>
      <c r="K57" s="322" t="s">
        <v>113</v>
      </c>
      <c r="L57" s="298">
        <v>6</v>
      </c>
      <c r="M57" s="578">
        <v>675925.93</v>
      </c>
      <c r="N57" s="578">
        <v>4055555.58</v>
      </c>
      <c r="O57" s="578">
        <v>324444.44640000002</v>
      </c>
      <c r="P57" s="578">
        <v>4380000.0263999999</v>
      </c>
      <c r="Q57" s="578"/>
      <c r="R57" s="578"/>
    </row>
    <row r="58" spans="1:18">
      <c r="A58" s="296" t="s">
        <v>752</v>
      </c>
      <c r="B58" s="306" t="s">
        <v>694</v>
      </c>
      <c r="C58" s="297">
        <v>46238</v>
      </c>
      <c r="D58" s="299" t="s">
        <v>661</v>
      </c>
      <c r="E58" s="323"/>
      <c r="F58" s="298"/>
      <c r="G58" s="336"/>
      <c r="H58" s="302" t="s">
        <v>689</v>
      </c>
      <c r="I58" s="303" t="s">
        <v>643</v>
      </c>
      <c r="J58" s="303" t="s">
        <v>644</v>
      </c>
      <c r="K58" s="322" t="s">
        <v>113</v>
      </c>
      <c r="L58" s="298">
        <v>2</v>
      </c>
      <c r="M58" s="579">
        <v>0</v>
      </c>
      <c r="N58" s="578">
        <v>0</v>
      </c>
      <c r="O58" s="578">
        <v>0</v>
      </c>
      <c r="P58" s="578">
        <v>0</v>
      </c>
      <c r="Q58" s="578"/>
      <c r="R58" s="578"/>
    </row>
    <row r="59" spans="1:18">
      <c r="A59" s="296" t="s">
        <v>752</v>
      </c>
      <c r="B59" s="306" t="s">
        <v>694</v>
      </c>
      <c r="C59" s="297">
        <v>46238</v>
      </c>
      <c r="D59" s="299" t="s">
        <v>661</v>
      </c>
      <c r="E59" s="323"/>
      <c r="F59" s="298"/>
      <c r="G59" s="336"/>
      <c r="H59" s="302" t="s">
        <v>689</v>
      </c>
      <c r="I59" s="303" t="s">
        <v>645</v>
      </c>
      <c r="J59" s="303" t="s">
        <v>646</v>
      </c>
      <c r="K59" s="322" t="s">
        <v>113</v>
      </c>
      <c r="L59" s="298">
        <v>1</v>
      </c>
      <c r="M59" s="579">
        <v>0</v>
      </c>
      <c r="N59" s="578">
        <v>0</v>
      </c>
      <c r="O59" s="578">
        <v>0</v>
      </c>
      <c r="P59" s="578">
        <v>0</v>
      </c>
      <c r="Q59" s="578"/>
      <c r="R59" s="578"/>
    </row>
    <row r="60" spans="1:18">
      <c r="A60" s="296" t="s">
        <v>752</v>
      </c>
      <c r="B60" s="306" t="s">
        <v>694</v>
      </c>
      <c r="C60" s="297">
        <v>46238</v>
      </c>
      <c r="D60" s="299" t="s">
        <v>661</v>
      </c>
      <c r="E60" s="323"/>
      <c r="F60" s="298"/>
      <c r="G60" s="336"/>
      <c r="H60" s="302" t="s">
        <v>690</v>
      </c>
      <c r="I60" s="303" t="s">
        <v>62</v>
      </c>
      <c r="J60" s="303" t="s">
        <v>63</v>
      </c>
      <c r="K60" s="322" t="s">
        <v>113</v>
      </c>
      <c r="L60" s="298">
        <v>6</v>
      </c>
      <c r="M60" s="579">
        <v>0</v>
      </c>
      <c r="N60" s="578">
        <v>0</v>
      </c>
      <c r="O60" s="578">
        <v>0</v>
      </c>
      <c r="P60" s="578">
        <v>0</v>
      </c>
      <c r="Q60" s="578"/>
      <c r="R60" s="578"/>
    </row>
    <row r="61" spans="1:18">
      <c r="A61" s="296" t="s">
        <v>752</v>
      </c>
      <c r="B61" s="306" t="s">
        <v>694</v>
      </c>
      <c r="C61" s="347"/>
      <c r="D61" s="299"/>
      <c r="E61" s="323"/>
      <c r="F61" s="298"/>
      <c r="G61" s="336"/>
      <c r="H61" s="299" t="s">
        <v>760</v>
      </c>
      <c r="I61" s="298"/>
      <c r="J61" s="298"/>
      <c r="K61" s="322"/>
      <c r="L61" s="298"/>
      <c r="M61" s="578"/>
      <c r="N61" s="578"/>
      <c r="O61" s="578"/>
      <c r="P61" s="578"/>
      <c r="Q61" s="578"/>
      <c r="R61" s="578">
        <v>600000</v>
      </c>
    </row>
    <row r="62" spans="1:18">
      <c r="A62" s="296" t="s">
        <v>752</v>
      </c>
      <c r="B62" s="306" t="s">
        <v>694</v>
      </c>
      <c r="C62" s="297">
        <v>46246</v>
      </c>
      <c r="D62" s="299" t="s">
        <v>751</v>
      </c>
      <c r="E62" s="297"/>
      <c r="F62" s="298"/>
      <c r="G62" s="298"/>
      <c r="H62" s="299" t="s">
        <v>812</v>
      </c>
      <c r="I62" s="298" t="s">
        <v>643</v>
      </c>
      <c r="J62" s="298" t="s">
        <v>644</v>
      </c>
      <c r="K62" s="322" t="s">
        <v>465</v>
      </c>
      <c r="L62" s="298">
        <v>30</v>
      </c>
      <c r="M62" s="579">
        <v>527777.78</v>
      </c>
      <c r="N62" s="578">
        <v>15833333.4</v>
      </c>
      <c r="O62" s="578">
        <v>1266666.672</v>
      </c>
      <c r="P62" s="578">
        <v>17100000.072000001</v>
      </c>
      <c r="Q62" s="578"/>
      <c r="R62" s="578"/>
    </row>
    <row r="63" spans="1:18">
      <c r="A63" s="296" t="s">
        <v>752</v>
      </c>
      <c r="B63" s="306" t="s">
        <v>694</v>
      </c>
      <c r="C63" s="297">
        <v>46246</v>
      </c>
      <c r="D63" s="299" t="s">
        <v>751</v>
      </c>
      <c r="E63" s="297"/>
      <c r="F63" s="298"/>
      <c r="G63" s="298"/>
      <c r="H63" s="299" t="s">
        <v>812</v>
      </c>
      <c r="I63" s="298" t="s">
        <v>645</v>
      </c>
      <c r="J63" s="298" t="s">
        <v>646</v>
      </c>
      <c r="K63" s="322" t="s">
        <v>465</v>
      </c>
      <c r="L63" s="298">
        <v>30</v>
      </c>
      <c r="M63" s="579">
        <v>629629.63</v>
      </c>
      <c r="N63" s="578">
        <v>18888888.899999999</v>
      </c>
      <c r="O63" s="578">
        <v>1511111.112</v>
      </c>
      <c r="P63" s="578">
        <v>20400000.011999998</v>
      </c>
      <c r="Q63" s="578"/>
      <c r="R63" s="578"/>
    </row>
    <row r="64" spans="1:18">
      <c r="A64" s="296" t="s">
        <v>752</v>
      </c>
      <c r="B64" s="306" t="s">
        <v>694</v>
      </c>
      <c r="C64" s="297">
        <v>46246</v>
      </c>
      <c r="D64" s="299" t="s">
        <v>751</v>
      </c>
      <c r="E64" s="297"/>
      <c r="F64" s="298"/>
      <c r="G64" s="298"/>
      <c r="H64" s="299" t="s">
        <v>812</v>
      </c>
      <c r="I64" s="298" t="s">
        <v>653</v>
      </c>
      <c r="J64" s="298" t="s">
        <v>654</v>
      </c>
      <c r="K64" s="322" t="s">
        <v>465</v>
      </c>
      <c r="L64" s="298">
        <v>15</v>
      </c>
      <c r="M64" s="579">
        <v>481481.48</v>
      </c>
      <c r="N64" s="578">
        <v>7222222.1999999993</v>
      </c>
      <c r="O64" s="578">
        <v>577777.77599999995</v>
      </c>
      <c r="P64" s="578">
        <v>7799999.9759999989</v>
      </c>
      <c r="Q64" s="578"/>
      <c r="R64" s="578"/>
    </row>
    <row r="65" spans="1:18">
      <c r="A65" s="296" t="s">
        <v>752</v>
      </c>
      <c r="B65" s="306" t="s">
        <v>694</v>
      </c>
      <c r="C65" s="297">
        <v>46246</v>
      </c>
      <c r="D65" s="299" t="s">
        <v>751</v>
      </c>
      <c r="E65" s="297"/>
      <c r="F65" s="298"/>
      <c r="G65" s="298"/>
      <c r="H65" s="299" t="s">
        <v>812</v>
      </c>
      <c r="I65" s="298" t="s">
        <v>655</v>
      </c>
      <c r="J65" s="298" t="s">
        <v>656</v>
      </c>
      <c r="K65" s="322" t="s">
        <v>465</v>
      </c>
      <c r="L65" s="298">
        <v>15</v>
      </c>
      <c r="M65" s="579">
        <v>574074.06999999995</v>
      </c>
      <c r="N65" s="578">
        <v>8611111.0499999989</v>
      </c>
      <c r="O65" s="578">
        <v>688888.88399999996</v>
      </c>
      <c r="P65" s="578">
        <v>9299999.9339999985</v>
      </c>
      <c r="Q65" s="578"/>
      <c r="R65" s="578"/>
    </row>
    <row r="66" spans="1:18">
      <c r="A66" s="296" t="s">
        <v>752</v>
      </c>
      <c r="B66" s="306" t="s">
        <v>694</v>
      </c>
      <c r="C66" s="297">
        <v>46246</v>
      </c>
      <c r="D66" s="299" t="s">
        <v>751</v>
      </c>
      <c r="E66" s="297"/>
      <c r="F66" s="298"/>
      <c r="G66" s="298"/>
      <c r="H66" s="302" t="s">
        <v>689</v>
      </c>
      <c r="I66" s="298" t="s">
        <v>643</v>
      </c>
      <c r="J66" s="298" t="s">
        <v>644</v>
      </c>
      <c r="K66" s="322" t="s">
        <v>465</v>
      </c>
      <c r="L66" s="298">
        <v>2</v>
      </c>
      <c r="M66" s="579">
        <v>0</v>
      </c>
      <c r="N66" s="578">
        <v>0</v>
      </c>
      <c r="O66" s="578">
        <v>0</v>
      </c>
      <c r="P66" s="578">
        <v>0</v>
      </c>
      <c r="Q66" s="578"/>
      <c r="R66" s="578"/>
    </row>
    <row r="67" spans="1:18">
      <c r="A67" s="296" t="s">
        <v>752</v>
      </c>
      <c r="B67" s="306" t="s">
        <v>694</v>
      </c>
      <c r="C67" s="297">
        <v>46246</v>
      </c>
      <c r="D67" s="299" t="s">
        <v>751</v>
      </c>
      <c r="E67" s="297"/>
      <c r="F67" s="298"/>
      <c r="G67" s="298"/>
      <c r="H67" s="302" t="s">
        <v>689</v>
      </c>
      <c r="I67" s="298" t="s">
        <v>645</v>
      </c>
      <c r="J67" s="298" t="s">
        <v>646</v>
      </c>
      <c r="K67" s="322" t="s">
        <v>465</v>
      </c>
      <c r="L67" s="298">
        <v>2</v>
      </c>
      <c r="M67" s="579">
        <v>0</v>
      </c>
      <c r="N67" s="578">
        <v>0</v>
      </c>
      <c r="O67" s="578">
        <v>0</v>
      </c>
      <c r="P67" s="578">
        <v>0</v>
      </c>
      <c r="Q67" s="578"/>
      <c r="R67" s="578"/>
    </row>
    <row r="68" spans="1:18">
      <c r="A68" s="296" t="s">
        <v>752</v>
      </c>
      <c r="B68" s="306" t="s">
        <v>694</v>
      </c>
      <c r="C68" s="297">
        <v>46246</v>
      </c>
      <c r="D68" s="299" t="s">
        <v>751</v>
      </c>
      <c r="E68" s="297"/>
      <c r="F68" s="298"/>
      <c r="G68" s="298"/>
      <c r="H68" s="302" t="s">
        <v>689</v>
      </c>
      <c r="I68" s="298" t="s">
        <v>653</v>
      </c>
      <c r="J68" s="298" t="s">
        <v>654</v>
      </c>
      <c r="K68" s="322" t="s">
        <v>465</v>
      </c>
      <c r="L68" s="298">
        <v>1</v>
      </c>
      <c r="M68" s="579">
        <v>0</v>
      </c>
      <c r="N68" s="578">
        <v>0</v>
      </c>
      <c r="O68" s="578">
        <v>0</v>
      </c>
      <c r="P68" s="578">
        <v>0</v>
      </c>
      <c r="Q68" s="578"/>
      <c r="R68" s="578"/>
    </row>
    <row r="69" spans="1:18">
      <c r="A69" s="296" t="s">
        <v>752</v>
      </c>
      <c r="B69" s="306" t="s">
        <v>694</v>
      </c>
      <c r="C69" s="297">
        <v>46246</v>
      </c>
      <c r="D69" s="299" t="s">
        <v>751</v>
      </c>
      <c r="E69" s="297"/>
      <c r="F69" s="298"/>
      <c r="G69" s="298"/>
      <c r="H69" s="302" t="s">
        <v>689</v>
      </c>
      <c r="I69" s="298" t="s">
        <v>655</v>
      </c>
      <c r="J69" s="298" t="s">
        <v>656</v>
      </c>
      <c r="K69" s="322" t="s">
        <v>465</v>
      </c>
      <c r="L69" s="298">
        <v>1</v>
      </c>
      <c r="M69" s="579">
        <v>0</v>
      </c>
      <c r="N69" s="578">
        <v>0</v>
      </c>
      <c r="O69" s="578">
        <v>0</v>
      </c>
      <c r="P69" s="578">
        <v>0</v>
      </c>
      <c r="Q69" s="578"/>
      <c r="R69" s="578"/>
    </row>
    <row r="70" spans="1:18">
      <c r="A70" s="296" t="s">
        <v>752</v>
      </c>
      <c r="B70" s="306" t="s">
        <v>694</v>
      </c>
      <c r="C70" s="297">
        <v>46246</v>
      </c>
      <c r="D70" s="299" t="s">
        <v>751</v>
      </c>
      <c r="E70" s="297"/>
      <c r="F70" s="298"/>
      <c r="G70" s="298"/>
      <c r="H70" s="299" t="s">
        <v>812</v>
      </c>
      <c r="I70" s="298" t="s">
        <v>40</v>
      </c>
      <c r="J70" s="298" t="s">
        <v>41</v>
      </c>
      <c r="K70" s="322" t="s">
        <v>465</v>
      </c>
      <c r="L70" s="298">
        <v>4</v>
      </c>
      <c r="M70" s="579">
        <v>844444.44</v>
      </c>
      <c r="N70" s="578">
        <v>3377777.76</v>
      </c>
      <c r="O70" s="578">
        <v>270222.22080000001</v>
      </c>
      <c r="P70" s="578">
        <v>3647999.9808</v>
      </c>
      <c r="Q70" s="578"/>
      <c r="R70" s="578"/>
    </row>
    <row r="71" spans="1:18">
      <c r="A71" s="296" t="s">
        <v>752</v>
      </c>
      <c r="B71" s="306" t="s">
        <v>694</v>
      </c>
      <c r="C71" s="297">
        <v>46246</v>
      </c>
      <c r="D71" s="299"/>
      <c r="E71" s="297"/>
      <c r="F71" s="298"/>
      <c r="G71" s="298"/>
      <c r="H71" s="299" t="s">
        <v>859</v>
      </c>
      <c r="I71" s="298"/>
      <c r="J71" s="298"/>
      <c r="K71" s="322"/>
      <c r="L71" s="298"/>
      <c r="M71" s="579"/>
      <c r="N71" s="578"/>
      <c r="O71" s="578">
        <v>0</v>
      </c>
      <c r="P71" s="578">
        <v>0</v>
      </c>
      <c r="Q71" s="578">
        <v>60000000</v>
      </c>
      <c r="R71" s="578"/>
    </row>
    <row r="72" spans="1:18">
      <c r="A72" s="296" t="s">
        <v>752</v>
      </c>
      <c r="B72" s="306" t="s">
        <v>694</v>
      </c>
      <c r="C72" s="297">
        <v>46246</v>
      </c>
      <c r="D72" s="299"/>
      <c r="E72" s="297"/>
      <c r="F72" s="298"/>
      <c r="G72" s="298"/>
      <c r="H72" s="299" t="s">
        <v>760</v>
      </c>
      <c r="I72" s="298"/>
      <c r="J72" s="298"/>
      <c r="K72" s="322"/>
      <c r="L72" s="298"/>
      <c r="M72" s="579"/>
      <c r="N72" s="578"/>
      <c r="O72" s="578">
        <v>0</v>
      </c>
      <c r="P72" s="578">
        <v>0</v>
      </c>
      <c r="Q72" s="578"/>
      <c r="R72" s="578">
        <v>750000</v>
      </c>
    </row>
    <row r="73" spans="1:18">
      <c r="A73" s="296" t="s">
        <v>752</v>
      </c>
      <c r="B73" s="306" t="s">
        <v>694</v>
      </c>
      <c r="C73" s="297">
        <v>46259</v>
      </c>
      <c r="D73" s="299" t="s">
        <v>946</v>
      </c>
      <c r="E73" s="555"/>
      <c r="F73" s="298"/>
      <c r="G73" s="336"/>
      <c r="H73" s="299" t="s">
        <v>812</v>
      </c>
      <c r="I73" s="314" t="s">
        <v>643</v>
      </c>
      <c r="J73" s="320" t="s">
        <v>644</v>
      </c>
      <c r="K73" s="567" t="s">
        <v>18</v>
      </c>
      <c r="L73" s="627">
        <v>15</v>
      </c>
      <c r="M73" s="577">
        <v>527777.78</v>
      </c>
      <c r="N73" s="577">
        <v>7916666.7000000002</v>
      </c>
      <c r="O73" s="578">
        <v>633333.33600000001</v>
      </c>
      <c r="P73" s="578">
        <v>8550000.0360000003</v>
      </c>
      <c r="Q73" s="578"/>
      <c r="R73" s="578"/>
    </row>
    <row r="74" spans="1:18">
      <c r="A74" s="296" t="s">
        <v>752</v>
      </c>
      <c r="B74" s="306" t="s">
        <v>694</v>
      </c>
      <c r="C74" s="297">
        <v>46259</v>
      </c>
      <c r="D74" s="299" t="s">
        <v>946</v>
      </c>
      <c r="E74" s="555"/>
      <c r="F74" s="298"/>
      <c r="G74" s="336"/>
      <c r="H74" s="299" t="s">
        <v>812</v>
      </c>
      <c r="I74" s="314" t="s">
        <v>645</v>
      </c>
      <c r="J74" s="320" t="s">
        <v>646</v>
      </c>
      <c r="K74" s="567" t="s">
        <v>18</v>
      </c>
      <c r="L74" s="627">
        <v>2</v>
      </c>
      <c r="M74" s="577">
        <v>629629.63</v>
      </c>
      <c r="N74" s="577">
        <v>1259259.26</v>
      </c>
      <c r="O74" s="578">
        <v>100740.7408</v>
      </c>
      <c r="P74" s="578">
        <v>1360000.0008</v>
      </c>
      <c r="Q74" s="578"/>
      <c r="R74" s="578"/>
    </row>
    <row r="75" spans="1:18">
      <c r="A75" s="296" t="s">
        <v>752</v>
      </c>
      <c r="B75" s="306" t="s">
        <v>694</v>
      </c>
      <c r="C75" s="297">
        <v>46259</v>
      </c>
      <c r="D75" s="299" t="s">
        <v>946</v>
      </c>
      <c r="E75" s="555">
        <v>46261</v>
      </c>
      <c r="F75" s="298" t="s">
        <v>1081</v>
      </c>
      <c r="G75" s="336" t="s">
        <v>1080</v>
      </c>
      <c r="H75" s="299" t="s">
        <v>812</v>
      </c>
      <c r="I75" s="314" t="s">
        <v>40</v>
      </c>
      <c r="J75" s="320" t="s">
        <v>41</v>
      </c>
      <c r="K75" s="567" t="s">
        <v>18</v>
      </c>
      <c r="L75" s="627">
        <v>4</v>
      </c>
      <c r="M75" s="577">
        <v>844444.44</v>
      </c>
      <c r="N75" s="577">
        <v>3377777.76</v>
      </c>
      <c r="O75" s="578">
        <v>270222.22080000001</v>
      </c>
      <c r="P75" s="578">
        <v>3647999.9808</v>
      </c>
      <c r="Q75" s="578"/>
      <c r="R75" s="578"/>
    </row>
    <row r="76" spans="1:18">
      <c r="A76" s="296" t="s">
        <v>752</v>
      </c>
      <c r="B76" s="306" t="s">
        <v>694</v>
      </c>
      <c r="C76" s="297">
        <v>46259</v>
      </c>
      <c r="D76" s="299" t="s">
        <v>946</v>
      </c>
      <c r="E76" s="555"/>
      <c r="F76" s="298"/>
      <c r="G76" s="336"/>
      <c r="H76" s="299" t="s">
        <v>812</v>
      </c>
      <c r="I76" s="314" t="s">
        <v>103</v>
      </c>
      <c r="J76" s="320" t="s">
        <v>104</v>
      </c>
      <c r="K76" s="567" t="s">
        <v>18</v>
      </c>
      <c r="L76" s="627">
        <v>12</v>
      </c>
      <c r="M76" s="577">
        <v>675925.93</v>
      </c>
      <c r="N76" s="577">
        <v>8111111.1600000001</v>
      </c>
      <c r="O76" s="578">
        <v>648888.89280000003</v>
      </c>
      <c r="P76" s="578">
        <v>8760000.0527999997</v>
      </c>
      <c r="Q76" s="578"/>
      <c r="R76" s="578"/>
    </row>
    <row r="77" spans="1:18">
      <c r="A77" s="296" t="s">
        <v>752</v>
      </c>
      <c r="B77" s="306" t="s">
        <v>694</v>
      </c>
      <c r="C77" s="297">
        <v>46259</v>
      </c>
      <c r="D77" s="299" t="s">
        <v>946</v>
      </c>
      <c r="E77" s="555">
        <v>46261</v>
      </c>
      <c r="F77" s="298" t="s">
        <v>1081</v>
      </c>
      <c r="G77" s="336" t="s">
        <v>1080</v>
      </c>
      <c r="H77" s="299" t="s">
        <v>812</v>
      </c>
      <c r="I77" s="314" t="s">
        <v>62</v>
      </c>
      <c r="J77" s="320" t="s">
        <v>63</v>
      </c>
      <c r="K77" s="567" t="s">
        <v>18</v>
      </c>
      <c r="L77" s="627">
        <v>50</v>
      </c>
      <c r="M77" s="577">
        <v>111111.11</v>
      </c>
      <c r="N77" s="577">
        <v>5555555.5</v>
      </c>
      <c r="O77" s="578">
        <v>444444.44</v>
      </c>
      <c r="P77" s="578">
        <v>5999999.9400000004</v>
      </c>
      <c r="Q77" s="578"/>
      <c r="R77" s="578"/>
    </row>
    <row r="78" spans="1:18">
      <c r="A78" s="296" t="s">
        <v>752</v>
      </c>
      <c r="B78" s="306" t="s">
        <v>694</v>
      </c>
      <c r="C78" s="297">
        <v>46259</v>
      </c>
      <c r="D78" s="299" t="s">
        <v>946</v>
      </c>
      <c r="E78" s="555"/>
      <c r="F78" s="298"/>
      <c r="G78" s="336"/>
      <c r="H78" s="299" t="s">
        <v>812</v>
      </c>
      <c r="I78" s="314" t="s">
        <v>62</v>
      </c>
      <c r="J78" s="320" t="s">
        <v>63</v>
      </c>
      <c r="K78" s="567" t="s">
        <v>18</v>
      </c>
      <c r="L78" s="627">
        <v>12</v>
      </c>
      <c r="M78" s="577">
        <v>0</v>
      </c>
      <c r="N78" s="577">
        <v>0</v>
      </c>
      <c r="O78" s="578">
        <v>0</v>
      </c>
      <c r="P78" s="578">
        <v>0</v>
      </c>
      <c r="Q78" s="578"/>
      <c r="R78" s="578"/>
    </row>
    <row r="79" spans="1:18">
      <c r="A79" s="296" t="s">
        <v>752</v>
      </c>
      <c r="B79" s="306" t="s">
        <v>694</v>
      </c>
      <c r="C79" s="297">
        <v>46259</v>
      </c>
      <c r="D79" s="299" t="s">
        <v>946</v>
      </c>
      <c r="E79" s="555"/>
      <c r="F79" s="298"/>
      <c r="G79" s="336"/>
      <c r="H79" s="299" t="s">
        <v>812</v>
      </c>
      <c r="I79" s="314" t="s">
        <v>643</v>
      </c>
      <c r="J79" s="320" t="s">
        <v>644</v>
      </c>
      <c r="K79" s="567" t="s">
        <v>18</v>
      </c>
      <c r="L79" s="627">
        <v>1</v>
      </c>
      <c r="M79" s="577">
        <v>0</v>
      </c>
      <c r="N79" s="577">
        <v>0</v>
      </c>
      <c r="O79" s="578">
        <v>0</v>
      </c>
      <c r="P79" s="578">
        <v>0</v>
      </c>
      <c r="Q79" s="578"/>
      <c r="R79" s="578"/>
    </row>
    <row r="80" spans="1:18">
      <c r="A80" s="296" t="s">
        <v>752</v>
      </c>
      <c r="B80" s="306" t="s">
        <v>694</v>
      </c>
      <c r="D80" s="297"/>
      <c r="E80" s="299"/>
      <c r="F80" s="297"/>
      <c r="G80" s="298"/>
      <c r="H80" s="299" t="s">
        <v>760</v>
      </c>
      <c r="I80" s="447"/>
      <c r="J80" s="298"/>
      <c r="K80" s="322"/>
      <c r="L80" s="447"/>
      <c r="M80" s="612"/>
      <c r="N80" s="613"/>
      <c r="O80" s="613"/>
      <c r="P80" s="613"/>
      <c r="Q80" s="578"/>
      <c r="R80" s="613">
        <v>400000</v>
      </c>
    </row>
    <row r="81" spans="1:18">
      <c r="A81" s="296" t="s">
        <v>752</v>
      </c>
      <c r="B81" s="306" t="s">
        <v>694</v>
      </c>
      <c r="C81" s="297">
        <v>46262</v>
      </c>
      <c r="D81" s="299" t="s">
        <v>993</v>
      </c>
      <c r="E81" s="555"/>
      <c r="F81" s="298"/>
      <c r="G81" s="336"/>
      <c r="H81" s="299" t="s">
        <v>812</v>
      </c>
      <c r="I81" s="643" t="s">
        <v>959</v>
      </c>
      <c r="J81" s="299" t="s">
        <v>960</v>
      </c>
      <c r="K81" s="643" t="s">
        <v>18</v>
      </c>
      <c r="L81" s="648">
        <v>100</v>
      </c>
      <c r="M81" s="662">
        <v>111111.11</v>
      </c>
      <c r="N81" s="662">
        <f t="shared" ref="N81" si="0">L81*M81</f>
        <v>11111111</v>
      </c>
      <c r="O81" s="663">
        <f t="shared" ref="O81" si="1">N81*8%</f>
        <v>888888.88</v>
      </c>
      <c r="P81" s="578">
        <f>N81+O81</f>
        <v>11999999.880000001</v>
      </c>
      <c r="Q81" s="578"/>
      <c r="R81" s="578"/>
    </row>
    <row r="82" spans="1:18">
      <c r="A82" s="296" t="s">
        <v>752</v>
      </c>
      <c r="B82" s="306" t="s">
        <v>694</v>
      </c>
      <c r="C82" s="446">
        <v>46304</v>
      </c>
      <c r="D82" s="442" t="s">
        <v>1122</v>
      </c>
      <c r="E82" s="450"/>
      <c r="F82" s="443"/>
      <c r="G82" s="443"/>
      <c r="H82" s="299" t="s">
        <v>812</v>
      </c>
      <c r="I82" s="314" t="s">
        <v>643</v>
      </c>
      <c r="J82" s="320" t="s">
        <v>644</v>
      </c>
      <c r="K82" s="314" t="s">
        <v>18</v>
      </c>
      <c r="L82" s="315">
        <v>15</v>
      </c>
      <c r="M82" s="726">
        <v>527777.78</v>
      </c>
      <c r="N82" s="726">
        <v>7916666.7000000002</v>
      </c>
      <c r="O82" s="578">
        <v>633333.33600000001</v>
      </c>
      <c r="P82" s="578">
        <v>8550000.0360000003</v>
      </c>
      <c r="Q82" s="578"/>
      <c r="R82" s="578"/>
    </row>
    <row r="83" spans="1:18">
      <c r="A83" s="296" t="s">
        <v>752</v>
      </c>
      <c r="B83" s="306" t="s">
        <v>694</v>
      </c>
      <c r="C83" s="446">
        <v>46304</v>
      </c>
      <c r="D83" s="442" t="s">
        <v>1122</v>
      </c>
      <c r="E83" s="450"/>
      <c r="F83" s="443"/>
      <c r="G83" s="443"/>
      <c r="H83" s="299" t="s">
        <v>812</v>
      </c>
      <c r="I83" s="314" t="s">
        <v>959</v>
      </c>
      <c r="J83" s="692" t="s">
        <v>960</v>
      </c>
      <c r="K83" s="314" t="s">
        <v>18</v>
      </c>
      <c r="L83" s="315">
        <v>50</v>
      </c>
      <c r="M83" s="726">
        <v>111111.11</v>
      </c>
      <c r="N83" s="726">
        <v>5555555.5</v>
      </c>
      <c r="O83" s="578">
        <v>444444.44</v>
      </c>
      <c r="P83" s="578">
        <v>5999999.9400000004</v>
      </c>
      <c r="Q83" s="578"/>
      <c r="R83" s="578"/>
    </row>
    <row r="84" spans="1:18">
      <c r="A84" s="296" t="s">
        <v>752</v>
      </c>
      <c r="B84" s="306" t="s">
        <v>694</v>
      </c>
      <c r="C84" s="446">
        <v>46304</v>
      </c>
      <c r="D84" s="442" t="s">
        <v>1122</v>
      </c>
      <c r="E84" s="450"/>
      <c r="F84" s="443"/>
      <c r="G84" s="443"/>
      <c r="H84" s="302" t="s">
        <v>689</v>
      </c>
      <c r="I84" s="314" t="s">
        <v>643</v>
      </c>
      <c r="J84" s="320" t="s">
        <v>644</v>
      </c>
      <c r="K84" s="314" t="s">
        <v>18</v>
      </c>
      <c r="L84" s="315">
        <v>1</v>
      </c>
      <c r="M84" s="726">
        <v>0</v>
      </c>
      <c r="N84" s="726">
        <v>0</v>
      </c>
      <c r="O84" s="578">
        <v>0</v>
      </c>
      <c r="P84" s="578">
        <v>0</v>
      </c>
      <c r="Q84" s="578"/>
      <c r="R84" s="578"/>
    </row>
    <row r="85" spans="1:18">
      <c r="A85" s="296" t="s">
        <v>752</v>
      </c>
      <c r="B85" s="306" t="s">
        <v>694</v>
      </c>
      <c r="C85" s="446">
        <v>46279</v>
      </c>
      <c r="D85" s="442"/>
      <c r="E85" s="450"/>
      <c r="F85" s="443"/>
      <c r="G85" s="443"/>
      <c r="H85" s="299" t="s">
        <v>760</v>
      </c>
      <c r="I85" s="314"/>
      <c r="J85" s="320"/>
      <c r="K85" s="314"/>
      <c r="L85" s="315"/>
      <c r="M85" s="726"/>
      <c r="N85" s="726"/>
      <c r="O85" s="578"/>
      <c r="P85" s="578"/>
      <c r="Q85" s="578"/>
      <c r="R85" s="578">
        <v>300000</v>
      </c>
    </row>
    <row r="86" spans="1:18">
      <c r="A86" s="711" t="s">
        <v>752</v>
      </c>
      <c r="B86" s="306" t="s">
        <v>1143</v>
      </c>
      <c r="C86" s="446">
        <v>46279</v>
      </c>
      <c r="D86" s="490" t="s">
        <v>1144</v>
      </c>
      <c r="E86" s="450"/>
      <c r="F86" s="443"/>
      <c r="G86" s="443"/>
      <c r="H86" s="299" t="s">
        <v>812</v>
      </c>
      <c r="I86" s="718" t="s">
        <v>103</v>
      </c>
      <c r="J86" s="716" t="s">
        <v>104</v>
      </c>
      <c r="K86" s="643" t="s">
        <v>18</v>
      </c>
      <c r="L86" s="721">
        <v>12</v>
      </c>
      <c r="M86" s="662">
        <v>675925.93</v>
      </c>
      <c r="N86" s="662">
        <f t="shared" ref="N86:N88" si="2">L86*M86</f>
        <v>8111111.1600000001</v>
      </c>
      <c r="O86" s="578">
        <f t="shared" ref="O86:O88" si="3">N86*8%</f>
        <v>648888.89280000003</v>
      </c>
      <c r="P86" s="578">
        <f t="shared" ref="P86:P88" si="4">N86+O86</f>
        <v>8760000.0527999997</v>
      </c>
      <c r="Q86" s="578"/>
      <c r="R86" s="578"/>
    </row>
    <row r="87" spans="1:18">
      <c r="A87" s="711" t="s">
        <v>752</v>
      </c>
      <c r="B87" s="306" t="s">
        <v>1143</v>
      </c>
      <c r="C87" s="446">
        <v>46279</v>
      </c>
      <c r="D87" s="490" t="s">
        <v>1144</v>
      </c>
      <c r="E87" s="450"/>
      <c r="F87" s="443"/>
      <c r="G87" s="443"/>
      <c r="H87" s="299" t="s">
        <v>812</v>
      </c>
      <c r="I87" s="718" t="s">
        <v>959</v>
      </c>
      <c r="J87" s="724" t="s">
        <v>960</v>
      </c>
      <c r="K87" s="643" t="s">
        <v>18</v>
      </c>
      <c r="L87" s="721">
        <v>100</v>
      </c>
      <c r="M87" s="662">
        <v>111111.11</v>
      </c>
      <c r="N87" s="662">
        <f t="shared" si="2"/>
        <v>11111111</v>
      </c>
      <c r="O87" s="578">
        <f t="shared" si="3"/>
        <v>888888.88</v>
      </c>
      <c r="P87" s="578">
        <f t="shared" si="4"/>
        <v>11999999.880000001</v>
      </c>
      <c r="Q87" s="578"/>
      <c r="R87" s="578"/>
    </row>
    <row r="88" spans="1:18">
      <c r="A88" s="711" t="s">
        <v>752</v>
      </c>
      <c r="B88" s="306" t="s">
        <v>1143</v>
      </c>
      <c r="C88" s="446">
        <v>46279</v>
      </c>
      <c r="D88" s="490" t="s">
        <v>1144</v>
      </c>
      <c r="E88" s="450"/>
      <c r="F88" s="443"/>
      <c r="G88" s="443"/>
      <c r="H88" s="295" t="s">
        <v>862</v>
      </c>
      <c r="I88" s="718" t="s">
        <v>959</v>
      </c>
      <c r="J88" s="724" t="s">
        <v>960</v>
      </c>
      <c r="K88" s="643" t="s">
        <v>18</v>
      </c>
      <c r="L88" s="721">
        <v>12</v>
      </c>
      <c r="M88" s="662">
        <v>0</v>
      </c>
      <c r="N88" s="662">
        <f t="shared" si="2"/>
        <v>0</v>
      </c>
      <c r="O88" s="578">
        <f t="shared" si="3"/>
        <v>0</v>
      </c>
      <c r="P88" s="578">
        <f t="shared" si="4"/>
        <v>0</v>
      </c>
      <c r="Q88" s="578"/>
      <c r="R88" s="578"/>
    </row>
    <row r="89" spans="1:18">
      <c r="A89" s="296" t="s">
        <v>752</v>
      </c>
      <c r="B89" s="306" t="s">
        <v>694</v>
      </c>
      <c r="C89" s="446">
        <v>46279</v>
      </c>
      <c r="D89" s="442"/>
      <c r="E89" s="450"/>
      <c r="F89" s="443"/>
      <c r="G89" s="443"/>
      <c r="H89" s="299" t="s">
        <v>760</v>
      </c>
      <c r="I89" s="447"/>
      <c r="J89" s="312"/>
      <c r="K89" s="298"/>
      <c r="L89" s="635"/>
      <c r="M89" s="612"/>
      <c r="N89" s="613"/>
      <c r="O89" s="613"/>
      <c r="P89" s="613"/>
      <c r="Q89" s="578"/>
      <c r="R89" s="613">
        <v>350000</v>
      </c>
    </row>
    <row r="90" spans="1:18">
      <c r="A90" s="711" t="s">
        <v>752</v>
      </c>
      <c r="B90" s="306" t="s">
        <v>1143</v>
      </c>
      <c r="C90" s="446">
        <v>46282</v>
      </c>
      <c r="D90" s="490" t="s">
        <v>1209</v>
      </c>
      <c r="E90" s="450"/>
      <c r="F90" s="443"/>
      <c r="G90" s="443"/>
      <c r="H90" s="299" t="s">
        <v>812</v>
      </c>
      <c r="I90" s="317" t="s">
        <v>643</v>
      </c>
      <c r="J90" s="320" t="s">
        <v>644</v>
      </c>
      <c r="K90" s="317" t="s">
        <v>18</v>
      </c>
      <c r="L90" s="315">
        <v>15</v>
      </c>
      <c r="M90" s="316">
        <v>527777.78</v>
      </c>
      <c r="N90" s="319">
        <f t="shared" ref="N90:N94" si="5">L90*M90</f>
        <v>7916666.7000000002</v>
      </c>
      <c r="O90" s="613">
        <f t="shared" ref="O90:O94" si="6">N90*8%</f>
        <v>633333.33600000001</v>
      </c>
      <c r="P90" s="301">
        <f t="shared" ref="P90:P94" si="7">N90+O90</f>
        <v>8550000.0360000003</v>
      </c>
      <c r="Q90" s="578"/>
      <c r="R90" s="613"/>
    </row>
    <row r="91" spans="1:18">
      <c r="A91" s="711" t="s">
        <v>752</v>
      </c>
      <c r="B91" s="306" t="s">
        <v>1143</v>
      </c>
      <c r="C91" s="446">
        <v>46282</v>
      </c>
      <c r="D91" s="490" t="s">
        <v>1209</v>
      </c>
      <c r="E91" s="450"/>
      <c r="F91" s="443"/>
      <c r="G91" s="443"/>
      <c r="H91" s="299" t="s">
        <v>812</v>
      </c>
      <c r="I91" s="317" t="s">
        <v>645</v>
      </c>
      <c r="J91" s="320" t="s">
        <v>646</v>
      </c>
      <c r="K91" s="317" t="s">
        <v>18</v>
      </c>
      <c r="L91" s="315">
        <v>30</v>
      </c>
      <c r="M91" s="316">
        <v>629629.63</v>
      </c>
      <c r="N91" s="319">
        <f t="shared" si="5"/>
        <v>18888888.899999999</v>
      </c>
      <c r="O91" s="613">
        <f t="shared" si="6"/>
        <v>1511111.112</v>
      </c>
      <c r="P91" s="301">
        <f t="shared" si="7"/>
        <v>20400000.011999998</v>
      </c>
      <c r="Q91" s="578"/>
      <c r="R91" s="613"/>
    </row>
    <row r="92" spans="1:18">
      <c r="A92" s="711" t="s">
        <v>752</v>
      </c>
      <c r="B92" s="306" t="s">
        <v>1143</v>
      </c>
      <c r="C92" s="446">
        <v>46282</v>
      </c>
      <c r="D92" s="490" t="s">
        <v>1209</v>
      </c>
      <c r="E92" s="450"/>
      <c r="F92" s="443"/>
      <c r="G92" s="443"/>
      <c r="H92" s="299" t="s">
        <v>812</v>
      </c>
      <c r="I92" s="317" t="s">
        <v>90</v>
      </c>
      <c r="J92" s="320" t="s">
        <v>91</v>
      </c>
      <c r="K92" s="317" t="s">
        <v>18</v>
      </c>
      <c r="L92" s="315">
        <v>10</v>
      </c>
      <c r="M92" s="316">
        <v>814814.81</v>
      </c>
      <c r="N92" s="319">
        <f t="shared" si="5"/>
        <v>8148148.1000000006</v>
      </c>
      <c r="O92" s="613">
        <f t="shared" si="6"/>
        <v>651851.84800000011</v>
      </c>
      <c r="P92" s="301">
        <f t="shared" si="7"/>
        <v>8799999.9480000008</v>
      </c>
      <c r="Q92" s="578"/>
      <c r="R92" s="613"/>
    </row>
    <row r="93" spans="1:18">
      <c r="A93" s="711" t="s">
        <v>752</v>
      </c>
      <c r="B93" s="306" t="s">
        <v>1143</v>
      </c>
      <c r="C93" s="446">
        <v>46282</v>
      </c>
      <c r="D93" s="490" t="s">
        <v>1209</v>
      </c>
      <c r="E93" s="450"/>
      <c r="F93" s="443"/>
      <c r="G93" s="443"/>
      <c r="H93" s="302" t="s">
        <v>689</v>
      </c>
      <c r="I93" s="317" t="s">
        <v>643</v>
      </c>
      <c r="J93" s="320" t="s">
        <v>644</v>
      </c>
      <c r="K93" s="317" t="s">
        <v>18</v>
      </c>
      <c r="L93" s="315">
        <v>1</v>
      </c>
      <c r="M93" s="316">
        <v>0</v>
      </c>
      <c r="N93" s="319">
        <f t="shared" si="5"/>
        <v>0</v>
      </c>
      <c r="O93" s="613">
        <f t="shared" si="6"/>
        <v>0</v>
      </c>
      <c r="P93" s="301">
        <f t="shared" si="7"/>
        <v>0</v>
      </c>
      <c r="Q93" s="578"/>
      <c r="R93" s="613"/>
    </row>
    <row r="94" spans="1:18">
      <c r="A94" s="711" t="s">
        <v>752</v>
      </c>
      <c r="B94" s="306" t="s">
        <v>1143</v>
      </c>
      <c r="C94" s="446">
        <v>46282</v>
      </c>
      <c r="D94" s="490" t="s">
        <v>1209</v>
      </c>
      <c r="E94" s="450"/>
      <c r="F94" s="443"/>
      <c r="G94" s="443"/>
      <c r="H94" s="302" t="s">
        <v>689</v>
      </c>
      <c r="I94" s="317" t="s">
        <v>645</v>
      </c>
      <c r="J94" s="320" t="s">
        <v>646</v>
      </c>
      <c r="K94" s="317" t="s">
        <v>18</v>
      </c>
      <c r="L94" s="315">
        <v>2</v>
      </c>
      <c r="M94" s="316">
        <v>0</v>
      </c>
      <c r="N94" s="319">
        <f t="shared" si="5"/>
        <v>0</v>
      </c>
      <c r="O94" s="613">
        <f t="shared" si="6"/>
        <v>0</v>
      </c>
      <c r="P94" s="301">
        <f t="shared" si="7"/>
        <v>0</v>
      </c>
      <c r="Q94" s="578"/>
      <c r="R94" s="613"/>
    </row>
    <row r="95" spans="1:18">
      <c r="A95" s="711" t="s">
        <v>752</v>
      </c>
      <c r="B95" s="306" t="s">
        <v>1143</v>
      </c>
      <c r="C95" s="446">
        <v>46286</v>
      </c>
      <c r="D95" s="490"/>
      <c r="E95" s="450"/>
      <c r="F95" s="443"/>
      <c r="G95" s="443"/>
      <c r="H95" s="299" t="s">
        <v>859</v>
      </c>
      <c r="I95" s="447"/>
      <c r="J95" s="312"/>
      <c r="K95" s="298"/>
      <c r="L95" s="635"/>
      <c r="M95" s="612"/>
      <c r="N95" s="613"/>
      <c r="O95" s="613">
        <v>0</v>
      </c>
      <c r="P95" s="613"/>
      <c r="Q95" s="578">
        <v>50000000</v>
      </c>
      <c r="R95" s="613"/>
    </row>
    <row r="96" spans="1:18">
      <c r="A96" s="296" t="s">
        <v>752</v>
      </c>
      <c r="B96" s="306" t="s">
        <v>694</v>
      </c>
      <c r="C96" s="446">
        <v>46286</v>
      </c>
      <c r="D96" s="442"/>
      <c r="E96" s="450"/>
      <c r="F96" s="443"/>
      <c r="G96" s="443"/>
      <c r="H96" s="299" t="s">
        <v>760</v>
      </c>
      <c r="I96" s="447"/>
      <c r="J96" s="312"/>
      <c r="K96" s="298"/>
      <c r="L96" s="635"/>
      <c r="M96" s="612"/>
      <c r="N96" s="613"/>
      <c r="O96" s="613"/>
      <c r="P96" s="613"/>
      <c r="Q96" s="578"/>
      <c r="R96" s="613">
        <v>500000</v>
      </c>
    </row>
    <row r="97" spans="1:18">
      <c r="A97" s="490"/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582"/>
      <c r="N97" s="582">
        <f>SUM(N2:N96)</f>
        <v>333292592.40999997</v>
      </c>
      <c r="O97" s="582">
        <f>SUM(O2:O96)</f>
        <v>26663407.3928</v>
      </c>
      <c r="P97" s="595">
        <f>SUM(P2:P96)</f>
        <v>359955999.80280006</v>
      </c>
      <c r="Q97" s="595">
        <f>SUM(Q2:Q96)</f>
        <v>223368000</v>
      </c>
      <c r="R97" s="595">
        <f>SUM(R2:R96)</f>
        <v>4682000</v>
      </c>
    </row>
    <row r="98" spans="1:18" s="686" customFormat="1">
      <c r="M98" s="727"/>
      <c r="N98" s="727"/>
      <c r="O98" s="727"/>
      <c r="P98" s="728"/>
      <c r="Q98" s="728"/>
      <c r="R98" s="728"/>
    </row>
    <row r="99" spans="1:18" ht="15.75" thickBot="1"/>
    <row r="100" spans="1:18">
      <c r="H100" s="477" t="s">
        <v>894</v>
      </c>
      <c r="I100" s="491">
        <f>P97</f>
        <v>359955999.80280006</v>
      </c>
      <c r="J100" s="452"/>
      <c r="K100" s="993" t="s">
        <v>1108</v>
      </c>
      <c r="L100" s="994"/>
      <c r="M100" s="994"/>
      <c r="N100" s="994"/>
      <c r="O100" s="994"/>
    </row>
    <row r="101" spans="1:18">
      <c r="H101" s="478" t="s">
        <v>895</v>
      </c>
      <c r="I101" s="492">
        <f>Q97</f>
        <v>223368000</v>
      </c>
      <c r="J101" s="452"/>
      <c r="K101" s="994"/>
      <c r="L101" s="994"/>
      <c r="M101" s="994"/>
      <c r="N101" s="994"/>
      <c r="O101" s="994"/>
    </row>
    <row r="102" spans="1:18">
      <c r="H102" s="478" t="s">
        <v>896</v>
      </c>
      <c r="I102" s="492">
        <f>R97</f>
        <v>4682000</v>
      </c>
      <c r="J102" s="452"/>
      <c r="K102" s="994"/>
      <c r="L102" s="994"/>
      <c r="M102" s="994"/>
      <c r="N102" s="994"/>
      <c r="O102" s="994"/>
    </row>
    <row r="103" spans="1:18" ht="15.75" thickBot="1">
      <c r="H103" s="480" t="s">
        <v>898</v>
      </c>
      <c r="I103" s="684">
        <f>I100-I101-I102</f>
        <v>131905999.80280006</v>
      </c>
      <c r="J103" s="452"/>
      <c r="K103" s="994"/>
      <c r="L103" s="994"/>
      <c r="M103" s="994"/>
      <c r="N103" s="994"/>
      <c r="O103" s="994"/>
    </row>
    <row r="104" spans="1:18">
      <c r="I104" s="452"/>
      <c r="J104" s="452"/>
      <c r="K104" s="994"/>
      <c r="L104" s="994"/>
      <c r="M104" s="994"/>
      <c r="N104" s="994"/>
      <c r="O104" s="994"/>
    </row>
    <row r="105" spans="1:18">
      <c r="H105" s="452"/>
      <c r="I105" s="452"/>
      <c r="J105" s="452"/>
      <c r="K105" s="994"/>
      <c r="L105" s="994"/>
      <c r="M105" s="994"/>
      <c r="N105" s="994"/>
      <c r="O105" s="994"/>
    </row>
    <row r="106" spans="1:18">
      <c r="H106" s="452"/>
      <c r="I106" s="452"/>
      <c r="J106" s="452"/>
      <c r="K106" s="994"/>
      <c r="L106" s="994"/>
      <c r="M106" s="994"/>
      <c r="N106" s="994"/>
      <c r="O106" s="994"/>
    </row>
    <row r="107" spans="1:18">
      <c r="H107" s="452"/>
      <c r="I107" s="452"/>
      <c r="J107" s="452"/>
      <c r="K107" s="994"/>
      <c r="L107" s="994"/>
      <c r="M107" s="994"/>
      <c r="N107" s="994"/>
      <c r="O107" s="994"/>
    </row>
    <row r="108" spans="1:18">
      <c r="H108" s="452"/>
      <c r="I108" s="452"/>
      <c r="J108" s="452"/>
      <c r="K108" s="994"/>
      <c r="L108" s="994"/>
      <c r="M108" s="994"/>
      <c r="N108" s="994"/>
      <c r="O108" s="994"/>
    </row>
  </sheetData>
  <autoFilter ref="A1:R1" xr:uid="{6159B5DC-B8E5-47B1-8E80-5F055A159B51}"/>
  <mergeCells count="1">
    <mergeCell ref="K100:O108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4E35-2E94-442B-B2BD-819DB2DC4A8B}">
  <sheetPr>
    <tabColor rgb="FF00B050"/>
  </sheetPr>
  <dimension ref="A1:R45"/>
  <sheetViews>
    <sheetView topLeftCell="B1" workbookViewId="0">
      <pane ySplit="1" topLeftCell="A14" activePane="bottomLeft" state="frozen"/>
      <selection pane="bottomLeft" activeCell="P41" sqref="P41"/>
    </sheetView>
  </sheetViews>
  <sheetFormatPr defaultRowHeight="15"/>
  <cols>
    <col min="2" max="2" width="26" bestFit="1" customWidth="1"/>
    <col min="3" max="3" width="11.5703125" bestFit="1" customWidth="1"/>
    <col min="4" max="5" width="13.7109375" bestFit="1" customWidth="1"/>
    <col min="8" max="8" width="28.7109375" customWidth="1"/>
    <col min="10" max="10" width="55.7109375" bestFit="1" customWidth="1"/>
    <col min="11" max="11" width="15" bestFit="1" customWidth="1"/>
    <col min="13" max="13" width="12.5703125" style="580" bestFit="1" customWidth="1"/>
    <col min="14" max="14" width="13.85546875" style="580" bestFit="1" customWidth="1"/>
    <col min="15" max="15" width="11.7109375" style="580" bestFit="1" customWidth="1"/>
    <col min="16" max="17" width="13.85546875" style="580" bestFit="1" customWidth="1"/>
    <col min="18" max="18" width="10.85546875" style="580" bestFit="1" customWidth="1"/>
  </cols>
  <sheetData>
    <row r="1" spans="1:18" ht="80.25">
      <c r="A1" s="481" t="s">
        <v>666</v>
      </c>
      <c r="B1" s="482" t="s">
        <v>866</v>
      </c>
      <c r="C1" s="482" t="s">
        <v>624</v>
      </c>
      <c r="D1" s="483" t="s">
        <v>636</v>
      </c>
      <c r="E1" s="482" t="s">
        <v>635</v>
      </c>
      <c r="F1" s="484" t="s">
        <v>637</v>
      </c>
      <c r="G1" s="484" t="s">
        <v>634</v>
      </c>
      <c r="H1" s="587" t="s">
        <v>625</v>
      </c>
      <c r="I1" s="484" t="s">
        <v>626</v>
      </c>
      <c r="J1" s="593" t="s">
        <v>627</v>
      </c>
      <c r="K1" s="588" t="s">
        <v>628</v>
      </c>
      <c r="L1" s="486" t="s">
        <v>629</v>
      </c>
      <c r="M1" s="594" t="s">
        <v>630</v>
      </c>
      <c r="N1" s="594" t="s">
        <v>631</v>
      </c>
      <c r="O1" s="594" t="s">
        <v>632</v>
      </c>
      <c r="P1" s="594" t="s">
        <v>633</v>
      </c>
      <c r="Q1" s="594" t="s">
        <v>612</v>
      </c>
      <c r="R1" s="621" t="s">
        <v>622</v>
      </c>
    </row>
    <row r="2" spans="1:18">
      <c r="A2" s="314" t="s">
        <v>944</v>
      </c>
      <c r="B2" s="307" t="s">
        <v>869</v>
      </c>
      <c r="C2" s="446">
        <v>46111</v>
      </c>
      <c r="D2" s="299"/>
      <c r="E2" s="350">
        <v>46116</v>
      </c>
      <c r="F2" s="298"/>
      <c r="G2" s="313" t="s">
        <v>441</v>
      </c>
      <c r="H2" s="295" t="s">
        <v>870</v>
      </c>
      <c r="I2" s="351" t="s">
        <v>204</v>
      </c>
      <c r="J2" s="351" t="s">
        <v>269</v>
      </c>
      <c r="K2" s="556" t="s">
        <v>277</v>
      </c>
      <c r="L2" s="353">
        <v>2</v>
      </c>
      <c r="M2" s="579">
        <v>480555.56</v>
      </c>
      <c r="N2" s="622">
        <v>961111.12</v>
      </c>
      <c r="O2" s="578">
        <v>76888.889599999995</v>
      </c>
      <c r="P2" s="578">
        <v>1038000.0096</v>
      </c>
      <c r="Q2" s="579"/>
      <c r="R2" s="579"/>
    </row>
    <row r="3" spans="1:18">
      <c r="A3" s="314" t="s">
        <v>944</v>
      </c>
      <c r="B3" s="307" t="s">
        <v>869</v>
      </c>
      <c r="C3" s="446">
        <v>46111</v>
      </c>
      <c r="D3" s="299"/>
      <c r="E3" s="350">
        <v>46116</v>
      </c>
      <c r="F3" s="298"/>
      <c r="G3" s="313" t="s">
        <v>441</v>
      </c>
      <c r="H3" s="295" t="s">
        <v>870</v>
      </c>
      <c r="I3" s="351" t="s">
        <v>208</v>
      </c>
      <c r="J3" s="351" t="s">
        <v>209</v>
      </c>
      <c r="K3" s="556" t="s">
        <v>277</v>
      </c>
      <c r="L3" s="353">
        <v>2</v>
      </c>
      <c r="M3" s="579">
        <v>647222.22</v>
      </c>
      <c r="N3" s="622">
        <v>1294444.44</v>
      </c>
      <c r="O3" s="578">
        <v>103555.5552</v>
      </c>
      <c r="P3" s="578">
        <v>1397999.9952</v>
      </c>
      <c r="Q3" s="579"/>
      <c r="R3" s="579"/>
    </row>
    <row r="4" spans="1:18">
      <c r="A4" s="314" t="s">
        <v>944</v>
      </c>
      <c r="B4" s="307" t="s">
        <v>869</v>
      </c>
      <c r="C4" s="446">
        <v>46111</v>
      </c>
      <c r="D4" s="299"/>
      <c r="E4" s="350">
        <v>46116</v>
      </c>
      <c r="F4" s="298"/>
      <c r="G4" s="313" t="s">
        <v>441</v>
      </c>
      <c r="H4" s="295" t="s">
        <v>870</v>
      </c>
      <c r="I4" s="351" t="s">
        <v>77</v>
      </c>
      <c r="J4" s="351" t="s">
        <v>78</v>
      </c>
      <c r="K4" s="556" t="s">
        <v>277</v>
      </c>
      <c r="L4" s="353">
        <v>10</v>
      </c>
      <c r="M4" s="579">
        <v>324074.07</v>
      </c>
      <c r="N4" s="622">
        <v>3240740.7</v>
      </c>
      <c r="O4" s="578">
        <v>259259.25600000002</v>
      </c>
      <c r="P4" s="578">
        <v>3499999.9560000002</v>
      </c>
      <c r="Q4" s="579"/>
      <c r="R4" s="579"/>
    </row>
    <row r="5" spans="1:18">
      <c r="A5" s="314" t="s">
        <v>944</v>
      </c>
      <c r="B5" s="307" t="s">
        <v>869</v>
      </c>
      <c r="C5" s="446">
        <v>46111</v>
      </c>
      <c r="D5" s="299"/>
      <c r="E5" s="350">
        <v>46116</v>
      </c>
      <c r="F5" s="298"/>
      <c r="G5" s="313" t="s">
        <v>441</v>
      </c>
      <c r="H5" s="295" t="s">
        <v>870</v>
      </c>
      <c r="I5" s="351" t="s">
        <v>80</v>
      </c>
      <c r="J5" s="351" t="s">
        <v>81</v>
      </c>
      <c r="K5" s="556" t="s">
        <v>113</v>
      </c>
      <c r="L5" s="353">
        <v>6</v>
      </c>
      <c r="M5" s="579">
        <v>824074.07</v>
      </c>
      <c r="N5" s="622">
        <v>4944444.42</v>
      </c>
      <c r="O5" s="578">
        <v>395555.55359999998</v>
      </c>
      <c r="P5" s="578">
        <v>5339999.9736000001</v>
      </c>
      <c r="Q5" s="579"/>
      <c r="R5" s="579"/>
    </row>
    <row r="6" spans="1:18">
      <c r="A6" s="314" t="s">
        <v>944</v>
      </c>
      <c r="B6" s="307" t="s">
        <v>869</v>
      </c>
      <c r="C6" s="446">
        <v>46111</v>
      </c>
      <c r="D6" s="299"/>
      <c r="E6" s="350">
        <v>46116</v>
      </c>
      <c r="F6" s="298"/>
      <c r="G6" s="313" t="s">
        <v>441</v>
      </c>
      <c r="H6" s="295" t="s">
        <v>870</v>
      </c>
      <c r="I6" s="351" t="s">
        <v>21</v>
      </c>
      <c r="J6" s="351" t="s">
        <v>22</v>
      </c>
      <c r="K6" s="556" t="s">
        <v>113</v>
      </c>
      <c r="L6" s="353">
        <v>6</v>
      </c>
      <c r="M6" s="579">
        <v>937962.96</v>
      </c>
      <c r="N6" s="622">
        <v>5627777.7599999998</v>
      </c>
      <c r="O6" s="578">
        <v>450222.22080000001</v>
      </c>
      <c r="P6" s="578">
        <v>6077999.9808</v>
      </c>
      <c r="Q6" s="579"/>
      <c r="R6" s="579"/>
    </row>
    <row r="7" spans="1:18">
      <c r="A7" s="314" t="s">
        <v>944</v>
      </c>
      <c r="B7" s="307" t="s">
        <v>869</v>
      </c>
      <c r="C7" s="446">
        <v>46111</v>
      </c>
      <c r="D7" s="299"/>
      <c r="E7" s="350">
        <v>46116</v>
      </c>
      <c r="F7" s="298"/>
      <c r="G7" s="313" t="s">
        <v>441</v>
      </c>
      <c r="H7" s="295" t="s">
        <v>870</v>
      </c>
      <c r="I7" s="351" t="s">
        <v>30</v>
      </c>
      <c r="J7" s="351" t="s">
        <v>31</v>
      </c>
      <c r="K7" s="556" t="s">
        <v>113</v>
      </c>
      <c r="L7" s="353">
        <v>20</v>
      </c>
      <c r="M7" s="579">
        <v>259259.26</v>
      </c>
      <c r="N7" s="622">
        <v>5185185.2</v>
      </c>
      <c r="O7" s="578">
        <v>414814.81600000005</v>
      </c>
      <c r="P7" s="578">
        <v>5600000.0159999998</v>
      </c>
      <c r="Q7" s="579"/>
      <c r="R7" s="579"/>
    </row>
    <row r="8" spans="1:18">
      <c r="A8" s="314" t="s">
        <v>944</v>
      </c>
      <c r="B8" s="307" t="s">
        <v>869</v>
      </c>
      <c r="C8" s="446">
        <v>46111</v>
      </c>
      <c r="D8" s="299"/>
      <c r="E8" s="350">
        <v>46116</v>
      </c>
      <c r="F8" s="298"/>
      <c r="G8" s="313" t="s">
        <v>441</v>
      </c>
      <c r="H8" s="295" t="s">
        <v>870</v>
      </c>
      <c r="I8" s="351" t="s">
        <v>38</v>
      </c>
      <c r="J8" s="351" t="s">
        <v>39</v>
      </c>
      <c r="K8" s="556" t="s">
        <v>113</v>
      </c>
      <c r="L8" s="353">
        <v>30</v>
      </c>
      <c r="M8" s="579">
        <v>277777.78000000003</v>
      </c>
      <c r="N8" s="622">
        <v>8333333.4000000004</v>
      </c>
      <c r="O8" s="578">
        <v>666666.67200000002</v>
      </c>
      <c r="P8" s="578">
        <v>9000000.0720000006</v>
      </c>
      <c r="Q8" s="579"/>
      <c r="R8" s="579"/>
    </row>
    <row r="9" spans="1:18">
      <c r="A9" s="314" t="s">
        <v>944</v>
      </c>
      <c r="B9" s="307" t="s">
        <v>869</v>
      </c>
      <c r="C9" s="446">
        <v>46111</v>
      </c>
      <c r="D9" s="299"/>
      <c r="E9" s="350">
        <v>46116</v>
      </c>
      <c r="F9" s="298"/>
      <c r="G9" s="313" t="s">
        <v>441</v>
      </c>
      <c r="H9" s="295" t="s">
        <v>870</v>
      </c>
      <c r="I9" s="351" t="s">
        <v>42</v>
      </c>
      <c r="J9" s="351" t="s">
        <v>43</v>
      </c>
      <c r="K9" s="556" t="s">
        <v>113</v>
      </c>
      <c r="L9" s="353">
        <v>6</v>
      </c>
      <c r="M9" s="579">
        <v>569444.43999999994</v>
      </c>
      <c r="N9" s="622">
        <v>3416666.6399999997</v>
      </c>
      <c r="O9" s="578">
        <v>273333.33119999996</v>
      </c>
      <c r="P9" s="578">
        <v>3689999.9711999996</v>
      </c>
      <c r="Q9" s="579"/>
      <c r="R9" s="579"/>
    </row>
    <row r="10" spans="1:18">
      <c r="A10" s="314" t="s">
        <v>944</v>
      </c>
      <c r="B10" s="307" t="s">
        <v>869</v>
      </c>
      <c r="C10" s="446">
        <v>46111</v>
      </c>
      <c r="D10" s="299"/>
      <c r="E10" s="350">
        <v>46116</v>
      </c>
      <c r="F10" s="298"/>
      <c r="G10" s="313" t="s">
        <v>441</v>
      </c>
      <c r="H10" s="295" t="s">
        <v>870</v>
      </c>
      <c r="I10" s="351" t="s">
        <v>44</v>
      </c>
      <c r="J10" s="351" t="s">
        <v>45</v>
      </c>
      <c r="K10" s="556" t="s">
        <v>113</v>
      </c>
      <c r="L10" s="353">
        <v>6</v>
      </c>
      <c r="M10" s="579">
        <v>564814.81000000006</v>
      </c>
      <c r="N10" s="622">
        <v>3388888.8600000003</v>
      </c>
      <c r="O10" s="578">
        <v>271111.10880000005</v>
      </c>
      <c r="P10" s="578">
        <v>3659999.9688000004</v>
      </c>
      <c r="Q10" s="579"/>
      <c r="R10" s="579"/>
    </row>
    <row r="11" spans="1:18">
      <c r="A11" s="314" t="s">
        <v>944</v>
      </c>
      <c r="B11" s="307" t="s">
        <v>869</v>
      </c>
      <c r="C11" s="446">
        <v>46111</v>
      </c>
      <c r="D11" s="299"/>
      <c r="E11" s="350">
        <v>46116</v>
      </c>
      <c r="F11" s="298"/>
      <c r="G11" s="313" t="s">
        <v>441</v>
      </c>
      <c r="H11" s="295" t="s">
        <v>870</v>
      </c>
      <c r="I11" s="351" t="s">
        <v>148</v>
      </c>
      <c r="J11" s="351" t="s">
        <v>149</v>
      </c>
      <c r="K11" s="556" t="s">
        <v>113</v>
      </c>
      <c r="L11" s="353">
        <v>6</v>
      </c>
      <c r="M11" s="579">
        <v>358333.33</v>
      </c>
      <c r="N11" s="622">
        <v>2149999.98</v>
      </c>
      <c r="O11" s="578">
        <v>171999.99840000001</v>
      </c>
      <c r="P11" s="578">
        <v>2321999.9783999999</v>
      </c>
      <c r="Q11" s="579"/>
      <c r="R11" s="579"/>
    </row>
    <row r="12" spans="1:18">
      <c r="A12" s="314" t="s">
        <v>944</v>
      </c>
      <c r="B12" s="307" t="s">
        <v>869</v>
      </c>
      <c r="C12" s="446">
        <v>46111</v>
      </c>
      <c r="D12" s="299"/>
      <c r="E12" s="350">
        <v>46116</v>
      </c>
      <c r="F12" s="298"/>
      <c r="G12" s="313" t="s">
        <v>441</v>
      </c>
      <c r="H12" s="295" t="s">
        <v>870</v>
      </c>
      <c r="I12" s="351" t="s">
        <v>192</v>
      </c>
      <c r="J12" s="351" t="s">
        <v>193</v>
      </c>
      <c r="K12" s="556" t="s">
        <v>113</v>
      </c>
      <c r="L12" s="353">
        <v>6</v>
      </c>
      <c r="M12" s="579">
        <v>398148.15</v>
      </c>
      <c r="N12" s="622">
        <v>2388888.9000000004</v>
      </c>
      <c r="O12" s="578">
        <v>191111.11200000002</v>
      </c>
      <c r="P12" s="578">
        <v>2580000.0120000006</v>
      </c>
      <c r="Q12" s="579"/>
      <c r="R12" s="579"/>
    </row>
    <row r="13" spans="1:18">
      <c r="A13" s="314" t="s">
        <v>944</v>
      </c>
      <c r="B13" s="307" t="s">
        <v>869</v>
      </c>
      <c r="C13" s="446">
        <v>46111</v>
      </c>
      <c r="D13" s="299"/>
      <c r="E13" s="350">
        <v>46116</v>
      </c>
      <c r="F13" s="298"/>
      <c r="G13" s="313" t="s">
        <v>441</v>
      </c>
      <c r="H13" s="295" t="s">
        <v>870</v>
      </c>
      <c r="I13" s="351" t="s">
        <v>16</v>
      </c>
      <c r="J13" s="351" t="s">
        <v>17</v>
      </c>
      <c r="K13" s="556" t="s">
        <v>113</v>
      </c>
      <c r="L13" s="353">
        <v>4</v>
      </c>
      <c r="M13" s="579">
        <v>851851.85</v>
      </c>
      <c r="N13" s="622">
        <v>3407407.4</v>
      </c>
      <c r="O13" s="578">
        <v>272592.592</v>
      </c>
      <c r="P13" s="578">
        <v>3679999.9920000001</v>
      </c>
      <c r="Q13" s="579"/>
      <c r="R13" s="579"/>
    </row>
    <row r="14" spans="1:18">
      <c r="A14" s="314" t="s">
        <v>944</v>
      </c>
      <c r="B14" s="307" t="s">
        <v>869</v>
      </c>
      <c r="C14" s="446">
        <v>46111</v>
      </c>
      <c r="D14" s="299"/>
      <c r="E14" s="350">
        <v>46116</v>
      </c>
      <c r="F14" s="298"/>
      <c r="G14" s="313" t="s">
        <v>441</v>
      </c>
      <c r="H14" s="295" t="s">
        <v>870</v>
      </c>
      <c r="I14" s="351" t="s">
        <v>74</v>
      </c>
      <c r="J14" s="351" t="s">
        <v>141</v>
      </c>
      <c r="K14" s="556" t="s">
        <v>113</v>
      </c>
      <c r="L14" s="353">
        <v>8</v>
      </c>
      <c r="M14" s="579">
        <v>361111.11</v>
      </c>
      <c r="N14" s="622">
        <v>2888888.88</v>
      </c>
      <c r="O14" s="578">
        <v>231111.11040000001</v>
      </c>
      <c r="P14" s="578">
        <v>3119999.9904</v>
      </c>
      <c r="Q14" s="579"/>
      <c r="R14" s="579"/>
    </row>
    <row r="15" spans="1:18">
      <c r="A15" s="314" t="s">
        <v>944</v>
      </c>
      <c r="B15" s="307" t="s">
        <v>869</v>
      </c>
      <c r="C15" s="446">
        <v>46111</v>
      </c>
      <c r="D15" s="299"/>
      <c r="E15" s="350">
        <v>46116</v>
      </c>
      <c r="F15" s="298"/>
      <c r="G15" s="313" t="s">
        <v>441</v>
      </c>
      <c r="H15" s="295" t="s">
        <v>870</v>
      </c>
      <c r="I15" s="351" t="s">
        <v>127</v>
      </c>
      <c r="J15" s="351" t="s">
        <v>128</v>
      </c>
      <c r="K15" s="556" t="s">
        <v>113</v>
      </c>
      <c r="L15" s="353">
        <v>24</v>
      </c>
      <c r="M15" s="579">
        <v>284259.26</v>
      </c>
      <c r="N15" s="622">
        <v>6822222.2400000002</v>
      </c>
      <c r="O15" s="578">
        <v>545777.77919999999</v>
      </c>
      <c r="P15" s="578">
        <v>7368000.0192</v>
      </c>
      <c r="Q15" s="579"/>
      <c r="R15" s="579"/>
    </row>
    <row r="16" spans="1:18">
      <c r="A16" s="314" t="s">
        <v>944</v>
      </c>
      <c r="B16" s="307" t="s">
        <v>869</v>
      </c>
      <c r="C16" s="446">
        <v>46111</v>
      </c>
      <c r="D16" s="299"/>
      <c r="E16" s="350">
        <v>46116</v>
      </c>
      <c r="F16" s="298"/>
      <c r="G16" s="313" t="s">
        <v>441</v>
      </c>
      <c r="H16" s="295" t="s">
        <v>870</v>
      </c>
      <c r="I16" s="351" t="s">
        <v>424</v>
      </c>
      <c r="J16" s="351" t="s">
        <v>425</v>
      </c>
      <c r="K16" s="556" t="s">
        <v>443</v>
      </c>
      <c r="L16" s="353">
        <v>1</v>
      </c>
      <c r="M16" s="579">
        <v>882407.41</v>
      </c>
      <c r="N16" s="622">
        <v>882407.41</v>
      </c>
      <c r="O16" s="578">
        <v>70592.592799999999</v>
      </c>
      <c r="P16" s="578">
        <v>953000.00280000002</v>
      </c>
      <c r="Q16" s="579"/>
      <c r="R16" s="579"/>
    </row>
    <row r="17" spans="1:18">
      <c r="A17" s="314" t="s">
        <v>944</v>
      </c>
      <c r="B17" s="307" t="s">
        <v>869</v>
      </c>
      <c r="C17" s="446">
        <v>46111</v>
      </c>
      <c r="D17" s="299"/>
      <c r="E17" s="350">
        <v>46116</v>
      </c>
      <c r="F17" s="298"/>
      <c r="G17" s="313" t="s">
        <v>441</v>
      </c>
      <c r="H17" s="295" t="s">
        <v>870</v>
      </c>
      <c r="I17" s="351" t="s">
        <v>444</v>
      </c>
      <c r="J17" s="351" t="s">
        <v>445</v>
      </c>
      <c r="K17" s="556" t="s">
        <v>113</v>
      </c>
      <c r="L17" s="353">
        <v>4</v>
      </c>
      <c r="M17" s="579">
        <v>601851.85</v>
      </c>
      <c r="N17" s="622">
        <v>2407407.4</v>
      </c>
      <c r="O17" s="578">
        <v>192592.592</v>
      </c>
      <c r="P17" s="578">
        <v>2599999.9920000001</v>
      </c>
      <c r="Q17" s="579"/>
      <c r="R17" s="579"/>
    </row>
    <row r="18" spans="1:18">
      <c r="A18" s="314" t="s">
        <v>944</v>
      </c>
      <c r="B18" s="307" t="s">
        <v>869</v>
      </c>
      <c r="C18" s="446">
        <v>46111</v>
      </c>
      <c r="D18" s="299"/>
      <c r="E18" s="350">
        <v>46116</v>
      </c>
      <c r="F18" s="298"/>
      <c r="G18" s="313" t="s">
        <v>441</v>
      </c>
      <c r="H18" s="295" t="s">
        <v>870</v>
      </c>
      <c r="I18" s="351" t="s">
        <v>28</v>
      </c>
      <c r="J18" s="351" t="s">
        <v>29</v>
      </c>
      <c r="K18" s="556" t="s">
        <v>113</v>
      </c>
      <c r="L18" s="353">
        <v>2</v>
      </c>
      <c r="M18" s="579">
        <v>281481.48</v>
      </c>
      <c r="N18" s="622">
        <v>562962.96</v>
      </c>
      <c r="O18" s="578">
        <v>45037.036799999994</v>
      </c>
      <c r="P18" s="578">
        <v>607999.99679999996</v>
      </c>
      <c r="Q18" s="579"/>
      <c r="R18" s="579"/>
    </row>
    <row r="19" spans="1:18">
      <c r="A19" s="314" t="s">
        <v>944</v>
      </c>
      <c r="B19" s="307" t="s">
        <v>869</v>
      </c>
      <c r="C19" s="446">
        <v>46111</v>
      </c>
      <c r="D19" s="299"/>
      <c r="E19" s="350">
        <v>46116</v>
      </c>
      <c r="F19" s="298"/>
      <c r="G19" s="313" t="s">
        <v>441</v>
      </c>
      <c r="H19" s="295" t="s">
        <v>870</v>
      </c>
      <c r="I19" s="351" t="s">
        <v>56</v>
      </c>
      <c r="J19" s="351" t="s">
        <v>57</v>
      </c>
      <c r="K19" s="556" t="s">
        <v>113</v>
      </c>
      <c r="L19" s="353">
        <v>24</v>
      </c>
      <c r="M19" s="579">
        <v>325925.93</v>
      </c>
      <c r="N19" s="622">
        <v>7822222.3200000003</v>
      </c>
      <c r="O19" s="578">
        <v>625777.78560000006</v>
      </c>
      <c r="P19" s="578">
        <v>8448000.1055999994</v>
      </c>
      <c r="Q19" s="579"/>
      <c r="R19" s="579"/>
    </row>
    <row r="20" spans="1:18">
      <c r="A20" s="314" t="s">
        <v>944</v>
      </c>
      <c r="B20" s="307" t="s">
        <v>869</v>
      </c>
      <c r="C20" s="446">
        <v>46111</v>
      </c>
      <c r="D20" s="299"/>
      <c r="E20" s="350"/>
      <c r="F20" s="298"/>
      <c r="G20" s="313"/>
      <c r="H20" s="295" t="s">
        <v>870</v>
      </c>
      <c r="I20" s="351" t="s">
        <v>83</v>
      </c>
      <c r="J20" s="351" t="s">
        <v>84</v>
      </c>
      <c r="K20" s="556" t="s">
        <v>113</v>
      </c>
      <c r="L20" s="353">
        <v>4</v>
      </c>
      <c r="M20" s="579">
        <v>1097222.22</v>
      </c>
      <c r="N20" s="622">
        <v>4388888.88</v>
      </c>
      <c r="O20" s="578">
        <v>351111.11040000001</v>
      </c>
      <c r="P20" s="578">
        <v>4739999.9903999995</v>
      </c>
      <c r="Q20" s="579"/>
      <c r="R20" s="579"/>
    </row>
    <row r="21" spans="1:18">
      <c r="A21" s="314" t="s">
        <v>944</v>
      </c>
      <c r="B21" s="307" t="s">
        <v>869</v>
      </c>
      <c r="C21" s="446">
        <v>46113</v>
      </c>
      <c r="D21" s="299"/>
      <c r="E21" s="350"/>
      <c r="F21" s="298"/>
      <c r="G21" s="313"/>
      <c r="H21" s="295" t="s">
        <v>446</v>
      </c>
      <c r="I21" s="351"/>
      <c r="J21" s="351"/>
      <c r="K21" s="556"/>
      <c r="L21" s="353"/>
      <c r="M21" s="579"/>
      <c r="N21" s="622"/>
      <c r="O21" s="578">
        <v>0</v>
      </c>
      <c r="P21" s="578">
        <v>0</v>
      </c>
      <c r="Q21" s="579"/>
      <c r="R21" s="579">
        <v>757230.00022799999</v>
      </c>
    </row>
    <row r="22" spans="1:18">
      <c r="A22" s="314" t="s">
        <v>944</v>
      </c>
      <c r="B22" s="307" t="s">
        <v>869</v>
      </c>
      <c r="C22" s="446">
        <v>46115</v>
      </c>
      <c r="D22" s="299"/>
      <c r="E22" s="350"/>
      <c r="F22" s="298"/>
      <c r="G22" s="313"/>
      <c r="H22" s="295" t="s">
        <v>672</v>
      </c>
      <c r="I22" s="351"/>
      <c r="J22" s="351"/>
      <c r="K22" s="556"/>
      <c r="L22" s="353"/>
      <c r="M22" s="579"/>
      <c r="N22" s="622"/>
      <c r="O22" s="578">
        <v>0</v>
      </c>
      <c r="P22" s="578">
        <v>0</v>
      </c>
      <c r="Q22" s="579">
        <v>40000000</v>
      </c>
      <c r="R22" s="579"/>
    </row>
    <row r="23" spans="1:18">
      <c r="A23" s="314" t="s">
        <v>944</v>
      </c>
      <c r="B23" s="307" t="s">
        <v>869</v>
      </c>
      <c r="C23" s="446">
        <v>46118</v>
      </c>
      <c r="D23" s="299"/>
      <c r="E23" s="350">
        <v>46088</v>
      </c>
      <c r="F23" s="298"/>
      <c r="G23" s="313" t="s">
        <v>448</v>
      </c>
      <c r="H23" s="295" t="s">
        <v>870</v>
      </c>
      <c r="I23" s="351" t="s">
        <v>194</v>
      </c>
      <c r="J23" s="351" t="s">
        <v>276</v>
      </c>
      <c r="K23" s="556" t="s">
        <v>113</v>
      </c>
      <c r="L23" s="353">
        <v>5</v>
      </c>
      <c r="M23" s="579">
        <v>1203703</v>
      </c>
      <c r="N23" s="622">
        <v>6018515</v>
      </c>
      <c r="O23" s="578">
        <v>481481.2</v>
      </c>
      <c r="P23" s="578">
        <v>6499996.2000000002</v>
      </c>
      <c r="Q23" s="579"/>
      <c r="R23" s="579"/>
    </row>
    <row r="24" spans="1:18">
      <c r="A24" s="314" t="s">
        <v>944</v>
      </c>
      <c r="B24" s="307" t="s">
        <v>869</v>
      </c>
      <c r="C24" s="446">
        <v>46118</v>
      </c>
      <c r="D24" s="299"/>
      <c r="E24" s="350">
        <v>46088</v>
      </c>
      <c r="F24" s="298"/>
      <c r="G24" s="313" t="s">
        <v>448</v>
      </c>
      <c r="H24" s="295" t="s">
        <v>870</v>
      </c>
      <c r="I24" s="351" t="s">
        <v>58</v>
      </c>
      <c r="J24" s="351" t="s">
        <v>278</v>
      </c>
      <c r="K24" s="556" t="s">
        <v>113</v>
      </c>
      <c r="L24" s="353">
        <v>5</v>
      </c>
      <c r="M24" s="579">
        <v>1361111</v>
      </c>
      <c r="N24" s="622">
        <v>6805555</v>
      </c>
      <c r="O24" s="578">
        <v>544444.4</v>
      </c>
      <c r="P24" s="578">
        <v>7349999.4000000004</v>
      </c>
      <c r="Q24" s="579"/>
      <c r="R24" s="579"/>
    </row>
    <row r="25" spans="1:18">
      <c r="A25" s="314" t="s">
        <v>944</v>
      </c>
      <c r="B25" s="307" t="s">
        <v>869</v>
      </c>
      <c r="C25" s="446">
        <v>46198</v>
      </c>
      <c r="D25" s="299"/>
      <c r="E25" s="350" t="s">
        <v>829</v>
      </c>
      <c r="F25" s="298"/>
      <c r="G25" s="313" t="s">
        <v>828</v>
      </c>
      <c r="H25" s="295" t="s">
        <v>870</v>
      </c>
      <c r="I25" s="351" t="s">
        <v>90</v>
      </c>
      <c r="J25" s="351" t="s">
        <v>91</v>
      </c>
      <c r="K25" s="556" t="s">
        <v>18</v>
      </c>
      <c r="L25" s="353">
        <v>10</v>
      </c>
      <c r="M25" s="579">
        <v>814814.81</v>
      </c>
      <c r="N25" s="622">
        <v>8148148.1000000006</v>
      </c>
      <c r="O25" s="578">
        <v>651851.84800000011</v>
      </c>
      <c r="P25" s="578">
        <v>8799999.9480000008</v>
      </c>
      <c r="Q25" s="579"/>
      <c r="R25" s="579"/>
    </row>
    <row r="26" spans="1:18">
      <c r="A26" s="314" t="s">
        <v>944</v>
      </c>
      <c r="B26" s="307" t="s">
        <v>869</v>
      </c>
      <c r="C26" s="446">
        <v>46199</v>
      </c>
      <c r="D26" s="299"/>
      <c r="E26" s="350" t="s">
        <v>829</v>
      </c>
      <c r="F26" s="298"/>
      <c r="G26" s="313" t="s">
        <v>828</v>
      </c>
      <c r="H26" s="295" t="s">
        <v>870</v>
      </c>
      <c r="I26" s="351" t="s">
        <v>93</v>
      </c>
      <c r="J26" s="351" t="s">
        <v>94</v>
      </c>
      <c r="K26" s="556" t="s">
        <v>18</v>
      </c>
      <c r="L26" s="353">
        <v>10</v>
      </c>
      <c r="M26" s="579">
        <v>907407.4</v>
      </c>
      <c r="N26" s="622">
        <v>9074074</v>
      </c>
      <c r="O26" s="578">
        <v>725925.92</v>
      </c>
      <c r="P26" s="578">
        <v>9799999.9199999999</v>
      </c>
      <c r="Q26" s="579"/>
      <c r="R26" s="579"/>
    </row>
    <row r="27" spans="1:18">
      <c r="A27" s="314" t="s">
        <v>944</v>
      </c>
      <c r="B27" s="307" t="s">
        <v>869</v>
      </c>
      <c r="C27" s="446">
        <v>46217</v>
      </c>
      <c r="D27" s="299"/>
      <c r="E27" s="350"/>
      <c r="F27" s="298"/>
      <c r="G27" s="313"/>
      <c r="H27" s="295" t="s">
        <v>672</v>
      </c>
      <c r="I27" s="351"/>
      <c r="J27" s="351"/>
      <c r="K27" s="556"/>
      <c r="L27" s="353"/>
      <c r="M27" s="579"/>
      <c r="N27" s="622"/>
      <c r="O27" s="578"/>
      <c r="P27" s="578"/>
      <c r="Q27" s="579">
        <v>30000000</v>
      </c>
      <c r="R27" s="579"/>
    </row>
    <row r="28" spans="1:18">
      <c r="A28" s="314" t="s">
        <v>944</v>
      </c>
      <c r="B28" s="307" t="s">
        <v>869</v>
      </c>
      <c r="C28" s="446">
        <v>46277</v>
      </c>
      <c r="D28" s="299" t="s">
        <v>1129</v>
      </c>
      <c r="E28" s="350"/>
      <c r="F28" s="298"/>
      <c r="G28" s="313"/>
      <c r="H28" s="295" t="s">
        <v>870</v>
      </c>
      <c r="I28" s="351" t="s">
        <v>643</v>
      </c>
      <c r="J28" s="351" t="s">
        <v>644</v>
      </c>
      <c r="K28" s="556" t="s">
        <v>18</v>
      </c>
      <c r="L28" s="353">
        <v>15</v>
      </c>
      <c r="M28" s="579">
        <v>527777.78</v>
      </c>
      <c r="N28" s="622">
        <v>7916666.7000000002</v>
      </c>
      <c r="O28" s="578">
        <v>633333.33600000001</v>
      </c>
      <c r="P28" s="578">
        <v>8550000.0360000003</v>
      </c>
      <c r="Q28" s="579"/>
      <c r="R28" s="579"/>
    </row>
    <row r="29" spans="1:18">
      <c r="A29" s="314" t="s">
        <v>944</v>
      </c>
      <c r="B29" s="307" t="s">
        <v>869</v>
      </c>
      <c r="C29" s="446">
        <v>46277</v>
      </c>
      <c r="D29" s="299" t="s">
        <v>1129</v>
      </c>
      <c r="E29" s="350"/>
      <c r="F29" s="298"/>
      <c r="G29" s="313"/>
      <c r="H29" s="295" t="s">
        <v>870</v>
      </c>
      <c r="I29" s="351" t="s">
        <v>653</v>
      </c>
      <c r="J29" s="351" t="s">
        <v>654</v>
      </c>
      <c r="K29" s="556" t="s">
        <v>18</v>
      </c>
      <c r="L29" s="353">
        <v>15</v>
      </c>
      <c r="M29" s="579">
        <v>481481.48</v>
      </c>
      <c r="N29" s="622">
        <v>7222222.1999999993</v>
      </c>
      <c r="O29" s="578">
        <v>577777.77599999995</v>
      </c>
      <c r="P29" s="578">
        <v>7799999.9759999989</v>
      </c>
      <c r="Q29" s="579"/>
      <c r="R29" s="579"/>
    </row>
    <row r="30" spans="1:18">
      <c r="A30" s="314" t="s">
        <v>944</v>
      </c>
      <c r="B30" s="307" t="s">
        <v>869</v>
      </c>
      <c r="C30" s="446">
        <v>46277</v>
      </c>
      <c r="D30" s="299" t="s">
        <v>1129</v>
      </c>
      <c r="E30" s="350"/>
      <c r="F30" s="298"/>
      <c r="G30" s="313"/>
      <c r="H30" s="295" t="s">
        <v>870</v>
      </c>
      <c r="I30" s="351" t="s">
        <v>655</v>
      </c>
      <c r="J30" s="351" t="s">
        <v>656</v>
      </c>
      <c r="K30" s="556" t="s">
        <v>18</v>
      </c>
      <c r="L30" s="353">
        <v>15</v>
      </c>
      <c r="M30" s="579">
        <v>574074.06999999995</v>
      </c>
      <c r="N30" s="622">
        <v>8611111.0499999989</v>
      </c>
      <c r="O30" s="578">
        <v>688888.88399999996</v>
      </c>
      <c r="P30" s="578">
        <v>9299999.9339999985</v>
      </c>
      <c r="Q30" s="579"/>
      <c r="R30" s="579"/>
    </row>
    <row r="31" spans="1:18">
      <c r="A31" s="314" t="s">
        <v>944</v>
      </c>
      <c r="B31" s="307" t="s">
        <v>869</v>
      </c>
      <c r="C31" s="446">
        <v>46277</v>
      </c>
      <c r="D31" s="299" t="s">
        <v>1129</v>
      </c>
      <c r="E31" s="350"/>
      <c r="F31" s="298"/>
      <c r="G31" s="313"/>
      <c r="H31" s="295" t="s">
        <v>689</v>
      </c>
      <c r="I31" s="351" t="s">
        <v>643</v>
      </c>
      <c r="J31" s="351" t="s">
        <v>644</v>
      </c>
      <c r="K31" s="556" t="s">
        <v>18</v>
      </c>
      <c r="L31" s="353">
        <v>1</v>
      </c>
      <c r="M31" s="579">
        <v>0</v>
      </c>
      <c r="N31" s="622">
        <v>0</v>
      </c>
      <c r="O31" s="578">
        <v>0</v>
      </c>
      <c r="P31" s="578">
        <v>0</v>
      </c>
      <c r="Q31" s="579"/>
      <c r="R31" s="579"/>
    </row>
    <row r="32" spans="1:18">
      <c r="A32" s="314" t="s">
        <v>944</v>
      </c>
      <c r="B32" s="307" t="s">
        <v>869</v>
      </c>
      <c r="C32" s="446">
        <v>46277</v>
      </c>
      <c r="D32" s="299" t="s">
        <v>1129</v>
      </c>
      <c r="E32" s="350"/>
      <c r="F32" s="298"/>
      <c r="G32" s="313"/>
      <c r="H32" s="295" t="s">
        <v>689</v>
      </c>
      <c r="I32" s="351" t="s">
        <v>653</v>
      </c>
      <c r="J32" s="351" t="s">
        <v>654</v>
      </c>
      <c r="K32" s="556" t="s">
        <v>18</v>
      </c>
      <c r="L32" s="353">
        <v>1</v>
      </c>
      <c r="M32" s="579">
        <v>0</v>
      </c>
      <c r="N32" s="622">
        <v>0</v>
      </c>
      <c r="O32" s="578">
        <v>0</v>
      </c>
      <c r="P32" s="578">
        <v>0</v>
      </c>
      <c r="Q32" s="579"/>
      <c r="R32" s="579"/>
    </row>
    <row r="33" spans="1:18">
      <c r="A33" s="314" t="s">
        <v>944</v>
      </c>
      <c r="B33" s="307" t="s">
        <v>869</v>
      </c>
      <c r="C33" s="446">
        <v>46277</v>
      </c>
      <c r="D33" s="299" t="s">
        <v>1129</v>
      </c>
      <c r="E33" s="350"/>
      <c r="F33" s="298"/>
      <c r="G33" s="313"/>
      <c r="H33" s="295" t="s">
        <v>689</v>
      </c>
      <c r="I33" s="351" t="s">
        <v>655</v>
      </c>
      <c r="J33" s="351" t="s">
        <v>656</v>
      </c>
      <c r="K33" s="556" t="s">
        <v>18</v>
      </c>
      <c r="L33" s="353">
        <v>1</v>
      </c>
      <c r="M33" s="579">
        <v>0</v>
      </c>
      <c r="N33" s="622">
        <v>0</v>
      </c>
      <c r="O33" s="578">
        <v>0</v>
      </c>
      <c r="P33" s="578">
        <v>0</v>
      </c>
      <c r="Q33" s="579"/>
      <c r="R33" s="579"/>
    </row>
    <row r="34" spans="1:18">
      <c r="A34" s="314" t="s">
        <v>944</v>
      </c>
      <c r="B34" s="307" t="s">
        <v>869</v>
      </c>
      <c r="C34" s="446">
        <v>46280</v>
      </c>
      <c r="D34" s="490" t="s">
        <v>1173</v>
      </c>
      <c r="E34" s="450"/>
      <c r="F34" s="443"/>
      <c r="G34" s="443"/>
      <c r="H34" s="295" t="s">
        <v>1174</v>
      </c>
      <c r="I34" s="687" t="s">
        <v>90</v>
      </c>
      <c r="J34" s="687" t="s">
        <v>1140</v>
      </c>
      <c r="K34" s="687" t="s">
        <v>18</v>
      </c>
      <c r="L34" s="730">
        <v>-10</v>
      </c>
      <c r="M34" s="310">
        <v>814814.81</v>
      </c>
      <c r="N34" s="613">
        <v>-8148148.1000000006</v>
      </c>
      <c r="O34" s="613">
        <v>-651851.84800000011</v>
      </c>
      <c r="P34" s="301">
        <v>-8799999.9480000008</v>
      </c>
      <c r="Q34" s="652"/>
      <c r="R34" s="652"/>
    </row>
    <row r="35" spans="1:18">
      <c r="A35" s="314" t="s">
        <v>944</v>
      </c>
      <c r="B35" s="307" t="s">
        <v>869</v>
      </c>
      <c r="C35" s="446">
        <v>46280</v>
      </c>
      <c r="D35" s="490" t="s">
        <v>1173</v>
      </c>
      <c r="E35" s="450"/>
      <c r="F35" s="443"/>
      <c r="G35" s="443"/>
      <c r="H35" s="295" t="s">
        <v>1174</v>
      </c>
      <c r="I35" s="687" t="s">
        <v>93</v>
      </c>
      <c r="J35" s="687" t="s">
        <v>1169</v>
      </c>
      <c r="K35" s="687" t="s">
        <v>18</v>
      </c>
      <c r="L35" s="730">
        <v>-10</v>
      </c>
      <c r="M35" s="310">
        <v>907407.4</v>
      </c>
      <c r="N35" s="613">
        <v>-9074074</v>
      </c>
      <c r="O35" s="613">
        <v>-725925.92</v>
      </c>
      <c r="P35" s="301">
        <v>-9799999.9199999999</v>
      </c>
      <c r="Q35" s="652"/>
      <c r="R35" s="652"/>
    </row>
    <row r="36" spans="1:18">
      <c r="A36" s="314" t="s">
        <v>944</v>
      </c>
      <c r="B36" s="307" t="s">
        <v>869</v>
      </c>
      <c r="C36" s="446">
        <v>46280</v>
      </c>
      <c r="D36" s="490" t="s">
        <v>1173</v>
      </c>
      <c r="E36" s="450"/>
      <c r="F36" s="443"/>
      <c r="G36" s="443"/>
      <c r="H36" s="295" t="s">
        <v>1174</v>
      </c>
      <c r="I36" s="687" t="s">
        <v>194</v>
      </c>
      <c r="J36" s="729" t="s">
        <v>1170</v>
      </c>
      <c r="K36" s="687" t="s">
        <v>18</v>
      </c>
      <c r="L36" s="730">
        <v>-4</v>
      </c>
      <c r="M36" s="310">
        <v>1203703</v>
      </c>
      <c r="N36" s="613">
        <v>-4814812</v>
      </c>
      <c r="O36" s="613">
        <v>-385184.96</v>
      </c>
      <c r="P36" s="301">
        <v>-5199996.96</v>
      </c>
      <c r="Q36" s="652"/>
      <c r="R36" s="652"/>
    </row>
    <row r="37" spans="1:18">
      <c r="A37" s="314" t="s">
        <v>944</v>
      </c>
      <c r="B37" s="307" t="s">
        <v>869</v>
      </c>
      <c r="C37" s="446">
        <v>46280</v>
      </c>
      <c r="D37" s="490" t="s">
        <v>1173</v>
      </c>
      <c r="E37" s="450"/>
      <c r="F37" s="443"/>
      <c r="G37" s="443"/>
      <c r="H37" s="295" t="s">
        <v>1174</v>
      </c>
      <c r="I37" s="687" t="s">
        <v>58</v>
      </c>
      <c r="J37" s="729" t="s">
        <v>1171</v>
      </c>
      <c r="K37" s="687" t="s">
        <v>18</v>
      </c>
      <c r="L37" s="730">
        <v>-4</v>
      </c>
      <c r="M37" s="310">
        <v>1361111</v>
      </c>
      <c r="N37" s="613">
        <v>-5444444</v>
      </c>
      <c r="O37" s="613">
        <v>-435555.52</v>
      </c>
      <c r="P37" s="301">
        <v>-5879999.5199999996</v>
      </c>
      <c r="Q37" s="652"/>
      <c r="R37" s="652"/>
    </row>
    <row r="38" spans="1:18">
      <c r="A38" s="314" t="s">
        <v>944</v>
      </c>
      <c r="B38" s="307" t="s">
        <v>869</v>
      </c>
      <c r="C38" s="446">
        <v>46280</v>
      </c>
      <c r="D38" s="490" t="s">
        <v>1173</v>
      </c>
      <c r="E38" s="450"/>
      <c r="F38" s="443"/>
      <c r="G38" s="443"/>
      <c r="H38" s="295" t="s">
        <v>1174</v>
      </c>
      <c r="I38" s="687" t="s">
        <v>424</v>
      </c>
      <c r="J38" s="729" t="s">
        <v>1172</v>
      </c>
      <c r="K38" s="687" t="s">
        <v>18</v>
      </c>
      <c r="L38" s="730">
        <v>-1</v>
      </c>
      <c r="M38" s="310">
        <v>882407.41</v>
      </c>
      <c r="N38" s="613">
        <v>-882407.41</v>
      </c>
      <c r="O38" s="613">
        <v>-70592.592799999999</v>
      </c>
      <c r="P38" s="301">
        <v>-953000.00280000002</v>
      </c>
      <c r="Q38" s="652"/>
      <c r="R38" s="652"/>
    </row>
    <row r="39" spans="1:18">
      <c r="A39" s="490"/>
      <c r="B39" s="490"/>
      <c r="C39" s="490"/>
      <c r="D39" s="490"/>
      <c r="E39" s="490"/>
      <c r="F39" s="490"/>
      <c r="G39" s="490"/>
      <c r="H39" s="490"/>
      <c r="I39" s="490"/>
      <c r="J39" s="490"/>
      <c r="K39" s="490"/>
      <c r="L39" s="490"/>
      <c r="M39" s="582"/>
      <c r="N39" s="595">
        <f>SUM(N2:N38)</f>
        <v>95546295.450000003</v>
      </c>
      <c r="O39" s="595">
        <f>SUM(O2:O38)</f>
        <v>7643703.6360000009</v>
      </c>
      <c r="P39" s="595">
        <f>SUM(P2:P38)</f>
        <v>103189999.08600001</v>
      </c>
      <c r="Q39" s="595">
        <f>SUM(Q2:Q38)</f>
        <v>70000000</v>
      </c>
      <c r="R39" s="595">
        <f>SUM(R2:R38)</f>
        <v>757230.00022799999</v>
      </c>
    </row>
    <row r="41" spans="1:18" ht="15.75" thickBot="1"/>
    <row r="42" spans="1:18">
      <c r="J42" s="477" t="s">
        <v>894</v>
      </c>
      <c r="K42" s="491">
        <f>P39</f>
        <v>103189999.08600001</v>
      </c>
    </row>
    <row r="43" spans="1:18">
      <c r="J43" s="623" t="s">
        <v>945</v>
      </c>
      <c r="K43" s="624">
        <f>R39</f>
        <v>757230.00022799999</v>
      </c>
    </row>
    <row r="44" spans="1:18">
      <c r="J44" s="478" t="s">
        <v>895</v>
      </c>
      <c r="K44" s="492">
        <f>Q39</f>
        <v>70000000</v>
      </c>
    </row>
    <row r="45" spans="1:18">
      <c r="J45" s="478" t="s">
        <v>898</v>
      </c>
      <c r="K45" s="554">
        <f>K42-K43-K44</f>
        <v>32432769.085772008</v>
      </c>
    </row>
  </sheetData>
  <autoFilter ref="A1:R1" xr:uid="{FAE24E35-2E94-442B-B2BD-819DB2DC4A8B}"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C1B1-F7BE-42DE-AEF5-F4A02B458612}">
  <dimension ref="A2:R44"/>
  <sheetViews>
    <sheetView topLeftCell="A11" workbookViewId="0">
      <selection activeCell="J33" sqref="J33"/>
    </sheetView>
  </sheetViews>
  <sheetFormatPr defaultRowHeight="15"/>
  <cols>
    <col min="1" max="1" width="8.28515625" bestFit="1" customWidth="1"/>
    <col min="2" max="2" width="23.5703125" customWidth="1"/>
    <col min="3" max="3" width="11.5703125" bestFit="1" customWidth="1"/>
    <col min="4" max="4" width="15.42578125" bestFit="1" customWidth="1"/>
    <col min="5" max="5" width="11.5703125" bestFit="1" customWidth="1"/>
    <col min="6" max="6" width="9" bestFit="1" customWidth="1"/>
    <col min="7" max="7" width="10.140625" bestFit="1" customWidth="1"/>
    <col min="8" max="8" width="65.7109375" bestFit="1" customWidth="1"/>
    <col min="9" max="9" width="11.85546875" bestFit="1" customWidth="1"/>
    <col min="10" max="10" width="28.42578125" bestFit="1" customWidth="1"/>
    <col min="11" max="11" width="5.5703125" bestFit="1" customWidth="1"/>
    <col min="12" max="12" width="7.28515625" bestFit="1" customWidth="1"/>
    <col min="13" max="13" width="11.28515625" bestFit="1" customWidth="1"/>
    <col min="14" max="14" width="11.85546875" bestFit="1" customWidth="1"/>
    <col min="15" max="15" width="10.140625" bestFit="1" customWidth="1"/>
    <col min="16" max="16" width="13.140625" bestFit="1" customWidth="1"/>
    <col min="17" max="17" width="10.140625" bestFit="1" customWidth="1"/>
    <col min="18" max="18" width="10.85546875" bestFit="1" customWidth="1"/>
  </cols>
  <sheetData>
    <row r="2" spans="1:18" ht="80.25">
      <c r="A2" s="433" t="s">
        <v>666</v>
      </c>
      <c r="B2" s="431" t="s">
        <v>866</v>
      </c>
      <c r="C2" s="640" t="s">
        <v>994</v>
      </c>
      <c r="D2" s="432" t="s">
        <v>636</v>
      </c>
      <c r="E2" s="431" t="s">
        <v>635</v>
      </c>
      <c r="F2" s="433" t="s">
        <v>637</v>
      </c>
      <c r="G2" s="433" t="s">
        <v>634</v>
      </c>
      <c r="H2" s="568" t="s">
        <v>625</v>
      </c>
      <c r="I2" s="645" t="s">
        <v>995</v>
      </c>
      <c r="J2" s="568" t="s">
        <v>627</v>
      </c>
      <c r="K2" s="646" t="s">
        <v>996</v>
      </c>
      <c r="L2" s="649" t="s">
        <v>997</v>
      </c>
      <c r="M2" s="660" t="s">
        <v>998</v>
      </c>
      <c r="N2" s="660" t="s">
        <v>999</v>
      </c>
      <c r="O2" s="660" t="s">
        <v>1000</v>
      </c>
      <c r="P2" s="660" t="s">
        <v>913</v>
      </c>
      <c r="Q2" s="650" t="s">
        <v>1001</v>
      </c>
      <c r="R2" s="650" t="s">
        <v>1002</v>
      </c>
    </row>
    <row r="3" spans="1:18">
      <c r="A3" s="664" t="s">
        <v>1138</v>
      </c>
      <c r="B3" s="449" t="s">
        <v>1134</v>
      </c>
      <c r="C3" s="639">
        <v>46263</v>
      </c>
      <c r="D3" s="302" t="s">
        <v>1045</v>
      </c>
      <c r="E3" s="555"/>
      <c r="F3" s="626"/>
      <c r="G3" s="336"/>
      <c r="H3" s="570" t="s">
        <v>1135</v>
      </c>
      <c r="I3" s="643" t="s">
        <v>77</v>
      </c>
      <c r="J3" s="299" t="s">
        <v>78</v>
      </c>
      <c r="K3" s="668" t="s">
        <v>18</v>
      </c>
      <c r="L3" s="637">
        <v>12</v>
      </c>
      <c r="M3" s="578">
        <v>333333.33</v>
      </c>
      <c r="N3" s="578">
        <v>3999999.96</v>
      </c>
      <c r="O3" s="578">
        <v>319999.99680000002</v>
      </c>
      <c r="P3" s="578">
        <v>4319999.9567999998</v>
      </c>
      <c r="Q3" s="578"/>
      <c r="R3" s="578"/>
    </row>
    <row r="4" spans="1:18">
      <c r="A4" s="664" t="s">
        <v>1138</v>
      </c>
      <c r="B4" s="449" t="s">
        <v>1134</v>
      </c>
      <c r="C4" s="639">
        <v>46263</v>
      </c>
      <c r="D4" s="302" t="s">
        <v>1045</v>
      </c>
      <c r="E4" s="555"/>
      <c r="F4" s="626"/>
      <c r="G4" s="336"/>
      <c r="H4" s="570" t="s">
        <v>1135</v>
      </c>
      <c r="I4" s="643" t="s">
        <v>639</v>
      </c>
      <c r="J4" s="302" t="s">
        <v>640</v>
      </c>
      <c r="K4" s="668" t="s">
        <v>18</v>
      </c>
      <c r="L4" s="637">
        <v>15</v>
      </c>
      <c r="M4" s="578">
        <v>537037.04</v>
      </c>
      <c r="N4" s="578">
        <v>8055555.6000000006</v>
      </c>
      <c r="O4" s="578">
        <v>644444.44800000009</v>
      </c>
      <c r="P4" s="578">
        <v>8700000.0480000004</v>
      </c>
      <c r="Q4" s="578"/>
      <c r="R4" s="578"/>
    </row>
    <row r="5" spans="1:18">
      <c r="A5" s="664" t="s">
        <v>1138</v>
      </c>
      <c r="B5" s="449" t="s">
        <v>1134</v>
      </c>
      <c r="C5" s="639">
        <v>46263</v>
      </c>
      <c r="D5" s="302" t="s">
        <v>1045</v>
      </c>
      <c r="E5" s="555"/>
      <c r="F5" s="626"/>
      <c r="G5" s="336"/>
      <c r="H5" s="570" t="s">
        <v>1135</v>
      </c>
      <c r="I5" s="643" t="s">
        <v>641</v>
      </c>
      <c r="J5" s="302" t="s">
        <v>657</v>
      </c>
      <c r="K5" s="668" t="s">
        <v>18</v>
      </c>
      <c r="L5" s="637">
        <v>15</v>
      </c>
      <c r="M5" s="578">
        <v>638888.89</v>
      </c>
      <c r="N5" s="578">
        <v>9583333.3499999996</v>
      </c>
      <c r="O5" s="578">
        <v>766666.66799999995</v>
      </c>
      <c r="P5" s="578">
        <v>10350000.017999999</v>
      </c>
      <c r="Q5" s="578"/>
      <c r="R5" s="578"/>
    </row>
    <row r="6" spans="1:18">
      <c r="A6" s="664" t="s">
        <v>1138</v>
      </c>
      <c r="B6" s="449" t="s">
        <v>1134</v>
      </c>
      <c r="C6" s="639">
        <v>46263</v>
      </c>
      <c r="D6" s="302" t="s">
        <v>1045</v>
      </c>
      <c r="E6" s="555"/>
      <c r="F6" s="626"/>
      <c r="G6" s="336"/>
      <c r="H6" s="570" t="s">
        <v>1135</v>
      </c>
      <c r="I6" s="643" t="s">
        <v>643</v>
      </c>
      <c r="J6" s="302" t="s">
        <v>644</v>
      </c>
      <c r="K6" s="668" t="s">
        <v>18</v>
      </c>
      <c r="L6" s="637">
        <v>15</v>
      </c>
      <c r="M6" s="578">
        <v>527777.78</v>
      </c>
      <c r="N6" s="578">
        <v>7916666.7000000002</v>
      </c>
      <c r="O6" s="578">
        <v>633333.33600000001</v>
      </c>
      <c r="P6" s="578">
        <v>8550000.0360000003</v>
      </c>
      <c r="Q6" s="578"/>
      <c r="R6" s="578"/>
    </row>
    <row r="7" spans="1:18">
      <c r="A7" s="664" t="s">
        <v>1138</v>
      </c>
      <c r="B7" s="449" t="s">
        <v>1134</v>
      </c>
      <c r="C7" s="639">
        <v>46263</v>
      </c>
      <c r="D7" s="302" t="s">
        <v>1045</v>
      </c>
      <c r="E7" s="555"/>
      <c r="F7" s="626"/>
      <c r="G7" s="336"/>
      <c r="H7" s="570" t="s">
        <v>1135</v>
      </c>
      <c r="I7" s="643" t="s">
        <v>653</v>
      </c>
      <c r="J7" s="302" t="s">
        <v>654</v>
      </c>
      <c r="K7" s="668" t="s">
        <v>18</v>
      </c>
      <c r="L7" s="637">
        <v>15</v>
      </c>
      <c r="M7" s="578">
        <v>481481.48</v>
      </c>
      <c r="N7" s="578">
        <v>7222222.1999999993</v>
      </c>
      <c r="O7" s="578">
        <v>577777.77599999995</v>
      </c>
      <c r="P7" s="578">
        <v>7799999.9759999989</v>
      </c>
      <c r="Q7" s="578"/>
      <c r="R7" s="578"/>
    </row>
    <row r="8" spans="1:18">
      <c r="A8" s="664" t="s">
        <v>1138</v>
      </c>
      <c r="B8" s="449" t="s">
        <v>1134</v>
      </c>
      <c r="C8" s="639">
        <v>46263</v>
      </c>
      <c r="D8" s="302" t="s">
        <v>1045</v>
      </c>
      <c r="E8" s="555"/>
      <c r="F8" s="626"/>
      <c r="G8" s="336"/>
      <c r="H8" s="570" t="s">
        <v>1135</v>
      </c>
      <c r="I8" s="643" t="s">
        <v>655</v>
      </c>
      <c r="J8" s="302" t="s">
        <v>656</v>
      </c>
      <c r="K8" s="668" t="s">
        <v>18</v>
      </c>
      <c r="L8" s="637">
        <v>15</v>
      </c>
      <c r="M8" s="578">
        <v>574074.06999999995</v>
      </c>
      <c r="N8" s="578">
        <v>8611111.0499999989</v>
      </c>
      <c r="O8" s="578">
        <v>688888.88399999996</v>
      </c>
      <c r="P8" s="578">
        <v>9299999.9339999985</v>
      </c>
      <c r="Q8" s="578"/>
      <c r="R8" s="578"/>
    </row>
    <row r="9" spans="1:18">
      <c r="A9" s="664" t="s">
        <v>1138</v>
      </c>
      <c r="B9" s="449" t="s">
        <v>1134</v>
      </c>
      <c r="C9" s="639">
        <v>46263</v>
      </c>
      <c r="D9" s="302" t="s">
        <v>1045</v>
      </c>
      <c r="E9" s="555">
        <v>46268</v>
      </c>
      <c r="F9" s="302" t="s">
        <v>1083</v>
      </c>
      <c r="G9" s="336" t="s">
        <v>1082</v>
      </c>
      <c r="H9" s="570" t="s">
        <v>1135</v>
      </c>
      <c r="I9" s="643" t="s">
        <v>74</v>
      </c>
      <c r="J9" s="302" t="s">
        <v>141</v>
      </c>
      <c r="K9" s="668" t="s">
        <v>18</v>
      </c>
      <c r="L9" s="637">
        <v>16</v>
      </c>
      <c r="M9" s="578">
        <v>382407.41</v>
      </c>
      <c r="N9" s="578">
        <v>6118518.5599999996</v>
      </c>
      <c r="O9" s="578">
        <v>489481.48479999998</v>
      </c>
      <c r="P9" s="578">
        <v>6608000.0447999993</v>
      </c>
      <c r="Q9" s="578"/>
      <c r="R9" s="578"/>
    </row>
    <row r="10" spans="1:18">
      <c r="A10" s="664" t="s">
        <v>1138</v>
      </c>
      <c r="B10" s="449" t="s">
        <v>1134</v>
      </c>
      <c r="C10" s="639">
        <v>46263</v>
      </c>
      <c r="D10" s="302" t="s">
        <v>1045</v>
      </c>
      <c r="E10" s="555"/>
      <c r="F10" s="626"/>
      <c r="G10" s="336"/>
      <c r="H10" s="570" t="s">
        <v>1135</v>
      </c>
      <c r="I10" s="643" t="s">
        <v>171</v>
      </c>
      <c r="J10" s="302" t="s">
        <v>172</v>
      </c>
      <c r="K10" s="668" t="s">
        <v>18</v>
      </c>
      <c r="L10" s="637">
        <v>40</v>
      </c>
      <c r="M10" s="578">
        <v>69444.44</v>
      </c>
      <c r="N10" s="578">
        <v>2777777.6</v>
      </c>
      <c r="O10" s="578">
        <v>222222.20800000001</v>
      </c>
      <c r="P10" s="578">
        <v>2999999.8080000002</v>
      </c>
      <c r="Q10" s="578"/>
      <c r="R10" s="578"/>
    </row>
    <row r="11" spans="1:18">
      <c r="A11" s="664" t="s">
        <v>1138</v>
      </c>
      <c r="B11" s="449" t="s">
        <v>1134</v>
      </c>
      <c r="C11" s="639">
        <v>46263</v>
      </c>
      <c r="D11" s="302" t="s">
        <v>1045</v>
      </c>
      <c r="E11" s="555"/>
      <c r="F11" s="626"/>
      <c r="G11" s="336"/>
      <c r="H11" s="570" t="s">
        <v>1135</v>
      </c>
      <c r="I11" s="643" t="s">
        <v>173</v>
      </c>
      <c r="J11" s="302" t="s">
        <v>174</v>
      </c>
      <c r="K11" s="668" t="s">
        <v>18</v>
      </c>
      <c r="L11" s="637">
        <v>40</v>
      </c>
      <c r="M11" s="578">
        <v>97222.22</v>
      </c>
      <c r="N11" s="578">
        <v>3888888.8</v>
      </c>
      <c r="O11" s="578">
        <v>311111.10399999999</v>
      </c>
      <c r="P11" s="578">
        <v>4199999.9040000001</v>
      </c>
      <c r="Q11" s="578"/>
      <c r="R11" s="578"/>
    </row>
    <row r="12" spans="1:18">
      <c r="A12" s="664" t="s">
        <v>1138</v>
      </c>
      <c r="B12" s="449" t="s">
        <v>1134</v>
      </c>
      <c r="C12" s="639">
        <v>46263</v>
      </c>
      <c r="D12" s="302" t="s">
        <v>1045</v>
      </c>
      <c r="E12" s="555"/>
      <c r="F12" s="626"/>
      <c r="G12" s="336"/>
      <c r="H12" s="570" t="s">
        <v>1135</v>
      </c>
      <c r="I12" s="643" t="s">
        <v>639</v>
      </c>
      <c r="J12" s="302" t="s">
        <v>640</v>
      </c>
      <c r="K12" s="668" t="s">
        <v>18</v>
      </c>
      <c r="L12" s="637">
        <v>1</v>
      </c>
      <c r="M12" s="578">
        <v>0</v>
      </c>
      <c r="N12" s="578">
        <v>0</v>
      </c>
      <c r="O12" s="578">
        <v>0</v>
      </c>
      <c r="P12" s="578">
        <v>0</v>
      </c>
      <c r="Q12" s="578"/>
      <c r="R12" s="578"/>
    </row>
    <row r="13" spans="1:18">
      <c r="A13" s="664" t="s">
        <v>1138</v>
      </c>
      <c r="B13" s="449" t="s">
        <v>1134</v>
      </c>
      <c r="C13" s="639">
        <v>46263</v>
      </c>
      <c r="D13" s="302" t="s">
        <v>1045</v>
      </c>
      <c r="E13" s="555"/>
      <c r="F13" s="626"/>
      <c r="G13" s="336"/>
      <c r="H13" s="570" t="s">
        <v>1135</v>
      </c>
      <c r="I13" s="643" t="s">
        <v>641</v>
      </c>
      <c r="J13" s="302" t="s">
        <v>657</v>
      </c>
      <c r="K13" s="668" t="s">
        <v>18</v>
      </c>
      <c r="L13" s="637">
        <v>1</v>
      </c>
      <c r="M13" s="578">
        <v>0</v>
      </c>
      <c r="N13" s="578">
        <v>0</v>
      </c>
      <c r="O13" s="578">
        <v>0</v>
      </c>
      <c r="P13" s="578">
        <v>0</v>
      </c>
      <c r="Q13" s="578"/>
      <c r="R13" s="578"/>
    </row>
    <row r="14" spans="1:18">
      <c r="A14" s="664" t="s">
        <v>1138</v>
      </c>
      <c r="B14" s="449" t="s">
        <v>1134</v>
      </c>
      <c r="C14" s="639">
        <v>46263</v>
      </c>
      <c r="D14" s="302" t="s">
        <v>1045</v>
      </c>
      <c r="E14" s="555"/>
      <c r="F14" s="626"/>
      <c r="G14" s="336"/>
      <c r="H14" s="570" t="s">
        <v>1135</v>
      </c>
      <c r="I14" s="643" t="s">
        <v>643</v>
      </c>
      <c r="J14" s="302" t="s">
        <v>644</v>
      </c>
      <c r="K14" s="668" t="s">
        <v>18</v>
      </c>
      <c r="L14" s="637">
        <v>1</v>
      </c>
      <c r="M14" s="578">
        <v>0</v>
      </c>
      <c r="N14" s="578">
        <v>0</v>
      </c>
      <c r="O14" s="578">
        <v>0</v>
      </c>
      <c r="P14" s="578">
        <v>0</v>
      </c>
      <c r="Q14" s="578"/>
      <c r="R14" s="578"/>
    </row>
    <row r="15" spans="1:18">
      <c r="A15" s="664" t="s">
        <v>1138</v>
      </c>
      <c r="B15" s="449" t="s">
        <v>1134</v>
      </c>
      <c r="C15" s="639">
        <v>46263</v>
      </c>
      <c r="D15" s="302" t="s">
        <v>1045</v>
      </c>
      <c r="E15" s="555"/>
      <c r="F15" s="626"/>
      <c r="G15" s="336"/>
      <c r="H15" s="570" t="s">
        <v>1135</v>
      </c>
      <c r="I15" s="643" t="s">
        <v>653</v>
      </c>
      <c r="J15" s="302" t="s">
        <v>654</v>
      </c>
      <c r="K15" s="668" t="s">
        <v>18</v>
      </c>
      <c r="L15" s="637">
        <v>1</v>
      </c>
      <c r="M15" s="578">
        <v>0</v>
      </c>
      <c r="N15" s="578">
        <v>0</v>
      </c>
      <c r="O15" s="578">
        <v>0</v>
      </c>
      <c r="P15" s="578">
        <v>0</v>
      </c>
      <c r="Q15" s="578"/>
      <c r="R15" s="578"/>
    </row>
    <row r="16" spans="1:18">
      <c r="A16" s="664" t="s">
        <v>1138</v>
      </c>
      <c r="B16" s="449" t="s">
        <v>1134</v>
      </c>
      <c r="C16" s="639">
        <v>46263</v>
      </c>
      <c r="D16" s="302" t="s">
        <v>1045</v>
      </c>
      <c r="E16" s="555"/>
      <c r="F16" s="626"/>
      <c r="G16" s="336"/>
      <c r="H16" s="570" t="s">
        <v>1135</v>
      </c>
      <c r="I16" s="643" t="s">
        <v>655</v>
      </c>
      <c r="J16" s="302" t="s">
        <v>656</v>
      </c>
      <c r="K16" s="668" t="s">
        <v>18</v>
      </c>
      <c r="L16" s="637">
        <v>1</v>
      </c>
      <c r="M16" s="578">
        <v>0</v>
      </c>
      <c r="N16" s="578">
        <v>0</v>
      </c>
      <c r="O16" s="578">
        <v>0</v>
      </c>
      <c r="P16" s="578">
        <v>0</v>
      </c>
      <c r="Q16" s="578"/>
      <c r="R16" s="578"/>
    </row>
    <row r="17" spans="1:18">
      <c r="A17" s="664" t="s">
        <v>1138</v>
      </c>
      <c r="B17" s="449" t="s">
        <v>1134</v>
      </c>
      <c r="C17" s="446">
        <v>46276</v>
      </c>
      <c r="D17" s="442" t="s">
        <v>1125</v>
      </c>
      <c r="E17" s="450"/>
      <c r="F17" s="443"/>
      <c r="G17" s="443"/>
      <c r="H17" s="570" t="s">
        <v>1135</v>
      </c>
      <c r="I17" s="317" t="s">
        <v>641</v>
      </c>
      <c r="J17" s="320" t="s">
        <v>657</v>
      </c>
      <c r="K17" s="317" t="s">
        <v>18</v>
      </c>
      <c r="L17" s="315">
        <v>15</v>
      </c>
      <c r="M17" s="578">
        <v>638888.89</v>
      </c>
      <c r="N17" s="578">
        <v>9583333.3499999996</v>
      </c>
      <c r="O17" s="578">
        <v>766666.66799999995</v>
      </c>
      <c r="P17" s="578">
        <v>10350000.017999999</v>
      </c>
      <c r="Q17" s="578"/>
      <c r="R17" s="578"/>
    </row>
    <row r="18" spans="1:18">
      <c r="A18" s="664" t="s">
        <v>1138</v>
      </c>
      <c r="B18" s="449" t="s">
        <v>1134</v>
      </c>
      <c r="C18" s="446">
        <v>46276</v>
      </c>
      <c r="D18" s="442" t="s">
        <v>1125</v>
      </c>
      <c r="E18" s="450"/>
      <c r="F18" s="443"/>
      <c r="G18" s="443"/>
      <c r="H18" s="570" t="s">
        <v>1135</v>
      </c>
      <c r="I18" s="317" t="s">
        <v>643</v>
      </c>
      <c r="J18" s="320" t="s">
        <v>644</v>
      </c>
      <c r="K18" s="317" t="s">
        <v>18</v>
      </c>
      <c r="L18" s="315">
        <v>15</v>
      </c>
      <c r="M18" s="578">
        <v>527777.78</v>
      </c>
      <c r="N18" s="578">
        <v>7916666.7000000002</v>
      </c>
      <c r="O18" s="578">
        <v>633333.33600000001</v>
      </c>
      <c r="P18" s="578">
        <v>8550000.0360000003</v>
      </c>
      <c r="Q18" s="578"/>
      <c r="R18" s="578"/>
    </row>
    <row r="19" spans="1:18">
      <c r="A19" s="664" t="s">
        <v>1138</v>
      </c>
      <c r="B19" s="449" t="s">
        <v>1134</v>
      </c>
      <c r="C19" s="446">
        <v>46276</v>
      </c>
      <c r="D19" s="442" t="s">
        <v>1125</v>
      </c>
      <c r="E19" s="450"/>
      <c r="F19" s="443"/>
      <c r="G19" s="443"/>
      <c r="H19" s="302" t="s">
        <v>689</v>
      </c>
      <c r="I19" s="317" t="s">
        <v>641</v>
      </c>
      <c r="J19" s="320" t="s">
        <v>657</v>
      </c>
      <c r="K19" s="317" t="s">
        <v>18</v>
      </c>
      <c r="L19" s="315">
        <v>1</v>
      </c>
      <c r="M19" s="578">
        <v>0</v>
      </c>
      <c r="N19" s="578">
        <v>0</v>
      </c>
      <c r="O19" s="578">
        <v>0</v>
      </c>
      <c r="P19" s="578">
        <v>0</v>
      </c>
      <c r="Q19" s="578"/>
      <c r="R19" s="578"/>
    </row>
    <row r="20" spans="1:18">
      <c r="A20" s="664" t="s">
        <v>1138</v>
      </c>
      <c r="B20" s="449" t="s">
        <v>1134</v>
      </c>
      <c r="C20" s="446">
        <v>46276</v>
      </c>
      <c r="D20" s="442" t="s">
        <v>1125</v>
      </c>
      <c r="E20" s="450"/>
      <c r="F20" s="443"/>
      <c r="G20" s="443"/>
      <c r="H20" s="302" t="s">
        <v>689</v>
      </c>
      <c r="I20" s="317" t="s">
        <v>643</v>
      </c>
      <c r="J20" s="320" t="s">
        <v>644</v>
      </c>
      <c r="K20" s="317" t="s">
        <v>18</v>
      </c>
      <c r="L20" s="315">
        <v>1</v>
      </c>
      <c r="M20" s="578">
        <v>0</v>
      </c>
      <c r="N20" s="578">
        <v>0</v>
      </c>
      <c r="O20" s="578">
        <v>0</v>
      </c>
      <c r="P20" s="578">
        <v>0</v>
      </c>
      <c r="Q20" s="578"/>
      <c r="R20" s="578"/>
    </row>
    <row r="21" spans="1:18">
      <c r="A21" s="664" t="s">
        <v>1138</v>
      </c>
      <c r="B21" s="449" t="s">
        <v>1134</v>
      </c>
      <c r="C21" s="446">
        <v>46277</v>
      </c>
      <c r="D21" s="442"/>
      <c r="E21" s="450"/>
      <c r="F21" s="443"/>
      <c r="G21" s="443"/>
      <c r="H21" s="295" t="s">
        <v>760</v>
      </c>
      <c r="I21" s="447"/>
      <c r="J21" s="312"/>
      <c r="K21" s="298"/>
      <c r="L21" s="635"/>
      <c r="M21" s="578"/>
      <c r="N21" s="578"/>
      <c r="O21" s="578"/>
      <c r="P21" s="578"/>
      <c r="Q21" s="578"/>
      <c r="R21" s="578">
        <v>280000</v>
      </c>
    </row>
    <row r="22" spans="1:18">
      <c r="A22" s="664" t="s">
        <v>1138</v>
      </c>
      <c r="B22" s="449" t="s">
        <v>1134</v>
      </c>
      <c r="C22" s="446">
        <v>46273</v>
      </c>
      <c r="D22" s="442"/>
      <c r="E22" s="450"/>
      <c r="F22" s="443"/>
      <c r="G22" s="443"/>
      <c r="H22" s="295" t="s">
        <v>760</v>
      </c>
      <c r="I22" s="447"/>
      <c r="J22" s="312"/>
      <c r="K22" s="298"/>
      <c r="L22" s="635"/>
      <c r="M22" s="578"/>
      <c r="N22" s="578"/>
      <c r="O22" s="578"/>
      <c r="P22" s="578"/>
      <c r="Q22" s="578"/>
      <c r="R22" s="578">
        <v>700000</v>
      </c>
    </row>
    <row r="23" spans="1:18">
      <c r="A23" s="664" t="s">
        <v>1138</v>
      </c>
      <c r="B23" s="449" t="s">
        <v>1235</v>
      </c>
      <c r="C23" s="446">
        <v>46282</v>
      </c>
      <c r="D23" s="752" t="s">
        <v>1206</v>
      </c>
      <c r="E23" s="446"/>
      <c r="F23" s="447"/>
      <c r="G23" s="447"/>
      <c r="H23" s="302" t="s">
        <v>1236</v>
      </c>
      <c r="I23" s="643" t="s">
        <v>645</v>
      </c>
      <c r="J23" s="771" t="s">
        <v>646</v>
      </c>
      <c r="K23" s="298" t="s">
        <v>18</v>
      </c>
      <c r="L23" s="721">
        <v>15</v>
      </c>
      <c r="M23" s="722">
        <v>629629.63</v>
      </c>
      <c r="N23" s="723">
        <f t="shared" ref="N23:N24" si="0">L23*M23</f>
        <v>9444444.4499999993</v>
      </c>
      <c r="O23" s="613">
        <f t="shared" ref="O23:O24" si="1">N23*8%</f>
        <v>755555.55599999998</v>
      </c>
      <c r="P23" s="301">
        <f t="shared" ref="P23:P24" si="2">N23+O23</f>
        <v>10200000.005999999</v>
      </c>
      <c r="Q23" s="652"/>
      <c r="R23" s="652"/>
    </row>
    <row r="24" spans="1:18">
      <c r="A24" s="664" t="s">
        <v>1138</v>
      </c>
      <c r="B24" s="449" t="s">
        <v>1235</v>
      </c>
      <c r="C24" s="446">
        <v>46282</v>
      </c>
      <c r="D24" s="752" t="s">
        <v>1206</v>
      </c>
      <c r="E24" s="446"/>
      <c r="F24" s="447"/>
      <c r="G24" s="447"/>
      <c r="H24" s="302" t="s">
        <v>689</v>
      </c>
      <c r="I24" s="643" t="s">
        <v>645</v>
      </c>
      <c r="J24" s="771" t="s">
        <v>646</v>
      </c>
      <c r="K24" s="298" t="s">
        <v>18</v>
      </c>
      <c r="L24" s="721">
        <v>1</v>
      </c>
      <c r="M24" s="722">
        <v>0</v>
      </c>
      <c r="N24" s="723">
        <f t="shared" si="0"/>
        <v>0</v>
      </c>
      <c r="O24" s="613">
        <f t="shared" si="1"/>
        <v>0</v>
      </c>
      <c r="P24" s="301">
        <f t="shared" si="2"/>
        <v>0</v>
      </c>
      <c r="Q24" s="652"/>
      <c r="R24" s="652"/>
    </row>
    <row r="25" spans="1:18">
      <c r="A25" s="664" t="s">
        <v>1138</v>
      </c>
      <c r="B25" s="449" t="s">
        <v>1235</v>
      </c>
      <c r="C25" s="446">
        <v>46286</v>
      </c>
      <c r="D25" s="752"/>
      <c r="E25" s="446"/>
      <c r="F25" s="447"/>
      <c r="G25" s="447"/>
      <c r="H25" s="299" t="s">
        <v>1234</v>
      </c>
      <c r="I25" s="447"/>
      <c r="J25" s="322"/>
      <c r="K25" s="298"/>
      <c r="L25" s="635"/>
      <c r="M25" s="612"/>
      <c r="N25" s="613"/>
      <c r="O25" s="613"/>
      <c r="P25" s="613"/>
      <c r="Q25" s="652"/>
      <c r="R25" s="652">
        <v>150000</v>
      </c>
    </row>
    <row r="26" spans="1:18">
      <c r="A26" s="664"/>
      <c r="B26" s="449"/>
      <c r="C26" s="446"/>
      <c r="D26" s="442"/>
      <c r="E26" s="450"/>
      <c r="F26" s="443"/>
      <c r="G26" s="443"/>
      <c r="H26" s="295"/>
      <c r="I26" s="447"/>
      <c r="J26" s="312"/>
      <c r="K26" s="298"/>
      <c r="L26" s="635"/>
      <c r="M26" s="578"/>
      <c r="N26" s="578"/>
      <c r="O26" s="578"/>
      <c r="P26" s="578"/>
      <c r="Q26" s="578"/>
      <c r="R26" s="578"/>
    </row>
    <row r="27" spans="1:18">
      <c r="A27" s="490"/>
      <c r="B27" s="490"/>
      <c r="C27" s="490"/>
      <c r="D27" s="490"/>
      <c r="E27" s="490"/>
      <c r="F27" s="490"/>
      <c r="G27" s="490"/>
      <c r="H27" s="490"/>
      <c r="I27" s="490"/>
      <c r="J27" s="490"/>
      <c r="K27" s="490"/>
      <c r="L27" s="490"/>
      <c r="M27" s="490"/>
      <c r="N27" s="490"/>
      <c r="O27" s="490"/>
      <c r="P27" s="595">
        <f>SUM(P3:P26)</f>
        <v>91927999.785599977</v>
      </c>
      <c r="Q27" s="595">
        <f t="shared" ref="Q27" si="3">SUM(Q3:Q22)</f>
        <v>0</v>
      </c>
      <c r="R27" s="595">
        <f>SUM(R3:R26)</f>
        <v>1130000</v>
      </c>
    </row>
    <row r="29" spans="1:18" ht="15.75" thickBot="1"/>
    <row r="30" spans="1:18">
      <c r="H30" s="704" t="s">
        <v>1141</v>
      </c>
      <c r="I30" s="705">
        <f>P27</f>
        <v>91927999.785599977</v>
      </c>
    </row>
    <row r="31" spans="1:18">
      <c r="H31" s="706" t="s">
        <v>896</v>
      </c>
      <c r="I31" s="707">
        <f>R27</f>
        <v>1130000</v>
      </c>
    </row>
    <row r="32" spans="1:18">
      <c r="H32" s="706" t="s">
        <v>895</v>
      </c>
      <c r="I32" s="707">
        <f>Q27</f>
        <v>0</v>
      </c>
    </row>
    <row r="33" spans="8:12" ht="15.75" thickBot="1">
      <c r="H33" s="708" t="s">
        <v>1142</v>
      </c>
      <c r="I33" s="709">
        <f>I30-I31-I32</f>
        <v>90797999.785599977</v>
      </c>
    </row>
    <row r="36" spans="8:12">
      <c r="H36" s="993" t="s">
        <v>921</v>
      </c>
      <c r="I36" s="994"/>
      <c r="J36" s="994"/>
      <c r="K36" s="994"/>
      <c r="L36" s="994"/>
    </row>
    <row r="37" spans="8:12">
      <c r="H37" s="994"/>
      <c r="I37" s="994"/>
      <c r="J37" s="994"/>
      <c r="K37" s="994"/>
      <c r="L37" s="994"/>
    </row>
    <row r="38" spans="8:12">
      <c r="H38" s="994"/>
      <c r="I38" s="994"/>
      <c r="J38" s="994"/>
      <c r="K38" s="994"/>
      <c r="L38" s="994"/>
    </row>
    <row r="39" spans="8:12">
      <c r="H39" s="994"/>
      <c r="I39" s="994"/>
      <c r="J39" s="994"/>
      <c r="K39" s="994"/>
      <c r="L39" s="994"/>
    </row>
    <row r="40" spans="8:12">
      <c r="H40" s="994"/>
      <c r="I40" s="994"/>
      <c r="J40" s="994"/>
      <c r="K40" s="994"/>
      <c r="L40" s="994"/>
    </row>
    <row r="41" spans="8:12">
      <c r="H41" s="994"/>
      <c r="I41" s="994"/>
      <c r="J41" s="994"/>
      <c r="K41" s="994"/>
      <c r="L41" s="994"/>
    </row>
    <row r="42" spans="8:12">
      <c r="H42" s="994"/>
      <c r="I42" s="994"/>
      <c r="J42" s="994"/>
      <c r="K42" s="994"/>
      <c r="L42" s="994"/>
    </row>
    <row r="43" spans="8:12">
      <c r="H43" s="994"/>
      <c r="I43" s="994"/>
      <c r="J43" s="994"/>
      <c r="K43" s="994"/>
      <c r="L43" s="994"/>
    </row>
    <row r="44" spans="8:12">
      <c r="H44" s="994"/>
      <c r="I44" s="994"/>
      <c r="J44" s="994"/>
      <c r="K44" s="994"/>
      <c r="L44" s="994"/>
    </row>
  </sheetData>
  <mergeCells count="1">
    <mergeCell ref="H36:L44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38F8-B6C0-486F-BD06-7A0934B36C0F}">
  <sheetPr>
    <tabColor rgb="FF00B050"/>
  </sheetPr>
  <dimension ref="A2:Q76"/>
  <sheetViews>
    <sheetView topLeftCell="B43" workbookViewId="0">
      <selection activeCell="H71" sqref="H71"/>
    </sheetView>
  </sheetViews>
  <sheetFormatPr defaultRowHeight="15"/>
  <cols>
    <col min="1" max="1" width="13.7109375" customWidth="1"/>
    <col min="2" max="2" width="34.28515625" customWidth="1"/>
    <col min="3" max="3" width="11.5703125" bestFit="1" customWidth="1"/>
    <col min="5" max="5" width="11.5703125" bestFit="1" customWidth="1"/>
    <col min="7" max="7" width="10.140625" bestFit="1" customWidth="1"/>
    <col min="8" max="8" width="40.42578125" customWidth="1"/>
    <col min="10" max="10" width="60.5703125" bestFit="1" customWidth="1"/>
    <col min="11" max="11" width="15" bestFit="1" customWidth="1"/>
    <col min="13" max="13" width="13.85546875" bestFit="1" customWidth="1"/>
    <col min="14" max="14" width="15" bestFit="1" customWidth="1"/>
    <col min="15" max="15" width="13.85546875" bestFit="1" customWidth="1"/>
    <col min="16" max="16" width="15" bestFit="1" customWidth="1"/>
    <col min="17" max="17" width="14.42578125" customWidth="1"/>
  </cols>
  <sheetData>
    <row r="2" spans="1:17" ht="49.5" customHeight="1">
      <c r="A2" s="433" t="s">
        <v>666</v>
      </c>
      <c r="B2" s="431" t="s">
        <v>866</v>
      </c>
      <c r="C2" s="431" t="s">
        <v>624</v>
      </c>
      <c r="D2" s="432" t="s">
        <v>636</v>
      </c>
      <c r="E2" s="431" t="s">
        <v>635</v>
      </c>
      <c r="F2" s="433" t="s">
        <v>637</v>
      </c>
      <c r="G2" s="433" t="s">
        <v>634</v>
      </c>
      <c r="H2" s="434" t="s">
        <v>625</v>
      </c>
      <c r="I2" s="433" t="s">
        <v>626</v>
      </c>
      <c r="J2" s="433" t="s">
        <v>627</v>
      </c>
      <c r="K2" s="433" t="s">
        <v>628</v>
      </c>
      <c r="L2" s="435" t="s">
        <v>629</v>
      </c>
      <c r="M2" s="436" t="s">
        <v>630</v>
      </c>
      <c r="N2" s="436" t="s">
        <v>631</v>
      </c>
      <c r="O2" s="436" t="s">
        <v>632</v>
      </c>
      <c r="P2" s="436" t="s">
        <v>633</v>
      </c>
      <c r="Q2" s="436" t="s">
        <v>612</v>
      </c>
    </row>
    <row r="3" spans="1:17">
      <c r="A3" s="296" t="s">
        <v>717</v>
      </c>
      <c r="B3" s="307" t="s">
        <v>743</v>
      </c>
      <c r="C3" s="297">
        <v>46245</v>
      </c>
      <c r="D3" s="299" t="s">
        <v>721</v>
      </c>
      <c r="E3" s="297">
        <v>46246</v>
      </c>
      <c r="F3" s="298" t="s">
        <v>778</v>
      </c>
      <c r="G3" s="313" t="s">
        <v>777</v>
      </c>
      <c r="H3" s="299" t="s">
        <v>822</v>
      </c>
      <c r="I3" s="298" t="s">
        <v>204</v>
      </c>
      <c r="J3" s="298" t="s">
        <v>269</v>
      </c>
      <c r="K3" s="298" t="s">
        <v>277</v>
      </c>
      <c r="L3" s="298">
        <v>2</v>
      </c>
      <c r="M3" s="310">
        <v>480555.56</v>
      </c>
      <c r="N3" s="309">
        <v>961111.12</v>
      </c>
      <c r="O3" s="309">
        <v>76888.889599999995</v>
      </c>
      <c r="P3" s="309">
        <v>1038000.0096</v>
      </c>
      <c r="Q3" s="310"/>
    </row>
    <row r="4" spans="1:17">
      <c r="A4" s="296" t="s">
        <v>717</v>
      </c>
      <c r="B4" s="307" t="s">
        <v>743</v>
      </c>
      <c r="C4" s="297">
        <v>46245</v>
      </c>
      <c r="D4" s="299" t="s">
        <v>721</v>
      </c>
      <c r="E4" s="297">
        <v>46246</v>
      </c>
      <c r="F4" s="298" t="s">
        <v>778</v>
      </c>
      <c r="G4" s="313" t="s">
        <v>777</v>
      </c>
      <c r="H4" s="299" t="s">
        <v>822</v>
      </c>
      <c r="I4" s="298" t="s">
        <v>208</v>
      </c>
      <c r="J4" s="298" t="s">
        <v>209</v>
      </c>
      <c r="K4" s="298" t="s">
        <v>277</v>
      </c>
      <c r="L4" s="298">
        <v>2</v>
      </c>
      <c r="M4" s="310">
        <v>647222.22</v>
      </c>
      <c r="N4" s="309">
        <v>1294444.44</v>
      </c>
      <c r="O4" s="309">
        <v>103555.5552</v>
      </c>
      <c r="P4" s="309">
        <v>1397999.9952</v>
      </c>
      <c r="Q4" s="310"/>
    </row>
    <row r="5" spans="1:17">
      <c r="A5" s="296" t="s">
        <v>717</v>
      </c>
      <c r="B5" s="307" t="s">
        <v>743</v>
      </c>
      <c r="C5" s="297">
        <v>46245</v>
      </c>
      <c r="D5" s="299" t="s">
        <v>721</v>
      </c>
      <c r="E5" s="297">
        <v>46246</v>
      </c>
      <c r="F5" s="298" t="s">
        <v>778</v>
      </c>
      <c r="G5" s="313" t="s">
        <v>777</v>
      </c>
      <c r="H5" s="299" t="s">
        <v>822</v>
      </c>
      <c r="I5" s="298" t="s">
        <v>77</v>
      </c>
      <c r="J5" s="298" t="s">
        <v>78</v>
      </c>
      <c r="K5" s="298" t="s">
        <v>277</v>
      </c>
      <c r="L5" s="298">
        <v>12</v>
      </c>
      <c r="M5" s="310">
        <v>324074.07</v>
      </c>
      <c r="N5" s="309">
        <v>3888888.84</v>
      </c>
      <c r="O5" s="309">
        <v>311111.10719999997</v>
      </c>
      <c r="P5" s="309">
        <v>4199999.9472000003</v>
      </c>
      <c r="Q5" s="310"/>
    </row>
    <row r="6" spans="1:17">
      <c r="A6" s="296" t="s">
        <v>717</v>
      </c>
      <c r="B6" s="307" t="s">
        <v>743</v>
      </c>
      <c r="C6" s="297">
        <v>46245</v>
      </c>
      <c r="D6" s="299" t="s">
        <v>721</v>
      </c>
      <c r="E6" s="297">
        <v>46246</v>
      </c>
      <c r="F6" s="298" t="s">
        <v>778</v>
      </c>
      <c r="G6" s="313" t="s">
        <v>777</v>
      </c>
      <c r="H6" s="299" t="s">
        <v>822</v>
      </c>
      <c r="I6" s="298" t="s">
        <v>206</v>
      </c>
      <c r="J6" s="298" t="s">
        <v>369</v>
      </c>
      <c r="K6" s="298" t="s">
        <v>277</v>
      </c>
      <c r="L6" s="298">
        <v>2</v>
      </c>
      <c r="M6" s="310">
        <v>483333.33</v>
      </c>
      <c r="N6" s="309">
        <v>966666.66</v>
      </c>
      <c r="O6" s="309">
        <v>77333.332800000004</v>
      </c>
      <c r="P6" s="309">
        <v>1043999.9928</v>
      </c>
      <c r="Q6" s="310"/>
    </row>
    <row r="7" spans="1:17">
      <c r="A7" s="296" t="s">
        <v>717</v>
      </c>
      <c r="B7" s="307" t="s">
        <v>743</v>
      </c>
      <c r="C7" s="297">
        <v>46245</v>
      </c>
      <c r="D7" s="299" t="s">
        <v>721</v>
      </c>
      <c r="E7" s="297">
        <v>46246</v>
      </c>
      <c r="F7" s="298" t="s">
        <v>778</v>
      </c>
      <c r="G7" s="313" t="s">
        <v>777</v>
      </c>
      <c r="H7" s="299" t="s">
        <v>822</v>
      </c>
      <c r="I7" s="298" t="s">
        <v>80</v>
      </c>
      <c r="J7" s="298" t="s">
        <v>81</v>
      </c>
      <c r="K7" s="298" t="s">
        <v>18</v>
      </c>
      <c r="L7" s="298">
        <v>4</v>
      </c>
      <c r="M7" s="310">
        <v>824074.07</v>
      </c>
      <c r="N7" s="309">
        <v>3296296.28</v>
      </c>
      <c r="O7" s="309">
        <v>263703.70240000001</v>
      </c>
      <c r="P7" s="309">
        <v>3559999.9823999996</v>
      </c>
      <c r="Q7" s="310"/>
    </row>
    <row r="8" spans="1:17">
      <c r="A8" s="296" t="s">
        <v>717</v>
      </c>
      <c r="B8" s="307" t="s">
        <v>743</v>
      </c>
      <c r="C8" s="297">
        <v>46245</v>
      </c>
      <c r="D8" s="299" t="s">
        <v>721</v>
      </c>
      <c r="E8" s="297">
        <v>46246</v>
      </c>
      <c r="F8" s="298" t="s">
        <v>778</v>
      </c>
      <c r="G8" s="313" t="s">
        <v>777</v>
      </c>
      <c r="H8" s="299" t="s">
        <v>822</v>
      </c>
      <c r="I8" s="298" t="s">
        <v>355</v>
      </c>
      <c r="J8" s="298" t="s">
        <v>356</v>
      </c>
      <c r="K8" s="298" t="s">
        <v>277</v>
      </c>
      <c r="L8" s="298">
        <v>4</v>
      </c>
      <c r="M8" s="310">
        <v>1043518.52</v>
      </c>
      <c r="N8" s="309">
        <v>4174074.08</v>
      </c>
      <c r="O8" s="309">
        <v>333925.9264</v>
      </c>
      <c r="P8" s="309">
        <v>4508000.0064000003</v>
      </c>
      <c r="Q8" s="310"/>
    </row>
    <row r="9" spans="1:17">
      <c r="A9" s="296" t="s">
        <v>717</v>
      </c>
      <c r="B9" s="307" t="s">
        <v>743</v>
      </c>
      <c r="C9" s="297">
        <v>46245</v>
      </c>
      <c r="D9" s="299" t="s">
        <v>721</v>
      </c>
      <c r="E9" s="297">
        <v>46246</v>
      </c>
      <c r="F9" s="298" t="s">
        <v>778</v>
      </c>
      <c r="G9" s="313" t="s">
        <v>777</v>
      </c>
      <c r="H9" s="299" t="s">
        <v>822</v>
      </c>
      <c r="I9" s="298" t="s">
        <v>262</v>
      </c>
      <c r="J9" s="298" t="s">
        <v>263</v>
      </c>
      <c r="K9" s="298" t="s">
        <v>277</v>
      </c>
      <c r="L9" s="298">
        <v>4</v>
      </c>
      <c r="M9" s="310">
        <v>851851.85</v>
      </c>
      <c r="N9" s="309">
        <v>3407407.4</v>
      </c>
      <c r="O9" s="309">
        <v>272592.592</v>
      </c>
      <c r="P9" s="309">
        <v>3679999.9920000001</v>
      </c>
      <c r="Q9" s="310"/>
    </row>
    <row r="10" spans="1:17">
      <c r="A10" s="296" t="s">
        <v>717</v>
      </c>
      <c r="B10" s="307" t="s">
        <v>743</v>
      </c>
      <c r="C10" s="297">
        <v>46245</v>
      </c>
      <c r="D10" s="299" t="s">
        <v>721</v>
      </c>
      <c r="E10" s="297">
        <v>46246</v>
      </c>
      <c r="F10" s="298" t="s">
        <v>778</v>
      </c>
      <c r="G10" s="313" t="s">
        <v>777</v>
      </c>
      <c r="H10" s="299" t="s">
        <v>822</v>
      </c>
      <c r="I10" s="298" t="s">
        <v>180</v>
      </c>
      <c r="J10" s="298" t="s">
        <v>181</v>
      </c>
      <c r="K10" s="298" t="s">
        <v>18</v>
      </c>
      <c r="L10" s="298">
        <v>20</v>
      </c>
      <c r="M10" s="310">
        <v>234259.26</v>
      </c>
      <c r="N10" s="309">
        <v>4685185.2</v>
      </c>
      <c r="O10" s="309">
        <v>374814.81600000005</v>
      </c>
      <c r="P10" s="309">
        <v>5060000.0159999998</v>
      </c>
      <c r="Q10" s="310"/>
    </row>
    <row r="11" spans="1:17">
      <c r="A11" s="296" t="s">
        <v>717</v>
      </c>
      <c r="B11" s="307" t="s">
        <v>743</v>
      </c>
      <c r="C11" s="297">
        <v>46245</v>
      </c>
      <c r="D11" s="299" t="s">
        <v>721</v>
      </c>
      <c r="E11" s="297">
        <v>46246</v>
      </c>
      <c r="F11" s="298" t="s">
        <v>778</v>
      </c>
      <c r="G11" s="313" t="s">
        <v>777</v>
      </c>
      <c r="H11" s="299" t="s">
        <v>822</v>
      </c>
      <c r="I11" s="298" t="s">
        <v>26</v>
      </c>
      <c r="J11" s="298" t="s">
        <v>27</v>
      </c>
      <c r="K11" s="298" t="s">
        <v>18</v>
      </c>
      <c r="L11" s="298">
        <v>30</v>
      </c>
      <c r="M11" s="310">
        <v>256481.48</v>
      </c>
      <c r="N11" s="309">
        <v>7694444.4000000004</v>
      </c>
      <c r="O11" s="309">
        <v>615555.55200000003</v>
      </c>
      <c r="P11" s="309">
        <v>8309999.9520000005</v>
      </c>
      <c r="Q11" s="310"/>
    </row>
    <row r="12" spans="1:17">
      <c r="A12" s="296" t="s">
        <v>717</v>
      </c>
      <c r="B12" s="307" t="s">
        <v>743</v>
      </c>
      <c r="C12" s="297">
        <v>46245</v>
      </c>
      <c r="D12" s="299" t="s">
        <v>721</v>
      </c>
      <c r="E12" s="297">
        <v>46246</v>
      </c>
      <c r="F12" s="298" t="s">
        <v>778</v>
      </c>
      <c r="G12" s="313" t="s">
        <v>777</v>
      </c>
      <c r="H12" s="299" t="s">
        <v>822</v>
      </c>
      <c r="I12" s="298" t="s">
        <v>28</v>
      </c>
      <c r="J12" s="298" t="s">
        <v>29</v>
      </c>
      <c r="K12" s="298" t="s">
        <v>18</v>
      </c>
      <c r="L12" s="298">
        <v>30</v>
      </c>
      <c r="M12" s="310">
        <v>281481.48</v>
      </c>
      <c r="N12" s="309">
        <v>8444444.3999999985</v>
      </c>
      <c r="O12" s="309">
        <v>675555.55199999991</v>
      </c>
      <c r="P12" s="309">
        <v>9119999.9519999977</v>
      </c>
      <c r="Q12" s="310"/>
    </row>
    <row r="13" spans="1:17">
      <c r="A13" s="296" t="s">
        <v>717</v>
      </c>
      <c r="B13" s="307" t="s">
        <v>743</v>
      </c>
      <c r="C13" s="297">
        <v>46245</v>
      </c>
      <c r="D13" s="299" t="s">
        <v>721</v>
      </c>
      <c r="E13" s="297">
        <v>46246</v>
      </c>
      <c r="F13" s="298" t="s">
        <v>778</v>
      </c>
      <c r="G13" s="313" t="s">
        <v>777</v>
      </c>
      <c r="H13" s="299" t="s">
        <v>822</v>
      </c>
      <c r="I13" s="298" t="s">
        <v>243</v>
      </c>
      <c r="J13" s="298" t="s">
        <v>249</v>
      </c>
      <c r="K13" s="298" t="s">
        <v>18</v>
      </c>
      <c r="L13" s="298">
        <v>30</v>
      </c>
      <c r="M13" s="310">
        <v>298148.15000000002</v>
      </c>
      <c r="N13" s="309">
        <v>8944444.5</v>
      </c>
      <c r="O13" s="309">
        <v>715555.56</v>
      </c>
      <c r="P13" s="309">
        <v>9660000.0600000005</v>
      </c>
      <c r="Q13" s="310"/>
    </row>
    <row r="14" spans="1:17">
      <c r="A14" s="296" t="s">
        <v>717</v>
      </c>
      <c r="B14" s="307" t="s">
        <v>743</v>
      </c>
      <c r="C14" s="297">
        <v>46245</v>
      </c>
      <c r="D14" s="299" t="s">
        <v>721</v>
      </c>
      <c r="E14" s="297">
        <v>46246</v>
      </c>
      <c r="F14" s="298" t="s">
        <v>778</v>
      </c>
      <c r="G14" s="313" t="s">
        <v>777</v>
      </c>
      <c r="H14" s="299" t="s">
        <v>822</v>
      </c>
      <c r="I14" s="298" t="s">
        <v>184</v>
      </c>
      <c r="J14" s="298" t="s">
        <v>272</v>
      </c>
      <c r="K14" s="298" t="s">
        <v>18</v>
      </c>
      <c r="L14" s="298">
        <v>10</v>
      </c>
      <c r="M14" s="310">
        <v>240740.74</v>
      </c>
      <c r="N14" s="309">
        <v>2407407.4</v>
      </c>
      <c r="O14" s="309">
        <v>192592.592</v>
      </c>
      <c r="P14" s="309">
        <v>2599999.9920000001</v>
      </c>
      <c r="Q14" s="310"/>
    </row>
    <row r="15" spans="1:17">
      <c r="A15" s="296" t="s">
        <v>717</v>
      </c>
      <c r="B15" s="307" t="s">
        <v>743</v>
      </c>
      <c r="C15" s="297">
        <v>46245</v>
      </c>
      <c r="D15" s="299" t="s">
        <v>721</v>
      </c>
      <c r="E15" s="297">
        <v>46246</v>
      </c>
      <c r="F15" s="298" t="s">
        <v>778</v>
      </c>
      <c r="G15" s="313" t="s">
        <v>777</v>
      </c>
      <c r="H15" s="299" t="s">
        <v>822</v>
      </c>
      <c r="I15" s="298" t="s">
        <v>30</v>
      </c>
      <c r="J15" s="298" t="s">
        <v>31</v>
      </c>
      <c r="K15" s="298" t="s">
        <v>18</v>
      </c>
      <c r="L15" s="298">
        <v>10</v>
      </c>
      <c r="M15" s="310">
        <v>259259.26</v>
      </c>
      <c r="N15" s="309">
        <v>2592592.6</v>
      </c>
      <c r="O15" s="309">
        <v>207407.40800000002</v>
      </c>
      <c r="P15" s="309">
        <v>2800000.0079999999</v>
      </c>
      <c r="Q15" s="310"/>
    </row>
    <row r="16" spans="1:17">
      <c r="A16" s="296" t="s">
        <v>717</v>
      </c>
      <c r="B16" s="307" t="s">
        <v>743</v>
      </c>
      <c r="C16" s="297">
        <v>46245</v>
      </c>
      <c r="D16" s="299" t="s">
        <v>721</v>
      </c>
      <c r="E16" s="297">
        <v>46246</v>
      </c>
      <c r="F16" s="298" t="s">
        <v>778</v>
      </c>
      <c r="G16" s="313" t="s">
        <v>777</v>
      </c>
      <c r="H16" s="299" t="s">
        <v>822</v>
      </c>
      <c r="I16" s="298" t="s">
        <v>301</v>
      </c>
      <c r="J16" s="298" t="s">
        <v>361</v>
      </c>
      <c r="K16" s="298" t="s">
        <v>18</v>
      </c>
      <c r="L16" s="298">
        <v>10</v>
      </c>
      <c r="M16" s="310">
        <v>277777.78000000003</v>
      </c>
      <c r="N16" s="309">
        <v>2777777.8000000003</v>
      </c>
      <c r="O16" s="309">
        <v>222222.22400000002</v>
      </c>
      <c r="P16" s="309">
        <v>3000000.0240000002</v>
      </c>
      <c r="Q16" s="310"/>
    </row>
    <row r="17" spans="1:17">
      <c r="A17" s="296" t="s">
        <v>717</v>
      </c>
      <c r="B17" s="307" t="s">
        <v>743</v>
      </c>
      <c r="C17" s="297">
        <v>46245</v>
      </c>
      <c r="D17" s="299" t="s">
        <v>721</v>
      </c>
      <c r="E17" s="297">
        <v>46246</v>
      </c>
      <c r="F17" s="298" t="s">
        <v>778</v>
      </c>
      <c r="G17" s="313" t="s">
        <v>777</v>
      </c>
      <c r="H17" s="299" t="s">
        <v>822</v>
      </c>
      <c r="I17" s="298" t="s">
        <v>32</v>
      </c>
      <c r="J17" s="298" t="s">
        <v>33</v>
      </c>
      <c r="K17" s="298" t="s">
        <v>18</v>
      </c>
      <c r="L17" s="298">
        <v>10</v>
      </c>
      <c r="M17" s="310">
        <v>226851.85</v>
      </c>
      <c r="N17" s="309">
        <v>2268518.5</v>
      </c>
      <c r="O17" s="309">
        <v>181481.48</v>
      </c>
      <c r="P17" s="309">
        <v>2449999.98</v>
      </c>
      <c r="Q17" s="310"/>
    </row>
    <row r="18" spans="1:17">
      <c r="A18" s="296" t="s">
        <v>717</v>
      </c>
      <c r="B18" s="307" t="s">
        <v>743</v>
      </c>
      <c r="C18" s="297">
        <v>46245</v>
      </c>
      <c r="D18" s="299" t="s">
        <v>721</v>
      </c>
      <c r="E18" s="297">
        <v>46246</v>
      </c>
      <c r="F18" s="298" t="s">
        <v>778</v>
      </c>
      <c r="G18" s="313" t="s">
        <v>777</v>
      </c>
      <c r="H18" s="299" t="s">
        <v>822</v>
      </c>
      <c r="I18" s="298" t="s">
        <v>36</v>
      </c>
      <c r="J18" s="298" t="s">
        <v>37</v>
      </c>
      <c r="K18" s="298" t="s">
        <v>18</v>
      </c>
      <c r="L18" s="298">
        <v>10</v>
      </c>
      <c r="M18" s="310">
        <v>259259.26</v>
      </c>
      <c r="N18" s="309">
        <v>2592592.6</v>
      </c>
      <c r="O18" s="309">
        <v>207407.40800000002</v>
      </c>
      <c r="P18" s="309">
        <v>2800000.0079999999</v>
      </c>
      <c r="Q18" s="310"/>
    </row>
    <row r="19" spans="1:17">
      <c r="A19" s="296" t="s">
        <v>717</v>
      </c>
      <c r="B19" s="307" t="s">
        <v>743</v>
      </c>
      <c r="C19" s="297">
        <v>46245</v>
      </c>
      <c r="D19" s="299" t="s">
        <v>721</v>
      </c>
      <c r="E19" s="297">
        <v>46246</v>
      </c>
      <c r="F19" s="298" t="s">
        <v>778</v>
      </c>
      <c r="G19" s="313" t="s">
        <v>777</v>
      </c>
      <c r="H19" s="299" t="s">
        <v>822</v>
      </c>
      <c r="I19" s="298" t="s">
        <v>38</v>
      </c>
      <c r="J19" s="298" t="s">
        <v>39</v>
      </c>
      <c r="K19" s="298" t="s">
        <v>18</v>
      </c>
      <c r="L19" s="298">
        <v>10</v>
      </c>
      <c r="M19" s="310">
        <v>277777.78000000003</v>
      </c>
      <c r="N19" s="309">
        <v>2777777.8000000003</v>
      </c>
      <c r="O19" s="309">
        <v>222222.22400000002</v>
      </c>
      <c r="P19" s="309">
        <v>3000000.0240000002</v>
      </c>
      <c r="Q19" s="310"/>
    </row>
    <row r="20" spans="1:17">
      <c r="A20" s="296" t="s">
        <v>717</v>
      </c>
      <c r="B20" s="307" t="s">
        <v>743</v>
      </c>
      <c r="C20" s="297">
        <v>46245</v>
      </c>
      <c r="D20" s="299" t="s">
        <v>721</v>
      </c>
      <c r="E20" s="297">
        <v>46246</v>
      </c>
      <c r="F20" s="298" t="s">
        <v>778</v>
      </c>
      <c r="G20" s="313" t="s">
        <v>777</v>
      </c>
      <c r="H20" s="299" t="s">
        <v>822</v>
      </c>
      <c r="I20" s="298" t="s">
        <v>722</v>
      </c>
      <c r="J20" s="298" t="s">
        <v>723</v>
      </c>
      <c r="K20" s="298" t="s">
        <v>18</v>
      </c>
      <c r="L20" s="298">
        <v>10</v>
      </c>
      <c r="M20" s="310">
        <v>277777.78000000003</v>
      </c>
      <c r="N20" s="309">
        <v>2777777.8000000003</v>
      </c>
      <c r="O20" s="309">
        <v>222222.22400000002</v>
      </c>
      <c r="P20" s="309">
        <v>3000000.0240000002</v>
      </c>
      <c r="Q20" s="310"/>
    </row>
    <row r="21" spans="1:17">
      <c r="A21" s="296" t="s">
        <v>717</v>
      </c>
      <c r="B21" s="307" t="s">
        <v>743</v>
      </c>
      <c r="C21" s="297">
        <v>46245</v>
      </c>
      <c r="D21" s="299" t="s">
        <v>721</v>
      </c>
      <c r="E21" s="297">
        <v>46246</v>
      </c>
      <c r="F21" s="298" t="s">
        <v>778</v>
      </c>
      <c r="G21" s="313" t="s">
        <v>777</v>
      </c>
      <c r="H21" s="299" t="s">
        <v>822</v>
      </c>
      <c r="I21" s="298" t="s">
        <v>724</v>
      </c>
      <c r="J21" s="298" t="s">
        <v>725</v>
      </c>
      <c r="K21" s="298" t="s">
        <v>18</v>
      </c>
      <c r="L21" s="298">
        <v>10</v>
      </c>
      <c r="M21" s="310">
        <v>240740.74</v>
      </c>
      <c r="N21" s="309">
        <v>2407407.4</v>
      </c>
      <c r="O21" s="309">
        <v>192592.592</v>
      </c>
      <c r="P21" s="309">
        <v>2599999.9920000001</v>
      </c>
      <c r="Q21" s="310"/>
    </row>
    <row r="22" spans="1:17">
      <c r="A22" s="296" t="s">
        <v>717</v>
      </c>
      <c r="B22" s="307" t="s">
        <v>743</v>
      </c>
      <c r="C22" s="297">
        <v>46245</v>
      </c>
      <c r="D22" s="299" t="s">
        <v>721</v>
      </c>
      <c r="E22" s="297">
        <v>46246</v>
      </c>
      <c r="F22" s="298" t="s">
        <v>778</v>
      </c>
      <c r="G22" s="313" t="s">
        <v>777</v>
      </c>
      <c r="H22" s="299" t="s">
        <v>822</v>
      </c>
      <c r="I22" s="298" t="s">
        <v>726</v>
      </c>
      <c r="J22" s="298" t="s">
        <v>727</v>
      </c>
      <c r="K22" s="298" t="s">
        <v>18</v>
      </c>
      <c r="L22" s="298">
        <v>10</v>
      </c>
      <c r="M22" s="310">
        <v>259259.26</v>
      </c>
      <c r="N22" s="309">
        <v>2592592.6</v>
      </c>
      <c r="O22" s="309">
        <v>207407.40800000002</v>
      </c>
      <c r="P22" s="309">
        <v>2800000.0079999999</v>
      </c>
      <c r="Q22" s="310"/>
    </row>
    <row r="23" spans="1:17">
      <c r="A23" s="296" t="s">
        <v>717</v>
      </c>
      <c r="B23" s="307" t="s">
        <v>743</v>
      </c>
      <c r="C23" s="297">
        <v>46245</v>
      </c>
      <c r="D23" s="299" t="s">
        <v>721</v>
      </c>
      <c r="E23" s="297">
        <v>46246</v>
      </c>
      <c r="F23" s="298" t="s">
        <v>778</v>
      </c>
      <c r="G23" s="313" t="s">
        <v>777</v>
      </c>
      <c r="H23" s="299" t="s">
        <v>822</v>
      </c>
      <c r="I23" s="298" t="s">
        <v>728</v>
      </c>
      <c r="J23" s="298" t="s">
        <v>729</v>
      </c>
      <c r="K23" s="298" t="s">
        <v>18</v>
      </c>
      <c r="L23" s="298">
        <v>10</v>
      </c>
      <c r="M23" s="310">
        <v>277777.78000000003</v>
      </c>
      <c r="N23" s="309">
        <v>2777777.8000000003</v>
      </c>
      <c r="O23" s="309">
        <v>222222.22400000002</v>
      </c>
      <c r="P23" s="309">
        <v>3000000.0240000002</v>
      </c>
      <c r="Q23" s="310"/>
    </row>
    <row r="24" spans="1:17">
      <c r="A24" s="296" t="s">
        <v>717</v>
      </c>
      <c r="B24" s="307" t="s">
        <v>743</v>
      </c>
      <c r="C24" s="297">
        <v>46245</v>
      </c>
      <c r="D24" s="299" t="s">
        <v>721</v>
      </c>
      <c r="E24" s="297">
        <v>46246</v>
      </c>
      <c r="F24" s="298" t="s">
        <v>778</v>
      </c>
      <c r="G24" s="313" t="s">
        <v>777</v>
      </c>
      <c r="H24" s="299" t="s">
        <v>822</v>
      </c>
      <c r="I24" s="298" t="s">
        <v>730</v>
      </c>
      <c r="J24" s="298" t="s">
        <v>731</v>
      </c>
      <c r="K24" s="298" t="s">
        <v>18</v>
      </c>
      <c r="L24" s="298">
        <v>10</v>
      </c>
      <c r="M24" s="310">
        <v>305555.56</v>
      </c>
      <c r="N24" s="309">
        <v>3055555.6</v>
      </c>
      <c r="O24" s="309">
        <v>244444.448</v>
      </c>
      <c r="P24" s="309">
        <v>3300000.048</v>
      </c>
      <c r="Q24" s="310"/>
    </row>
    <row r="25" spans="1:17">
      <c r="A25" s="296" t="s">
        <v>717</v>
      </c>
      <c r="B25" s="307" t="s">
        <v>743</v>
      </c>
      <c r="C25" s="297">
        <v>46245</v>
      </c>
      <c r="D25" s="299" t="s">
        <v>721</v>
      </c>
      <c r="E25" s="297">
        <v>46246</v>
      </c>
      <c r="F25" s="298" t="s">
        <v>778</v>
      </c>
      <c r="G25" s="313" t="s">
        <v>777</v>
      </c>
      <c r="H25" s="299" t="s">
        <v>822</v>
      </c>
      <c r="I25" s="298" t="s">
        <v>732</v>
      </c>
      <c r="J25" s="298" t="s">
        <v>733</v>
      </c>
      <c r="K25" s="298" t="s">
        <v>18</v>
      </c>
      <c r="L25" s="298">
        <v>10</v>
      </c>
      <c r="M25" s="310">
        <v>333333.33</v>
      </c>
      <c r="N25" s="309">
        <v>3333333.3000000003</v>
      </c>
      <c r="O25" s="309">
        <v>266666.66400000005</v>
      </c>
      <c r="P25" s="309">
        <v>3599999.9640000002</v>
      </c>
      <c r="Q25" s="310"/>
    </row>
    <row r="26" spans="1:17">
      <c r="A26" s="296" t="s">
        <v>717</v>
      </c>
      <c r="B26" s="307" t="s">
        <v>743</v>
      </c>
      <c r="C26" s="297">
        <v>46245</v>
      </c>
      <c r="D26" s="299" t="s">
        <v>721</v>
      </c>
      <c r="E26" s="297">
        <v>46246</v>
      </c>
      <c r="F26" s="298" t="s">
        <v>778</v>
      </c>
      <c r="G26" s="313" t="s">
        <v>777</v>
      </c>
      <c r="H26" s="299" t="s">
        <v>822</v>
      </c>
      <c r="I26" s="298" t="s">
        <v>274</v>
      </c>
      <c r="J26" s="298" t="s">
        <v>297</v>
      </c>
      <c r="K26" s="298" t="s">
        <v>18</v>
      </c>
      <c r="L26" s="298">
        <v>10</v>
      </c>
      <c r="M26" s="310">
        <v>416666.67</v>
      </c>
      <c r="N26" s="309">
        <v>4166666.6999999997</v>
      </c>
      <c r="O26" s="309">
        <v>333333.33600000001</v>
      </c>
      <c r="P26" s="309">
        <v>4500000.0359999994</v>
      </c>
      <c r="Q26" s="310"/>
    </row>
    <row r="27" spans="1:17">
      <c r="A27" s="296" t="s">
        <v>717</v>
      </c>
      <c r="B27" s="307" t="s">
        <v>743</v>
      </c>
      <c r="C27" s="297">
        <v>46245</v>
      </c>
      <c r="D27" s="299" t="s">
        <v>721</v>
      </c>
      <c r="E27" s="297">
        <v>46246</v>
      </c>
      <c r="F27" s="298" t="s">
        <v>778</v>
      </c>
      <c r="G27" s="313" t="s">
        <v>777</v>
      </c>
      <c r="H27" s="299" t="s">
        <v>822</v>
      </c>
      <c r="I27" s="298" t="s">
        <v>40</v>
      </c>
      <c r="J27" s="298" t="s">
        <v>41</v>
      </c>
      <c r="K27" s="298" t="s">
        <v>18</v>
      </c>
      <c r="L27" s="298">
        <v>4</v>
      </c>
      <c r="M27" s="310">
        <v>844444.44</v>
      </c>
      <c r="N27" s="309">
        <v>3377777.76</v>
      </c>
      <c r="O27" s="309">
        <v>270222.22080000001</v>
      </c>
      <c r="P27" s="309">
        <v>3647999.9808</v>
      </c>
      <c r="Q27" s="310"/>
    </row>
    <row r="28" spans="1:17">
      <c r="A28" s="296" t="s">
        <v>717</v>
      </c>
      <c r="B28" s="307" t="s">
        <v>743</v>
      </c>
      <c r="C28" s="297">
        <v>46245</v>
      </c>
      <c r="D28" s="299" t="s">
        <v>721</v>
      </c>
      <c r="E28" s="297">
        <v>46246</v>
      </c>
      <c r="F28" s="298" t="s">
        <v>778</v>
      </c>
      <c r="G28" s="313" t="s">
        <v>777</v>
      </c>
      <c r="H28" s="299" t="s">
        <v>822</v>
      </c>
      <c r="I28" s="298" t="s">
        <v>148</v>
      </c>
      <c r="J28" s="298" t="s">
        <v>149</v>
      </c>
      <c r="K28" s="298" t="s">
        <v>18</v>
      </c>
      <c r="L28" s="298">
        <v>4</v>
      </c>
      <c r="M28" s="310">
        <v>358333.33</v>
      </c>
      <c r="N28" s="309">
        <v>1433333.32</v>
      </c>
      <c r="O28" s="309">
        <v>114666.66560000001</v>
      </c>
      <c r="P28" s="309">
        <v>1547999.9856</v>
      </c>
      <c r="Q28" s="310"/>
    </row>
    <row r="29" spans="1:17">
      <c r="A29" s="296" t="s">
        <v>717</v>
      </c>
      <c r="B29" s="307" t="s">
        <v>743</v>
      </c>
      <c r="C29" s="297">
        <v>46245</v>
      </c>
      <c r="D29" s="299" t="s">
        <v>721</v>
      </c>
      <c r="E29" s="297">
        <v>46246</v>
      </c>
      <c r="F29" s="298" t="s">
        <v>778</v>
      </c>
      <c r="G29" s="313" t="s">
        <v>777</v>
      </c>
      <c r="H29" s="299" t="s">
        <v>822</v>
      </c>
      <c r="I29" s="298" t="s">
        <v>192</v>
      </c>
      <c r="J29" s="298" t="s">
        <v>193</v>
      </c>
      <c r="K29" s="298" t="s">
        <v>18</v>
      </c>
      <c r="L29" s="298">
        <v>4</v>
      </c>
      <c r="M29" s="310">
        <v>398148.15</v>
      </c>
      <c r="N29" s="309">
        <v>1592592.6</v>
      </c>
      <c r="O29" s="309">
        <v>127407.40800000001</v>
      </c>
      <c r="P29" s="309">
        <v>1720000.0080000001</v>
      </c>
      <c r="Q29" s="310"/>
    </row>
    <row r="30" spans="1:17">
      <c r="A30" s="296" t="s">
        <v>717</v>
      </c>
      <c r="B30" s="307" t="s">
        <v>743</v>
      </c>
      <c r="C30" s="297">
        <v>46245</v>
      </c>
      <c r="D30" s="299" t="s">
        <v>721</v>
      </c>
      <c r="E30" s="297">
        <v>46246</v>
      </c>
      <c r="F30" s="298" t="s">
        <v>778</v>
      </c>
      <c r="G30" s="313" t="s">
        <v>777</v>
      </c>
      <c r="H30" s="299" t="s">
        <v>822</v>
      </c>
      <c r="I30" s="298" t="s">
        <v>46</v>
      </c>
      <c r="J30" s="298" t="s">
        <v>47</v>
      </c>
      <c r="K30" s="298" t="s">
        <v>18</v>
      </c>
      <c r="L30" s="298">
        <v>6</v>
      </c>
      <c r="M30" s="310">
        <v>240074.07</v>
      </c>
      <c r="N30" s="309">
        <v>1440444.42</v>
      </c>
      <c r="O30" s="309">
        <v>115235.5536</v>
      </c>
      <c r="P30" s="309">
        <v>1555679.9735999999</v>
      </c>
      <c r="Q30" s="310"/>
    </row>
    <row r="31" spans="1:17">
      <c r="A31" s="296" t="s">
        <v>717</v>
      </c>
      <c r="B31" s="307" t="s">
        <v>743</v>
      </c>
      <c r="C31" s="297">
        <v>46245</v>
      </c>
      <c r="D31" s="299" t="s">
        <v>721</v>
      </c>
      <c r="E31" s="297">
        <v>46246</v>
      </c>
      <c r="F31" s="298" t="s">
        <v>778</v>
      </c>
      <c r="G31" s="313" t="s">
        <v>777</v>
      </c>
      <c r="H31" s="299" t="s">
        <v>822</v>
      </c>
      <c r="I31" s="298" t="s">
        <v>157</v>
      </c>
      <c r="J31" s="298" t="s">
        <v>158</v>
      </c>
      <c r="K31" s="298" t="s">
        <v>18</v>
      </c>
      <c r="L31" s="298">
        <v>6</v>
      </c>
      <c r="M31" s="310">
        <v>342592.59</v>
      </c>
      <c r="N31" s="309">
        <v>2055555.54</v>
      </c>
      <c r="O31" s="309">
        <v>164444.44320000001</v>
      </c>
      <c r="P31" s="309">
        <v>2219999.9832000001</v>
      </c>
      <c r="Q31" s="310"/>
    </row>
    <row r="32" spans="1:17">
      <c r="A32" s="296" t="s">
        <v>717</v>
      </c>
      <c r="B32" s="307" t="s">
        <v>743</v>
      </c>
      <c r="C32" s="297">
        <v>46245</v>
      </c>
      <c r="D32" s="299" t="s">
        <v>721</v>
      </c>
      <c r="E32" s="297">
        <v>46246</v>
      </c>
      <c r="F32" s="298" t="s">
        <v>778</v>
      </c>
      <c r="G32" s="313" t="s">
        <v>777</v>
      </c>
      <c r="H32" s="299" t="s">
        <v>822</v>
      </c>
      <c r="I32" s="298" t="s">
        <v>60</v>
      </c>
      <c r="J32" s="298" t="s">
        <v>61</v>
      </c>
      <c r="K32" s="298" t="s">
        <v>18</v>
      </c>
      <c r="L32" s="298">
        <v>4</v>
      </c>
      <c r="M32" s="310">
        <v>1138888.8899999999</v>
      </c>
      <c r="N32" s="309">
        <v>4555555.5599999996</v>
      </c>
      <c r="O32" s="309">
        <v>364444.4448</v>
      </c>
      <c r="P32" s="309">
        <v>4920000.0047999993</v>
      </c>
      <c r="Q32" s="310"/>
    </row>
    <row r="33" spans="1:17">
      <c r="A33" s="296" t="s">
        <v>717</v>
      </c>
      <c r="B33" s="307" t="s">
        <v>743</v>
      </c>
      <c r="C33" s="297">
        <v>46245</v>
      </c>
      <c r="D33" s="299" t="s">
        <v>721</v>
      </c>
      <c r="E33" s="297">
        <v>46246</v>
      </c>
      <c r="F33" s="298" t="s">
        <v>778</v>
      </c>
      <c r="G33" s="313" t="s">
        <v>777</v>
      </c>
      <c r="H33" s="299" t="s">
        <v>822</v>
      </c>
      <c r="I33" s="298" t="s">
        <v>16</v>
      </c>
      <c r="J33" s="298" t="s">
        <v>17</v>
      </c>
      <c r="K33" s="298" t="s">
        <v>18</v>
      </c>
      <c r="L33" s="298">
        <v>8</v>
      </c>
      <c r="M33" s="310">
        <v>851851.85</v>
      </c>
      <c r="N33" s="309">
        <v>6814814.7999999998</v>
      </c>
      <c r="O33" s="309">
        <v>545185.18400000001</v>
      </c>
      <c r="P33" s="309">
        <v>7359999.9840000002</v>
      </c>
      <c r="Q33" s="310"/>
    </row>
    <row r="34" spans="1:17">
      <c r="A34" s="296" t="s">
        <v>717</v>
      </c>
      <c r="B34" s="307" t="s">
        <v>743</v>
      </c>
      <c r="C34" s="297">
        <v>46245</v>
      </c>
      <c r="D34" s="299" t="s">
        <v>721</v>
      </c>
      <c r="E34" s="297"/>
      <c r="F34" s="298"/>
      <c r="G34" s="298"/>
      <c r="H34" s="299" t="s">
        <v>822</v>
      </c>
      <c r="I34" s="298" t="s">
        <v>643</v>
      </c>
      <c r="J34" s="298" t="s">
        <v>644</v>
      </c>
      <c r="K34" s="298" t="s">
        <v>18</v>
      </c>
      <c r="L34" s="298">
        <v>15</v>
      </c>
      <c r="M34" s="310">
        <v>527777.78</v>
      </c>
      <c r="N34" s="309">
        <v>7916666.7000000002</v>
      </c>
      <c r="O34" s="309">
        <v>633333.33600000001</v>
      </c>
      <c r="P34" s="309">
        <v>8550000.0360000003</v>
      </c>
      <c r="Q34" s="310"/>
    </row>
    <row r="35" spans="1:17">
      <c r="A35" s="296" t="s">
        <v>717</v>
      </c>
      <c r="B35" s="307" t="s">
        <v>743</v>
      </c>
      <c r="C35" s="297">
        <v>46245</v>
      </c>
      <c r="D35" s="299" t="s">
        <v>721</v>
      </c>
      <c r="E35" s="297"/>
      <c r="F35" s="298"/>
      <c r="G35" s="298"/>
      <c r="H35" s="299" t="s">
        <v>822</v>
      </c>
      <c r="I35" s="298" t="s">
        <v>645</v>
      </c>
      <c r="J35" s="298" t="s">
        <v>646</v>
      </c>
      <c r="K35" s="298" t="s">
        <v>18</v>
      </c>
      <c r="L35" s="298">
        <v>15</v>
      </c>
      <c r="M35" s="310">
        <v>629629.63</v>
      </c>
      <c r="N35" s="309">
        <v>9444444.4499999993</v>
      </c>
      <c r="O35" s="309">
        <v>755555.55599999998</v>
      </c>
      <c r="P35" s="309">
        <v>10200000.005999999</v>
      </c>
      <c r="Q35" s="310"/>
    </row>
    <row r="36" spans="1:17">
      <c r="A36" s="296" t="s">
        <v>717</v>
      </c>
      <c r="B36" s="307" t="s">
        <v>743</v>
      </c>
      <c r="C36" s="297">
        <v>46245</v>
      </c>
      <c r="D36" s="299" t="s">
        <v>721</v>
      </c>
      <c r="E36" s="297"/>
      <c r="F36" s="298"/>
      <c r="G36" s="298"/>
      <c r="H36" s="299" t="s">
        <v>822</v>
      </c>
      <c r="I36" s="298" t="s">
        <v>101</v>
      </c>
      <c r="J36" s="298" t="s">
        <v>102</v>
      </c>
      <c r="K36" s="298" t="s">
        <v>18</v>
      </c>
      <c r="L36" s="298">
        <v>4</v>
      </c>
      <c r="M36" s="310">
        <v>861111.11</v>
      </c>
      <c r="N36" s="309">
        <v>3444444.44</v>
      </c>
      <c r="O36" s="309">
        <v>275555.5552</v>
      </c>
      <c r="P36" s="309">
        <v>3719999.9951999998</v>
      </c>
      <c r="Q36" s="310"/>
    </row>
    <row r="37" spans="1:17">
      <c r="A37" s="296" t="s">
        <v>717</v>
      </c>
      <c r="B37" s="307" t="s">
        <v>743</v>
      </c>
      <c r="C37" s="297">
        <v>46245</v>
      </c>
      <c r="D37" s="299" t="s">
        <v>721</v>
      </c>
      <c r="E37" s="297">
        <v>46246</v>
      </c>
      <c r="F37" s="298" t="s">
        <v>778</v>
      </c>
      <c r="G37" s="313" t="s">
        <v>777</v>
      </c>
      <c r="H37" s="299" t="s">
        <v>822</v>
      </c>
      <c r="I37" s="298" t="s">
        <v>90</v>
      </c>
      <c r="J37" s="298" t="s">
        <v>91</v>
      </c>
      <c r="K37" s="298" t="s">
        <v>18</v>
      </c>
      <c r="L37" s="298">
        <v>4</v>
      </c>
      <c r="M37" s="310">
        <v>814814.81</v>
      </c>
      <c r="N37" s="309">
        <v>3259259.24</v>
      </c>
      <c r="O37" s="309">
        <v>260740.73920000001</v>
      </c>
      <c r="P37" s="309">
        <v>3519999.9792000004</v>
      </c>
      <c r="Q37" s="310"/>
    </row>
    <row r="38" spans="1:17">
      <c r="A38" s="296" t="s">
        <v>717</v>
      </c>
      <c r="B38" s="307" t="s">
        <v>743</v>
      </c>
      <c r="C38" s="297">
        <v>46245</v>
      </c>
      <c r="D38" s="299" t="s">
        <v>721</v>
      </c>
      <c r="E38" s="297">
        <v>46246</v>
      </c>
      <c r="F38" s="298" t="s">
        <v>778</v>
      </c>
      <c r="G38" s="313" t="s">
        <v>777</v>
      </c>
      <c r="H38" s="299" t="s">
        <v>822</v>
      </c>
      <c r="I38" s="298" t="s">
        <v>56</v>
      </c>
      <c r="J38" s="298" t="s">
        <v>57</v>
      </c>
      <c r="K38" s="298" t="s">
        <v>18</v>
      </c>
      <c r="L38" s="298">
        <v>10</v>
      </c>
      <c r="M38" s="310">
        <v>325925.93</v>
      </c>
      <c r="N38" s="309">
        <v>3259259.3</v>
      </c>
      <c r="O38" s="309">
        <v>260740.74399999998</v>
      </c>
      <c r="P38" s="309">
        <v>3520000.0439999998</v>
      </c>
      <c r="Q38" s="310"/>
    </row>
    <row r="39" spans="1:17">
      <c r="A39" s="296" t="s">
        <v>717</v>
      </c>
      <c r="B39" s="307" t="s">
        <v>743</v>
      </c>
      <c r="C39" s="297">
        <v>46245</v>
      </c>
      <c r="D39" s="299" t="s">
        <v>721</v>
      </c>
      <c r="E39" s="297">
        <v>46246</v>
      </c>
      <c r="F39" s="298" t="s">
        <v>778</v>
      </c>
      <c r="G39" s="313" t="s">
        <v>777</v>
      </c>
      <c r="H39" s="299" t="s">
        <v>822</v>
      </c>
      <c r="I39" s="298" t="s">
        <v>107</v>
      </c>
      <c r="J39" s="298" t="s">
        <v>108</v>
      </c>
      <c r="K39" s="298" t="s">
        <v>18</v>
      </c>
      <c r="L39" s="298">
        <v>10</v>
      </c>
      <c r="M39" s="310">
        <v>349074.07</v>
      </c>
      <c r="N39" s="309">
        <v>3490740.7</v>
      </c>
      <c r="O39" s="309">
        <v>279259.25599999999</v>
      </c>
      <c r="P39" s="309">
        <v>3769999.9560000002</v>
      </c>
      <c r="Q39" s="310"/>
    </row>
    <row r="40" spans="1:17">
      <c r="A40" s="296" t="s">
        <v>717</v>
      </c>
      <c r="B40" s="307" t="s">
        <v>743</v>
      </c>
      <c r="C40" s="297">
        <v>46245</v>
      </c>
      <c r="D40" s="299" t="s">
        <v>721</v>
      </c>
      <c r="E40" s="297">
        <v>46246</v>
      </c>
      <c r="F40" s="298" t="s">
        <v>778</v>
      </c>
      <c r="G40" s="313" t="s">
        <v>777</v>
      </c>
      <c r="H40" s="299" t="s">
        <v>822</v>
      </c>
      <c r="I40" s="298" t="s">
        <v>127</v>
      </c>
      <c r="J40" s="298" t="s">
        <v>128</v>
      </c>
      <c r="K40" s="298" t="s">
        <v>18</v>
      </c>
      <c r="L40" s="298">
        <v>10</v>
      </c>
      <c r="M40" s="310">
        <v>284259.26</v>
      </c>
      <c r="N40" s="309">
        <v>2842592.6</v>
      </c>
      <c r="O40" s="309">
        <v>227407.40800000002</v>
      </c>
      <c r="P40" s="309">
        <v>3070000.0079999999</v>
      </c>
      <c r="Q40" s="310"/>
    </row>
    <row r="41" spans="1:17">
      <c r="A41" s="296" t="s">
        <v>717</v>
      </c>
      <c r="B41" s="307" t="s">
        <v>743</v>
      </c>
      <c r="C41" s="297">
        <v>46245</v>
      </c>
      <c r="D41" s="299" t="s">
        <v>721</v>
      </c>
      <c r="E41" s="297">
        <v>46246</v>
      </c>
      <c r="F41" s="298" t="s">
        <v>778</v>
      </c>
      <c r="G41" s="313" t="s">
        <v>777</v>
      </c>
      <c r="H41" s="299" t="s">
        <v>822</v>
      </c>
      <c r="I41" s="298" t="s">
        <v>424</v>
      </c>
      <c r="J41" s="298" t="s">
        <v>425</v>
      </c>
      <c r="K41" s="298" t="s">
        <v>443</v>
      </c>
      <c r="L41" s="298">
        <v>2</v>
      </c>
      <c r="M41" s="310">
        <v>882407.41</v>
      </c>
      <c r="N41" s="309">
        <v>1764814.82</v>
      </c>
      <c r="O41" s="309">
        <v>141185.1856</v>
      </c>
      <c r="P41" s="309">
        <v>1906000.0056</v>
      </c>
      <c r="Q41" s="310"/>
    </row>
    <row r="42" spans="1:17">
      <c r="A42" s="296" t="s">
        <v>717</v>
      </c>
      <c r="B42" s="307" t="s">
        <v>743</v>
      </c>
      <c r="C42" s="297">
        <v>46245</v>
      </c>
      <c r="D42" s="299" t="s">
        <v>721</v>
      </c>
      <c r="E42" s="297"/>
      <c r="F42" s="298"/>
      <c r="G42" s="313"/>
      <c r="H42" s="302" t="s">
        <v>689</v>
      </c>
      <c r="I42" s="298" t="s">
        <v>643</v>
      </c>
      <c r="J42" s="298" t="s">
        <v>644</v>
      </c>
      <c r="K42" s="298" t="s">
        <v>18</v>
      </c>
      <c r="L42" s="298">
        <v>1</v>
      </c>
      <c r="M42" s="310">
        <v>0</v>
      </c>
      <c r="N42" s="309">
        <v>0</v>
      </c>
      <c r="O42" s="309">
        <v>0</v>
      </c>
      <c r="P42" s="309">
        <v>0</v>
      </c>
      <c r="Q42" s="310"/>
    </row>
    <row r="43" spans="1:17">
      <c r="A43" s="296" t="s">
        <v>717</v>
      </c>
      <c r="B43" s="307" t="s">
        <v>743</v>
      </c>
      <c r="C43" s="297">
        <v>46245</v>
      </c>
      <c r="D43" s="299" t="s">
        <v>721</v>
      </c>
      <c r="E43" s="297"/>
      <c r="F43" s="298"/>
      <c r="G43" s="298"/>
      <c r="H43" s="302" t="s">
        <v>689</v>
      </c>
      <c r="I43" s="298" t="s">
        <v>645</v>
      </c>
      <c r="J43" s="298" t="s">
        <v>646</v>
      </c>
      <c r="K43" s="298" t="s">
        <v>18</v>
      </c>
      <c r="L43" s="298">
        <v>1</v>
      </c>
      <c r="M43" s="310">
        <v>0</v>
      </c>
      <c r="N43" s="309">
        <v>0</v>
      </c>
      <c r="O43" s="309">
        <v>0</v>
      </c>
      <c r="P43" s="309">
        <v>0</v>
      </c>
      <c r="Q43" s="310"/>
    </row>
    <row r="44" spans="1:17">
      <c r="A44" s="296" t="s">
        <v>717</v>
      </c>
      <c r="B44" s="307" t="s">
        <v>743</v>
      </c>
      <c r="C44" s="297">
        <v>46258</v>
      </c>
      <c r="D44" s="299"/>
      <c r="E44" s="555"/>
      <c r="F44" s="298"/>
      <c r="G44" s="336"/>
      <c r="H44" s="299" t="s">
        <v>929</v>
      </c>
      <c r="I44" s="643"/>
      <c r="J44" s="299"/>
      <c r="K44" s="298"/>
      <c r="L44" s="635"/>
      <c r="M44" s="652"/>
      <c r="N44" s="656">
        <v>0</v>
      </c>
      <c r="O44" s="301">
        <v>0</v>
      </c>
      <c r="P44" s="301">
        <v>0</v>
      </c>
      <c r="Q44" s="652">
        <v>52000000</v>
      </c>
    </row>
    <row r="45" spans="1:17">
      <c r="A45" s="296" t="s">
        <v>717</v>
      </c>
      <c r="B45" s="307" t="s">
        <v>743</v>
      </c>
      <c r="C45" s="297">
        <v>46261</v>
      </c>
      <c r="D45" s="299" t="s">
        <v>977</v>
      </c>
      <c r="E45" s="555"/>
      <c r="F45" s="298"/>
      <c r="G45" s="336"/>
      <c r="H45" s="299" t="s">
        <v>822</v>
      </c>
      <c r="I45" s="643" t="s">
        <v>101</v>
      </c>
      <c r="J45" s="299" t="s">
        <v>102</v>
      </c>
      <c r="K45" s="643" t="s">
        <v>18</v>
      </c>
      <c r="L45" s="648">
        <v>4</v>
      </c>
      <c r="M45" s="656">
        <v>861111.11</v>
      </c>
      <c r="N45" s="656">
        <v>3444444.44</v>
      </c>
      <c r="O45" s="301">
        <v>275555.5552</v>
      </c>
      <c r="P45" s="653">
        <v>3719999.9951999998</v>
      </c>
      <c r="Q45" s="651"/>
    </row>
    <row r="46" spans="1:17">
      <c r="A46" s="296" t="s">
        <v>717</v>
      </c>
      <c r="B46" s="307" t="s">
        <v>743</v>
      </c>
      <c r="C46" s="297">
        <v>46261</v>
      </c>
      <c r="D46" s="299" t="s">
        <v>977</v>
      </c>
      <c r="E46" s="555">
        <v>46273</v>
      </c>
      <c r="F46" s="298" t="s">
        <v>1087</v>
      </c>
      <c r="G46" s="336" t="s">
        <v>1086</v>
      </c>
      <c r="H46" s="299" t="s">
        <v>822</v>
      </c>
      <c r="I46" s="643" t="s">
        <v>90</v>
      </c>
      <c r="J46" s="299" t="s">
        <v>91</v>
      </c>
      <c r="K46" s="643" t="s">
        <v>18</v>
      </c>
      <c r="L46" s="648">
        <v>10</v>
      </c>
      <c r="M46" s="656">
        <v>814814.81</v>
      </c>
      <c r="N46" s="656">
        <v>8148148.1000000006</v>
      </c>
      <c r="O46" s="301">
        <v>651851.84800000011</v>
      </c>
      <c r="P46" s="653">
        <v>8799999.9480000008</v>
      </c>
      <c r="Q46" s="651"/>
    </row>
    <row r="47" spans="1:17">
      <c r="A47" s="296" t="s">
        <v>717</v>
      </c>
      <c r="B47" s="307" t="s">
        <v>743</v>
      </c>
      <c r="C47" s="297">
        <v>46261</v>
      </c>
      <c r="D47" s="299" t="s">
        <v>977</v>
      </c>
      <c r="E47" s="555">
        <v>46273</v>
      </c>
      <c r="F47" s="298" t="s">
        <v>1087</v>
      </c>
      <c r="G47" s="336" t="s">
        <v>1086</v>
      </c>
      <c r="H47" s="299" t="s">
        <v>822</v>
      </c>
      <c r="I47" s="643" t="s">
        <v>80</v>
      </c>
      <c r="J47" s="299" t="s">
        <v>81</v>
      </c>
      <c r="K47" s="643" t="s">
        <v>18</v>
      </c>
      <c r="L47" s="648">
        <v>2</v>
      </c>
      <c r="M47" s="656">
        <v>824074.07</v>
      </c>
      <c r="N47" s="656">
        <v>1648148.14</v>
      </c>
      <c r="O47" s="301">
        <v>131851.8512</v>
      </c>
      <c r="P47" s="653">
        <v>1779999.9911999998</v>
      </c>
      <c r="Q47" s="651"/>
    </row>
    <row r="48" spans="1:17">
      <c r="A48" s="296" t="s">
        <v>717</v>
      </c>
      <c r="B48" s="307" t="s">
        <v>743</v>
      </c>
      <c r="C48" s="297">
        <v>46261</v>
      </c>
      <c r="D48" s="299" t="s">
        <v>977</v>
      </c>
      <c r="E48" s="555">
        <v>46273</v>
      </c>
      <c r="F48" s="298" t="s">
        <v>1087</v>
      </c>
      <c r="G48" s="336" t="s">
        <v>1086</v>
      </c>
      <c r="H48" s="299" t="s">
        <v>822</v>
      </c>
      <c r="I48" s="643" t="s">
        <v>77</v>
      </c>
      <c r="J48" s="299" t="s">
        <v>78</v>
      </c>
      <c r="K48" s="643" t="s">
        <v>18</v>
      </c>
      <c r="L48" s="648">
        <v>12</v>
      </c>
      <c r="M48" s="656">
        <v>324074.07</v>
      </c>
      <c r="N48" s="656">
        <v>3888888.84</v>
      </c>
      <c r="O48" s="301">
        <v>311111.10719999997</v>
      </c>
      <c r="P48" s="653">
        <v>4199999.9472000003</v>
      </c>
      <c r="Q48" s="651"/>
    </row>
    <row r="49" spans="1:17">
      <c r="A49" s="296" t="s">
        <v>717</v>
      </c>
      <c r="B49" s="307" t="s">
        <v>743</v>
      </c>
      <c r="C49" s="297">
        <v>46261</v>
      </c>
      <c r="D49" s="299" t="s">
        <v>977</v>
      </c>
      <c r="E49" s="555">
        <v>46273</v>
      </c>
      <c r="F49" s="298" t="s">
        <v>1087</v>
      </c>
      <c r="G49" s="336" t="s">
        <v>1086</v>
      </c>
      <c r="H49" s="299" t="s">
        <v>822</v>
      </c>
      <c r="I49" s="643" t="s">
        <v>262</v>
      </c>
      <c r="J49" s="299" t="s">
        <v>976</v>
      </c>
      <c r="K49" s="643" t="s">
        <v>18</v>
      </c>
      <c r="L49" s="648">
        <v>4</v>
      </c>
      <c r="M49" s="656">
        <v>851851.85</v>
      </c>
      <c r="N49" s="656">
        <v>3407407.4</v>
      </c>
      <c r="O49" s="301">
        <v>272592.592</v>
      </c>
      <c r="P49" s="653">
        <v>3679999.9920000001</v>
      </c>
      <c r="Q49" s="651"/>
    </row>
    <row r="50" spans="1:17">
      <c r="A50" s="296" t="s">
        <v>717</v>
      </c>
      <c r="B50" s="307" t="s">
        <v>743</v>
      </c>
      <c r="C50" s="297">
        <v>46261</v>
      </c>
      <c r="D50" s="299" t="s">
        <v>977</v>
      </c>
      <c r="E50" s="555">
        <v>46273</v>
      </c>
      <c r="F50" s="298" t="s">
        <v>1087</v>
      </c>
      <c r="G50" s="336" t="s">
        <v>1086</v>
      </c>
      <c r="H50" s="299" t="s">
        <v>822</v>
      </c>
      <c r="I50" s="643" t="s">
        <v>34</v>
      </c>
      <c r="J50" s="299" t="s">
        <v>35</v>
      </c>
      <c r="K50" s="643" t="s">
        <v>18</v>
      </c>
      <c r="L50" s="648">
        <v>10</v>
      </c>
      <c r="M50" s="656">
        <v>240740.74</v>
      </c>
      <c r="N50" s="656">
        <v>2407407.4</v>
      </c>
      <c r="O50" s="301">
        <v>192592.592</v>
      </c>
      <c r="P50" s="653">
        <v>2599999.9920000001</v>
      </c>
      <c r="Q50" s="651"/>
    </row>
    <row r="51" spans="1:17">
      <c r="A51" s="296" t="s">
        <v>717</v>
      </c>
      <c r="B51" s="307" t="s">
        <v>743</v>
      </c>
      <c r="C51" s="297">
        <v>46261</v>
      </c>
      <c r="D51" s="299" t="s">
        <v>977</v>
      </c>
      <c r="E51" s="555">
        <v>46273</v>
      </c>
      <c r="F51" s="298" t="s">
        <v>1087</v>
      </c>
      <c r="G51" s="336" t="s">
        <v>1086</v>
      </c>
      <c r="H51" s="299" t="s">
        <v>822</v>
      </c>
      <c r="I51" s="643" t="s">
        <v>56</v>
      </c>
      <c r="J51" s="299" t="s">
        <v>57</v>
      </c>
      <c r="K51" s="643" t="s">
        <v>18</v>
      </c>
      <c r="L51" s="648">
        <v>20</v>
      </c>
      <c r="M51" s="656">
        <v>325925.93</v>
      </c>
      <c r="N51" s="656">
        <v>6518518.5999999996</v>
      </c>
      <c r="O51" s="301">
        <v>521481.48799999995</v>
      </c>
      <c r="P51" s="653">
        <v>7040000.0879999995</v>
      </c>
      <c r="Q51" s="651"/>
    </row>
    <row r="52" spans="1:17">
      <c r="A52" s="296" t="s">
        <v>717</v>
      </c>
      <c r="B52" s="307" t="s">
        <v>743</v>
      </c>
      <c r="C52" s="297">
        <v>46261</v>
      </c>
      <c r="D52" s="299" t="s">
        <v>977</v>
      </c>
      <c r="E52" s="555">
        <v>46273</v>
      </c>
      <c r="F52" s="298" t="s">
        <v>1087</v>
      </c>
      <c r="G52" s="336" t="s">
        <v>1086</v>
      </c>
      <c r="H52" s="299" t="s">
        <v>822</v>
      </c>
      <c r="I52" s="643" t="s">
        <v>107</v>
      </c>
      <c r="J52" s="299" t="s">
        <v>108</v>
      </c>
      <c r="K52" s="643" t="s">
        <v>18</v>
      </c>
      <c r="L52" s="648">
        <v>20</v>
      </c>
      <c r="M52" s="656">
        <v>349074.07</v>
      </c>
      <c r="N52" s="656">
        <v>6981481.4000000004</v>
      </c>
      <c r="O52" s="301">
        <v>558518.51199999999</v>
      </c>
      <c r="P52" s="653">
        <v>7539999.9120000005</v>
      </c>
      <c r="Q52" s="651"/>
    </row>
    <row r="53" spans="1:17">
      <c r="A53" s="296" t="s">
        <v>717</v>
      </c>
      <c r="B53" s="307" t="s">
        <v>743</v>
      </c>
      <c r="C53" s="297">
        <v>46261</v>
      </c>
      <c r="D53" s="299" t="s">
        <v>977</v>
      </c>
      <c r="E53" s="555">
        <v>46273</v>
      </c>
      <c r="F53" s="298" t="s">
        <v>1087</v>
      </c>
      <c r="G53" s="336" t="s">
        <v>1086</v>
      </c>
      <c r="H53" s="299" t="s">
        <v>822</v>
      </c>
      <c r="I53" s="643" t="s">
        <v>127</v>
      </c>
      <c r="J53" s="299" t="s">
        <v>128</v>
      </c>
      <c r="K53" s="643" t="s">
        <v>18</v>
      </c>
      <c r="L53" s="648">
        <v>20</v>
      </c>
      <c r="M53" s="656">
        <v>284259.26</v>
      </c>
      <c r="N53" s="656">
        <v>5685185.2000000002</v>
      </c>
      <c r="O53" s="301">
        <v>454814.81600000005</v>
      </c>
      <c r="P53" s="653">
        <v>6140000.0159999998</v>
      </c>
      <c r="Q53" s="651"/>
    </row>
    <row r="54" spans="1:17">
      <c r="A54" s="296" t="s">
        <v>717</v>
      </c>
      <c r="B54" s="307" t="s">
        <v>743</v>
      </c>
      <c r="C54" s="297">
        <v>46261</v>
      </c>
      <c r="D54" s="299" t="s">
        <v>977</v>
      </c>
      <c r="E54" s="555">
        <v>46273</v>
      </c>
      <c r="F54" s="298" t="s">
        <v>1087</v>
      </c>
      <c r="G54" s="336" t="s">
        <v>1086</v>
      </c>
      <c r="H54" s="299" t="s">
        <v>822</v>
      </c>
      <c r="I54" s="643" t="s">
        <v>274</v>
      </c>
      <c r="J54" s="299" t="s">
        <v>297</v>
      </c>
      <c r="K54" s="643" t="s">
        <v>18</v>
      </c>
      <c r="L54" s="648">
        <v>3</v>
      </c>
      <c r="M54" s="656">
        <v>416666.67</v>
      </c>
      <c r="N54" s="656">
        <v>1250000.01</v>
      </c>
      <c r="O54" s="301">
        <v>100000.00080000001</v>
      </c>
      <c r="P54" s="653">
        <v>1350000.0108</v>
      </c>
      <c r="Q54" s="651"/>
    </row>
    <row r="55" spans="1:17">
      <c r="A55" s="296" t="s">
        <v>717</v>
      </c>
      <c r="B55" s="307" t="s">
        <v>743</v>
      </c>
      <c r="C55" s="297">
        <v>46261</v>
      </c>
      <c r="D55" s="299" t="s">
        <v>977</v>
      </c>
      <c r="E55" s="555">
        <v>46273</v>
      </c>
      <c r="F55" s="298" t="s">
        <v>1087</v>
      </c>
      <c r="G55" s="336" t="s">
        <v>1086</v>
      </c>
      <c r="H55" s="299" t="s">
        <v>822</v>
      </c>
      <c r="I55" s="643" t="s">
        <v>148</v>
      </c>
      <c r="J55" s="299" t="s">
        <v>149</v>
      </c>
      <c r="K55" s="643" t="s">
        <v>18</v>
      </c>
      <c r="L55" s="648">
        <v>2</v>
      </c>
      <c r="M55" s="656">
        <v>358333.33</v>
      </c>
      <c r="N55" s="656">
        <v>716666.66</v>
      </c>
      <c r="O55" s="301">
        <v>57333.332800000004</v>
      </c>
      <c r="P55" s="653">
        <v>773999.99280000001</v>
      </c>
      <c r="Q55" s="651"/>
    </row>
    <row r="56" spans="1:17">
      <c r="A56" s="296" t="s">
        <v>717</v>
      </c>
      <c r="B56" s="307" t="s">
        <v>743</v>
      </c>
      <c r="C56" s="297">
        <v>46261</v>
      </c>
      <c r="D56" s="299" t="s">
        <v>977</v>
      </c>
      <c r="E56" s="555">
        <v>46273</v>
      </c>
      <c r="F56" s="298" t="s">
        <v>1087</v>
      </c>
      <c r="G56" s="336" t="s">
        <v>1086</v>
      </c>
      <c r="H56" s="299" t="s">
        <v>822</v>
      </c>
      <c r="I56" s="643" t="s">
        <v>192</v>
      </c>
      <c r="J56" s="299" t="s">
        <v>193</v>
      </c>
      <c r="K56" s="643" t="s">
        <v>18</v>
      </c>
      <c r="L56" s="648">
        <v>4</v>
      </c>
      <c r="M56" s="656">
        <v>398148.15</v>
      </c>
      <c r="N56" s="656">
        <v>1592592.6</v>
      </c>
      <c r="O56" s="301">
        <v>127407.40800000001</v>
      </c>
      <c r="P56" s="653">
        <v>1720000.0080000001</v>
      </c>
      <c r="Q56" s="651"/>
    </row>
    <row r="57" spans="1:17">
      <c r="A57" s="296" t="s">
        <v>717</v>
      </c>
      <c r="B57" s="307" t="s">
        <v>743</v>
      </c>
      <c r="C57" s="297">
        <v>46261</v>
      </c>
      <c r="D57" s="299" t="s">
        <v>977</v>
      </c>
      <c r="E57" s="555">
        <v>46273</v>
      </c>
      <c r="F57" s="298" t="s">
        <v>1087</v>
      </c>
      <c r="G57" s="336" t="s">
        <v>1086</v>
      </c>
      <c r="H57" s="299" t="s">
        <v>822</v>
      </c>
      <c r="I57" s="643" t="s">
        <v>46</v>
      </c>
      <c r="J57" s="299" t="s">
        <v>47</v>
      </c>
      <c r="K57" s="643" t="s">
        <v>18</v>
      </c>
      <c r="L57" s="648">
        <v>2</v>
      </c>
      <c r="M57" s="656">
        <v>240740.74</v>
      </c>
      <c r="N57" s="656">
        <v>481481.48</v>
      </c>
      <c r="O57" s="301">
        <v>38518.518400000001</v>
      </c>
      <c r="P57" s="653">
        <v>519999.99839999998</v>
      </c>
      <c r="Q57" s="651"/>
    </row>
    <row r="58" spans="1:17">
      <c r="A58" s="296" t="s">
        <v>717</v>
      </c>
      <c r="B58" s="307" t="s">
        <v>743</v>
      </c>
      <c r="C58" s="297">
        <v>46261</v>
      </c>
      <c r="D58" s="299" t="s">
        <v>977</v>
      </c>
      <c r="E58" s="555">
        <v>46273</v>
      </c>
      <c r="F58" s="298" t="s">
        <v>1087</v>
      </c>
      <c r="G58" s="336" t="s">
        <v>1086</v>
      </c>
      <c r="H58" s="299" t="s">
        <v>822</v>
      </c>
      <c r="I58" s="643" t="s">
        <v>157</v>
      </c>
      <c r="J58" s="299" t="s">
        <v>158</v>
      </c>
      <c r="K58" s="643" t="s">
        <v>18</v>
      </c>
      <c r="L58" s="648">
        <v>2</v>
      </c>
      <c r="M58" s="656">
        <v>342592.59</v>
      </c>
      <c r="N58" s="656">
        <v>685185.18</v>
      </c>
      <c r="O58" s="301">
        <v>54814.814400000003</v>
      </c>
      <c r="P58" s="653">
        <v>739999.99440000008</v>
      </c>
      <c r="Q58" s="651"/>
    </row>
    <row r="59" spans="1:17">
      <c r="A59" s="296" t="s">
        <v>717</v>
      </c>
      <c r="B59" s="307" t="s">
        <v>743</v>
      </c>
      <c r="C59" s="297">
        <v>46261</v>
      </c>
      <c r="D59" s="299" t="s">
        <v>977</v>
      </c>
      <c r="E59" s="555">
        <v>46273</v>
      </c>
      <c r="F59" s="298" t="s">
        <v>1087</v>
      </c>
      <c r="G59" s="336" t="s">
        <v>1086</v>
      </c>
      <c r="H59" s="299" t="s">
        <v>822</v>
      </c>
      <c r="I59" s="643" t="s">
        <v>74</v>
      </c>
      <c r="J59" s="299" t="s">
        <v>141</v>
      </c>
      <c r="K59" s="643" t="s">
        <v>18</v>
      </c>
      <c r="L59" s="648">
        <v>8</v>
      </c>
      <c r="M59" s="656">
        <v>382407.41</v>
      </c>
      <c r="N59" s="656">
        <v>3059259.28</v>
      </c>
      <c r="O59" s="301">
        <v>244740.74239999999</v>
      </c>
      <c r="P59" s="653">
        <v>3304000.0223999997</v>
      </c>
      <c r="Q59" s="651"/>
    </row>
    <row r="60" spans="1:17" ht="42.75">
      <c r="A60" s="296" t="s">
        <v>717</v>
      </c>
      <c r="B60" s="307" t="s">
        <v>743</v>
      </c>
      <c r="C60" s="297">
        <v>46261</v>
      </c>
      <c r="D60" s="299" t="s">
        <v>977</v>
      </c>
      <c r="E60" s="555">
        <v>46273</v>
      </c>
      <c r="F60" s="298" t="s">
        <v>1087</v>
      </c>
      <c r="G60" s="336" t="s">
        <v>1086</v>
      </c>
      <c r="H60" s="632" t="s">
        <v>980</v>
      </c>
      <c r="I60" s="643" t="s">
        <v>56</v>
      </c>
      <c r="J60" s="299" t="s">
        <v>57</v>
      </c>
      <c r="K60" s="643" t="s">
        <v>18</v>
      </c>
      <c r="L60" s="648">
        <v>3</v>
      </c>
      <c r="M60" s="656">
        <v>0</v>
      </c>
      <c r="N60" s="656">
        <v>0</v>
      </c>
      <c r="O60" s="301">
        <v>0</v>
      </c>
      <c r="P60" s="653">
        <v>0</v>
      </c>
      <c r="Q60" s="651"/>
    </row>
    <row r="61" spans="1:17" ht="42.75">
      <c r="A61" s="296" t="s">
        <v>717</v>
      </c>
      <c r="B61" s="307" t="s">
        <v>743</v>
      </c>
      <c r="C61" s="297">
        <v>46261</v>
      </c>
      <c r="D61" s="299" t="s">
        <v>977</v>
      </c>
      <c r="E61" s="555">
        <v>46273</v>
      </c>
      <c r="F61" s="298" t="s">
        <v>1087</v>
      </c>
      <c r="G61" s="336" t="s">
        <v>1086</v>
      </c>
      <c r="H61" s="632" t="s">
        <v>980</v>
      </c>
      <c r="I61" s="643" t="s">
        <v>107</v>
      </c>
      <c r="J61" s="299" t="s">
        <v>108</v>
      </c>
      <c r="K61" s="643" t="s">
        <v>18</v>
      </c>
      <c r="L61" s="648">
        <v>4</v>
      </c>
      <c r="M61" s="656">
        <v>0</v>
      </c>
      <c r="N61" s="656">
        <v>0</v>
      </c>
      <c r="O61" s="301">
        <v>0</v>
      </c>
      <c r="P61" s="653">
        <v>0</v>
      </c>
      <c r="Q61" s="651"/>
    </row>
    <row r="62" spans="1:17" ht="42.75">
      <c r="A62" s="296" t="s">
        <v>717</v>
      </c>
      <c r="B62" s="307" t="s">
        <v>743</v>
      </c>
      <c r="C62" s="297">
        <v>46261</v>
      </c>
      <c r="D62" s="299" t="s">
        <v>977</v>
      </c>
      <c r="E62" s="555">
        <v>46273</v>
      </c>
      <c r="F62" s="298" t="s">
        <v>1087</v>
      </c>
      <c r="G62" s="336" t="s">
        <v>1086</v>
      </c>
      <c r="H62" s="632" t="s">
        <v>980</v>
      </c>
      <c r="I62" s="643" t="s">
        <v>127</v>
      </c>
      <c r="J62" s="299" t="s">
        <v>128</v>
      </c>
      <c r="K62" s="643" t="s">
        <v>18</v>
      </c>
      <c r="L62" s="648">
        <v>3</v>
      </c>
      <c r="M62" s="656">
        <v>0</v>
      </c>
      <c r="N62" s="656">
        <v>0</v>
      </c>
      <c r="O62" s="301">
        <v>0</v>
      </c>
      <c r="P62" s="653">
        <v>0</v>
      </c>
      <c r="Q62" s="651"/>
    </row>
    <row r="63" spans="1:17">
      <c r="A63" s="296"/>
      <c r="B63" s="307"/>
      <c r="C63" s="297"/>
      <c r="D63" s="299"/>
      <c r="E63" s="297"/>
      <c r="F63" s="298"/>
      <c r="G63" s="298"/>
      <c r="H63" s="302"/>
      <c r="I63" s="298"/>
      <c r="J63" s="298"/>
      <c r="K63" s="298"/>
      <c r="L63" s="298"/>
      <c r="M63" s="310"/>
      <c r="N63" s="309"/>
      <c r="O63" s="309"/>
      <c r="P63" s="309"/>
      <c r="Q63" s="310"/>
    </row>
    <row r="64" spans="1:17">
      <c r="A64" s="296"/>
      <c r="B64" s="307"/>
      <c r="C64" s="297"/>
      <c r="D64" s="299"/>
      <c r="E64" s="297"/>
      <c r="F64" s="298"/>
      <c r="G64" s="298"/>
      <c r="H64" s="302"/>
      <c r="I64" s="298"/>
      <c r="J64" s="298"/>
      <c r="K64" s="298"/>
      <c r="L64" s="298"/>
      <c r="M64" s="310"/>
      <c r="N64" s="309"/>
      <c r="O64" s="309"/>
      <c r="P64" s="309"/>
      <c r="Q64" s="310"/>
    </row>
    <row r="65" spans="1:17">
      <c r="A65" s="440"/>
      <c r="B65" s="441"/>
      <c r="C65" s="446"/>
      <c r="D65" s="444"/>
      <c r="E65" s="446"/>
      <c r="F65" s="447"/>
      <c r="G65" s="447"/>
      <c r="H65" s="444"/>
      <c r="I65" s="447"/>
      <c r="J65" s="447"/>
      <c r="K65" s="447"/>
      <c r="L65" s="447"/>
      <c r="M65" s="553">
        <f>SUM(M3:M64)</f>
        <v>25241925.899999999</v>
      </c>
      <c r="N65" s="553">
        <f>SUM(N3:N64)</f>
        <v>190892296.19999993</v>
      </c>
      <c r="O65" s="553">
        <f>SUM(O3:O64)</f>
        <v>15271383.696</v>
      </c>
      <c r="P65" s="553">
        <f>N65+O65</f>
        <v>206163679.89599994</v>
      </c>
      <c r="Q65" s="553">
        <f>SUM(Q3:Q64)</f>
        <v>52000000</v>
      </c>
    </row>
    <row r="67" spans="1:17" ht="15.75" thickBot="1"/>
    <row r="68" spans="1:17">
      <c r="J68" s="477" t="s">
        <v>894</v>
      </c>
      <c r="K68" s="491">
        <f>P65</f>
        <v>206163679.89599994</v>
      </c>
      <c r="L68" s="452"/>
      <c r="M68" s="993" t="s">
        <v>921</v>
      </c>
      <c r="N68" s="994"/>
      <c r="O68" s="994"/>
      <c r="P68" s="994"/>
      <c r="Q68" s="994"/>
    </row>
    <row r="69" spans="1:17">
      <c r="J69" s="478" t="s">
        <v>895</v>
      </c>
      <c r="K69" s="492">
        <f>Q65</f>
        <v>52000000</v>
      </c>
      <c r="L69" s="452"/>
      <c r="M69" s="994"/>
      <c r="N69" s="994"/>
      <c r="O69" s="994"/>
      <c r="P69" s="994"/>
      <c r="Q69" s="994"/>
    </row>
    <row r="70" spans="1:17">
      <c r="J70" s="478" t="s">
        <v>898</v>
      </c>
      <c r="K70" s="554">
        <f>K68-K69</f>
        <v>154163679.89599994</v>
      </c>
      <c r="L70" s="452"/>
      <c r="M70" s="994"/>
      <c r="N70" s="994"/>
      <c r="O70" s="994"/>
      <c r="P70" s="994"/>
      <c r="Q70" s="994"/>
    </row>
    <row r="71" spans="1:17">
      <c r="J71" s="452"/>
      <c r="K71" s="452"/>
      <c r="L71" s="452"/>
      <c r="M71" s="994"/>
      <c r="N71" s="994"/>
      <c r="O71" s="994"/>
      <c r="P71" s="994"/>
      <c r="Q71" s="994"/>
    </row>
    <row r="72" spans="1:17">
      <c r="J72" s="452"/>
      <c r="K72" s="452"/>
      <c r="L72" s="452"/>
      <c r="M72" s="994"/>
      <c r="N72" s="994"/>
      <c r="O72" s="994"/>
      <c r="P72" s="994"/>
      <c r="Q72" s="994"/>
    </row>
    <row r="73" spans="1:17">
      <c r="J73" s="452"/>
      <c r="K73" s="452"/>
      <c r="L73" s="452"/>
      <c r="M73" s="994"/>
      <c r="N73" s="994"/>
      <c r="O73" s="994"/>
      <c r="P73" s="994"/>
      <c r="Q73" s="994"/>
    </row>
    <row r="74" spans="1:17">
      <c r="J74" s="452"/>
      <c r="K74" s="452"/>
      <c r="L74" s="452"/>
      <c r="M74" s="994"/>
      <c r="N74" s="994"/>
      <c r="O74" s="994"/>
      <c r="P74" s="994"/>
      <c r="Q74" s="994"/>
    </row>
    <row r="75" spans="1:17">
      <c r="J75" s="452"/>
      <c r="K75" s="452"/>
      <c r="L75" s="452"/>
      <c r="M75" s="994"/>
      <c r="N75" s="994"/>
      <c r="O75" s="994"/>
      <c r="P75" s="994"/>
      <c r="Q75" s="994"/>
    </row>
    <row r="76" spans="1:17">
      <c r="J76" s="452"/>
      <c r="K76" s="452"/>
      <c r="L76" s="452"/>
      <c r="M76" s="994"/>
      <c r="N76" s="994"/>
      <c r="O76" s="994"/>
      <c r="P76" s="994"/>
      <c r="Q76" s="994"/>
    </row>
  </sheetData>
  <mergeCells count="1">
    <mergeCell ref="M68:Q76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A600-D437-4A13-B5EE-5CF1EE037A70}">
  <dimension ref="A1:X1"/>
  <sheetViews>
    <sheetView workbookViewId="0">
      <selection activeCell="A2" sqref="A2"/>
    </sheetView>
  </sheetViews>
  <sheetFormatPr defaultRowHeight="15"/>
  <sheetData>
    <row r="1" spans="1:24" s="43" customFormat="1" ht="96">
      <c r="A1" s="430" t="s">
        <v>666</v>
      </c>
      <c r="B1" s="431" t="s">
        <v>866</v>
      </c>
      <c r="C1" s="431" t="s">
        <v>624</v>
      </c>
      <c r="D1" s="432" t="s">
        <v>636</v>
      </c>
      <c r="E1" s="431" t="s">
        <v>635</v>
      </c>
      <c r="F1" s="433" t="s">
        <v>637</v>
      </c>
      <c r="G1" s="433" t="s">
        <v>634</v>
      </c>
      <c r="H1" s="568" t="s">
        <v>625</v>
      </c>
      <c r="I1" s="433" t="s">
        <v>626</v>
      </c>
      <c r="J1" s="590" t="s">
        <v>627</v>
      </c>
      <c r="K1" s="321" t="s">
        <v>628</v>
      </c>
      <c r="L1" s="435" t="s">
        <v>629</v>
      </c>
      <c r="M1" s="591" t="s">
        <v>630</v>
      </c>
      <c r="N1" s="591" t="s">
        <v>631</v>
      </c>
      <c r="O1" s="591" t="s">
        <v>632</v>
      </c>
      <c r="P1" s="591" t="s">
        <v>633</v>
      </c>
      <c r="Q1" s="591" t="s">
        <v>612</v>
      </c>
      <c r="R1" s="592" t="s">
        <v>622</v>
      </c>
      <c r="S1" s="437" t="s">
        <v>623</v>
      </c>
      <c r="T1" s="437" t="s">
        <v>683</v>
      </c>
      <c r="U1" s="437" t="s">
        <v>716</v>
      </c>
      <c r="V1" s="438" t="s">
        <v>670</v>
      </c>
      <c r="W1" s="439"/>
      <c r="X1" s="439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7568-8F30-47AD-8428-B06AD63E79AF}">
  <dimension ref="A1:L24"/>
  <sheetViews>
    <sheetView topLeftCell="C1" workbookViewId="0">
      <selection activeCell="D6" sqref="D6"/>
    </sheetView>
  </sheetViews>
  <sheetFormatPr defaultRowHeight="15"/>
  <cols>
    <col min="1" max="1" width="25.5703125" bestFit="1" customWidth="1"/>
    <col min="2" max="2" width="114" bestFit="1" customWidth="1"/>
    <col min="3" max="3" width="11.5703125" bestFit="1" customWidth="1"/>
    <col min="8" max="8" width="62.85546875" bestFit="1" customWidth="1"/>
    <col min="9" max="9" width="15" bestFit="1" customWidth="1"/>
    <col min="10" max="10" width="20.28515625" customWidth="1"/>
  </cols>
  <sheetData>
    <row r="1" spans="1:12" s="43" customFormat="1" ht="80.25">
      <c r="A1" s="430" t="s">
        <v>666</v>
      </c>
      <c r="B1" s="431" t="s">
        <v>866</v>
      </c>
      <c r="C1" s="431" t="s">
        <v>624</v>
      </c>
      <c r="D1" s="432" t="s">
        <v>636</v>
      </c>
      <c r="E1" s="431" t="s">
        <v>635</v>
      </c>
      <c r="F1" s="433" t="s">
        <v>637</v>
      </c>
      <c r="G1" s="433" t="s">
        <v>634</v>
      </c>
      <c r="H1" s="568" t="s">
        <v>625</v>
      </c>
      <c r="I1" s="591" t="s">
        <v>612</v>
      </c>
      <c r="J1" s="438" t="s">
        <v>670</v>
      </c>
      <c r="K1" s="439"/>
      <c r="L1" s="439"/>
    </row>
    <row r="2" spans="1:12" s="298" customFormat="1" ht="15" customHeight="1">
      <c r="A2" s="296" t="s">
        <v>753</v>
      </c>
      <c r="B2" s="307" t="s">
        <v>754</v>
      </c>
      <c r="C2" s="297">
        <v>46238</v>
      </c>
      <c r="D2" s="299" t="s">
        <v>668</v>
      </c>
      <c r="E2" s="323"/>
      <c r="G2" s="336"/>
      <c r="H2" s="299" t="s">
        <v>672</v>
      </c>
      <c r="I2" s="310">
        <v>100000000</v>
      </c>
    </row>
    <row r="3" spans="1:12" s="298" customFormat="1" ht="15" customHeight="1">
      <c r="A3" s="296">
        <v>10</v>
      </c>
      <c r="B3" s="306" t="s">
        <v>697</v>
      </c>
      <c r="C3" s="297">
        <v>46238</v>
      </c>
      <c r="D3" s="299" t="s">
        <v>673</v>
      </c>
      <c r="E3" s="323"/>
      <c r="G3" s="336"/>
      <c r="H3" s="299" t="s">
        <v>672</v>
      </c>
      <c r="I3" s="310">
        <v>800000</v>
      </c>
    </row>
    <row r="4" spans="1:12" s="298" customFormat="1" ht="28.5" customHeight="1">
      <c r="A4" s="296" t="s">
        <v>675</v>
      </c>
      <c r="B4" s="307" t="s">
        <v>698</v>
      </c>
      <c r="C4" s="297">
        <v>46238</v>
      </c>
      <c r="D4" s="299" t="s">
        <v>674</v>
      </c>
      <c r="E4" s="323"/>
      <c r="G4" s="336"/>
      <c r="H4" s="299" t="s">
        <v>672</v>
      </c>
      <c r="I4" s="310">
        <v>7120000</v>
      </c>
      <c r="J4" s="318" t="s">
        <v>678</v>
      </c>
    </row>
    <row r="5" spans="1:12" s="298" customFormat="1" ht="15" customHeight="1">
      <c r="A5" s="296" t="s">
        <v>761</v>
      </c>
      <c r="B5" s="306" t="s">
        <v>695</v>
      </c>
      <c r="C5" s="297">
        <v>46240</v>
      </c>
      <c r="D5" s="299" t="s">
        <v>682</v>
      </c>
      <c r="E5" s="323"/>
      <c r="G5" s="336"/>
      <c r="H5" s="299" t="s">
        <v>672</v>
      </c>
      <c r="I5" s="310">
        <v>100000000</v>
      </c>
    </row>
    <row r="6" spans="1:12" s="298" customFormat="1" ht="15" customHeight="1">
      <c r="A6" s="296" t="s">
        <v>685</v>
      </c>
      <c r="B6" s="307" t="s">
        <v>707</v>
      </c>
      <c r="C6" s="297">
        <v>46244</v>
      </c>
      <c r="D6" s="299" t="s">
        <v>699</v>
      </c>
      <c r="E6" s="323"/>
      <c r="G6" s="336"/>
      <c r="H6" s="299" t="s">
        <v>702</v>
      </c>
      <c r="I6" s="310">
        <v>390000</v>
      </c>
      <c r="J6" s="305" t="s">
        <v>767</v>
      </c>
    </row>
    <row r="7" spans="1:12" s="298" customFormat="1" ht="15" customHeight="1">
      <c r="A7" s="296" t="s">
        <v>701</v>
      </c>
      <c r="B7" s="307" t="s">
        <v>708</v>
      </c>
      <c r="C7" s="297">
        <v>46244</v>
      </c>
      <c r="D7" s="299" t="s">
        <v>700</v>
      </c>
      <c r="E7" s="323"/>
      <c r="G7" s="336"/>
      <c r="H7" s="299" t="s">
        <v>702</v>
      </c>
      <c r="I7" s="310">
        <v>2520000</v>
      </c>
      <c r="J7" s="305" t="s">
        <v>767</v>
      </c>
    </row>
    <row r="8" spans="1:12" s="298" customFormat="1" ht="15" customHeight="1">
      <c r="A8" s="296"/>
      <c r="B8" s="307" t="s">
        <v>856</v>
      </c>
      <c r="C8" s="297">
        <v>46245</v>
      </c>
      <c r="D8" s="299"/>
      <c r="E8" s="323"/>
      <c r="G8" s="336"/>
      <c r="H8" s="299" t="s">
        <v>672</v>
      </c>
      <c r="I8" s="310">
        <v>31748000</v>
      </c>
    </row>
    <row r="9" spans="1:12" s="298" customFormat="1" ht="15" customHeight="1">
      <c r="A9" s="296" t="s">
        <v>738</v>
      </c>
      <c r="B9" s="307" t="s">
        <v>748</v>
      </c>
      <c r="C9" s="297">
        <v>46246</v>
      </c>
      <c r="D9" s="299"/>
      <c r="E9" s="297"/>
      <c r="H9" s="299" t="s">
        <v>672</v>
      </c>
      <c r="I9" s="310">
        <v>1730000</v>
      </c>
    </row>
    <row r="10" spans="1:12" s="298" customFormat="1" ht="15" customHeight="1">
      <c r="A10" s="296" t="s">
        <v>752</v>
      </c>
      <c r="B10" s="306" t="s">
        <v>694</v>
      </c>
      <c r="C10" s="297">
        <v>46246</v>
      </c>
      <c r="D10" s="299"/>
      <c r="E10" s="297"/>
      <c r="H10" s="299" t="s">
        <v>859</v>
      </c>
      <c r="I10" s="310">
        <v>60000000</v>
      </c>
    </row>
    <row r="11" spans="1:12" s="298" customFormat="1" ht="15" customHeight="1">
      <c r="A11" s="296" t="s">
        <v>792</v>
      </c>
      <c r="B11" s="307" t="s">
        <v>714</v>
      </c>
      <c r="C11" s="297">
        <v>46248</v>
      </c>
      <c r="D11" s="299"/>
      <c r="E11" s="297"/>
      <c r="H11" s="299" t="s">
        <v>672</v>
      </c>
      <c r="I11" s="310">
        <v>61652000</v>
      </c>
    </row>
    <row r="12" spans="1:12" s="447" customFormat="1">
      <c r="A12" s="440" t="s">
        <v>736</v>
      </c>
      <c r="B12" s="441" t="s">
        <v>747</v>
      </c>
      <c r="C12" s="297">
        <v>46248</v>
      </c>
      <c r="D12" s="444"/>
      <c r="E12" s="446"/>
      <c r="H12" s="299" t="s">
        <v>672</v>
      </c>
      <c r="I12" s="445">
        <v>22830000</v>
      </c>
    </row>
    <row r="13" spans="1:12" s="298" customFormat="1" ht="15" customHeight="1">
      <c r="A13" s="296"/>
      <c r="B13" s="307" t="s">
        <v>903</v>
      </c>
      <c r="C13" s="297">
        <v>46248</v>
      </c>
      <c r="D13" s="299"/>
      <c r="E13" s="297"/>
      <c r="H13" s="299" t="s">
        <v>702</v>
      </c>
      <c r="I13" s="310">
        <v>2300000</v>
      </c>
    </row>
    <row r="14" spans="1:12" s="292" customFormat="1" ht="15" customHeight="1">
      <c r="A14" s="296" t="s">
        <v>802</v>
      </c>
      <c r="B14" s="307" t="s">
        <v>806</v>
      </c>
      <c r="C14" s="297">
        <v>46251</v>
      </c>
      <c r="D14" s="299" t="s">
        <v>957</v>
      </c>
      <c r="E14" s="293"/>
      <c r="H14" s="295" t="s">
        <v>844</v>
      </c>
      <c r="I14" s="311">
        <v>3200000</v>
      </c>
    </row>
    <row r="15" spans="1:12" s="292" customFormat="1" ht="15" customHeight="1">
      <c r="A15" s="296" t="s">
        <v>741</v>
      </c>
      <c r="B15" s="307" t="s">
        <v>749</v>
      </c>
      <c r="C15" s="297">
        <v>46251</v>
      </c>
      <c r="D15" s="312"/>
      <c r="E15" s="293"/>
      <c r="H15" s="295" t="s">
        <v>844</v>
      </c>
      <c r="I15" s="311">
        <v>7840000</v>
      </c>
    </row>
    <row r="16" spans="1:12" s="292" customFormat="1" ht="15" customHeight="1">
      <c r="A16" s="296" t="s">
        <v>800</v>
      </c>
      <c r="B16" s="307" t="s">
        <v>805</v>
      </c>
      <c r="C16" s="297">
        <v>46251</v>
      </c>
      <c r="D16" s="312"/>
      <c r="E16" s="293"/>
      <c r="H16" s="295" t="s">
        <v>702</v>
      </c>
      <c r="I16" s="311">
        <v>1600000</v>
      </c>
    </row>
    <row r="17" spans="1:9" s="443" customFormat="1" ht="15" customHeight="1">
      <c r="A17" s="294"/>
      <c r="B17" s="307" t="s">
        <v>903</v>
      </c>
      <c r="C17" s="446">
        <v>46254</v>
      </c>
      <c r="D17" s="444"/>
      <c r="E17" s="446"/>
      <c r="F17" s="447"/>
      <c r="G17" s="447"/>
      <c r="H17" s="295" t="s">
        <v>844</v>
      </c>
      <c r="I17" s="311">
        <v>1600000</v>
      </c>
    </row>
    <row r="18" spans="1:9" s="292" customFormat="1" ht="15" customHeight="1">
      <c r="A18" s="296" t="s">
        <v>756</v>
      </c>
      <c r="B18" s="307" t="s">
        <v>954</v>
      </c>
      <c r="C18" s="446">
        <v>46256</v>
      </c>
      <c r="D18" s="444"/>
      <c r="E18" s="446"/>
      <c r="F18" s="447"/>
      <c r="G18" s="447"/>
      <c r="H18" s="295" t="s">
        <v>844</v>
      </c>
      <c r="I18" s="445">
        <v>8784000</v>
      </c>
    </row>
    <row r="19" spans="1:9" s="447" customFormat="1">
      <c r="A19" s="294" t="s">
        <v>872</v>
      </c>
      <c r="B19" s="308" t="s">
        <v>875</v>
      </c>
      <c r="C19" s="293">
        <v>46258</v>
      </c>
      <c r="D19" s="312"/>
      <c r="E19" s="293"/>
      <c r="F19" s="292"/>
      <c r="G19" s="292"/>
      <c r="H19" s="295" t="s">
        <v>844</v>
      </c>
      <c r="I19" s="311">
        <v>45466002</v>
      </c>
    </row>
    <row r="20" spans="1:9" s="292" customFormat="1" ht="15" customHeight="1">
      <c r="A20" s="296" t="s">
        <v>734</v>
      </c>
      <c r="B20" s="307" t="s">
        <v>745</v>
      </c>
      <c r="C20" s="446">
        <v>46258</v>
      </c>
      <c r="D20" s="444"/>
      <c r="E20" s="446"/>
      <c r="F20" s="447"/>
      <c r="G20" s="447"/>
      <c r="H20" s="295" t="s">
        <v>844</v>
      </c>
      <c r="I20" s="445">
        <v>17760001</v>
      </c>
    </row>
    <row r="21" spans="1:9" s="292" customFormat="1" ht="15" customHeight="1">
      <c r="A21" s="296" t="s">
        <v>717</v>
      </c>
      <c r="B21" s="307" t="s">
        <v>743</v>
      </c>
      <c r="C21" s="446">
        <v>46258</v>
      </c>
      <c r="D21" s="444"/>
      <c r="E21" s="446"/>
      <c r="F21" s="447"/>
      <c r="G21" s="447"/>
      <c r="H21" s="299" t="s">
        <v>929</v>
      </c>
      <c r="I21" s="445">
        <v>52000000</v>
      </c>
    </row>
    <row r="22" spans="1:9" s="292" customFormat="1" ht="15" customHeight="1">
      <c r="A22" s="440" t="s">
        <v>736</v>
      </c>
      <c r="B22" s="441" t="s">
        <v>747</v>
      </c>
      <c r="C22" s="446">
        <v>46259</v>
      </c>
      <c r="D22" s="444"/>
      <c r="E22" s="446"/>
      <c r="F22" s="447"/>
      <c r="G22" s="447"/>
      <c r="H22" s="299" t="s">
        <v>672</v>
      </c>
      <c r="I22" s="612">
        <v>5280000</v>
      </c>
    </row>
    <row r="23" spans="1:9" s="447" customFormat="1">
      <c r="A23" s="296" t="s">
        <v>711</v>
      </c>
      <c r="B23" s="307" t="s">
        <v>715</v>
      </c>
      <c r="C23" s="446">
        <v>46260</v>
      </c>
      <c r="D23" s="444"/>
      <c r="E23" s="446"/>
      <c r="H23" s="299" t="s">
        <v>672</v>
      </c>
      <c r="I23" s="612">
        <v>41460000</v>
      </c>
    </row>
    <row r="24" spans="1:9">
      <c r="I24" s="630">
        <f>SUM(I2:I23)</f>
        <v>576080003</v>
      </c>
    </row>
  </sheetData>
  <phoneticPr fontId="1" type="noConversion"/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0C0F-393C-46A7-9C6C-EA2A719F36E8}">
  <dimension ref="A2:M100"/>
  <sheetViews>
    <sheetView topLeftCell="A50" workbookViewId="0">
      <selection activeCell="B100" sqref="B100"/>
    </sheetView>
  </sheetViews>
  <sheetFormatPr defaultRowHeight="15"/>
  <cols>
    <col min="1" max="1" width="10.42578125" customWidth="1"/>
    <col min="2" max="2" width="50.140625" customWidth="1"/>
    <col min="3" max="3" width="11.5703125" bestFit="1" customWidth="1"/>
    <col min="4" max="4" width="15.42578125" bestFit="1" customWidth="1"/>
    <col min="5" max="5" width="45.28515625" customWidth="1"/>
    <col min="6" max="6" width="8.85546875" bestFit="1" customWidth="1"/>
    <col min="7" max="7" width="26.42578125" customWidth="1"/>
    <col min="8" max="8" width="5.5703125" bestFit="1" customWidth="1"/>
    <col min="9" max="9" width="7.85546875" bestFit="1" customWidth="1"/>
    <col min="10" max="10" width="10.85546875" bestFit="1" customWidth="1"/>
    <col min="11" max="11" width="12" bestFit="1" customWidth="1"/>
    <col min="12" max="12" width="10.85546875" bestFit="1" customWidth="1"/>
    <col min="13" max="13" width="12" bestFit="1" customWidth="1"/>
  </cols>
  <sheetData>
    <row r="2" spans="1:13" ht="61.5">
      <c r="A2" s="430" t="s">
        <v>666</v>
      </c>
      <c r="B2" s="431" t="s">
        <v>866</v>
      </c>
      <c r="C2" s="640" t="s">
        <v>994</v>
      </c>
      <c r="D2" s="432" t="s">
        <v>636</v>
      </c>
      <c r="E2" s="568" t="s">
        <v>625</v>
      </c>
      <c r="F2" s="645" t="s">
        <v>995</v>
      </c>
      <c r="G2" s="568" t="s">
        <v>627</v>
      </c>
      <c r="H2" s="646" t="s">
        <v>996</v>
      </c>
      <c r="I2" s="649" t="s">
        <v>997</v>
      </c>
      <c r="J2" s="660" t="s">
        <v>998</v>
      </c>
      <c r="K2" s="660" t="s">
        <v>999</v>
      </c>
      <c r="L2" s="660" t="s">
        <v>1000</v>
      </c>
      <c r="M2" s="660" t="s">
        <v>913</v>
      </c>
    </row>
    <row r="3" spans="1:13">
      <c r="A3" s="296" t="s">
        <v>711</v>
      </c>
      <c r="B3" s="307" t="s">
        <v>715</v>
      </c>
      <c r="C3" s="446">
        <v>46268</v>
      </c>
      <c r="D3" s="299" t="s">
        <v>1052</v>
      </c>
      <c r="E3" s="299" t="s">
        <v>813</v>
      </c>
      <c r="F3" s="643" t="s">
        <v>46</v>
      </c>
      <c r="G3" s="299" t="s">
        <v>47</v>
      </c>
      <c r="H3" s="647" t="s">
        <v>18</v>
      </c>
      <c r="I3" s="648">
        <v>4</v>
      </c>
      <c r="J3" s="654">
        <v>240740.74</v>
      </c>
      <c r="K3" s="656">
        <v>962962.96</v>
      </c>
      <c r="L3" s="301">
        <v>77037.036800000002</v>
      </c>
      <c r="M3" s="301">
        <v>1039999.9968</v>
      </c>
    </row>
    <row r="4" spans="1:13">
      <c r="A4" s="296" t="s">
        <v>711</v>
      </c>
      <c r="B4" s="307" t="s">
        <v>715</v>
      </c>
      <c r="C4" s="446">
        <v>46268</v>
      </c>
      <c r="D4" s="299" t="s">
        <v>1052</v>
      </c>
      <c r="E4" s="299" t="s">
        <v>813</v>
      </c>
      <c r="F4" s="643" t="s">
        <v>157</v>
      </c>
      <c r="G4" s="299" t="s">
        <v>158</v>
      </c>
      <c r="H4" s="647" t="s">
        <v>18</v>
      </c>
      <c r="I4" s="648">
        <v>4</v>
      </c>
      <c r="J4" s="654">
        <v>342592.59</v>
      </c>
      <c r="K4" s="656">
        <v>1370370.36</v>
      </c>
      <c r="L4" s="301">
        <v>109629.62880000001</v>
      </c>
      <c r="M4" s="301">
        <v>1479999.9888000002</v>
      </c>
    </row>
    <row r="5" spans="1:13">
      <c r="A5" s="296" t="s">
        <v>711</v>
      </c>
      <c r="B5" s="307" t="s">
        <v>715</v>
      </c>
      <c r="C5" s="446">
        <v>46268</v>
      </c>
      <c r="D5" s="299" t="s">
        <v>1052</v>
      </c>
      <c r="E5" s="299" t="s">
        <v>813</v>
      </c>
      <c r="F5" s="643" t="s">
        <v>119</v>
      </c>
      <c r="G5" s="299" t="s">
        <v>191</v>
      </c>
      <c r="H5" s="647" t="s">
        <v>18</v>
      </c>
      <c r="I5" s="648">
        <v>4</v>
      </c>
      <c r="J5" s="654">
        <v>574074.06999999995</v>
      </c>
      <c r="K5" s="656">
        <v>2296296.2799999998</v>
      </c>
      <c r="L5" s="301">
        <v>183703.70239999998</v>
      </c>
      <c r="M5" s="301">
        <v>2479999.9823999996</v>
      </c>
    </row>
    <row r="6" spans="1:13">
      <c r="A6" s="296" t="s">
        <v>711</v>
      </c>
      <c r="B6" s="307" t="s">
        <v>715</v>
      </c>
      <c r="C6" s="446">
        <v>46268</v>
      </c>
      <c r="D6" s="299" t="s">
        <v>1052</v>
      </c>
      <c r="E6" s="299" t="s">
        <v>813</v>
      </c>
      <c r="F6" s="643" t="s">
        <v>42</v>
      </c>
      <c r="G6" s="299" t="s">
        <v>43</v>
      </c>
      <c r="H6" s="647" t="s">
        <v>18</v>
      </c>
      <c r="I6" s="648">
        <v>18</v>
      </c>
      <c r="J6" s="654">
        <v>527777.78</v>
      </c>
      <c r="K6" s="656">
        <v>9500000.040000001</v>
      </c>
      <c r="L6" s="301">
        <v>760000.00320000004</v>
      </c>
      <c r="M6" s="301">
        <v>10260000.043200001</v>
      </c>
    </row>
    <row r="7" spans="1:13">
      <c r="A7" s="296" t="s">
        <v>711</v>
      </c>
      <c r="B7" s="307" t="s">
        <v>715</v>
      </c>
      <c r="C7" s="446">
        <v>46268</v>
      </c>
      <c r="D7" s="299" t="s">
        <v>1052</v>
      </c>
      <c r="E7" s="299" t="s">
        <v>813</v>
      </c>
      <c r="F7" s="643" t="s">
        <v>44</v>
      </c>
      <c r="G7" s="299" t="s">
        <v>45</v>
      </c>
      <c r="H7" s="647" t="s">
        <v>18</v>
      </c>
      <c r="I7" s="648">
        <v>4</v>
      </c>
      <c r="J7" s="654">
        <v>537037.04</v>
      </c>
      <c r="K7" s="656">
        <v>2148148.16</v>
      </c>
      <c r="L7" s="301">
        <v>171851.85280000002</v>
      </c>
      <c r="M7" s="301">
        <v>2320000.0128000001</v>
      </c>
    </row>
    <row r="8" spans="1:13">
      <c r="A8" s="296" t="s">
        <v>711</v>
      </c>
      <c r="B8" s="307" t="s">
        <v>715</v>
      </c>
      <c r="C8" s="446">
        <v>46268</v>
      </c>
      <c r="D8" s="299" t="s">
        <v>1052</v>
      </c>
      <c r="E8" s="299" t="s">
        <v>813</v>
      </c>
      <c r="F8" s="643" t="s">
        <v>148</v>
      </c>
      <c r="G8" s="299" t="s">
        <v>149</v>
      </c>
      <c r="H8" s="647" t="s">
        <v>18</v>
      </c>
      <c r="I8" s="648">
        <v>12</v>
      </c>
      <c r="J8" s="654">
        <v>296296.3</v>
      </c>
      <c r="K8" s="656">
        <v>3555555.5999999996</v>
      </c>
      <c r="L8" s="301">
        <v>284444.44799999997</v>
      </c>
      <c r="M8" s="301">
        <v>3840000.0479999995</v>
      </c>
    </row>
    <row r="9" spans="1:13">
      <c r="A9" s="296" t="s">
        <v>711</v>
      </c>
      <c r="B9" s="307" t="s">
        <v>715</v>
      </c>
      <c r="C9" s="446">
        <v>46268</v>
      </c>
      <c r="D9" s="299" t="s">
        <v>1052</v>
      </c>
      <c r="E9" s="299" t="s">
        <v>813</v>
      </c>
      <c r="F9" s="643" t="s">
        <v>192</v>
      </c>
      <c r="G9" s="299" t="s">
        <v>193</v>
      </c>
      <c r="H9" s="647" t="s">
        <v>18</v>
      </c>
      <c r="I9" s="648">
        <v>8</v>
      </c>
      <c r="J9" s="654">
        <v>333333.33</v>
      </c>
      <c r="K9" s="656">
        <v>2666666.64</v>
      </c>
      <c r="L9" s="301">
        <v>213333.33120000002</v>
      </c>
      <c r="M9" s="301">
        <v>2879999.9712</v>
      </c>
    </row>
    <row r="10" spans="1:13">
      <c r="A10" s="296" t="s">
        <v>711</v>
      </c>
      <c r="B10" s="307" t="s">
        <v>715</v>
      </c>
      <c r="C10" s="446">
        <v>46268</v>
      </c>
      <c r="D10" s="299" t="s">
        <v>1052</v>
      </c>
      <c r="E10" s="299" t="s">
        <v>813</v>
      </c>
      <c r="F10" s="643" t="s">
        <v>260</v>
      </c>
      <c r="G10" s="299" t="s">
        <v>261</v>
      </c>
      <c r="H10" s="647" t="s">
        <v>18</v>
      </c>
      <c r="I10" s="648">
        <v>12</v>
      </c>
      <c r="J10" s="654">
        <v>407407.41</v>
      </c>
      <c r="K10" s="656">
        <v>4888888.92</v>
      </c>
      <c r="L10" s="301">
        <v>391111.11359999998</v>
      </c>
      <c r="M10" s="301">
        <v>5280000.0335999997</v>
      </c>
    </row>
    <row r="11" spans="1:13">
      <c r="A11" s="296" t="s">
        <v>1004</v>
      </c>
      <c r="B11" s="306" t="s">
        <v>825</v>
      </c>
      <c r="C11" s="446">
        <v>46268</v>
      </c>
      <c r="D11" s="299" t="s">
        <v>1053</v>
      </c>
      <c r="E11" s="302" t="s">
        <v>814</v>
      </c>
      <c r="F11" s="643" t="s">
        <v>50</v>
      </c>
      <c r="G11" s="299" t="s">
        <v>51</v>
      </c>
      <c r="H11" s="647" t="s">
        <v>18</v>
      </c>
      <c r="I11" s="648">
        <v>24</v>
      </c>
      <c r="J11" s="654">
        <v>937962.96</v>
      </c>
      <c r="K11" s="656">
        <v>22511111.039999999</v>
      </c>
      <c r="L11" s="301">
        <v>1800888.8832</v>
      </c>
      <c r="M11" s="301">
        <v>24311999.9232</v>
      </c>
    </row>
    <row r="12" spans="1:13">
      <c r="A12" s="296" t="s">
        <v>1004</v>
      </c>
      <c r="B12" s="306" t="s">
        <v>693</v>
      </c>
      <c r="C12" s="446">
        <v>46268</v>
      </c>
      <c r="D12" s="299" t="s">
        <v>1053</v>
      </c>
      <c r="E12" s="302" t="s">
        <v>814</v>
      </c>
      <c r="F12" s="643" t="s">
        <v>103</v>
      </c>
      <c r="G12" s="299" t="s">
        <v>104</v>
      </c>
      <c r="H12" s="647" t="s">
        <v>18</v>
      </c>
      <c r="I12" s="648">
        <v>24</v>
      </c>
      <c r="J12" s="654">
        <v>675925.93</v>
      </c>
      <c r="K12" s="656">
        <v>16222222.32</v>
      </c>
      <c r="L12" s="301">
        <v>1297777.7856000001</v>
      </c>
      <c r="M12" s="301">
        <v>17520000.105599999</v>
      </c>
    </row>
    <row r="13" spans="1:13">
      <c r="A13" s="296" t="s">
        <v>1004</v>
      </c>
      <c r="B13" s="306" t="s">
        <v>693</v>
      </c>
      <c r="C13" s="446">
        <v>46268</v>
      </c>
      <c r="D13" s="299" t="s">
        <v>1053</v>
      </c>
      <c r="E13" s="302" t="s">
        <v>814</v>
      </c>
      <c r="F13" s="643" t="s">
        <v>90</v>
      </c>
      <c r="G13" s="299" t="s">
        <v>91</v>
      </c>
      <c r="H13" s="647" t="s">
        <v>18</v>
      </c>
      <c r="I13" s="648">
        <v>20</v>
      </c>
      <c r="J13" s="654">
        <v>814814.81</v>
      </c>
      <c r="K13" s="656">
        <v>16296296.200000001</v>
      </c>
      <c r="L13" s="301">
        <v>1303703.6960000002</v>
      </c>
      <c r="M13" s="301">
        <v>17599999.896000002</v>
      </c>
    </row>
    <row r="14" spans="1:13">
      <c r="A14" s="296" t="s">
        <v>1004</v>
      </c>
      <c r="B14" s="306" t="s">
        <v>693</v>
      </c>
      <c r="C14" s="446">
        <v>46268</v>
      </c>
      <c r="D14" s="299" t="s">
        <v>1053</v>
      </c>
      <c r="E14" s="302" t="s">
        <v>814</v>
      </c>
      <c r="F14" s="643" t="s">
        <v>653</v>
      </c>
      <c r="G14" s="299" t="s">
        <v>654</v>
      </c>
      <c r="H14" s="647" t="s">
        <v>18</v>
      </c>
      <c r="I14" s="648">
        <v>45</v>
      </c>
      <c r="J14" s="654">
        <v>481481.48</v>
      </c>
      <c r="K14" s="656">
        <v>21666666.599999998</v>
      </c>
      <c r="L14" s="301">
        <v>1733333.3279999997</v>
      </c>
      <c r="M14" s="301">
        <v>23399999.927999996</v>
      </c>
    </row>
    <row r="15" spans="1:13">
      <c r="A15" s="296" t="s">
        <v>1004</v>
      </c>
      <c r="B15" s="306" t="s">
        <v>693</v>
      </c>
      <c r="C15" s="446">
        <v>46268</v>
      </c>
      <c r="D15" s="299" t="s">
        <v>1053</v>
      </c>
      <c r="E15" s="302" t="s">
        <v>814</v>
      </c>
      <c r="F15" s="643" t="s">
        <v>655</v>
      </c>
      <c r="G15" s="299" t="s">
        <v>656</v>
      </c>
      <c r="H15" s="647" t="s">
        <v>18</v>
      </c>
      <c r="I15" s="648">
        <v>15</v>
      </c>
      <c r="J15" s="654">
        <v>574074.06999999995</v>
      </c>
      <c r="K15" s="656">
        <v>8611111.0499999989</v>
      </c>
      <c r="L15" s="301">
        <v>688888.88399999996</v>
      </c>
      <c r="M15" s="301">
        <v>9299999.9339999985</v>
      </c>
    </row>
    <row r="16" spans="1:13">
      <c r="A16" s="296" t="s">
        <v>1004</v>
      </c>
      <c r="B16" s="306" t="s">
        <v>693</v>
      </c>
      <c r="C16" s="446">
        <v>46268</v>
      </c>
      <c r="D16" s="299" t="s">
        <v>1053</v>
      </c>
      <c r="E16" s="302" t="s">
        <v>814</v>
      </c>
      <c r="F16" s="643" t="s">
        <v>653</v>
      </c>
      <c r="G16" s="299" t="s">
        <v>654</v>
      </c>
      <c r="H16" s="647" t="s">
        <v>18</v>
      </c>
      <c r="I16" s="648">
        <v>3</v>
      </c>
      <c r="J16" s="654">
        <v>0</v>
      </c>
      <c r="K16" s="656">
        <v>0</v>
      </c>
      <c r="L16" s="301">
        <v>0</v>
      </c>
      <c r="M16" s="301">
        <v>0</v>
      </c>
    </row>
    <row r="17" spans="1:13">
      <c r="A17" s="296" t="s">
        <v>1004</v>
      </c>
      <c r="B17" s="306" t="s">
        <v>693</v>
      </c>
      <c r="C17" s="446">
        <v>46268</v>
      </c>
      <c r="D17" s="299" t="s">
        <v>1053</v>
      </c>
      <c r="E17" s="302" t="s">
        <v>814</v>
      </c>
      <c r="F17" s="643" t="s">
        <v>655</v>
      </c>
      <c r="G17" s="299" t="s">
        <v>656</v>
      </c>
      <c r="H17" s="647" t="s">
        <v>18</v>
      </c>
      <c r="I17" s="648">
        <v>1</v>
      </c>
      <c r="J17" s="654">
        <v>0</v>
      </c>
      <c r="K17" s="656">
        <v>0</v>
      </c>
      <c r="L17" s="301">
        <v>0</v>
      </c>
      <c r="M17" s="301">
        <v>0</v>
      </c>
    </row>
    <row r="18" spans="1:13">
      <c r="A18" s="296" t="s">
        <v>1004</v>
      </c>
      <c r="B18" s="306" t="s">
        <v>693</v>
      </c>
      <c r="C18" s="446">
        <v>46268</v>
      </c>
      <c r="D18" s="299" t="s">
        <v>1053</v>
      </c>
      <c r="E18" s="302" t="s">
        <v>814</v>
      </c>
      <c r="F18" s="643" t="s">
        <v>107</v>
      </c>
      <c r="G18" s="299" t="s">
        <v>108</v>
      </c>
      <c r="H18" s="647" t="s">
        <v>18</v>
      </c>
      <c r="I18" s="648">
        <v>8</v>
      </c>
      <c r="J18" s="654">
        <v>0</v>
      </c>
      <c r="K18" s="656">
        <v>0</v>
      </c>
      <c r="L18" s="301">
        <v>0</v>
      </c>
      <c r="M18" s="301">
        <v>0</v>
      </c>
    </row>
    <row r="19" spans="1:13" ht="29.25">
      <c r="A19" s="296" t="s">
        <v>1004</v>
      </c>
      <c r="B19" s="306" t="s">
        <v>693</v>
      </c>
      <c r="C19" s="446">
        <v>46268</v>
      </c>
      <c r="D19" s="299" t="s">
        <v>1053</v>
      </c>
      <c r="E19" s="302" t="s">
        <v>814</v>
      </c>
      <c r="F19" s="643" t="s">
        <v>959</v>
      </c>
      <c r="G19" s="299" t="s">
        <v>960</v>
      </c>
      <c r="H19" s="647" t="s">
        <v>18</v>
      </c>
      <c r="I19" s="648">
        <v>48</v>
      </c>
      <c r="J19" s="654">
        <v>0</v>
      </c>
      <c r="K19" s="656">
        <v>0</v>
      </c>
      <c r="L19" s="301">
        <v>0</v>
      </c>
      <c r="M19" s="301">
        <v>0</v>
      </c>
    </row>
    <row r="20" spans="1:13">
      <c r="A20" s="625" t="s">
        <v>792</v>
      </c>
      <c r="B20" s="307" t="s">
        <v>714</v>
      </c>
      <c r="C20" s="446">
        <v>46269</v>
      </c>
      <c r="D20" s="299" t="s">
        <v>1054</v>
      </c>
      <c r="E20" s="299" t="s">
        <v>810</v>
      </c>
      <c r="F20" s="643" t="s">
        <v>204</v>
      </c>
      <c r="G20" s="299" t="s">
        <v>269</v>
      </c>
      <c r="H20" s="647" t="s">
        <v>18</v>
      </c>
      <c r="I20" s="648">
        <v>10</v>
      </c>
      <c r="J20" s="654">
        <v>480555.56</v>
      </c>
      <c r="K20" s="656">
        <v>4805555.5999999996</v>
      </c>
      <c r="L20" s="301">
        <v>384444.44799999997</v>
      </c>
      <c r="M20" s="301">
        <v>5190000.0479999995</v>
      </c>
    </row>
    <row r="21" spans="1:13">
      <c r="A21" s="625" t="s">
        <v>792</v>
      </c>
      <c r="B21" s="307" t="s">
        <v>714</v>
      </c>
      <c r="C21" s="446">
        <v>46269</v>
      </c>
      <c r="D21" s="299" t="s">
        <v>1054</v>
      </c>
      <c r="E21" s="299" t="s">
        <v>810</v>
      </c>
      <c r="F21" s="643" t="s">
        <v>77</v>
      </c>
      <c r="G21" s="299" t="s">
        <v>320</v>
      </c>
      <c r="H21" s="647" t="s">
        <v>18</v>
      </c>
      <c r="I21" s="648">
        <v>20</v>
      </c>
      <c r="J21" s="654">
        <v>324074.07</v>
      </c>
      <c r="K21" s="656">
        <v>6481481.4000000004</v>
      </c>
      <c r="L21" s="301">
        <v>518518.51200000005</v>
      </c>
      <c r="M21" s="301">
        <v>6999999.9120000005</v>
      </c>
    </row>
    <row r="22" spans="1:13">
      <c r="A22" s="625" t="s">
        <v>792</v>
      </c>
      <c r="B22" s="307" t="s">
        <v>714</v>
      </c>
      <c r="C22" s="446">
        <v>46269</v>
      </c>
      <c r="D22" s="299" t="s">
        <v>1054</v>
      </c>
      <c r="E22" s="299" t="s">
        <v>810</v>
      </c>
      <c r="F22" s="643" t="s">
        <v>206</v>
      </c>
      <c r="G22" s="299" t="s">
        <v>835</v>
      </c>
      <c r="H22" s="647" t="s">
        <v>18</v>
      </c>
      <c r="I22" s="648">
        <v>10</v>
      </c>
      <c r="J22" s="654">
        <v>483333.33</v>
      </c>
      <c r="K22" s="656">
        <v>4833333.3</v>
      </c>
      <c r="L22" s="301">
        <v>386666.66399999999</v>
      </c>
      <c r="M22" s="301">
        <v>5219999.9639999997</v>
      </c>
    </row>
    <row r="23" spans="1:13">
      <c r="A23" s="625" t="s">
        <v>792</v>
      </c>
      <c r="B23" s="307" t="s">
        <v>714</v>
      </c>
      <c r="C23" s="446">
        <v>46269</v>
      </c>
      <c r="D23" s="299" t="s">
        <v>1054</v>
      </c>
      <c r="E23" s="299" t="s">
        <v>810</v>
      </c>
      <c r="F23" s="643" t="s">
        <v>444</v>
      </c>
      <c r="G23" s="299" t="s">
        <v>445</v>
      </c>
      <c r="H23" s="647" t="s">
        <v>18</v>
      </c>
      <c r="I23" s="648">
        <v>4</v>
      </c>
      <c r="J23" s="654">
        <v>601851.85</v>
      </c>
      <c r="K23" s="656">
        <v>2407407.4</v>
      </c>
      <c r="L23" s="301">
        <v>192592.592</v>
      </c>
      <c r="M23" s="301">
        <v>2599999.9920000001</v>
      </c>
    </row>
    <row r="24" spans="1:13">
      <c r="A24" s="625" t="s">
        <v>792</v>
      </c>
      <c r="B24" s="307" t="s">
        <v>714</v>
      </c>
      <c r="C24" s="446">
        <v>46269</v>
      </c>
      <c r="D24" s="299" t="s">
        <v>1054</v>
      </c>
      <c r="E24" s="299" t="s">
        <v>810</v>
      </c>
      <c r="F24" s="643" t="s">
        <v>274</v>
      </c>
      <c r="G24" s="299" t="s">
        <v>297</v>
      </c>
      <c r="H24" s="647" t="s">
        <v>18</v>
      </c>
      <c r="I24" s="648">
        <v>2</v>
      </c>
      <c r="J24" s="654">
        <v>416666.67</v>
      </c>
      <c r="K24" s="656">
        <v>833333.34</v>
      </c>
      <c r="L24" s="301">
        <v>66666.667199999996</v>
      </c>
      <c r="M24" s="301">
        <v>900000.00719999999</v>
      </c>
    </row>
    <row r="25" spans="1:13">
      <c r="A25" s="625" t="s">
        <v>792</v>
      </c>
      <c r="B25" s="307" t="s">
        <v>714</v>
      </c>
      <c r="C25" s="446">
        <v>46269</v>
      </c>
      <c r="D25" s="299" t="s">
        <v>1054</v>
      </c>
      <c r="E25" s="299" t="s">
        <v>810</v>
      </c>
      <c r="F25" s="643" t="s">
        <v>639</v>
      </c>
      <c r="G25" s="299" t="s">
        <v>640</v>
      </c>
      <c r="H25" s="647" t="s">
        <v>18</v>
      </c>
      <c r="I25" s="648">
        <v>15</v>
      </c>
      <c r="J25" s="654">
        <v>537037.04</v>
      </c>
      <c r="K25" s="656">
        <v>8055555.6000000006</v>
      </c>
      <c r="L25" s="301">
        <v>644444.44800000009</v>
      </c>
      <c r="M25" s="301">
        <v>8700000.0480000004</v>
      </c>
    </row>
    <row r="26" spans="1:13">
      <c r="A26" s="625" t="s">
        <v>792</v>
      </c>
      <c r="B26" s="307" t="s">
        <v>714</v>
      </c>
      <c r="C26" s="446">
        <v>46269</v>
      </c>
      <c r="D26" s="299" t="s">
        <v>1054</v>
      </c>
      <c r="E26" s="299" t="s">
        <v>810</v>
      </c>
      <c r="F26" s="643" t="s">
        <v>641</v>
      </c>
      <c r="G26" s="299" t="s">
        <v>657</v>
      </c>
      <c r="H26" s="647" t="s">
        <v>18</v>
      </c>
      <c r="I26" s="648">
        <v>30</v>
      </c>
      <c r="J26" s="654">
        <v>638888.89</v>
      </c>
      <c r="K26" s="656">
        <v>19166666.699999999</v>
      </c>
      <c r="L26" s="301">
        <v>1533333.3359999999</v>
      </c>
      <c r="M26" s="301">
        <v>20700000.035999998</v>
      </c>
    </row>
    <row r="27" spans="1:13">
      <c r="A27" s="625" t="s">
        <v>792</v>
      </c>
      <c r="B27" s="307" t="s">
        <v>714</v>
      </c>
      <c r="C27" s="446">
        <v>46269</v>
      </c>
      <c r="D27" s="299" t="s">
        <v>1054</v>
      </c>
      <c r="E27" s="299" t="s">
        <v>810</v>
      </c>
      <c r="F27" s="643" t="s">
        <v>643</v>
      </c>
      <c r="G27" s="299" t="s">
        <v>644</v>
      </c>
      <c r="H27" s="647" t="s">
        <v>18</v>
      </c>
      <c r="I27" s="648">
        <v>15</v>
      </c>
      <c r="J27" s="654">
        <v>527777.78</v>
      </c>
      <c r="K27" s="656">
        <v>7916666.7000000002</v>
      </c>
      <c r="L27" s="301">
        <v>633333.33600000001</v>
      </c>
      <c r="M27" s="301">
        <v>8550000.0360000003</v>
      </c>
    </row>
    <row r="28" spans="1:13">
      <c r="A28" s="625" t="s">
        <v>792</v>
      </c>
      <c r="B28" s="307" t="s">
        <v>714</v>
      </c>
      <c r="C28" s="446">
        <v>46269</v>
      </c>
      <c r="D28" s="299" t="s">
        <v>1054</v>
      </c>
      <c r="E28" s="299" t="s">
        <v>810</v>
      </c>
      <c r="F28" s="643" t="s">
        <v>645</v>
      </c>
      <c r="G28" s="299" t="s">
        <v>646</v>
      </c>
      <c r="H28" s="647" t="s">
        <v>18</v>
      </c>
      <c r="I28" s="648">
        <v>30</v>
      </c>
      <c r="J28" s="654">
        <v>629629.63</v>
      </c>
      <c r="K28" s="656">
        <v>18888888.899999999</v>
      </c>
      <c r="L28" s="301">
        <v>1511111.112</v>
      </c>
      <c r="M28" s="301">
        <v>20400000.011999998</v>
      </c>
    </row>
    <row r="29" spans="1:13">
      <c r="A29" s="625" t="s">
        <v>792</v>
      </c>
      <c r="B29" s="307" t="s">
        <v>714</v>
      </c>
      <c r="C29" s="446">
        <v>46269</v>
      </c>
      <c r="D29" s="299" t="s">
        <v>1054</v>
      </c>
      <c r="E29" s="299" t="s">
        <v>810</v>
      </c>
      <c r="F29" s="643" t="s">
        <v>653</v>
      </c>
      <c r="G29" s="299" t="s">
        <v>654</v>
      </c>
      <c r="H29" s="647" t="s">
        <v>18</v>
      </c>
      <c r="I29" s="648">
        <v>15</v>
      </c>
      <c r="J29" s="654">
        <v>481481.48</v>
      </c>
      <c r="K29" s="656">
        <v>7222222.1999999993</v>
      </c>
      <c r="L29" s="301">
        <v>577777.77599999995</v>
      </c>
      <c r="M29" s="301">
        <v>7799999.9759999989</v>
      </c>
    </row>
    <row r="30" spans="1:13">
      <c r="A30" s="625" t="s">
        <v>792</v>
      </c>
      <c r="B30" s="307" t="s">
        <v>714</v>
      </c>
      <c r="C30" s="446">
        <v>46269</v>
      </c>
      <c r="D30" s="299" t="s">
        <v>1054</v>
      </c>
      <c r="E30" s="299" t="s">
        <v>810</v>
      </c>
      <c r="F30" s="643" t="s">
        <v>655</v>
      </c>
      <c r="G30" s="299" t="s">
        <v>656</v>
      </c>
      <c r="H30" s="647" t="s">
        <v>18</v>
      </c>
      <c r="I30" s="648">
        <v>15</v>
      </c>
      <c r="J30" s="654">
        <v>574074.06999999995</v>
      </c>
      <c r="K30" s="656">
        <v>8611111.0499999989</v>
      </c>
      <c r="L30" s="301">
        <v>688888.88399999996</v>
      </c>
      <c r="M30" s="301">
        <v>9299999.9339999985</v>
      </c>
    </row>
    <row r="31" spans="1:13">
      <c r="A31" s="625" t="s">
        <v>792</v>
      </c>
      <c r="B31" s="307" t="s">
        <v>714</v>
      </c>
      <c r="C31" s="446">
        <v>46269</v>
      </c>
      <c r="D31" s="299" t="s">
        <v>1054</v>
      </c>
      <c r="E31" s="299" t="s">
        <v>810</v>
      </c>
      <c r="F31" s="643" t="s">
        <v>103</v>
      </c>
      <c r="G31" s="299" t="s">
        <v>104</v>
      </c>
      <c r="H31" s="647" t="s">
        <v>18</v>
      </c>
      <c r="I31" s="648">
        <v>6</v>
      </c>
      <c r="J31" s="654">
        <v>937962.96</v>
      </c>
      <c r="K31" s="656">
        <v>5627777.7599999998</v>
      </c>
      <c r="L31" s="301">
        <v>450222.22080000001</v>
      </c>
      <c r="M31" s="301">
        <v>6077999.9808</v>
      </c>
    </row>
    <row r="32" spans="1:13">
      <c r="A32" s="625" t="s">
        <v>792</v>
      </c>
      <c r="B32" s="307" t="s">
        <v>714</v>
      </c>
      <c r="C32" s="446">
        <v>46269</v>
      </c>
      <c r="D32" s="299" t="s">
        <v>1054</v>
      </c>
      <c r="E32" s="299" t="s">
        <v>810</v>
      </c>
      <c r="F32" s="643" t="s">
        <v>56</v>
      </c>
      <c r="G32" s="299" t="s">
        <v>57</v>
      </c>
      <c r="H32" s="647" t="s">
        <v>18</v>
      </c>
      <c r="I32" s="648">
        <v>12</v>
      </c>
      <c r="J32" s="654">
        <v>325925.93</v>
      </c>
      <c r="K32" s="656">
        <v>3911111.16</v>
      </c>
      <c r="L32" s="301">
        <v>312888.89280000003</v>
      </c>
      <c r="M32" s="301">
        <v>4224000.0527999997</v>
      </c>
    </row>
    <row r="33" spans="1:13">
      <c r="A33" s="625" t="s">
        <v>792</v>
      </c>
      <c r="B33" s="307" t="s">
        <v>714</v>
      </c>
      <c r="C33" s="446">
        <v>46269</v>
      </c>
      <c r="D33" s="299" t="s">
        <v>1054</v>
      </c>
      <c r="E33" s="299" t="s">
        <v>810</v>
      </c>
      <c r="F33" s="643" t="s">
        <v>93</v>
      </c>
      <c r="G33" s="299" t="s">
        <v>94</v>
      </c>
      <c r="H33" s="647" t="s">
        <v>18</v>
      </c>
      <c r="I33" s="648">
        <v>4</v>
      </c>
      <c r="J33" s="654">
        <v>907407.41</v>
      </c>
      <c r="K33" s="656">
        <v>3629629.64</v>
      </c>
      <c r="L33" s="301">
        <v>290370.37119999999</v>
      </c>
      <c r="M33" s="301">
        <v>3920000.0112000001</v>
      </c>
    </row>
    <row r="34" spans="1:13">
      <c r="A34" s="625" t="s">
        <v>792</v>
      </c>
      <c r="B34" s="307" t="s">
        <v>714</v>
      </c>
      <c r="C34" s="446">
        <v>46269</v>
      </c>
      <c r="D34" s="299" t="s">
        <v>1054</v>
      </c>
      <c r="E34" s="302" t="s">
        <v>689</v>
      </c>
      <c r="F34" s="643" t="s">
        <v>639</v>
      </c>
      <c r="G34" s="299" t="s">
        <v>640</v>
      </c>
      <c r="H34" s="647" t="s">
        <v>18</v>
      </c>
      <c r="I34" s="648">
        <v>1</v>
      </c>
      <c r="J34" s="654">
        <v>0</v>
      </c>
      <c r="K34" s="656">
        <v>0</v>
      </c>
      <c r="L34" s="301">
        <v>0</v>
      </c>
      <c r="M34" s="301">
        <v>0</v>
      </c>
    </row>
    <row r="35" spans="1:13">
      <c r="A35" s="625" t="s">
        <v>792</v>
      </c>
      <c r="B35" s="307" t="s">
        <v>714</v>
      </c>
      <c r="C35" s="446">
        <v>46269</v>
      </c>
      <c r="D35" s="299" t="s">
        <v>1054</v>
      </c>
      <c r="E35" s="302" t="s">
        <v>689</v>
      </c>
      <c r="F35" s="643" t="s">
        <v>641</v>
      </c>
      <c r="G35" s="299" t="s">
        <v>657</v>
      </c>
      <c r="H35" s="647" t="s">
        <v>18</v>
      </c>
      <c r="I35" s="648">
        <v>2</v>
      </c>
      <c r="J35" s="654">
        <v>0</v>
      </c>
      <c r="K35" s="656">
        <v>0</v>
      </c>
      <c r="L35" s="301">
        <v>0</v>
      </c>
      <c r="M35" s="301">
        <v>0</v>
      </c>
    </row>
    <row r="36" spans="1:13">
      <c r="A36" s="625" t="s">
        <v>792</v>
      </c>
      <c r="B36" s="307" t="s">
        <v>714</v>
      </c>
      <c r="C36" s="446">
        <v>46269</v>
      </c>
      <c r="D36" s="299" t="s">
        <v>1054</v>
      </c>
      <c r="E36" s="302" t="s">
        <v>689</v>
      </c>
      <c r="F36" s="643" t="s">
        <v>643</v>
      </c>
      <c r="G36" s="299" t="s">
        <v>644</v>
      </c>
      <c r="H36" s="647" t="s">
        <v>18</v>
      </c>
      <c r="I36" s="648">
        <v>1</v>
      </c>
      <c r="J36" s="654">
        <v>0</v>
      </c>
      <c r="K36" s="656">
        <v>0</v>
      </c>
      <c r="L36" s="301">
        <v>0</v>
      </c>
      <c r="M36" s="301">
        <v>0</v>
      </c>
    </row>
    <row r="37" spans="1:13">
      <c r="A37" s="625" t="s">
        <v>792</v>
      </c>
      <c r="B37" s="307" t="s">
        <v>714</v>
      </c>
      <c r="C37" s="446">
        <v>46269</v>
      </c>
      <c r="D37" s="299" t="s">
        <v>1054</v>
      </c>
      <c r="E37" s="302" t="s">
        <v>689</v>
      </c>
      <c r="F37" s="643" t="s">
        <v>645</v>
      </c>
      <c r="G37" s="299" t="s">
        <v>646</v>
      </c>
      <c r="H37" s="647" t="s">
        <v>18</v>
      </c>
      <c r="I37" s="648">
        <v>2</v>
      </c>
      <c r="J37" s="654">
        <v>0</v>
      </c>
      <c r="K37" s="656">
        <v>0</v>
      </c>
      <c r="L37" s="301">
        <v>0</v>
      </c>
      <c r="M37" s="301">
        <v>0</v>
      </c>
    </row>
    <row r="38" spans="1:13">
      <c r="A38" s="625" t="s">
        <v>792</v>
      </c>
      <c r="B38" s="307" t="s">
        <v>714</v>
      </c>
      <c r="C38" s="446">
        <v>46269</v>
      </c>
      <c r="D38" s="299" t="s">
        <v>1054</v>
      </c>
      <c r="E38" s="302" t="s">
        <v>689</v>
      </c>
      <c r="F38" s="643" t="s">
        <v>653</v>
      </c>
      <c r="G38" s="299" t="s">
        <v>654</v>
      </c>
      <c r="H38" s="647" t="s">
        <v>18</v>
      </c>
      <c r="I38" s="648">
        <v>1</v>
      </c>
      <c r="J38" s="654">
        <v>0</v>
      </c>
      <c r="K38" s="656">
        <v>0</v>
      </c>
      <c r="L38" s="301">
        <v>0</v>
      </c>
      <c r="M38" s="301">
        <v>0</v>
      </c>
    </row>
    <row r="39" spans="1:13">
      <c r="A39" s="625" t="s">
        <v>792</v>
      </c>
      <c r="B39" s="307" t="s">
        <v>714</v>
      </c>
      <c r="C39" s="446">
        <v>46269</v>
      </c>
      <c r="D39" s="299" t="s">
        <v>1054</v>
      </c>
      <c r="E39" s="302" t="s">
        <v>689</v>
      </c>
      <c r="F39" s="643" t="s">
        <v>655</v>
      </c>
      <c r="G39" s="299" t="s">
        <v>656</v>
      </c>
      <c r="H39" s="647" t="s">
        <v>18</v>
      </c>
      <c r="I39" s="648">
        <v>1</v>
      </c>
      <c r="J39" s="654">
        <v>0</v>
      </c>
      <c r="K39" s="656">
        <v>0</v>
      </c>
      <c r="L39" s="301">
        <v>0</v>
      </c>
      <c r="M39" s="301">
        <v>0</v>
      </c>
    </row>
    <row r="40" spans="1:13">
      <c r="A40" s="625" t="s">
        <v>792</v>
      </c>
      <c r="B40" s="307" t="s">
        <v>714</v>
      </c>
      <c r="C40" s="446">
        <v>46269</v>
      </c>
      <c r="D40" s="299" t="s">
        <v>1054</v>
      </c>
      <c r="E40" s="295"/>
      <c r="F40" s="643" t="s">
        <v>56</v>
      </c>
      <c r="G40" s="299" t="s">
        <v>57</v>
      </c>
      <c r="H40" s="647" t="s">
        <v>18</v>
      </c>
      <c r="I40" s="648">
        <v>1</v>
      </c>
      <c r="J40" s="654">
        <v>0</v>
      </c>
      <c r="K40" s="656">
        <v>0</v>
      </c>
      <c r="L40" s="301">
        <v>0</v>
      </c>
      <c r="M40" s="301">
        <v>0</v>
      </c>
    </row>
    <row r="41" spans="1:13" ht="29.25">
      <c r="A41" s="625" t="s">
        <v>792</v>
      </c>
      <c r="B41" s="307" t="s">
        <v>714</v>
      </c>
      <c r="C41" s="446">
        <v>46269</v>
      </c>
      <c r="D41" s="299" t="s">
        <v>1054</v>
      </c>
      <c r="E41" s="302" t="s">
        <v>690</v>
      </c>
      <c r="F41" s="643" t="s">
        <v>959</v>
      </c>
      <c r="G41" s="299" t="s">
        <v>960</v>
      </c>
      <c r="H41" s="647" t="s">
        <v>18</v>
      </c>
      <c r="I41" s="648">
        <v>6</v>
      </c>
      <c r="J41" s="654">
        <v>0</v>
      </c>
      <c r="K41" s="656">
        <v>0</v>
      </c>
      <c r="L41" s="301">
        <v>0</v>
      </c>
      <c r="M41" s="301">
        <v>0</v>
      </c>
    </row>
    <row r="42" spans="1:13">
      <c r="A42" s="296" t="s">
        <v>761</v>
      </c>
      <c r="B42" s="306" t="s">
        <v>695</v>
      </c>
      <c r="C42" s="446">
        <v>46269</v>
      </c>
      <c r="D42" s="299" t="s">
        <v>1055</v>
      </c>
      <c r="E42" s="299" t="s">
        <v>817</v>
      </c>
      <c r="F42" s="643" t="s">
        <v>262</v>
      </c>
      <c r="G42" s="299" t="s">
        <v>435</v>
      </c>
      <c r="H42" s="647" t="s">
        <v>18</v>
      </c>
      <c r="I42" s="648">
        <v>10</v>
      </c>
      <c r="J42" s="654">
        <v>851851.85</v>
      </c>
      <c r="K42" s="656">
        <v>8518518.5</v>
      </c>
      <c r="L42" s="301">
        <v>681481.48</v>
      </c>
      <c r="M42" s="301">
        <v>9199999.9800000004</v>
      </c>
    </row>
    <row r="43" spans="1:13">
      <c r="A43" s="296" t="s">
        <v>711</v>
      </c>
      <c r="B43" s="307" t="s">
        <v>715</v>
      </c>
      <c r="C43" s="446">
        <v>46270</v>
      </c>
      <c r="D43" s="299" t="s">
        <v>1058</v>
      </c>
      <c r="E43" s="299" t="s">
        <v>813</v>
      </c>
      <c r="F43" s="643" t="s">
        <v>46</v>
      </c>
      <c r="G43" s="299" t="s">
        <v>47</v>
      </c>
      <c r="H43" s="647" t="s">
        <v>18</v>
      </c>
      <c r="I43" s="648">
        <v>4</v>
      </c>
      <c r="J43" s="654">
        <v>240740.74</v>
      </c>
      <c r="K43" s="656">
        <v>962962.96</v>
      </c>
      <c r="L43" s="301">
        <v>77037.036800000002</v>
      </c>
      <c r="M43" s="301">
        <v>1039999.9968</v>
      </c>
    </row>
    <row r="44" spans="1:13">
      <c r="A44" s="296" t="s">
        <v>711</v>
      </c>
      <c r="B44" s="307" t="s">
        <v>715</v>
      </c>
      <c r="C44" s="446">
        <v>46270</v>
      </c>
      <c r="D44" s="299" t="s">
        <v>1058</v>
      </c>
      <c r="E44" s="299" t="s">
        <v>813</v>
      </c>
      <c r="F44" s="643" t="s">
        <v>119</v>
      </c>
      <c r="G44" s="299" t="s">
        <v>191</v>
      </c>
      <c r="H44" s="647" t="s">
        <v>18</v>
      </c>
      <c r="I44" s="648">
        <v>4</v>
      </c>
      <c r="J44" s="654">
        <v>574074.06999999995</v>
      </c>
      <c r="K44" s="656">
        <v>2296296.2799999998</v>
      </c>
      <c r="L44" s="301">
        <v>183703.70239999998</v>
      </c>
      <c r="M44" s="301">
        <v>2479999.9823999996</v>
      </c>
    </row>
    <row r="45" spans="1:13">
      <c r="A45" s="296" t="s">
        <v>711</v>
      </c>
      <c r="B45" s="307" t="s">
        <v>715</v>
      </c>
      <c r="C45" s="446">
        <v>46270</v>
      </c>
      <c r="D45" s="299" t="s">
        <v>1058</v>
      </c>
      <c r="E45" s="299" t="s">
        <v>813</v>
      </c>
      <c r="F45" s="643" t="s">
        <v>42</v>
      </c>
      <c r="G45" s="299" t="s">
        <v>43</v>
      </c>
      <c r="H45" s="647" t="s">
        <v>18</v>
      </c>
      <c r="I45" s="648">
        <v>4</v>
      </c>
      <c r="J45" s="654">
        <v>527777.78</v>
      </c>
      <c r="K45" s="656">
        <v>2111111.12</v>
      </c>
      <c r="L45" s="301">
        <v>168888.88960000002</v>
      </c>
      <c r="M45" s="301">
        <v>2280000.0096</v>
      </c>
    </row>
    <row r="46" spans="1:13">
      <c r="A46" s="296" t="s">
        <v>711</v>
      </c>
      <c r="B46" s="307" t="s">
        <v>715</v>
      </c>
      <c r="C46" s="446">
        <v>46270</v>
      </c>
      <c r="D46" s="299" t="s">
        <v>1058</v>
      </c>
      <c r="E46" s="299" t="s">
        <v>813</v>
      </c>
      <c r="F46" s="643" t="s">
        <v>44</v>
      </c>
      <c r="G46" s="299" t="s">
        <v>45</v>
      </c>
      <c r="H46" s="647" t="s">
        <v>18</v>
      </c>
      <c r="I46" s="648">
        <v>4</v>
      </c>
      <c r="J46" s="654">
        <v>537037.04</v>
      </c>
      <c r="K46" s="656">
        <v>2148148.16</v>
      </c>
      <c r="L46" s="301">
        <v>171851.85280000002</v>
      </c>
      <c r="M46" s="301">
        <v>2320000.0128000001</v>
      </c>
    </row>
    <row r="47" spans="1:13">
      <c r="A47" s="296" t="s">
        <v>711</v>
      </c>
      <c r="B47" s="307" t="s">
        <v>715</v>
      </c>
      <c r="C47" s="446">
        <v>46270</v>
      </c>
      <c r="D47" s="299" t="s">
        <v>1058</v>
      </c>
      <c r="E47" s="299" t="s">
        <v>813</v>
      </c>
      <c r="F47" s="643" t="s">
        <v>148</v>
      </c>
      <c r="G47" s="299" t="s">
        <v>149</v>
      </c>
      <c r="H47" s="647" t="s">
        <v>18</v>
      </c>
      <c r="I47" s="648">
        <v>12</v>
      </c>
      <c r="J47" s="654">
        <v>296296.3</v>
      </c>
      <c r="K47" s="656">
        <v>3555555.5999999996</v>
      </c>
      <c r="L47" s="301">
        <v>284444.44799999997</v>
      </c>
      <c r="M47" s="301">
        <v>3840000.0479999995</v>
      </c>
    </row>
    <row r="48" spans="1:13">
      <c r="A48" s="296" t="s">
        <v>711</v>
      </c>
      <c r="B48" s="307" t="s">
        <v>715</v>
      </c>
      <c r="C48" s="446">
        <v>46270</v>
      </c>
      <c r="D48" s="299" t="s">
        <v>1058</v>
      </c>
      <c r="E48" s="299" t="s">
        <v>813</v>
      </c>
      <c r="F48" s="643" t="s">
        <v>192</v>
      </c>
      <c r="G48" s="299" t="s">
        <v>193</v>
      </c>
      <c r="H48" s="647" t="s">
        <v>18</v>
      </c>
      <c r="I48" s="648">
        <v>16</v>
      </c>
      <c r="J48" s="654">
        <v>333333.33</v>
      </c>
      <c r="K48" s="656">
        <v>5333333.28</v>
      </c>
      <c r="L48" s="301">
        <v>426666.66240000003</v>
      </c>
      <c r="M48" s="301">
        <v>5759999.9424000001</v>
      </c>
    </row>
    <row r="49" spans="1:13">
      <c r="A49" s="296" t="s">
        <v>711</v>
      </c>
      <c r="B49" s="307" t="s">
        <v>715</v>
      </c>
      <c r="C49" s="446">
        <v>46270</v>
      </c>
      <c r="D49" s="299" t="s">
        <v>1058</v>
      </c>
      <c r="E49" s="299" t="s">
        <v>813</v>
      </c>
      <c r="F49" s="643" t="s">
        <v>260</v>
      </c>
      <c r="G49" s="299" t="s">
        <v>261</v>
      </c>
      <c r="H49" s="647" t="s">
        <v>18</v>
      </c>
      <c r="I49" s="648">
        <v>8</v>
      </c>
      <c r="J49" s="654">
        <v>407407.41</v>
      </c>
      <c r="K49" s="656">
        <v>3259259.28</v>
      </c>
      <c r="L49" s="301">
        <v>260740.74239999999</v>
      </c>
      <c r="M49" s="301">
        <v>3520000.0223999997</v>
      </c>
    </row>
    <row r="50" spans="1:13">
      <c r="A50" s="296" t="s">
        <v>756</v>
      </c>
      <c r="B50" s="307" t="s">
        <v>759</v>
      </c>
      <c r="C50" s="446">
        <v>46273</v>
      </c>
      <c r="D50" s="299" t="s">
        <v>1064</v>
      </c>
      <c r="E50" s="299" t="s">
        <v>758</v>
      </c>
      <c r="F50" s="643" t="s">
        <v>52</v>
      </c>
      <c r="G50" s="299" t="s">
        <v>53</v>
      </c>
      <c r="H50" s="647" t="s">
        <v>18</v>
      </c>
      <c r="I50" s="648">
        <v>3</v>
      </c>
      <c r="J50" s="654">
        <v>1007407.41</v>
      </c>
      <c r="K50" s="656">
        <v>3022222.23</v>
      </c>
      <c r="L50" s="301"/>
      <c r="M50" s="301"/>
    </row>
    <row r="51" spans="1:13">
      <c r="A51" s="296" t="s">
        <v>756</v>
      </c>
      <c r="B51" s="307" t="s">
        <v>759</v>
      </c>
      <c r="C51" s="446">
        <v>46273</v>
      </c>
      <c r="D51" s="299" t="s">
        <v>1064</v>
      </c>
      <c r="E51" s="299" t="s">
        <v>758</v>
      </c>
      <c r="F51" s="643" t="s">
        <v>90</v>
      </c>
      <c r="G51" s="299" t="s">
        <v>91</v>
      </c>
      <c r="H51" s="647" t="s">
        <v>18</v>
      </c>
      <c r="I51" s="648">
        <v>2</v>
      </c>
      <c r="J51" s="654">
        <v>907407.4</v>
      </c>
      <c r="K51" s="656">
        <v>1814814.8</v>
      </c>
      <c r="L51" s="301"/>
      <c r="M51" s="301"/>
    </row>
    <row r="52" spans="1:13" ht="29.25">
      <c r="A52" s="296" t="s">
        <v>756</v>
      </c>
      <c r="B52" s="307" t="s">
        <v>759</v>
      </c>
      <c r="C52" s="446">
        <v>46273</v>
      </c>
      <c r="D52" s="299" t="s">
        <v>1064</v>
      </c>
      <c r="E52" s="302" t="s">
        <v>690</v>
      </c>
      <c r="F52" s="643" t="s">
        <v>959</v>
      </c>
      <c r="G52" s="299" t="s">
        <v>960</v>
      </c>
      <c r="H52" s="647" t="s">
        <v>18</v>
      </c>
      <c r="I52" s="648">
        <v>3</v>
      </c>
      <c r="J52" s="654">
        <v>0</v>
      </c>
      <c r="K52" s="656">
        <v>0</v>
      </c>
      <c r="L52" s="301"/>
      <c r="M52" s="301"/>
    </row>
    <row r="53" spans="1:13">
      <c r="A53" s="296" t="s">
        <v>711</v>
      </c>
      <c r="B53" s="307" t="s">
        <v>715</v>
      </c>
      <c r="C53" s="446">
        <v>46273</v>
      </c>
      <c r="D53" s="299" t="s">
        <v>1065</v>
      </c>
      <c r="E53" s="299" t="s">
        <v>813</v>
      </c>
      <c r="F53" s="643" t="s">
        <v>157</v>
      </c>
      <c r="G53" s="299" t="s">
        <v>158</v>
      </c>
      <c r="H53" s="647" t="s">
        <v>18</v>
      </c>
      <c r="I53" s="648">
        <v>4</v>
      </c>
      <c r="J53" s="654">
        <v>342592.59</v>
      </c>
      <c r="K53" s="656">
        <v>1370370.36</v>
      </c>
      <c r="L53" s="301">
        <v>109629.62880000001</v>
      </c>
      <c r="M53" s="301">
        <v>1479999.9888000002</v>
      </c>
    </row>
    <row r="54" spans="1:13">
      <c r="A54" s="296" t="s">
        <v>711</v>
      </c>
      <c r="B54" s="307" t="s">
        <v>715</v>
      </c>
      <c r="C54" s="446">
        <v>46273</v>
      </c>
      <c r="D54" s="299" t="s">
        <v>1065</v>
      </c>
      <c r="E54" s="299" t="s">
        <v>813</v>
      </c>
      <c r="F54" s="643" t="s">
        <v>119</v>
      </c>
      <c r="G54" s="299" t="s">
        <v>191</v>
      </c>
      <c r="H54" s="647" t="s">
        <v>18</v>
      </c>
      <c r="I54" s="648">
        <v>4</v>
      </c>
      <c r="J54" s="654">
        <v>574074.06999999995</v>
      </c>
      <c r="K54" s="656">
        <v>2296296.2799999998</v>
      </c>
      <c r="L54" s="301">
        <v>183703.70239999998</v>
      </c>
      <c r="M54" s="301">
        <v>2479999.9823999996</v>
      </c>
    </row>
    <row r="55" spans="1:13">
      <c r="A55" s="296" t="s">
        <v>711</v>
      </c>
      <c r="B55" s="307" t="s">
        <v>715</v>
      </c>
      <c r="C55" s="446">
        <v>46273</v>
      </c>
      <c r="D55" s="299" t="s">
        <v>1065</v>
      </c>
      <c r="E55" s="299" t="s">
        <v>813</v>
      </c>
      <c r="F55" s="643" t="s">
        <v>148</v>
      </c>
      <c r="G55" s="299" t="s">
        <v>149</v>
      </c>
      <c r="H55" s="647" t="s">
        <v>18</v>
      </c>
      <c r="I55" s="648">
        <v>4</v>
      </c>
      <c r="J55" s="654">
        <v>296296.3</v>
      </c>
      <c r="K55" s="656">
        <v>1185185.2</v>
      </c>
      <c r="L55" s="301">
        <v>94814.815999999992</v>
      </c>
      <c r="M55" s="301">
        <v>1280000.0159999998</v>
      </c>
    </row>
    <row r="56" spans="1:13">
      <c r="A56" s="296" t="s">
        <v>711</v>
      </c>
      <c r="B56" s="307" t="s">
        <v>715</v>
      </c>
      <c r="C56" s="446">
        <v>46273</v>
      </c>
      <c r="D56" s="299" t="s">
        <v>1065</v>
      </c>
      <c r="E56" s="299" t="s">
        <v>813</v>
      </c>
      <c r="F56" s="643" t="s">
        <v>192</v>
      </c>
      <c r="G56" s="299" t="s">
        <v>193</v>
      </c>
      <c r="H56" s="647" t="s">
        <v>18</v>
      </c>
      <c r="I56" s="648">
        <v>4</v>
      </c>
      <c r="J56" s="654">
        <v>333333.33</v>
      </c>
      <c r="K56" s="656">
        <v>1333333.32</v>
      </c>
      <c r="L56" s="301">
        <v>106666.66560000001</v>
      </c>
      <c r="M56" s="301">
        <v>1439999.9856</v>
      </c>
    </row>
    <row r="57" spans="1:13">
      <c r="A57" s="296" t="s">
        <v>711</v>
      </c>
      <c r="B57" s="307" t="s">
        <v>715</v>
      </c>
      <c r="C57" s="446">
        <v>46273</v>
      </c>
      <c r="D57" s="299" t="s">
        <v>1065</v>
      </c>
      <c r="E57" s="299" t="s">
        <v>813</v>
      </c>
      <c r="F57" s="643" t="s">
        <v>194</v>
      </c>
      <c r="G57" s="299" t="s">
        <v>720</v>
      </c>
      <c r="H57" s="647" t="s">
        <v>18</v>
      </c>
      <c r="I57" s="648">
        <v>3</v>
      </c>
      <c r="J57" s="654">
        <v>1203703.7</v>
      </c>
      <c r="K57" s="656">
        <v>3611111.0999999996</v>
      </c>
      <c r="L57" s="301">
        <v>288888.88799999998</v>
      </c>
      <c r="M57" s="301">
        <v>3899999.9879999994</v>
      </c>
    </row>
    <row r="58" spans="1:13">
      <c r="A58" s="631" t="s">
        <v>974</v>
      </c>
      <c r="B58" s="449" t="s">
        <v>1066</v>
      </c>
      <c r="C58" s="446">
        <v>46273</v>
      </c>
      <c r="D58" s="299" t="s">
        <v>1067</v>
      </c>
      <c r="E58" s="295" t="s">
        <v>1068</v>
      </c>
      <c r="F58" s="643" t="s">
        <v>157</v>
      </c>
      <c r="G58" s="659" t="s">
        <v>158</v>
      </c>
      <c r="H58" s="317" t="s">
        <v>18</v>
      </c>
      <c r="I58" s="665">
        <v>2</v>
      </c>
      <c r="J58" s="666">
        <v>342592.59</v>
      </c>
      <c r="K58" s="667">
        <v>685185.18</v>
      </c>
      <c r="L58" s="658">
        <v>54814.814400000003</v>
      </c>
      <c r="M58" s="654">
        <v>739999.99440000008</v>
      </c>
    </row>
    <row r="59" spans="1:13">
      <c r="A59" s="631" t="s">
        <v>974</v>
      </c>
      <c r="B59" s="449" t="s">
        <v>1066</v>
      </c>
      <c r="C59" s="446">
        <v>46273</v>
      </c>
      <c r="D59" s="299" t="s">
        <v>1067</v>
      </c>
      <c r="E59" s="295" t="s">
        <v>1068</v>
      </c>
      <c r="F59" s="643" t="s">
        <v>180</v>
      </c>
      <c r="G59" s="659" t="s">
        <v>181</v>
      </c>
      <c r="H59" s="317" t="s">
        <v>18</v>
      </c>
      <c r="I59" s="665">
        <v>2</v>
      </c>
      <c r="J59" s="666">
        <v>273148.15000000002</v>
      </c>
      <c r="K59" s="667">
        <v>546296.30000000005</v>
      </c>
      <c r="L59" s="658">
        <v>43703.704000000005</v>
      </c>
      <c r="M59" s="654">
        <v>590000.00400000007</v>
      </c>
    </row>
    <row r="60" spans="1:13">
      <c r="A60" s="631" t="s">
        <v>974</v>
      </c>
      <c r="B60" s="449" t="s">
        <v>1066</v>
      </c>
      <c r="C60" s="446">
        <v>46273</v>
      </c>
      <c r="D60" s="299" t="s">
        <v>1067</v>
      </c>
      <c r="E60" s="295" t="s">
        <v>1068</v>
      </c>
      <c r="F60" s="643" t="s">
        <v>26</v>
      </c>
      <c r="G60" s="325" t="s">
        <v>27</v>
      </c>
      <c r="H60" s="317" t="s">
        <v>18</v>
      </c>
      <c r="I60" s="665">
        <v>2</v>
      </c>
      <c r="J60" s="666">
        <v>296296.3</v>
      </c>
      <c r="K60" s="667">
        <v>592592.6</v>
      </c>
      <c r="L60" s="658">
        <v>47407.407999999996</v>
      </c>
      <c r="M60" s="654">
        <v>640000.00799999991</v>
      </c>
    </row>
    <row r="61" spans="1:13" ht="29.25">
      <c r="A61" s="294"/>
      <c r="B61" s="307" t="s">
        <v>961</v>
      </c>
      <c r="C61" s="446">
        <v>46274</v>
      </c>
      <c r="D61" s="442" t="s">
        <v>1090</v>
      </c>
      <c r="E61" s="295" t="s">
        <v>963</v>
      </c>
      <c r="F61" s="643" t="s">
        <v>959</v>
      </c>
      <c r="G61" s="299" t="s">
        <v>960</v>
      </c>
      <c r="H61" s="643" t="s">
        <v>18</v>
      </c>
      <c r="I61" s="635">
        <v>2</v>
      </c>
      <c r="J61" s="656">
        <v>111111.11</v>
      </c>
      <c r="K61" s="656">
        <v>222222.22</v>
      </c>
      <c r="L61" s="301">
        <v>17777.777600000001</v>
      </c>
      <c r="M61" s="301">
        <v>239999.9976</v>
      </c>
    </row>
    <row r="62" spans="1:13">
      <c r="A62" s="296" t="s">
        <v>1004</v>
      </c>
      <c r="B62" s="306" t="s">
        <v>693</v>
      </c>
      <c r="C62" s="446">
        <v>46275</v>
      </c>
      <c r="D62" s="442" t="s">
        <v>1114</v>
      </c>
      <c r="E62" s="302" t="s">
        <v>814</v>
      </c>
      <c r="F62" s="687" t="s">
        <v>50</v>
      </c>
      <c r="G62" s="387" t="s">
        <v>51</v>
      </c>
      <c r="H62" s="687" t="s">
        <v>18</v>
      </c>
      <c r="I62" s="635">
        <v>32</v>
      </c>
      <c r="J62" s="612">
        <v>937962.96</v>
      </c>
      <c r="K62" s="656">
        <v>30014814.719999999</v>
      </c>
      <c r="L62" s="301">
        <v>2401185.1776000001</v>
      </c>
      <c r="M62" s="301">
        <v>32415999.897599999</v>
      </c>
    </row>
    <row r="63" spans="1:13">
      <c r="A63" s="296" t="s">
        <v>1004</v>
      </c>
      <c r="B63" s="306" t="s">
        <v>693</v>
      </c>
      <c r="C63" s="446">
        <v>46275</v>
      </c>
      <c r="D63" s="442" t="s">
        <v>1114</v>
      </c>
      <c r="E63" s="302" t="s">
        <v>814</v>
      </c>
      <c r="F63" s="687" t="s">
        <v>103</v>
      </c>
      <c r="G63" s="387" t="s">
        <v>104</v>
      </c>
      <c r="H63" s="687" t="s">
        <v>18</v>
      </c>
      <c r="I63" s="635">
        <v>60</v>
      </c>
      <c r="J63" s="612">
        <v>675925.93</v>
      </c>
      <c r="K63" s="656">
        <v>40555555.800000004</v>
      </c>
      <c r="L63" s="301">
        <v>3244444.4640000006</v>
      </c>
      <c r="M63" s="301">
        <v>43800000.264000006</v>
      </c>
    </row>
    <row r="64" spans="1:13">
      <c r="A64" s="296" t="s">
        <v>1004</v>
      </c>
      <c r="B64" s="306" t="s">
        <v>693</v>
      </c>
      <c r="C64" s="446">
        <v>46275</v>
      </c>
      <c r="D64" s="442" t="s">
        <v>1114</v>
      </c>
      <c r="E64" s="302" t="s">
        <v>814</v>
      </c>
      <c r="F64" s="687" t="s">
        <v>48</v>
      </c>
      <c r="G64" s="387" t="s">
        <v>49</v>
      </c>
      <c r="H64" s="687" t="s">
        <v>18</v>
      </c>
      <c r="I64" s="635">
        <v>30</v>
      </c>
      <c r="J64" s="612">
        <v>601851.85</v>
      </c>
      <c r="K64" s="656">
        <v>18055555.5</v>
      </c>
      <c r="L64" s="301">
        <v>1444444.44</v>
      </c>
      <c r="M64" s="301">
        <v>19499999.940000001</v>
      </c>
    </row>
    <row r="65" spans="1:13">
      <c r="A65" s="296" t="s">
        <v>1004</v>
      </c>
      <c r="B65" s="306" t="s">
        <v>693</v>
      </c>
      <c r="C65" s="446">
        <v>46275</v>
      </c>
      <c r="D65" s="442" t="s">
        <v>1114</v>
      </c>
      <c r="E65" s="302" t="s">
        <v>1120</v>
      </c>
      <c r="F65" s="687" t="s">
        <v>107</v>
      </c>
      <c r="G65" s="387" t="s">
        <v>108</v>
      </c>
      <c r="H65" s="687" t="s">
        <v>18</v>
      </c>
      <c r="I65" s="635">
        <v>8</v>
      </c>
      <c r="J65" s="612">
        <v>0</v>
      </c>
      <c r="K65" s="656">
        <v>0</v>
      </c>
      <c r="L65" s="301">
        <v>0</v>
      </c>
      <c r="M65" s="301">
        <v>0</v>
      </c>
    </row>
    <row r="66" spans="1:13">
      <c r="A66" s="296" t="s">
        <v>1004</v>
      </c>
      <c r="B66" s="306" t="s">
        <v>693</v>
      </c>
      <c r="C66" s="446">
        <v>46275</v>
      </c>
      <c r="D66" s="442" t="s">
        <v>1114</v>
      </c>
      <c r="E66" s="302" t="s">
        <v>862</v>
      </c>
      <c r="F66" s="687" t="s">
        <v>959</v>
      </c>
      <c r="G66" s="387" t="s">
        <v>960</v>
      </c>
      <c r="H66" s="687" t="s">
        <v>18</v>
      </c>
      <c r="I66" s="635">
        <v>122</v>
      </c>
      <c r="J66" s="612">
        <v>0</v>
      </c>
      <c r="K66" s="656">
        <v>0</v>
      </c>
      <c r="L66" s="301">
        <v>0</v>
      </c>
      <c r="M66" s="301">
        <v>0</v>
      </c>
    </row>
    <row r="67" spans="1:13">
      <c r="A67" s="296" t="s">
        <v>802</v>
      </c>
      <c r="B67" s="306" t="s">
        <v>806</v>
      </c>
      <c r="C67" s="446">
        <v>46276</v>
      </c>
      <c r="D67" s="442" t="s">
        <v>1115</v>
      </c>
      <c r="E67" s="302" t="s">
        <v>807</v>
      </c>
      <c r="F67" s="687" t="s">
        <v>90</v>
      </c>
      <c r="G67" s="387" t="s">
        <v>91</v>
      </c>
      <c r="H67" s="687" t="s">
        <v>18</v>
      </c>
      <c r="I67" s="635">
        <v>2</v>
      </c>
      <c r="J67" s="612">
        <v>907407.41</v>
      </c>
      <c r="K67" s="656">
        <v>1814814.82</v>
      </c>
      <c r="L67" s="301">
        <v>145185.1856</v>
      </c>
      <c r="M67" s="301">
        <v>1960000.0056</v>
      </c>
    </row>
    <row r="68" spans="1:13">
      <c r="A68" s="296" t="s">
        <v>965</v>
      </c>
      <c r="B68" s="306" t="s">
        <v>1117</v>
      </c>
      <c r="C68" s="446">
        <v>46275</v>
      </c>
      <c r="D68" s="442" t="s">
        <v>1116</v>
      </c>
      <c r="E68" s="302" t="s">
        <v>1118</v>
      </c>
      <c r="F68" s="687" t="s">
        <v>90</v>
      </c>
      <c r="G68" s="387" t="s">
        <v>91</v>
      </c>
      <c r="H68" s="687" t="s">
        <v>18</v>
      </c>
      <c r="I68" s="635">
        <v>2</v>
      </c>
      <c r="J68" s="612">
        <v>907407.41</v>
      </c>
      <c r="K68" s="656">
        <v>1814814.82</v>
      </c>
      <c r="L68" s="301">
        <v>145185.1856</v>
      </c>
      <c r="M68" s="301">
        <v>1960000.0056</v>
      </c>
    </row>
    <row r="69" spans="1:13">
      <c r="A69" s="296" t="s">
        <v>965</v>
      </c>
      <c r="B69" s="306" t="s">
        <v>1117</v>
      </c>
      <c r="C69" s="446">
        <v>46275</v>
      </c>
      <c r="D69" s="442" t="s">
        <v>1116</v>
      </c>
      <c r="E69" s="302" t="s">
        <v>1118</v>
      </c>
      <c r="F69" s="687" t="s">
        <v>647</v>
      </c>
      <c r="G69" s="387" t="s">
        <v>648</v>
      </c>
      <c r="H69" s="687" t="s">
        <v>18</v>
      </c>
      <c r="I69" s="635">
        <v>1</v>
      </c>
      <c r="J69" s="612">
        <v>907407.41</v>
      </c>
      <c r="K69" s="656">
        <v>907407.41</v>
      </c>
      <c r="L69" s="301">
        <v>72592.592799999999</v>
      </c>
      <c r="M69" s="301">
        <v>980000.00280000002</v>
      </c>
    </row>
    <row r="70" spans="1:13">
      <c r="A70" s="625" t="s">
        <v>965</v>
      </c>
      <c r="B70" s="306" t="s">
        <v>1117</v>
      </c>
      <c r="C70" s="639">
        <v>46275</v>
      </c>
      <c r="D70" s="690" t="s">
        <v>1116</v>
      </c>
      <c r="E70" s="302" t="s">
        <v>1118</v>
      </c>
      <c r="F70" s="688" t="s">
        <v>184</v>
      </c>
      <c r="G70" s="387" t="s">
        <v>272</v>
      </c>
      <c r="H70" s="688" t="s">
        <v>18</v>
      </c>
      <c r="I70" s="637">
        <v>1</v>
      </c>
      <c r="J70" s="613">
        <v>277777.78000000003</v>
      </c>
      <c r="K70" s="689">
        <v>277777.78000000003</v>
      </c>
      <c r="L70" s="301">
        <v>22222.222400000002</v>
      </c>
      <c r="M70" s="301">
        <v>300000.00240000006</v>
      </c>
    </row>
    <row r="71" spans="1:13">
      <c r="A71" s="625" t="s">
        <v>965</v>
      </c>
      <c r="B71" s="306" t="s">
        <v>1117</v>
      </c>
      <c r="C71" s="639">
        <v>46275</v>
      </c>
      <c r="D71" s="690" t="s">
        <v>1116</v>
      </c>
      <c r="E71" s="302" t="s">
        <v>1118</v>
      </c>
      <c r="F71" s="688" t="s">
        <v>30</v>
      </c>
      <c r="G71" s="387" t="s">
        <v>31</v>
      </c>
      <c r="H71" s="688" t="s">
        <v>18</v>
      </c>
      <c r="I71" s="637">
        <v>1</v>
      </c>
      <c r="J71" s="613">
        <v>296296.3</v>
      </c>
      <c r="K71" s="689">
        <v>296296.3</v>
      </c>
      <c r="L71" s="301">
        <v>23703.703999999998</v>
      </c>
      <c r="M71" s="301">
        <v>320000.00399999996</v>
      </c>
    </row>
    <row r="72" spans="1:13">
      <c r="A72" s="625" t="s">
        <v>965</v>
      </c>
      <c r="B72" s="306" t="s">
        <v>1117</v>
      </c>
      <c r="C72" s="639">
        <v>46275</v>
      </c>
      <c r="D72" s="690" t="s">
        <v>1116</v>
      </c>
      <c r="E72" s="302" t="s">
        <v>1118</v>
      </c>
      <c r="F72" s="688" t="s">
        <v>301</v>
      </c>
      <c r="G72" s="387" t="s">
        <v>361</v>
      </c>
      <c r="H72" s="688" t="s">
        <v>18</v>
      </c>
      <c r="I72" s="637">
        <v>1</v>
      </c>
      <c r="J72" s="613">
        <v>314814.81</v>
      </c>
      <c r="K72" s="689">
        <v>314814.81</v>
      </c>
      <c r="L72" s="301">
        <v>25185.184799999999</v>
      </c>
      <c r="M72" s="301">
        <v>339999.99479999999</v>
      </c>
    </row>
    <row r="73" spans="1:13">
      <c r="A73" s="296" t="s">
        <v>1005</v>
      </c>
      <c r="B73" s="306" t="s">
        <v>697</v>
      </c>
      <c r="C73" s="446">
        <v>46275</v>
      </c>
      <c r="D73" s="442" t="s">
        <v>1119</v>
      </c>
      <c r="E73" s="299" t="s">
        <v>677</v>
      </c>
      <c r="F73" s="317" t="s">
        <v>98</v>
      </c>
      <c r="G73" s="320" t="s">
        <v>251</v>
      </c>
      <c r="H73" s="317" t="s">
        <v>18</v>
      </c>
      <c r="I73" s="315">
        <v>4</v>
      </c>
      <c r="J73" s="316">
        <v>740740.74</v>
      </c>
      <c r="K73" s="319"/>
      <c r="L73" s="613"/>
      <c r="M73" s="613">
        <v>2962962.96</v>
      </c>
    </row>
    <row r="74" spans="1:13" ht="30">
      <c r="A74" s="296" t="s">
        <v>756</v>
      </c>
      <c r="B74" s="307" t="s">
        <v>759</v>
      </c>
      <c r="C74" s="446">
        <v>46276</v>
      </c>
      <c r="D74" s="442" t="s">
        <v>1121</v>
      </c>
      <c r="E74" s="299" t="s">
        <v>758</v>
      </c>
      <c r="F74" s="317" t="s">
        <v>48</v>
      </c>
      <c r="G74" s="317" t="s">
        <v>49</v>
      </c>
      <c r="H74" s="317" t="s">
        <v>18</v>
      </c>
      <c r="I74" s="665">
        <v>12</v>
      </c>
      <c r="J74" s="666">
        <v>601851.85</v>
      </c>
      <c r="K74" s="691">
        <v>7222222.1999999993</v>
      </c>
      <c r="L74" s="301">
        <v>577777.77599999995</v>
      </c>
      <c r="M74" s="301">
        <v>7799999.9759999989</v>
      </c>
    </row>
    <row r="75" spans="1:13" ht="30">
      <c r="A75" s="296" t="s">
        <v>756</v>
      </c>
      <c r="B75" s="307" t="s">
        <v>759</v>
      </c>
      <c r="C75" s="446">
        <v>46276</v>
      </c>
      <c r="D75" s="442" t="s">
        <v>1121</v>
      </c>
      <c r="E75" s="299" t="s">
        <v>758</v>
      </c>
      <c r="F75" s="317" t="s">
        <v>959</v>
      </c>
      <c r="G75" s="320" t="s">
        <v>960</v>
      </c>
      <c r="H75" s="317" t="s">
        <v>18</v>
      </c>
      <c r="I75" s="665">
        <v>12</v>
      </c>
      <c r="J75" s="666">
        <v>0</v>
      </c>
      <c r="K75" s="691">
        <v>0</v>
      </c>
      <c r="L75" s="301">
        <v>0</v>
      </c>
      <c r="M75" s="301">
        <v>0</v>
      </c>
    </row>
    <row r="76" spans="1:13">
      <c r="A76" s="296" t="s">
        <v>753</v>
      </c>
      <c r="B76" s="307" t="s">
        <v>754</v>
      </c>
      <c r="C76" s="446">
        <v>46276</v>
      </c>
      <c r="D76" s="442" t="s">
        <v>1130</v>
      </c>
      <c r="E76" s="299" t="s">
        <v>811</v>
      </c>
      <c r="F76" s="317" t="s">
        <v>653</v>
      </c>
      <c r="G76" s="320" t="s">
        <v>654</v>
      </c>
      <c r="H76" s="317" t="s">
        <v>18</v>
      </c>
      <c r="I76" s="315">
        <v>15</v>
      </c>
      <c r="J76" s="316">
        <v>481481.48</v>
      </c>
      <c r="K76" s="319">
        <v>7222222.1999999993</v>
      </c>
      <c r="L76" s="301">
        <v>577777.77599999995</v>
      </c>
      <c r="M76" s="301">
        <v>7799999.9759999989</v>
      </c>
    </row>
    <row r="77" spans="1:13">
      <c r="A77" s="296" t="s">
        <v>753</v>
      </c>
      <c r="B77" s="307" t="s">
        <v>754</v>
      </c>
      <c r="C77" s="446">
        <v>46276</v>
      </c>
      <c r="D77" s="442" t="s">
        <v>1130</v>
      </c>
      <c r="E77" s="299" t="s">
        <v>811</v>
      </c>
      <c r="F77" s="317" t="s">
        <v>655</v>
      </c>
      <c r="G77" s="320" t="s">
        <v>656</v>
      </c>
      <c r="H77" s="317" t="s">
        <v>18</v>
      </c>
      <c r="I77" s="315">
        <v>15</v>
      </c>
      <c r="J77" s="316">
        <v>574074.06999999995</v>
      </c>
      <c r="K77" s="319">
        <v>8611111.0499999989</v>
      </c>
      <c r="L77" s="301">
        <v>688888.88399999996</v>
      </c>
      <c r="M77" s="301">
        <v>9299999.9339999985</v>
      </c>
    </row>
    <row r="78" spans="1:13">
      <c r="A78" s="296" t="s">
        <v>753</v>
      </c>
      <c r="B78" s="307" t="s">
        <v>754</v>
      </c>
      <c r="C78" s="446">
        <v>46276</v>
      </c>
      <c r="D78" s="442" t="s">
        <v>1130</v>
      </c>
      <c r="E78" s="299" t="s">
        <v>811</v>
      </c>
      <c r="F78" s="317" t="s">
        <v>90</v>
      </c>
      <c r="G78" s="320" t="s">
        <v>91</v>
      </c>
      <c r="H78" s="317" t="s">
        <v>18</v>
      </c>
      <c r="I78" s="315">
        <v>20</v>
      </c>
      <c r="J78" s="316">
        <v>814814.81</v>
      </c>
      <c r="K78" s="319">
        <v>16296296.200000001</v>
      </c>
      <c r="L78" s="301">
        <v>1303703.6960000002</v>
      </c>
      <c r="M78" s="301">
        <v>17599999.896000002</v>
      </c>
    </row>
    <row r="79" spans="1:13">
      <c r="A79" s="296" t="s">
        <v>753</v>
      </c>
      <c r="B79" s="307" t="s">
        <v>754</v>
      </c>
      <c r="C79" s="446">
        <v>46276</v>
      </c>
      <c r="D79" s="442" t="s">
        <v>1130</v>
      </c>
      <c r="E79" s="299" t="s">
        <v>811</v>
      </c>
      <c r="F79" s="317" t="s">
        <v>103</v>
      </c>
      <c r="G79" s="320" t="s">
        <v>104</v>
      </c>
      <c r="H79" s="317" t="s">
        <v>18</v>
      </c>
      <c r="I79" s="315">
        <v>30</v>
      </c>
      <c r="J79" s="316">
        <v>675925.93</v>
      </c>
      <c r="K79" s="319">
        <v>20277777.900000002</v>
      </c>
      <c r="L79" s="301">
        <v>1622222.2320000003</v>
      </c>
      <c r="M79" s="301">
        <v>21900000.132000003</v>
      </c>
    </row>
    <row r="80" spans="1:13">
      <c r="A80" s="296" t="s">
        <v>753</v>
      </c>
      <c r="B80" s="307" t="s">
        <v>754</v>
      </c>
      <c r="C80" s="446">
        <v>46276</v>
      </c>
      <c r="D80" s="442" t="s">
        <v>1130</v>
      </c>
      <c r="E80" s="299" t="s">
        <v>811</v>
      </c>
      <c r="F80" s="317" t="s">
        <v>873</v>
      </c>
      <c r="G80" s="320" t="s">
        <v>874</v>
      </c>
      <c r="H80" s="317" t="s">
        <v>18</v>
      </c>
      <c r="I80" s="315">
        <v>60</v>
      </c>
      <c r="J80" s="316">
        <v>388888.89</v>
      </c>
      <c r="K80" s="319">
        <v>23333333.400000002</v>
      </c>
      <c r="L80" s="301">
        <v>1866666.6720000003</v>
      </c>
      <c r="M80" s="301">
        <v>25200000.072000004</v>
      </c>
    </row>
    <row r="81" spans="1:13">
      <c r="A81" s="296" t="s">
        <v>753</v>
      </c>
      <c r="B81" s="307" t="s">
        <v>754</v>
      </c>
      <c r="C81" s="446">
        <v>46276</v>
      </c>
      <c r="D81" s="442" t="s">
        <v>1130</v>
      </c>
      <c r="E81" s="299" t="s">
        <v>811</v>
      </c>
      <c r="F81" s="317" t="s">
        <v>796</v>
      </c>
      <c r="G81" s="320" t="s">
        <v>797</v>
      </c>
      <c r="H81" s="317" t="s">
        <v>18</v>
      </c>
      <c r="I81" s="315">
        <v>100</v>
      </c>
      <c r="J81" s="316">
        <v>292592.59000000003</v>
      </c>
      <c r="K81" s="319">
        <v>29259259.000000004</v>
      </c>
      <c r="L81" s="301">
        <v>2340740.7200000002</v>
      </c>
      <c r="M81" s="301">
        <v>31599999.720000003</v>
      </c>
    </row>
    <row r="82" spans="1:13">
      <c r="A82" s="296" t="s">
        <v>753</v>
      </c>
      <c r="B82" s="307" t="s">
        <v>754</v>
      </c>
      <c r="C82" s="446">
        <v>46276</v>
      </c>
      <c r="D82" s="442" t="s">
        <v>1130</v>
      </c>
      <c r="E82" s="299" t="s">
        <v>811</v>
      </c>
      <c r="F82" s="317" t="s">
        <v>798</v>
      </c>
      <c r="G82" s="320" t="s">
        <v>799</v>
      </c>
      <c r="H82" s="317" t="s">
        <v>18</v>
      </c>
      <c r="I82" s="315">
        <v>100</v>
      </c>
      <c r="J82" s="316">
        <v>231481.48</v>
      </c>
      <c r="K82" s="319">
        <v>23148148</v>
      </c>
      <c r="L82" s="301">
        <v>1851851.84</v>
      </c>
      <c r="M82" s="301">
        <v>24999999.84</v>
      </c>
    </row>
    <row r="83" spans="1:13" ht="30">
      <c r="A83" s="296" t="s">
        <v>753</v>
      </c>
      <c r="B83" s="307" t="s">
        <v>754</v>
      </c>
      <c r="C83" s="446">
        <v>46276</v>
      </c>
      <c r="D83" s="442" t="s">
        <v>1130</v>
      </c>
      <c r="E83" s="295" t="s">
        <v>862</v>
      </c>
      <c r="F83" s="317" t="s">
        <v>959</v>
      </c>
      <c r="G83" s="317" t="s">
        <v>960</v>
      </c>
      <c r="H83" s="317" t="s">
        <v>18</v>
      </c>
      <c r="I83" s="315">
        <v>30</v>
      </c>
      <c r="J83" s="316">
        <v>0</v>
      </c>
      <c r="K83" s="319">
        <v>0</v>
      </c>
      <c r="L83" s="301">
        <v>0</v>
      </c>
      <c r="M83" s="301">
        <v>0</v>
      </c>
    </row>
    <row r="84" spans="1:13">
      <c r="A84" s="296" t="s">
        <v>753</v>
      </c>
      <c r="B84" s="307" t="s">
        <v>754</v>
      </c>
      <c r="C84" s="446">
        <v>46276</v>
      </c>
      <c r="D84" s="442" t="s">
        <v>1130</v>
      </c>
      <c r="E84" s="302" t="s">
        <v>689</v>
      </c>
      <c r="F84" s="317" t="s">
        <v>653</v>
      </c>
      <c r="G84" s="320" t="s">
        <v>654</v>
      </c>
      <c r="H84" s="317" t="s">
        <v>18</v>
      </c>
      <c r="I84" s="315">
        <v>1</v>
      </c>
      <c r="J84" s="316">
        <v>0</v>
      </c>
      <c r="K84" s="319">
        <v>0</v>
      </c>
      <c r="L84" s="301">
        <v>0</v>
      </c>
      <c r="M84" s="301">
        <v>0</v>
      </c>
    </row>
    <row r="85" spans="1:13">
      <c r="A85" s="296" t="s">
        <v>753</v>
      </c>
      <c r="B85" s="307" t="s">
        <v>754</v>
      </c>
      <c r="C85" s="446">
        <v>46276</v>
      </c>
      <c r="D85" s="442" t="s">
        <v>1130</v>
      </c>
      <c r="E85" s="302" t="s">
        <v>689</v>
      </c>
      <c r="F85" s="317" t="s">
        <v>655</v>
      </c>
      <c r="G85" s="320" t="s">
        <v>656</v>
      </c>
      <c r="H85" s="317" t="s">
        <v>18</v>
      </c>
      <c r="I85" s="315">
        <v>1</v>
      </c>
      <c r="J85" s="316">
        <v>0</v>
      </c>
      <c r="K85" s="319">
        <v>0</v>
      </c>
      <c r="L85" s="301">
        <v>0</v>
      </c>
      <c r="M85" s="301">
        <v>0</v>
      </c>
    </row>
    <row r="86" spans="1:13">
      <c r="A86" s="448"/>
      <c r="B86" s="449" t="s">
        <v>1131</v>
      </c>
      <c r="C86" s="446">
        <v>46273</v>
      </c>
      <c r="D86" s="442" t="s">
        <v>1132</v>
      </c>
      <c r="E86" s="295" t="s">
        <v>1133</v>
      </c>
      <c r="F86" s="317" t="s">
        <v>204</v>
      </c>
      <c r="G86" s="320" t="s">
        <v>269</v>
      </c>
      <c r="H86" s="317" t="s">
        <v>18</v>
      </c>
      <c r="I86" s="451">
        <v>2</v>
      </c>
      <c r="J86" s="316">
        <v>480555.56</v>
      </c>
      <c r="K86" s="319">
        <v>961111.12</v>
      </c>
      <c r="L86" s="301">
        <v>76888.889599999995</v>
      </c>
      <c r="M86" s="301">
        <v>1038000.0096</v>
      </c>
    </row>
    <row r="87" spans="1:13">
      <c r="A87" s="448"/>
      <c r="B87" s="449" t="s">
        <v>1131</v>
      </c>
      <c r="C87" s="446">
        <v>46273</v>
      </c>
      <c r="D87" s="442" t="s">
        <v>1132</v>
      </c>
      <c r="E87" s="295" t="s">
        <v>1133</v>
      </c>
      <c r="F87" s="317" t="s">
        <v>208</v>
      </c>
      <c r="G87" s="320" t="s">
        <v>1127</v>
      </c>
      <c r="H87" s="317" t="s">
        <v>18</v>
      </c>
      <c r="I87" s="451">
        <v>2</v>
      </c>
      <c r="J87" s="316">
        <v>647222.22</v>
      </c>
      <c r="K87" s="319">
        <v>1294444.44</v>
      </c>
      <c r="L87" s="301">
        <v>103555.5552</v>
      </c>
      <c r="M87" s="301">
        <v>1397999.9952</v>
      </c>
    </row>
    <row r="88" spans="1:13">
      <c r="A88" s="448"/>
      <c r="B88" s="449" t="s">
        <v>1131</v>
      </c>
      <c r="C88" s="446">
        <v>46273</v>
      </c>
      <c r="D88" s="442" t="s">
        <v>1132</v>
      </c>
      <c r="E88" s="295" t="s">
        <v>1133</v>
      </c>
      <c r="F88" s="317" t="s">
        <v>80</v>
      </c>
      <c r="G88" s="320" t="s">
        <v>81</v>
      </c>
      <c r="H88" s="317" t="s">
        <v>18</v>
      </c>
      <c r="I88" s="451">
        <v>2</v>
      </c>
      <c r="J88" s="316">
        <v>824074.07</v>
      </c>
      <c r="K88" s="319">
        <v>1648148.14</v>
      </c>
      <c r="L88" s="301">
        <v>131851.8512</v>
      </c>
      <c r="M88" s="301">
        <v>1779999.9911999998</v>
      </c>
    </row>
    <row r="89" spans="1:13">
      <c r="A89" s="448"/>
      <c r="B89" s="449" t="s">
        <v>1131</v>
      </c>
      <c r="C89" s="446">
        <v>46273</v>
      </c>
      <c r="D89" s="442" t="s">
        <v>1132</v>
      </c>
      <c r="E89" s="295" t="s">
        <v>1133</v>
      </c>
      <c r="F89" s="317" t="s">
        <v>72</v>
      </c>
      <c r="G89" s="320" t="s">
        <v>73</v>
      </c>
      <c r="H89" s="317" t="s">
        <v>18</v>
      </c>
      <c r="I89" s="451">
        <v>12</v>
      </c>
      <c r="J89" s="316">
        <v>148148.15</v>
      </c>
      <c r="K89" s="319">
        <v>1777777.7999999998</v>
      </c>
      <c r="L89" s="301">
        <v>142222.22399999999</v>
      </c>
      <c r="M89" s="301">
        <v>1920000.0239999997</v>
      </c>
    </row>
    <row r="90" spans="1:13">
      <c r="A90" s="448"/>
      <c r="B90" s="449" t="s">
        <v>1131</v>
      </c>
      <c r="C90" s="446">
        <v>46273</v>
      </c>
      <c r="D90" s="442" t="s">
        <v>1132</v>
      </c>
      <c r="E90" s="295" t="s">
        <v>1133</v>
      </c>
      <c r="F90" s="317" t="s">
        <v>262</v>
      </c>
      <c r="G90" s="320" t="s">
        <v>435</v>
      </c>
      <c r="H90" s="317" t="s">
        <v>18</v>
      </c>
      <c r="I90" s="451">
        <v>2</v>
      </c>
      <c r="J90" s="316">
        <v>851851.85</v>
      </c>
      <c r="K90" s="319">
        <v>1703703.7</v>
      </c>
      <c r="L90" s="301">
        <v>136296.296</v>
      </c>
      <c r="M90" s="301">
        <v>1839999.996</v>
      </c>
    </row>
    <row r="91" spans="1:13">
      <c r="A91" s="448"/>
      <c r="B91" s="449" t="s">
        <v>1131</v>
      </c>
      <c r="C91" s="446">
        <v>46273</v>
      </c>
      <c r="D91" s="442" t="s">
        <v>1132</v>
      </c>
      <c r="E91" s="295" t="s">
        <v>1133</v>
      </c>
      <c r="F91" s="317" t="s">
        <v>274</v>
      </c>
      <c r="G91" s="320" t="s">
        <v>297</v>
      </c>
      <c r="H91" s="317" t="s">
        <v>18</v>
      </c>
      <c r="I91" s="451">
        <v>6</v>
      </c>
      <c r="J91" s="316">
        <v>416666.67</v>
      </c>
      <c r="K91" s="319">
        <v>2500000.02</v>
      </c>
      <c r="L91" s="301">
        <v>200000.00160000002</v>
      </c>
      <c r="M91" s="301">
        <v>2700000.0216000001</v>
      </c>
    </row>
    <row r="92" spans="1:13" ht="30">
      <c r="A92" s="448"/>
      <c r="B92" s="449" t="s">
        <v>1131</v>
      </c>
      <c r="C92" s="446">
        <v>46273</v>
      </c>
      <c r="D92" s="442" t="s">
        <v>1132</v>
      </c>
      <c r="E92" s="295" t="s">
        <v>1133</v>
      </c>
      <c r="F92" s="317" t="s">
        <v>46</v>
      </c>
      <c r="G92" s="320" t="s">
        <v>47</v>
      </c>
      <c r="H92" s="317" t="s">
        <v>18</v>
      </c>
      <c r="I92" s="451">
        <v>6</v>
      </c>
      <c r="J92" s="316">
        <v>240740.74</v>
      </c>
      <c r="K92" s="319">
        <v>1444444.44</v>
      </c>
      <c r="L92" s="301">
        <v>115555.5552</v>
      </c>
      <c r="M92" s="301">
        <v>1559999.9952</v>
      </c>
    </row>
    <row r="93" spans="1:13" ht="30">
      <c r="A93" s="448"/>
      <c r="B93" s="449" t="s">
        <v>1131</v>
      </c>
      <c r="C93" s="446">
        <v>46273</v>
      </c>
      <c r="D93" s="442" t="s">
        <v>1132</v>
      </c>
      <c r="E93" s="295" t="s">
        <v>1133</v>
      </c>
      <c r="F93" s="317" t="s">
        <v>157</v>
      </c>
      <c r="G93" s="320" t="s">
        <v>158</v>
      </c>
      <c r="H93" s="317" t="s">
        <v>18</v>
      </c>
      <c r="I93" s="451">
        <v>6</v>
      </c>
      <c r="J93" s="316">
        <v>342592.59</v>
      </c>
      <c r="K93" s="319">
        <v>2055555.54</v>
      </c>
      <c r="L93" s="301">
        <v>164444.44320000001</v>
      </c>
      <c r="M93" s="301">
        <v>2219999.9832000001</v>
      </c>
    </row>
    <row r="94" spans="1:13" ht="45">
      <c r="A94" s="448"/>
      <c r="B94" s="449" t="s">
        <v>1131</v>
      </c>
      <c r="C94" s="446">
        <v>46273</v>
      </c>
      <c r="D94" s="442" t="s">
        <v>1132</v>
      </c>
      <c r="E94" s="295" t="s">
        <v>1133</v>
      </c>
      <c r="F94" s="317" t="s">
        <v>60</v>
      </c>
      <c r="G94" s="320" t="s">
        <v>61</v>
      </c>
      <c r="H94" s="317" t="s">
        <v>18</v>
      </c>
      <c r="I94" s="451">
        <v>4</v>
      </c>
      <c r="J94" s="316">
        <v>1138888.8899999999</v>
      </c>
      <c r="K94" s="319">
        <v>4555555.5599999996</v>
      </c>
      <c r="L94" s="301">
        <v>364444.4448</v>
      </c>
      <c r="M94" s="301">
        <v>4920000.0047999993</v>
      </c>
    </row>
    <row r="95" spans="1:13" ht="45">
      <c r="A95" s="448"/>
      <c r="B95" s="449" t="s">
        <v>1131</v>
      </c>
      <c r="C95" s="446">
        <v>46273</v>
      </c>
      <c r="D95" s="442" t="s">
        <v>1132</v>
      </c>
      <c r="E95" s="295" t="s">
        <v>1133</v>
      </c>
      <c r="F95" s="317" t="s">
        <v>83</v>
      </c>
      <c r="G95" s="320" t="s">
        <v>84</v>
      </c>
      <c r="H95" s="317" t="s">
        <v>18</v>
      </c>
      <c r="I95" s="451">
        <v>4</v>
      </c>
      <c r="J95" s="316">
        <v>1097222.22</v>
      </c>
      <c r="K95" s="319">
        <v>4388888.88</v>
      </c>
      <c r="L95" s="301">
        <v>351111.11040000001</v>
      </c>
      <c r="M95" s="301">
        <v>4739999.9903999995</v>
      </c>
    </row>
    <row r="96" spans="1:13" ht="30">
      <c r="A96" s="448"/>
      <c r="B96" s="449" t="s">
        <v>1131</v>
      </c>
      <c r="C96" s="446">
        <v>46273</v>
      </c>
      <c r="D96" s="442" t="s">
        <v>1132</v>
      </c>
      <c r="E96" s="295" t="s">
        <v>1133</v>
      </c>
      <c r="F96" s="317" t="s">
        <v>50</v>
      </c>
      <c r="G96" s="320" t="s">
        <v>51</v>
      </c>
      <c r="H96" s="317" t="s">
        <v>18</v>
      </c>
      <c r="I96" s="451">
        <v>6</v>
      </c>
      <c r="J96" s="316">
        <v>937962.96</v>
      </c>
      <c r="K96" s="319">
        <v>5627777.7599999998</v>
      </c>
      <c r="L96" s="301">
        <v>450222.22080000001</v>
      </c>
      <c r="M96" s="301">
        <v>6077999.9808</v>
      </c>
    </row>
    <row r="97" spans="1:13" ht="30">
      <c r="A97" s="448"/>
      <c r="B97" s="449" t="s">
        <v>1131</v>
      </c>
      <c r="C97" s="446">
        <v>46273</v>
      </c>
      <c r="D97" s="442" t="s">
        <v>1132</v>
      </c>
      <c r="E97" s="295" t="s">
        <v>1133</v>
      </c>
      <c r="F97" s="317" t="s">
        <v>52</v>
      </c>
      <c r="G97" s="320" t="s">
        <v>53</v>
      </c>
      <c r="H97" s="317" t="s">
        <v>18</v>
      </c>
      <c r="I97" s="451">
        <v>6</v>
      </c>
      <c r="J97" s="316">
        <v>1007407.41</v>
      </c>
      <c r="K97" s="319">
        <v>6044444.46</v>
      </c>
      <c r="L97" s="301">
        <v>483555.55680000002</v>
      </c>
      <c r="M97" s="301">
        <v>6528000.0168000003</v>
      </c>
    </row>
    <row r="98" spans="1:13">
      <c r="A98" s="448"/>
      <c r="B98" s="449" t="s">
        <v>1131</v>
      </c>
      <c r="C98" s="446">
        <v>46273</v>
      </c>
      <c r="D98" s="442" t="s">
        <v>1132</v>
      </c>
      <c r="E98" s="295" t="s">
        <v>1133</v>
      </c>
      <c r="F98" s="317" t="s">
        <v>107</v>
      </c>
      <c r="G98" s="317" t="s">
        <v>108</v>
      </c>
      <c r="H98" s="317" t="s">
        <v>18</v>
      </c>
      <c r="I98" s="451">
        <v>3</v>
      </c>
      <c r="J98" s="316">
        <v>0</v>
      </c>
      <c r="K98" s="319">
        <v>0</v>
      </c>
      <c r="L98" s="301">
        <v>0</v>
      </c>
      <c r="M98" s="301">
        <v>0</v>
      </c>
    </row>
    <row r="99" spans="1:13" ht="30">
      <c r="A99" s="448"/>
      <c r="B99" s="449" t="s">
        <v>1131</v>
      </c>
      <c r="C99" s="446">
        <v>46273</v>
      </c>
      <c r="D99" s="442" t="s">
        <v>1132</v>
      </c>
      <c r="E99" s="295" t="s">
        <v>1133</v>
      </c>
      <c r="F99" s="317" t="s">
        <v>959</v>
      </c>
      <c r="G99" s="317" t="s">
        <v>960</v>
      </c>
      <c r="H99" s="317" t="s">
        <v>18</v>
      </c>
      <c r="I99" s="701">
        <v>12</v>
      </c>
      <c r="J99" s="316">
        <v>0</v>
      </c>
      <c r="K99" s="319">
        <v>0</v>
      </c>
      <c r="L99" s="301">
        <v>0</v>
      </c>
      <c r="M99" s="301">
        <v>0</v>
      </c>
    </row>
    <row r="100" spans="1:13">
      <c r="K100" s="702">
        <f>SUM(K3:K99)</f>
        <v>523375925.45999986</v>
      </c>
      <c r="L100" s="702">
        <f t="shared" ref="L100:M100" si="0">SUM(L3:L99)</f>
        <v>41483111.0744</v>
      </c>
      <c r="M100" s="703">
        <f t="shared" si="0"/>
        <v>562984962.46439993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CAB0-4C2A-419A-A001-472D5ABD4262}">
  <dimension ref="A1"/>
  <sheetViews>
    <sheetView workbookViewId="0">
      <selection activeCell="O22" sqref="O22"/>
    </sheetView>
  </sheetViews>
  <sheetFormatPr defaultRowHeight="15"/>
  <sheetData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C292-F17E-47C8-B392-7AE63F854622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E3CA-BB39-4917-BD9F-1B85C153AFBD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Sheet1</vt:lpstr>
      <vt:lpstr>订单</vt:lpstr>
      <vt:lpstr>319 ĐÔng Anh</vt:lpstr>
      <vt:lpstr>Ánh Luật </vt:lpstr>
      <vt:lpstr>NPP Thế Tài</vt:lpstr>
      <vt:lpstr>Gia Bảo  </vt:lpstr>
      <vt:lpstr>BẰNG ÁNH</vt:lpstr>
      <vt:lpstr>Đức Lương</vt:lpstr>
      <vt:lpstr>Thảo Nguyên HD</vt:lpstr>
      <vt:lpstr>Cảnh Cường </vt:lpstr>
      <vt:lpstr>Sơn Thúy</vt:lpstr>
      <vt:lpstr>Trường An</vt:lpstr>
      <vt:lpstr>Sheet9</vt:lpstr>
      <vt:lpstr>Sơn Thùy</vt:lpstr>
      <vt:lpstr>Bá Hiến (2)</vt:lpstr>
      <vt:lpstr>GMN</vt:lpstr>
      <vt:lpstr>Doanh số t9</vt:lpstr>
      <vt:lpstr>Đại Phát</vt:lpstr>
      <vt:lpstr>Rồng Việt</vt:lpstr>
      <vt:lpstr>Minh Trí</vt:lpstr>
      <vt:lpstr>NPP Cường Diệp</vt:lpstr>
      <vt:lpstr>Ánh Luật</vt:lpstr>
      <vt:lpstr>Tùng Anh</vt:lpstr>
      <vt:lpstr>Sheet4</vt:lpstr>
      <vt:lpstr>Sheet2</vt:lpstr>
      <vt:lpstr>Sheet6</vt:lpstr>
      <vt:lpstr>Sheet7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2015-06-05T18:19:34Z</dcterms:created>
  <dcterms:modified xsi:type="dcterms:W3CDTF">2026-10-16T08:08:37Z</dcterms:modified>
</cp:coreProperties>
</file>